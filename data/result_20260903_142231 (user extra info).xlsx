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"/>
    </mc:Choice>
  </mc:AlternateContent>
  <xr:revisionPtr revIDLastSave="0" documentId="13_ncr:8001_{2B29246A-9348-47EB-AE84-0C796430C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V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V2" i="1"/>
  <c r="U2" i="1"/>
  <c r="T2" i="1"/>
</calcChain>
</file>

<file path=xl/sharedStrings.xml><?xml version="1.0" encoding="utf-8"?>
<sst xmlns="http://schemas.openxmlformats.org/spreadsheetml/2006/main" count="246" uniqueCount="127">
  <si>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</si>
  <si>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</si>
  <si>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</si>
  <si>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</si>
  <si>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</si>
  <si>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</si>
  <si>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</si>
  <si>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</si>
  <si>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</si>
  <si>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</si>
  <si>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</si>
  <si>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</si>
  <si>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</si>
  <si>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</si>
  <si>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</si>
  <si>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ban_status</t>
  </si>
  <si>
    <t>43729827</t>
  </si>
  <si>
    <t>2026-08-19 08:11:26</t>
  </si>
  <si>
    <t>NULL</t>
  </si>
  <si>
    <t/>
  </si>
  <si>
    <t>2026-08-19 07:13:24</t>
  </si>
  <si>
    <t>2026-08-19 08:04:21</t>
  </si>
  <si>
    <t>BANNED</t>
  </si>
  <si>
    <t>42598944</t>
  </si>
  <si>
    <t>2026-07-08 21:26:05</t>
  </si>
  <si>
    <t>Mộng Trà</t>
  </si>
  <si>
    <t>2026-07-09 20:42:12</t>
  </si>
  <si>
    <t>2026-07-11 07:47:14</t>
  </si>
  <si>
    <t>2026-07-11 08:00:46</t>
  </si>
  <si>
    <t>2026-07-21 07:48:14</t>
  </si>
  <si>
    <t>43740668</t>
  </si>
  <si>
    <t>2026-08-19 14:29:06</t>
  </si>
  <si>
    <t>2026-08-19 13:33:24</t>
  </si>
  <si>
    <t>2026-08-20 07:26:31</t>
  </si>
  <si>
    <t>42787717</t>
  </si>
  <si>
    <t>2026-07-16 07:40:59</t>
  </si>
  <si>
    <t>uyên phương</t>
  </si>
  <si>
    <t>2026-07-16 06:45:26</t>
  </si>
  <si>
    <t>2026-07-16 07:58:15</t>
  </si>
  <si>
    <t>42758642</t>
  </si>
  <si>
    <t>2026-07-14 22:22:52</t>
  </si>
  <si>
    <t>2026-07-14 21:25:43</t>
  </si>
  <si>
    <t>2026-07-15 08:40:00</t>
  </si>
  <si>
    <t>2026-07-15 07:25:27</t>
  </si>
  <si>
    <t>2026-07-15 08:57:57</t>
  </si>
  <si>
    <t>43376946</t>
  </si>
  <si>
    <t>2026-08-06 09:59:52</t>
  </si>
  <si>
    <t>2026-08-06 09:02:09</t>
  </si>
  <si>
    <t>2026-08-10 09:07:31</t>
  </si>
  <si>
    <t>43512432</t>
  </si>
  <si>
    <t>2026-08-11 07:58:37</t>
  </si>
  <si>
    <t>2026-08-11 07:00:37</t>
  </si>
  <si>
    <t>2026-08-11 07:40:47</t>
  </si>
  <si>
    <t>2026-08-11 07:59:07</t>
  </si>
  <si>
    <t>2026-08-17 05:11:03</t>
  </si>
  <si>
    <t>43701630</t>
  </si>
  <si>
    <t>2026-08-18 07:56:33</t>
  </si>
  <si>
    <t>2026-08-18 06:58:27</t>
  </si>
  <si>
    <t>2026-08-18 07:59:18</t>
  </si>
  <si>
    <t>43811059</t>
  </si>
  <si>
    <t>2026-08-22 08:32:02</t>
  </si>
  <si>
    <t>2026-08-22 07:35:05</t>
  </si>
  <si>
    <t>2026-08-22 08:27:27</t>
  </si>
  <si>
    <t>42459206</t>
  </si>
  <si>
    <t>2026-07-03 18:49:53</t>
  </si>
  <si>
    <t>2026-07-07 07:28:17</t>
  </si>
  <si>
    <t>2026-07-15 07:39:18</t>
  </si>
  <si>
    <t>43756635</t>
  </si>
  <si>
    <t>2026-08-20 08:05:28</t>
  </si>
  <si>
    <t>2026-08-20 07:08:05</t>
  </si>
  <si>
    <t>2026-08-20 07:50:38</t>
  </si>
  <si>
    <t>43783789</t>
  </si>
  <si>
    <t>2026-08-21 08:13:45</t>
  </si>
  <si>
    <t>2026-08-21 07:16:59</t>
  </si>
  <si>
    <t>2026-08-21 07:37:34</t>
  </si>
  <si>
    <t>2026-08-21 07:55:04</t>
  </si>
  <si>
    <t>2026-08-31 07:38:34</t>
  </si>
  <si>
    <t>23938356</t>
  </si>
  <si>
    <t>2024-03-05 07:57:40</t>
  </si>
  <si>
    <t>2026-08-18 08:24:02</t>
  </si>
  <si>
    <t>2026-08-19 08:43:35</t>
  </si>
  <si>
    <t>42814075</t>
  </si>
  <si>
    <t>2026-07-17 08:12:02</t>
  </si>
  <si>
    <t>chị hồng nhung</t>
  </si>
  <si>
    <t>2026-07-17 07:15:22</t>
  </si>
  <si>
    <t>2026-07-17 09:29:00</t>
  </si>
  <si>
    <t>2026-07-17 07:59:47</t>
  </si>
  <si>
    <t>2026-07-17 10:37:52</t>
  </si>
  <si>
    <t>13373294</t>
  </si>
  <si>
    <t>2021-12-28 01:55:36</t>
  </si>
  <si>
    <t>bjvtn</t>
  </si>
  <si>
    <t>ywja</t>
  </si>
  <si>
    <t>2026-08-14 19:27:50</t>
  </si>
  <si>
    <t>2026-08-19 09:09:00</t>
  </si>
  <si>
    <t>43485077</t>
  </si>
  <si>
    <t>2026-08-10 08:19:16</t>
  </si>
  <si>
    <t>2026-08-10 07:20:37</t>
  </si>
  <si>
    <t>2026-08-10 07:59:27</t>
  </si>
  <si>
    <t>2026-08-10 08:13:19</t>
  </si>
  <si>
    <t>2026-08-20 08:00:01</t>
  </si>
  <si>
    <t>account_age(days)</t>
  </si>
  <si>
    <t>register_year</t>
  </si>
  <si>
    <t>register_month</t>
  </si>
  <si>
    <t>Can Tho</t>
  </si>
  <si>
    <t>芹苴市</t>
  </si>
  <si>
    <t>city_name</t>
  </si>
  <si>
    <t>city_name_cn</t>
  </si>
  <si>
    <t>first_login_country_name</t>
  </si>
  <si>
    <t>Vietnam</t>
  </si>
  <si>
    <t>+84779107001</t>
  </si>
  <si>
    <t>+84779289734</t>
  </si>
  <si>
    <t>+84528769566</t>
  </si>
  <si>
    <t>+84896370145</t>
  </si>
  <si>
    <t>+84777428431</t>
  </si>
  <si>
    <t>+84562546608</t>
  </si>
  <si>
    <t>+84776990395</t>
  </si>
  <si>
    <t>+84776373129</t>
  </si>
  <si>
    <t>+84777991820</t>
  </si>
  <si>
    <t>+84779855670</t>
  </si>
  <si>
    <t>+84786948404</t>
  </si>
  <si>
    <t>+84779648054</t>
  </si>
  <si>
    <t>+84787167681</t>
  </si>
  <si>
    <t>+84779593301</t>
  </si>
  <si>
    <t>+84562592137</t>
  </si>
  <si>
    <t>+84779365049</t>
  </si>
  <si>
    <t>null</t>
  </si>
  <si>
    <t>zpkcsnbutd@gmail.com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</si>
</sst>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G5" sqref="G5"/>
    </sheetView>
  </sheetViews>
  <sheetFormatPr defaultRowHeight="14.4" x14ac:dyDescent="0.3"/>
  <cols>
    <col min="1" max="1" width="9" bestFit="1" customWidth="1"/>
    <col min="2" max="2" width="18" bestFit="1" customWidth="1"/>
    <col min="3" max="3" width="13.109375" bestFit="1" customWidth="1"/>
    <col min="4" max="4" width="14.77734375" customWidth="1"/>
    <col min="5" max="5" width="9.21875" bestFit="1" customWidth="1"/>
    <col min="6" max="6" width="12.88671875" bestFit="1" customWidth="1"/>
    <col min="7" max="7" width="7" bestFit="1" customWidth="1"/>
    <col min="8" max="8" width="9.109375" bestFit="1" customWidth="1"/>
    <col min="9" max="9" width="11.88671875" bestFit="1" customWidth="1"/>
    <col min="10" max="10" width="15.5546875" bestFit="1" customWidth="1"/>
    <col min="11" max="11" width="21" bestFit="1" customWidth="1"/>
    <col min="12" max="12" width="14" bestFit="1" customWidth="1"/>
    <col min="13" max="13" width="16.33203125" bestFit="1" customWidth="1"/>
    <col min="14" max="14" width="16.77734375" bestFit="1" customWidth="1"/>
    <col min="15" max="15" width="19.33203125" bestFit="1" customWidth="1"/>
    <col min="16" max="16" width="28" bestFit="1" customWidth="1"/>
    <col min="17" max="17" width="19.109375" bestFit="1" customWidth="1"/>
    <col min="18" max="18" width="21.5546875" bestFit="1" customWidth="1"/>
    <col min="19" max="19" width="9.6640625" bestFit="1" customWidth="1"/>
    <col min="20" max="20" width="16.109375" bestFit="1" customWidth="1"/>
    <col min="21" max="21" width="11.33203125" bestFit="1" customWidth="1"/>
    <col min="22" max="22" width="13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106</v>
      </c>
      <c r="J1" t="s">
        <v>7</v>
      </c>
      <c r="K1" t="s">
        <v>107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1" t="s">
        <v>100</v>
      </c>
      <c r="U1" s="1" t="s">
        <v>101</v>
      </c>
      <c r="V1" s="1" t="s">
        <v>102</v>
      </c>
    </row>
    <row r="2" spans="1:22" x14ac:dyDescent="0.3">
      <c r="A2" t="s">
        <v>16</v>
      </c>
      <c r="B2" t="s">
        <v>17</v>
      </c>
      <c r="C2" t="s">
        <v>109</v>
      </c>
      <c r="D2" t="s">
        <v>125</v>
      </c>
      <c r="E2" t="s">
        <v>19</v>
      </c>
      <c r="F2" t="s">
        <v>19</v>
      </c>
      <c r="G2">
        <v>101005</v>
      </c>
      <c r="H2" t="s">
        <v>103</v>
      </c>
      <c r="I2" t="s">
        <v>104</v>
      </c>
      <c r="J2">
        <v>100000</v>
      </c>
      <c r="K2" t="s">
        <v>108</v>
      </c>
      <c r="L2">
        <v>118</v>
      </c>
      <c r="M2">
        <v>0</v>
      </c>
      <c r="N2">
        <v>14</v>
      </c>
      <c r="O2" t="s">
        <v>20</v>
      </c>
      <c r="P2" t="s">
        <v>18</v>
      </c>
      <c r="Q2" t="s">
        <v>21</v>
      </c>
      <c r="R2" t="s">
        <v>18</v>
      </c>
      <c r="S2" t="s">
        <v>22</v>
      </c>
      <c r="T2" s="2">
        <f ca="1">INT(TODAY() - DATEVALUE(B2))</f>
        <v>16</v>
      </c>
      <c r="U2">
        <f>YEAR(B2)</f>
        <v>2026</v>
      </c>
      <c r="V2">
        <f>MONTH(B2)</f>
        <v>8</v>
      </c>
    </row>
    <row r="3" spans="1:22" x14ac:dyDescent="0.3">
      <c r="A3" t="s">
        <v>23</v>
      </c>
      <c r="B3" t="s">
        <v>24</v>
      </c>
      <c r="C3" t="s">
        <v>110</v>
      </c>
      <c r="D3" t="s">
        <v>125</v>
      </c>
      <c r="E3" t="s">
        <v>19</v>
      </c>
      <c r="F3" t="s">
        <v>25</v>
      </c>
      <c r="G3">
        <v>101005</v>
      </c>
      <c r="H3" t="s">
        <v>103</v>
      </c>
      <c r="I3" t="s">
        <v>104</v>
      </c>
      <c r="J3">
        <v>100000</v>
      </c>
      <c r="K3" t="s">
        <v>108</v>
      </c>
      <c r="L3">
        <v>130</v>
      </c>
      <c r="M3">
        <v>1</v>
      </c>
      <c r="N3">
        <v>56</v>
      </c>
      <c r="O3" t="s">
        <v>26</v>
      </c>
      <c r="P3" t="s">
        <v>27</v>
      </c>
      <c r="Q3" t="s">
        <v>28</v>
      </c>
      <c r="R3" t="s">
        <v>29</v>
      </c>
      <c r="S3" t="s">
        <v>22</v>
      </c>
      <c r="T3" s="2">
        <f t="shared" ref="T3:T17" ca="1" si="0">INT(TODAY() - DATEVALUE(B3))</f>
        <v>58</v>
      </c>
      <c r="U3">
        <f t="shared" ref="U3:U17" si="1">YEAR(B3)</f>
        <v>2026</v>
      </c>
      <c r="V3">
        <f t="shared" ref="V3:V17" si="2">MONTH(B3)</f>
        <v>7</v>
      </c>
    </row>
    <row r="4" spans="1:22" x14ac:dyDescent="0.3">
      <c r="A4" t="s">
        <v>30</v>
      </c>
      <c r="B4" t="s">
        <v>31</v>
      </c>
      <c r="C4" t="s">
        <v>111</v>
      </c>
      <c r="D4" t="s">
        <v>125</v>
      </c>
      <c r="E4" t="s">
        <v>19</v>
      </c>
      <c r="F4" t="s">
        <v>19</v>
      </c>
      <c r="G4">
        <v>101005</v>
      </c>
      <c r="H4" t="s">
        <v>103</v>
      </c>
      <c r="I4" t="s">
        <v>104</v>
      </c>
      <c r="J4">
        <v>100000</v>
      </c>
      <c r="K4" t="s">
        <v>108</v>
      </c>
      <c r="L4">
        <v>22</v>
      </c>
      <c r="M4">
        <v>0</v>
      </c>
      <c r="N4">
        <v>14</v>
      </c>
      <c r="O4" t="s">
        <v>32</v>
      </c>
      <c r="P4" t="s">
        <v>18</v>
      </c>
      <c r="Q4" t="s">
        <v>33</v>
      </c>
      <c r="R4" t="s">
        <v>18</v>
      </c>
      <c r="S4" t="s">
        <v>22</v>
      </c>
      <c r="T4" s="2">
        <f t="shared" ca="1" si="0"/>
        <v>16</v>
      </c>
      <c r="U4">
        <f t="shared" si="1"/>
        <v>2026</v>
      </c>
      <c r="V4">
        <f t="shared" si="2"/>
        <v>8</v>
      </c>
    </row>
    <row r="5" spans="1:22" x14ac:dyDescent="0.3">
      <c r="A5" t="s">
        <v>34</v>
      </c>
      <c r="B5" t="s">
        <v>35</v>
      </c>
      <c r="C5" t="s">
        <v>112</v>
      </c>
      <c r="D5" t="s">
        <v>125</v>
      </c>
      <c r="E5" t="s">
        <v>19</v>
      </c>
      <c r="F5" t="s">
        <v>36</v>
      </c>
      <c r="G5">
        <v>101005</v>
      </c>
      <c r="H5" t="s">
        <v>103</v>
      </c>
      <c r="I5" t="s">
        <v>104</v>
      </c>
      <c r="J5">
        <v>100000</v>
      </c>
      <c r="K5" t="s">
        <v>108</v>
      </c>
      <c r="L5">
        <v>135</v>
      </c>
      <c r="M5">
        <v>0</v>
      </c>
      <c r="N5">
        <v>48</v>
      </c>
      <c r="O5" t="s">
        <v>37</v>
      </c>
      <c r="P5" t="s">
        <v>18</v>
      </c>
      <c r="Q5" t="s">
        <v>38</v>
      </c>
      <c r="R5" t="s">
        <v>18</v>
      </c>
      <c r="S5" t="s">
        <v>22</v>
      </c>
      <c r="T5" s="2">
        <f t="shared" ca="1" si="0"/>
        <v>50</v>
      </c>
      <c r="U5">
        <f t="shared" si="1"/>
        <v>2026</v>
      </c>
      <c r="V5">
        <f t="shared" si="2"/>
        <v>7</v>
      </c>
    </row>
    <row r="6" spans="1:22" x14ac:dyDescent="0.3">
      <c r="A6" t="s">
        <v>39</v>
      </c>
      <c r="B6" t="s">
        <v>40</v>
      </c>
      <c r="C6" t="s">
        <v>113</v>
      </c>
      <c r="D6" t="s">
        <v>125</v>
      </c>
      <c r="E6" t="s">
        <v>19</v>
      </c>
      <c r="F6" t="s">
        <v>19</v>
      </c>
      <c r="G6">
        <v>101005</v>
      </c>
      <c r="H6" t="s">
        <v>103</v>
      </c>
      <c r="I6" t="s">
        <v>104</v>
      </c>
      <c r="J6">
        <v>100000</v>
      </c>
      <c r="K6" t="s">
        <v>108</v>
      </c>
      <c r="L6">
        <v>209</v>
      </c>
      <c r="M6">
        <v>1</v>
      </c>
      <c r="N6">
        <v>50</v>
      </c>
      <c r="O6" t="s">
        <v>41</v>
      </c>
      <c r="P6" t="s">
        <v>42</v>
      </c>
      <c r="Q6" t="s">
        <v>43</v>
      </c>
      <c r="R6" t="s">
        <v>44</v>
      </c>
      <c r="S6" t="s">
        <v>22</v>
      </c>
      <c r="T6" s="2">
        <f t="shared" ca="1" si="0"/>
        <v>52</v>
      </c>
      <c r="U6">
        <f t="shared" si="1"/>
        <v>2026</v>
      </c>
      <c r="V6">
        <f t="shared" si="2"/>
        <v>7</v>
      </c>
    </row>
    <row r="7" spans="1:22" x14ac:dyDescent="0.3">
      <c r="A7" t="s">
        <v>45</v>
      </c>
      <c r="B7" t="s">
        <v>46</v>
      </c>
      <c r="C7" t="s">
        <v>114</v>
      </c>
      <c r="D7" t="s">
        <v>125</v>
      </c>
      <c r="E7" t="s">
        <v>19</v>
      </c>
      <c r="F7" t="s">
        <v>19</v>
      </c>
      <c r="G7">
        <v>101005</v>
      </c>
      <c r="H7" t="s">
        <v>103</v>
      </c>
      <c r="I7" t="s">
        <v>104</v>
      </c>
      <c r="J7">
        <v>100000</v>
      </c>
      <c r="K7" t="s">
        <v>108</v>
      </c>
      <c r="L7">
        <v>52</v>
      </c>
      <c r="M7">
        <v>0</v>
      </c>
      <c r="N7">
        <v>27</v>
      </c>
      <c r="O7" t="s">
        <v>47</v>
      </c>
      <c r="P7" t="s">
        <v>18</v>
      </c>
      <c r="Q7" t="s">
        <v>48</v>
      </c>
      <c r="R7" t="s">
        <v>18</v>
      </c>
      <c r="S7" t="s">
        <v>22</v>
      </c>
      <c r="T7" s="2">
        <f t="shared" ca="1" si="0"/>
        <v>29</v>
      </c>
      <c r="U7">
        <f t="shared" si="1"/>
        <v>2026</v>
      </c>
      <c r="V7">
        <f t="shared" si="2"/>
        <v>8</v>
      </c>
    </row>
    <row r="8" spans="1:22" x14ac:dyDescent="0.3">
      <c r="A8" t="s">
        <v>49</v>
      </c>
      <c r="B8" t="s">
        <v>50</v>
      </c>
      <c r="C8" t="s">
        <v>115</v>
      </c>
      <c r="D8" t="s">
        <v>125</v>
      </c>
      <c r="E8" t="s">
        <v>19</v>
      </c>
      <c r="F8" t="s">
        <v>19</v>
      </c>
      <c r="G8">
        <v>101005</v>
      </c>
      <c r="H8" t="s">
        <v>103</v>
      </c>
      <c r="I8" t="s">
        <v>104</v>
      </c>
      <c r="J8">
        <v>100000</v>
      </c>
      <c r="K8" t="s">
        <v>108</v>
      </c>
      <c r="L8">
        <v>144</v>
      </c>
      <c r="M8">
        <v>2</v>
      </c>
      <c r="N8">
        <v>22</v>
      </c>
      <c r="O8" t="s">
        <v>51</v>
      </c>
      <c r="P8" t="s">
        <v>52</v>
      </c>
      <c r="Q8" t="s">
        <v>53</v>
      </c>
      <c r="R8" t="s">
        <v>54</v>
      </c>
      <c r="S8" t="s">
        <v>22</v>
      </c>
      <c r="T8" s="2">
        <f t="shared" ca="1" si="0"/>
        <v>24</v>
      </c>
      <c r="U8">
        <f t="shared" si="1"/>
        <v>2026</v>
      </c>
      <c r="V8">
        <f t="shared" si="2"/>
        <v>8</v>
      </c>
    </row>
    <row r="9" spans="1:22" x14ac:dyDescent="0.3">
      <c r="A9" t="s">
        <v>55</v>
      </c>
      <c r="B9" t="s">
        <v>56</v>
      </c>
      <c r="C9" t="s">
        <v>116</v>
      </c>
      <c r="D9" t="s">
        <v>125</v>
      </c>
      <c r="E9" t="s">
        <v>19</v>
      </c>
      <c r="F9" t="s">
        <v>19</v>
      </c>
      <c r="G9">
        <v>101005</v>
      </c>
      <c r="H9" t="s">
        <v>103</v>
      </c>
      <c r="I9" t="s">
        <v>104</v>
      </c>
      <c r="J9">
        <v>100000</v>
      </c>
      <c r="K9" t="s">
        <v>108</v>
      </c>
      <c r="L9">
        <v>118</v>
      </c>
      <c r="M9">
        <v>0</v>
      </c>
      <c r="N9">
        <v>15</v>
      </c>
      <c r="O9" t="s">
        <v>57</v>
      </c>
      <c r="P9" t="s">
        <v>18</v>
      </c>
      <c r="Q9" t="s">
        <v>58</v>
      </c>
      <c r="R9" t="s">
        <v>18</v>
      </c>
      <c r="S9" t="s">
        <v>22</v>
      </c>
      <c r="T9" s="2">
        <f t="shared" ca="1" si="0"/>
        <v>17</v>
      </c>
      <c r="U9">
        <f t="shared" si="1"/>
        <v>2026</v>
      </c>
      <c r="V9">
        <f t="shared" si="2"/>
        <v>8</v>
      </c>
    </row>
    <row r="10" spans="1:22" x14ac:dyDescent="0.3">
      <c r="A10" t="s">
        <v>59</v>
      </c>
      <c r="B10" t="s">
        <v>60</v>
      </c>
      <c r="C10" t="s">
        <v>117</v>
      </c>
      <c r="D10" t="s">
        <v>125</v>
      </c>
      <c r="E10" t="s">
        <v>19</v>
      </c>
      <c r="F10" t="s">
        <v>19</v>
      </c>
      <c r="G10">
        <v>101005</v>
      </c>
      <c r="H10" t="s">
        <v>103</v>
      </c>
      <c r="I10" t="s">
        <v>104</v>
      </c>
      <c r="J10">
        <v>100000</v>
      </c>
      <c r="K10" t="s">
        <v>108</v>
      </c>
      <c r="L10">
        <v>54</v>
      </c>
      <c r="M10">
        <v>0</v>
      </c>
      <c r="N10">
        <v>11</v>
      </c>
      <c r="O10" t="s">
        <v>61</v>
      </c>
      <c r="P10" t="s">
        <v>18</v>
      </c>
      <c r="Q10" t="s">
        <v>62</v>
      </c>
      <c r="R10" t="s">
        <v>18</v>
      </c>
      <c r="S10" t="s">
        <v>22</v>
      </c>
      <c r="T10" s="2">
        <f t="shared" ca="1" si="0"/>
        <v>13</v>
      </c>
      <c r="U10">
        <f t="shared" si="1"/>
        <v>2026</v>
      </c>
      <c r="V10">
        <f t="shared" si="2"/>
        <v>8</v>
      </c>
    </row>
    <row r="11" spans="1:22" x14ac:dyDescent="0.3">
      <c r="A11" t="s">
        <v>63</v>
      </c>
      <c r="B11" t="s">
        <v>64</v>
      </c>
      <c r="C11" t="s">
        <v>118</v>
      </c>
      <c r="D11" t="s">
        <v>125</v>
      </c>
      <c r="E11" t="s">
        <v>19</v>
      </c>
      <c r="F11" t="s">
        <v>19</v>
      </c>
      <c r="G11">
        <v>101005</v>
      </c>
      <c r="H11" t="s">
        <v>103</v>
      </c>
      <c r="I11" t="s">
        <v>104</v>
      </c>
      <c r="J11">
        <v>100000</v>
      </c>
      <c r="K11" t="s">
        <v>108</v>
      </c>
      <c r="L11">
        <v>77</v>
      </c>
      <c r="M11">
        <v>0</v>
      </c>
      <c r="N11">
        <v>61</v>
      </c>
      <c r="O11" t="s">
        <v>65</v>
      </c>
      <c r="P11" t="s">
        <v>18</v>
      </c>
      <c r="Q11" t="s">
        <v>66</v>
      </c>
      <c r="R11" t="s">
        <v>18</v>
      </c>
      <c r="S11" t="s">
        <v>22</v>
      </c>
      <c r="T11" s="2">
        <f t="shared" ca="1" si="0"/>
        <v>63</v>
      </c>
      <c r="U11">
        <f t="shared" si="1"/>
        <v>2026</v>
      </c>
      <c r="V11">
        <f t="shared" si="2"/>
        <v>7</v>
      </c>
    </row>
    <row r="12" spans="1:22" x14ac:dyDescent="0.3">
      <c r="A12" t="s">
        <v>67</v>
      </c>
      <c r="B12" t="s">
        <v>68</v>
      </c>
      <c r="C12" t="s">
        <v>119</v>
      </c>
      <c r="D12" t="s">
        <v>125</v>
      </c>
      <c r="E12" t="s">
        <v>19</v>
      </c>
      <c r="F12" t="s">
        <v>19</v>
      </c>
      <c r="G12">
        <v>101005</v>
      </c>
      <c r="H12" t="s">
        <v>103</v>
      </c>
      <c r="I12" t="s">
        <v>104</v>
      </c>
      <c r="J12">
        <v>100000</v>
      </c>
      <c r="K12" t="s">
        <v>108</v>
      </c>
      <c r="L12">
        <v>97</v>
      </c>
      <c r="M12">
        <v>0</v>
      </c>
      <c r="N12">
        <v>13</v>
      </c>
      <c r="O12" t="s">
        <v>69</v>
      </c>
      <c r="P12" t="s">
        <v>18</v>
      </c>
      <c r="Q12" t="s">
        <v>70</v>
      </c>
      <c r="R12" t="s">
        <v>18</v>
      </c>
      <c r="S12" t="s">
        <v>22</v>
      </c>
      <c r="T12" s="2">
        <f t="shared" ca="1" si="0"/>
        <v>15</v>
      </c>
      <c r="U12">
        <f t="shared" si="1"/>
        <v>2026</v>
      </c>
      <c r="V12">
        <f t="shared" si="2"/>
        <v>8</v>
      </c>
    </row>
    <row r="13" spans="1:22" x14ac:dyDescent="0.3">
      <c r="A13" t="s">
        <v>71</v>
      </c>
      <c r="B13" t="s">
        <v>72</v>
      </c>
      <c r="C13" t="s">
        <v>120</v>
      </c>
      <c r="D13" t="s">
        <v>125</v>
      </c>
      <c r="E13" t="s">
        <v>19</v>
      </c>
      <c r="F13" t="s">
        <v>19</v>
      </c>
      <c r="G13">
        <v>101005</v>
      </c>
      <c r="H13" t="s">
        <v>103</v>
      </c>
      <c r="I13" t="s">
        <v>104</v>
      </c>
      <c r="J13">
        <v>100000</v>
      </c>
      <c r="K13" t="s">
        <v>108</v>
      </c>
      <c r="L13">
        <v>116</v>
      </c>
      <c r="M13">
        <v>2</v>
      </c>
      <c r="N13">
        <v>12</v>
      </c>
      <c r="O13" t="s">
        <v>73</v>
      </c>
      <c r="P13" t="s">
        <v>74</v>
      </c>
      <c r="Q13" t="s">
        <v>75</v>
      </c>
      <c r="R13" t="s">
        <v>76</v>
      </c>
      <c r="S13" t="s">
        <v>22</v>
      </c>
      <c r="T13" s="2">
        <f t="shared" ca="1" si="0"/>
        <v>14</v>
      </c>
      <c r="U13">
        <f t="shared" si="1"/>
        <v>2026</v>
      </c>
      <c r="V13">
        <f t="shared" si="2"/>
        <v>8</v>
      </c>
    </row>
    <row r="14" spans="1:22" x14ac:dyDescent="0.3">
      <c r="A14" t="s">
        <v>77</v>
      </c>
      <c r="B14" t="s">
        <v>78</v>
      </c>
      <c r="C14" t="s">
        <v>121</v>
      </c>
      <c r="D14" t="s">
        <v>125</v>
      </c>
      <c r="E14" t="s">
        <v>19</v>
      </c>
      <c r="F14" t="s">
        <v>19</v>
      </c>
      <c r="G14">
        <v>101005</v>
      </c>
      <c r="H14" t="s">
        <v>103</v>
      </c>
      <c r="I14" t="s">
        <v>104</v>
      </c>
      <c r="J14">
        <v>100000</v>
      </c>
      <c r="K14" t="s">
        <v>108</v>
      </c>
      <c r="L14">
        <v>28</v>
      </c>
      <c r="M14">
        <v>0</v>
      </c>
      <c r="N14">
        <v>911</v>
      </c>
      <c r="O14" t="s">
        <v>79</v>
      </c>
      <c r="P14" t="s">
        <v>18</v>
      </c>
      <c r="Q14" t="s">
        <v>80</v>
      </c>
      <c r="R14" t="s">
        <v>18</v>
      </c>
      <c r="S14" t="s">
        <v>22</v>
      </c>
      <c r="T14" s="2">
        <f t="shared" ca="1" si="0"/>
        <v>913</v>
      </c>
      <c r="U14">
        <f t="shared" si="1"/>
        <v>2024</v>
      </c>
      <c r="V14">
        <f t="shared" si="2"/>
        <v>3</v>
      </c>
    </row>
    <row r="15" spans="1:22" x14ac:dyDescent="0.3">
      <c r="A15" t="s">
        <v>81</v>
      </c>
      <c r="B15" t="s">
        <v>82</v>
      </c>
      <c r="C15" t="s">
        <v>122</v>
      </c>
      <c r="D15" t="s">
        <v>125</v>
      </c>
      <c r="E15" t="s">
        <v>19</v>
      </c>
      <c r="F15" t="s">
        <v>83</v>
      </c>
      <c r="G15">
        <v>101005</v>
      </c>
      <c r="H15" t="s">
        <v>103</v>
      </c>
      <c r="I15" t="s">
        <v>104</v>
      </c>
      <c r="J15">
        <v>100000</v>
      </c>
      <c r="K15" t="s">
        <v>108</v>
      </c>
      <c r="L15">
        <v>115</v>
      </c>
      <c r="M15">
        <v>1</v>
      </c>
      <c r="N15">
        <v>47</v>
      </c>
      <c r="O15" t="s">
        <v>84</v>
      </c>
      <c r="P15" t="s">
        <v>85</v>
      </c>
      <c r="Q15" t="s">
        <v>86</v>
      </c>
      <c r="R15" t="s">
        <v>87</v>
      </c>
      <c r="S15" t="s">
        <v>22</v>
      </c>
      <c r="T15" s="2">
        <f t="shared" ca="1" si="0"/>
        <v>49</v>
      </c>
      <c r="U15">
        <f t="shared" si="1"/>
        <v>2026</v>
      </c>
      <c r="V15">
        <f t="shared" si="2"/>
        <v>7</v>
      </c>
    </row>
    <row r="16" spans="1:22" x14ac:dyDescent="0.3">
      <c r="A16" t="s">
        <v>88</v>
      </c>
      <c r="B16" t="s">
        <v>89</v>
      </c>
      <c r="C16" t="s">
        <v>123</v>
      </c>
      <c r="D16" t="s">
        <v>126</v>
      </c>
      <c r="E16" t="s">
        <v>90</v>
      </c>
      <c r="F16" t="s">
        <v>91</v>
      </c>
      <c r="G16">
        <v>101005</v>
      </c>
      <c r="H16" t="s">
        <v>103</v>
      </c>
      <c r="I16" t="s">
        <v>104</v>
      </c>
      <c r="J16">
        <v>100000</v>
      </c>
      <c r="K16" t="s">
        <v>108</v>
      </c>
      <c r="L16">
        <v>104</v>
      </c>
      <c r="M16">
        <v>0</v>
      </c>
      <c r="N16">
        <v>1709</v>
      </c>
      <c r="O16" t="s">
        <v>92</v>
      </c>
      <c r="P16" t="s">
        <v>18</v>
      </c>
      <c r="Q16" t="s">
        <v>93</v>
      </c>
      <c r="R16" t="s">
        <v>18</v>
      </c>
      <c r="S16" t="s">
        <v>22</v>
      </c>
      <c r="T16" s="2">
        <f t="shared" ca="1" si="0"/>
        <v>1711</v>
      </c>
      <c r="U16">
        <f t="shared" si="1"/>
        <v>2021</v>
      </c>
      <c r="V16">
        <f t="shared" si="2"/>
        <v>12</v>
      </c>
    </row>
    <row r="17" spans="1:22" x14ac:dyDescent="0.3">
      <c r="A17" t="s">
        <v>94</v>
      </c>
      <c r="B17" t="s">
        <v>95</v>
      </c>
      <c r="C17" t="s">
        <v>124</v>
      </c>
      <c r="D17" t="s">
        <v>125</v>
      </c>
      <c r="E17" t="s">
        <v>19</v>
      </c>
      <c r="F17" t="s">
        <v>19</v>
      </c>
      <c r="G17">
        <v>101005</v>
      </c>
      <c r="H17" t="s">
        <v>103</v>
      </c>
      <c r="I17" t="s">
        <v>104</v>
      </c>
      <c r="J17">
        <v>100000</v>
      </c>
      <c r="K17" t="s">
        <v>108</v>
      </c>
      <c r="L17">
        <v>117</v>
      </c>
      <c r="M17">
        <v>1</v>
      </c>
      <c r="N17">
        <v>23</v>
      </c>
      <c r="O17" t="s">
        <v>96</v>
      </c>
      <c r="P17" t="s">
        <v>97</v>
      </c>
      <c r="Q17" t="s">
        <v>98</v>
      </c>
      <c r="R17" t="s">
        <v>99</v>
      </c>
      <c r="S17" t="s">
        <v>22</v>
      </c>
      <c r="T17" s="2">
        <f t="shared" ca="1" si="0"/>
        <v>25</v>
      </c>
      <c r="U17">
        <f t="shared" si="1"/>
        <v>2026</v>
      </c>
      <c r="V17">
        <f t="shared" si="2"/>
        <v>8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2026-09-03T06:22:31Z</dcterms:created>
  <dcterms:modified xsi:type="dcterms:W3CDTF">2026-09-04T02:02:34Z</dcterms:modified>
</cp:coreProperties>
</file>