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1_{9C93BCD6-22B6-41CE-BE39-ACB546F167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" i="1" l="1"/>
  <c r="AL3" i="1"/>
  <c r="AL2" i="1"/>
  <c r="AM3" i="1"/>
  <c r="AN3" i="1"/>
  <c r="AM4" i="1"/>
  <c r="AN4" i="1"/>
  <c r="AM5" i="1"/>
  <c r="AN5" i="1"/>
  <c r="AM6" i="1"/>
  <c r="AN6" i="1"/>
  <c r="AM7" i="1"/>
  <c r="AN7" i="1"/>
  <c r="AM8" i="1"/>
  <c r="AN8" i="1"/>
  <c r="AM9" i="1"/>
  <c r="AN9" i="1"/>
  <c r="AM10" i="1"/>
  <c r="AN10" i="1"/>
  <c r="AM11" i="1"/>
  <c r="AN11" i="1"/>
  <c r="AM12" i="1"/>
  <c r="AN12" i="1"/>
  <c r="AM13" i="1"/>
  <c r="AN13" i="1"/>
  <c r="AM14" i="1"/>
  <c r="AN14" i="1"/>
  <c r="AM15" i="1"/>
  <c r="AN15" i="1"/>
  <c r="AM16" i="1"/>
  <c r="AN16" i="1"/>
  <c r="AM17" i="1"/>
  <c r="AN17" i="1"/>
  <c r="AN2" i="1"/>
  <c r="AM2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</calcChain>
</file>

<file path=xl/sharedStrings.xml><?xml version="1.0" encoding="utf-8"?>
<sst xmlns="http://schemas.openxmlformats.org/spreadsheetml/2006/main" count="345" uniqueCount="138">
  <si>
    <t>user_id</t>
  </si>
  <si>
    <t>register_time</t>
  </si>
  <si>
    <t>is_corp</t>
  </si>
  <si>
    <t>industry_id</t>
  </si>
  <si>
    <t>license_no</t>
  </si>
  <si>
    <t>device_identifier</t>
  </si>
  <si>
    <t>device_type</t>
  </si>
  <si>
    <t>version</t>
  </si>
  <si>
    <t>revision</t>
  </si>
  <si>
    <t>receive_coupon_cnt</t>
  </si>
  <si>
    <t>use_coupon_cnt</t>
  </si>
  <si>
    <t>usable_coupon_cnt</t>
  </si>
  <si>
    <t>max_order_city_id</t>
  </si>
  <si>
    <t>first_login_device_type</t>
  </si>
  <si>
    <t>last_login_device_type</t>
  </si>
  <si>
    <t>first_login_city</t>
  </si>
  <si>
    <t>first_login_market</t>
  </si>
  <si>
    <t>intercity_recency</t>
  </si>
  <si>
    <t>last_login_city</t>
  </si>
  <si>
    <t>last_login_market</t>
  </si>
  <si>
    <t>ban_status</t>
  </si>
  <si>
    <t>phone_no</t>
  </si>
  <si>
    <t>email</t>
  </si>
  <si>
    <t>last_name</t>
  </si>
  <si>
    <t>first_name</t>
  </si>
  <si>
    <t>city_id</t>
  </si>
  <si>
    <t>city_name</t>
  </si>
  <si>
    <t>city_name_cn</t>
  </si>
  <si>
    <t>first_login_country</t>
  </si>
  <si>
    <t>first_login_country_name</t>
  </si>
  <si>
    <t>total_create_cnt</t>
  </si>
  <si>
    <t>total_complete_cnt</t>
  </si>
  <si>
    <t>days_since_register</t>
  </si>
  <si>
    <t>first_create_time_local</t>
  </si>
  <si>
    <t>first_completed_order_time_local</t>
  </si>
  <si>
    <t>last_create_time_local</t>
  </si>
  <si>
    <t>last_complete_time_local</t>
  </si>
  <si>
    <t>2021-12-28 01:55:36</t>
  </si>
  <si>
    <t>Corp</t>
  </si>
  <si>
    <t>8250328d046a693f</t>
  </si>
  <si>
    <t>ANDROID</t>
  </si>
  <si>
    <t>116.2.1</t>
  </si>
  <si>
    <t>Can Tho</t>
  </si>
  <si>
    <t>Ho Chi Minh City</t>
  </si>
  <si>
    <t>Vietnam</t>
  </si>
  <si>
    <t>BANNED</t>
  </si>
  <si>
    <t>zpkcsnbutd@gmail.com</t>
  </si>
  <si>
    <t>bjvtn</t>
  </si>
  <si>
    <t>ywja</t>
  </si>
  <si>
    <t>芹苴市</t>
  </si>
  <si>
    <t>2026-08-14 19:27:50</t>
  </si>
  <si>
    <t>2026-08-19 09:09:00</t>
  </si>
  <si>
    <t>2024-03-05 07:57:40</t>
  </si>
  <si>
    <t>No</t>
  </si>
  <si>
    <t>234f5b938de9c7e4</t>
  </si>
  <si>
    <t>2026-08-18 08:24:02</t>
  </si>
  <si>
    <t>2026-08-19 08:43:35</t>
  </si>
  <si>
    <t>2026-07-03 18:49:53</t>
  </si>
  <si>
    <t>9582f350-c340-4124-a6c1-b6b657257a95</t>
  </si>
  <si>
    <t>WEB</t>
  </si>
  <si>
    <t>5.57.1</t>
  </si>
  <si>
    <t>WECHAT</t>
  </si>
  <si>
    <t>2026-07-07 07:28:17</t>
  </si>
  <si>
    <t>2026-07-15 07:39:18</t>
  </si>
  <si>
    <t>2026-07-08 21:26:05</t>
  </si>
  <si>
    <t>05724e79-2bde-4cfc-a9af-c216ed36b2cf</t>
  </si>
  <si>
    <t>5.56.0</t>
  </si>
  <si>
    <t>Mộng Trà</t>
  </si>
  <si>
    <t>2026-07-09 20:42:12</t>
  </si>
  <si>
    <t>2026-07-11 07:47:14</t>
  </si>
  <si>
    <t>2026-07-11 08:00:46</t>
  </si>
  <si>
    <t>2026-07-21 07:48:14</t>
  </si>
  <si>
    <t>2026-07-14 22:22:52</t>
  </si>
  <si>
    <t>07480d20-6720-4d90-89eb-27b3c5606ddf</t>
  </si>
  <si>
    <t>5.54.1</t>
  </si>
  <si>
    <t>2026-07-14 21:25:43</t>
  </si>
  <si>
    <t>2026-07-15 08:40:00</t>
  </si>
  <si>
    <t>2026-07-15 07:25:27</t>
  </si>
  <si>
    <t>2026-07-15 08:57:57</t>
  </si>
  <si>
    <t>2026-07-16 07:40:59</t>
  </si>
  <si>
    <t>uyên phương</t>
  </si>
  <si>
    <t>2026-07-16 06:45:26</t>
  </si>
  <si>
    <t>2026-07-16 07:58:15</t>
  </si>
  <si>
    <t>2026-07-17 08:12:02</t>
  </si>
  <si>
    <t>chị hồng nhung</t>
  </si>
  <si>
    <t>2026-07-17 07:15:22</t>
  </si>
  <si>
    <t>2026-07-17 09:29:00</t>
  </si>
  <si>
    <t>2026-07-17 07:59:47</t>
  </si>
  <si>
    <t>2026-07-17 10:37:52</t>
  </si>
  <si>
    <t>2026-08-06 09:59:52</t>
  </si>
  <si>
    <t>47fc2f7e7128f342</t>
  </si>
  <si>
    <t>116.1.0</t>
  </si>
  <si>
    <t>2026-08-06 09:02:09</t>
  </si>
  <si>
    <t>2026-08-10 09:07:31</t>
  </si>
  <si>
    <t>2026-08-10 08:19:16</t>
  </si>
  <si>
    <t>151ed133-8eed-49eb-82de-3ebf4233613c</t>
  </si>
  <si>
    <t>5.59.2</t>
  </si>
  <si>
    <t>2026-08-10 07:20:37</t>
  </si>
  <si>
    <t>2026-08-10 07:59:27</t>
  </si>
  <si>
    <t>2026-08-10 08:13:19</t>
  </si>
  <si>
    <t>2026-08-20 08:00:01</t>
  </si>
  <si>
    <t>2026-08-11 07:58:37</t>
  </si>
  <si>
    <t>21f10dd3-5a3a-441b-9e00-a0ce3731493a</t>
  </si>
  <si>
    <t>2026-08-11 07:00:37</t>
  </si>
  <si>
    <t>2026-08-11 07:40:47</t>
  </si>
  <si>
    <t>2026-08-11 07:59:07</t>
  </si>
  <si>
    <t>2026-08-17 05:11:03</t>
  </si>
  <si>
    <t>2026-08-18 07:56:33</t>
  </si>
  <si>
    <t>43b14fdf-c30e-4ac7-918a-e4f2f4bb38f4</t>
  </si>
  <si>
    <t>5.60.1</t>
  </si>
  <si>
    <t>2026-08-18 06:58:27</t>
  </si>
  <si>
    <t>2026-08-18 07:59:18</t>
  </si>
  <si>
    <t>2026-08-19 08:11:26</t>
  </si>
  <si>
    <t>5077a92e-4fd7-434e-bea3-ce4a47ba4a1b</t>
  </si>
  <si>
    <t>5.61.0</t>
  </si>
  <si>
    <t>2026-08-19 07:13:24</t>
  </si>
  <si>
    <t>2026-08-19 08:04:21</t>
  </si>
  <si>
    <t>2026-08-19 14:29:06</t>
  </si>
  <si>
    <t>5523f709d0117472</t>
  </si>
  <si>
    <t>2026-08-19 13:33:24</t>
  </si>
  <si>
    <t>2026-08-20 07:26:31</t>
  </si>
  <si>
    <t>2026-08-20 08:05:28</t>
  </si>
  <si>
    <t>c5c27090-52f1-470a-9d77-8984dca92ac9</t>
  </si>
  <si>
    <t>2026-08-20 07:08:05</t>
  </si>
  <si>
    <t>2026-08-20 07:50:38</t>
  </si>
  <si>
    <t>2026-08-21 08:13:45</t>
  </si>
  <si>
    <t>54dcc068-5533-4a36-a317-62f51a111180</t>
  </si>
  <si>
    <t>2026-08-21 07:16:59</t>
  </si>
  <si>
    <t>2026-08-21 07:37:34</t>
  </si>
  <si>
    <t>2026-08-21 07:55:04</t>
  </si>
  <si>
    <t>2026-08-31 07:38:34</t>
  </si>
  <si>
    <t>2026-08-22 08:32:02</t>
  </si>
  <si>
    <t>74938051-94ab-4c3c-95ba-9c66ffa6f0de</t>
  </si>
  <si>
    <t>2026-08-22 07:35:05</t>
  </si>
  <si>
    <t>2026-08-22 08:27:27</t>
  </si>
  <si>
    <t>account_age(days)</t>
  </si>
  <si>
    <t>register_year</t>
  </si>
  <si>
    <t>register_month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</si>
</sst>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17"/>
  <sheetViews>
    <sheetView tabSelected="1" topLeftCell="AD1" workbookViewId="0">
      <selection activeCell="AL5" sqref="AL5"/>
    </sheetView>
  </sheetViews>
  <sheetFormatPr defaultRowHeight="14.4" x14ac:dyDescent="0.3"/>
  <cols>
    <col min="1" max="1" width="9" bestFit="1" customWidth="1"/>
    <col min="2" max="2" width="18.109375" bestFit="1" customWidth="1"/>
    <col min="3" max="3" width="6.88671875" bestFit="1" customWidth="1"/>
    <col min="4" max="4" width="9.88671875" bestFit="1" customWidth="1"/>
    <col min="5" max="5" width="9.6640625" bestFit="1" customWidth="1"/>
    <col min="6" max="6" width="35.88671875" bestFit="1" customWidth="1"/>
    <col min="7" max="7" width="10.77734375" bestFit="1" customWidth="1"/>
    <col min="8" max="8" width="7.109375" bestFit="1" customWidth="1"/>
    <col min="9" max="9" width="7.33203125" bestFit="1" customWidth="1"/>
    <col min="10" max="10" width="17.77734375" bestFit="1" customWidth="1"/>
    <col min="11" max="11" width="14.5546875" bestFit="1" customWidth="1"/>
    <col min="12" max="12" width="17" bestFit="1" customWidth="1"/>
    <col min="13" max="13" width="16.33203125" bestFit="1" customWidth="1"/>
    <col min="14" max="14" width="20.109375" bestFit="1" customWidth="1"/>
    <col min="15" max="15" width="19.77734375" bestFit="1" customWidth="1"/>
    <col min="16" max="16" width="14.5546875" bestFit="1" customWidth="1"/>
    <col min="17" max="17" width="16" bestFit="1" customWidth="1"/>
    <col min="18" max="18" width="15.109375" bestFit="1" customWidth="1"/>
    <col min="19" max="19" width="14.5546875" bestFit="1" customWidth="1"/>
    <col min="20" max="20" width="15.6640625" bestFit="1" customWidth="1"/>
    <col min="21" max="21" width="9.88671875" bestFit="1" customWidth="1"/>
    <col min="22" max="22" width="12" bestFit="1" customWidth="1"/>
    <col min="23" max="23" width="20.44140625" bestFit="1" customWidth="1"/>
    <col min="24" max="24" width="9.44140625" bestFit="1" customWidth="1"/>
    <col min="25" max="25" width="13.21875" bestFit="1" customWidth="1"/>
    <col min="26" max="26" width="7" bestFit="1" customWidth="1"/>
    <col min="27" max="27" width="9.44140625" bestFit="1" customWidth="1"/>
    <col min="28" max="28" width="12.33203125" bestFit="1" customWidth="1"/>
    <col min="29" max="29" width="16.44140625" bestFit="1" customWidth="1"/>
    <col min="30" max="30" width="22.21875" bestFit="1" customWidth="1"/>
    <col min="31" max="31" width="14.77734375" bestFit="1" customWidth="1"/>
    <col min="32" max="32" width="17.33203125" bestFit="1" customWidth="1"/>
    <col min="33" max="33" width="17" bestFit="1" customWidth="1"/>
    <col min="34" max="34" width="20.21875" bestFit="1" customWidth="1"/>
    <col min="35" max="35" width="29.33203125" bestFit="1" customWidth="1"/>
    <col min="36" max="36" width="19.88671875" bestFit="1" customWidth="1"/>
    <col min="37" max="37" width="22.44140625" bestFit="1" customWidth="1"/>
    <col min="38" max="38" width="16.33203125" bestFit="1" customWidth="1"/>
    <col min="39" max="39" width="11.6640625" bestFit="1" customWidth="1"/>
    <col min="40" max="40" width="13.5546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" t="s">
        <v>135</v>
      </c>
      <c r="AM1" s="1" t="s">
        <v>136</v>
      </c>
      <c r="AN1" s="1" t="s">
        <v>137</v>
      </c>
    </row>
    <row r="2" spans="1:40" x14ac:dyDescent="0.3">
      <c r="A2">
        <v>13373294</v>
      </c>
      <c r="B2" t="s">
        <v>37</v>
      </c>
      <c r="C2" t="s">
        <v>38</v>
      </c>
      <c r="D2">
        <v>0</v>
      </c>
      <c r="F2" t="s">
        <v>39</v>
      </c>
      <c r="G2" t="s">
        <v>40</v>
      </c>
      <c r="H2" t="s">
        <v>41</v>
      </c>
      <c r="I2">
        <v>116201</v>
      </c>
      <c r="J2">
        <v>28</v>
      </c>
      <c r="K2">
        <v>0</v>
      </c>
      <c r="L2">
        <v>0</v>
      </c>
      <c r="M2" t="s">
        <v>42</v>
      </c>
      <c r="O2" t="s">
        <v>40</v>
      </c>
      <c r="P2" t="s">
        <v>43</v>
      </c>
      <c r="Q2" t="s">
        <v>44</v>
      </c>
      <c r="R2">
        <v>0</v>
      </c>
      <c r="S2" t="s">
        <v>43</v>
      </c>
      <c r="T2" t="s">
        <v>44</v>
      </c>
      <c r="U2" t="s">
        <v>45</v>
      </c>
      <c r="V2">
        <v>84562592137</v>
      </c>
      <c r="W2" t="s">
        <v>46</v>
      </c>
      <c r="X2" t="s">
        <v>47</v>
      </c>
      <c r="Y2" t="s">
        <v>48</v>
      </c>
      <c r="Z2">
        <v>101005</v>
      </c>
      <c r="AA2" t="s">
        <v>42</v>
      </c>
      <c r="AB2" t="s">
        <v>49</v>
      </c>
      <c r="AC2">
        <v>100000</v>
      </c>
      <c r="AD2" t="s">
        <v>44</v>
      </c>
      <c r="AE2">
        <v>104</v>
      </c>
      <c r="AF2">
        <v>0</v>
      </c>
      <c r="AG2">
        <v>1709</v>
      </c>
      <c r="AH2" t="s">
        <v>50</v>
      </c>
      <c r="AJ2" t="s">
        <v>51</v>
      </c>
      <c r="AL2" s="2">
        <f ca="1">INT(TODAY() - DATEVALUE(B2))</f>
        <v>1716</v>
      </c>
      <c r="AM2">
        <f>YEAR(B2)</f>
        <v>2021</v>
      </c>
      <c r="AN2">
        <f>MONTH(B2)</f>
        <v>12</v>
      </c>
    </row>
    <row r="3" spans="1:40" x14ac:dyDescent="0.3">
      <c r="A3">
        <v>23938356</v>
      </c>
      <c r="B3" t="s">
        <v>52</v>
      </c>
      <c r="C3" t="s">
        <v>53</v>
      </c>
      <c r="D3">
        <v>0</v>
      </c>
      <c r="F3" t="s">
        <v>54</v>
      </c>
      <c r="G3" t="s">
        <v>40</v>
      </c>
      <c r="H3" t="s">
        <v>41</v>
      </c>
      <c r="I3">
        <v>116201</v>
      </c>
      <c r="J3">
        <v>28</v>
      </c>
      <c r="K3">
        <v>0</v>
      </c>
      <c r="L3">
        <v>0</v>
      </c>
      <c r="M3" t="s">
        <v>42</v>
      </c>
      <c r="N3" t="s">
        <v>40</v>
      </c>
      <c r="O3" t="s">
        <v>40</v>
      </c>
      <c r="P3" t="s">
        <v>43</v>
      </c>
      <c r="Q3" t="s">
        <v>44</v>
      </c>
      <c r="R3">
        <v>0</v>
      </c>
      <c r="S3" t="s">
        <v>42</v>
      </c>
      <c r="T3" t="s">
        <v>44</v>
      </c>
      <c r="U3" t="s">
        <v>45</v>
      </c>
      <c r="V3">
        <v>84787167681</v>
      </c>
      <c r="Z3">
        <v>101005</v>
      </c>
      <c r="AA3" t="s">
        <v>42</v>
      </c>
      <c r="AB3" t="s">
        <v>49</v>
      </c>
      <c r="AC3">
        <v>100000</v>
      </c>
      <c r="AD3" t="s">
        <v>44</v>
      </c>
      <c r="AE3">
        <v>28</v>
      </c>
      <c r="AF3">
        <v>0</v>
      </c>
      <c r="AG3">
        <v>911</v>
      </c>
      <c r="AH3" t="s">
        <v>55</v>
      </c>
      <c r="AJ3" t="s">
        <v>56</v>
      </c>
      <c r="AL3" s="2">
        <f ca="1">INT(TODAY() - DATEVALUE(B3))</f>
        <v>918</v>
      </c>
      <c r="AM3">
        <f t="shared" ref="AM3:AM17" si="0">YEAR(B3)</f>
        <v>2024</v>
      </c>
      <c r="AN3">
        <f t="shared" ref="AN3:AN17" si="1">MONTH(B3)</f>
        <v>3</v>
      </c>
    </row>
    <row r="4" spans="1:40" x14ac:dyDescent="0.3">
      <c r="A4">
        <v>42459206</v>
      </c>
      <c r="B4" t="s">
        <v>57</v>
      </c>
      <c r="C4" t="s">
        <v>53</v>
      </c>
      <c r="D4">
        <v>0</v>
      </c>
      <c r="F4" t="s">
        <v>58</v>
      </c>
      <c r="G4" t="s">
        <v>59</v>
      </c>
      <c r="H4" t="s">
        <v>60</v>
      </c>
      <c r="I4">
        <v>55701</v>
      </c>
      <c r="J4">
        <v>7</v>
      </c>
      <c r="K4">
        <v>0</v>
      </c>
      <c r="L4">
        <v>0</v>
      </c>
      <c r="M4" t="s">
        <v>42</v>
      </c>
      <c r="N4" t="s">
        <v>61</v>
      </c>
      <c r="O4" t="s">
        <v>61</v>
      </c>
      <c r="P4" t="s">
        <v>43</v>
      </c>
      <c r="Q4" t="s">
        <v>44</v>
      </c>
      <c r="R4">
        <v>0</v>
      </c>
      <c r="S4" t="s">
        <v>43</v>
      </c>
      <c r="T4" t="s">
        <v>44</v>
      </c>
      <c r="U4" t="s">
        <v>45</v>
      </c>
      <c r="V4">
        <v>84779855670</v>
      </c>
      <c r="Z4">
        <v>101005</v>
      </c>
      <c r="AA4" t="s">
        <v>42</v>
      </c>
      <c r="AB4" t="s">
        <v>49</v>
      </c>
      <c r="AC4">
        <v>100000</v>
      </c>
      <c r="AD4" t="s">
        <v>44</v>
      </c>
      <c r="AE4">
        <v>77</v>
      </c>
      <c r="AF4">
        <v>0</v>
      </c>
      <c r="AG4">
        <v>61</v>
      </c>
      <c r="AH4" t="s">
        <v>62</v>
      </c>
      <c r="AJ4" t="s">
        <v>63</v>
      </c>
      <c r="AL4" s="2">
        <f ca="1">INT(TODAY() - DATEVALUE(B4))</f>
        <v>68</v>
      </c>
      <c r="AM4">
        <f t="shared" si="0"/>
        <v>2026</v>
      </c>
      <c r="AN4">
        <f t="shared" si="1"/>
        <v>7</v>
      </c>
    </row>
    <row r="5" spans="1:40" x14ac:dyDescent="0.3">
      <c r="A5">
        <v>42598944</v>
      </c>
      <c r="B5" t="s">
        <v>64</v>
      </c>
      <c r="C5" t="s">
        <v>38</v>
      </c>
      <c r="D5">
        <v>0</v>
      </c>
      <c r="F5" t="s">
        <v>65</v>
      </c>
      <c r="G5" t="s">
        <v>59</v>
      </c>
      <c r="H5" t="s">
        <v>66</v>
      </c>
      <c r="I5">
        <v>55600</v>
      </c>
      <c r="J5">
        <v>31</v>
      </c>
      <c r="K5">
        <v>0</v>
      </c>
      <c r="L5">
        <v>4</v>
      </c>
      <c r="M5" t="s">
        <v>42</v>
      </c>
      <c r="N5" t="s">
        <v>61</v>
      </c>
      <c r="O5" t="s">
        <v>61</v>
      </c>
      <c r="P5" t="s">
        <v>43</v>
      </c>
      <c r="Q5" t="s">
        <v>44</v>
      </c>
      <c r="R5">
        <v>0</v>
      </c>
      <c r="S5" t="s">
        <v>43</v>
      </c>
      <c r="T5" t="s">
        <v>44</v>
      </c>
      <c r="U5" t="s">
        <v>45</v>
      </c>
      <c r="V5">
        <v>84779289734</v>
      </c>
      <c r="Y5" t="s">
        <v>67</v>
      </c>
      <c r="Z5">
        <v>101005</v>
      </c>
      <c r="AA5" t="s">
        <v>42</v>
      </c>
      <c r="AB5" t="s">
        <v>49</v>
      </c>
      <c r="AC5">
        <v>100000</v>
      </c>
      <c r="AD5" t="s">
        <v>44</v>
      </c>
      <c r="AE5">
        <v>130</v>
      </c>
      <c r="AF5">
        <v>1</v>
      </c>
      <c r="AG5">
        <v>56</v>
      </c>
      <c r="AH5" t="s">
        <v>68</v>
      </c>
      <c r="AI5" t="s">
        <v>69</v>
      </c>
      <c r="AJ5" t="s">
        <v>70</v>
      </c>
      <c r="AK5" t="s">
        <v>71</v>
      </c>
      <c r="AL5" s="2">
        <f t="shared" ref="AL3:AL17" ca="1" si="2">INT(TODAY() - DATEVALUE(B5))</f>
        <v>63</v>
      </c>
      <c r="AM5">
        <f t="shared" si="0"/>
        <v>2026</v>
      </c>
      <c r="AN5">
        <f t="shared" si="1"/>
        <v>7</v>
      </c>
    </row>
    <row r="6" spans="1:40" x14ac:dyDescent="0.3">
      <c r="A6">
        <v>42758642</v>
      </c>
      <c r="B6" t="s">
        <v>72</v>
      </c>
      <c r="C6" t="s">
        <v>53</v>
      </c>
      <c r="D6">
        <v>0</v>
      </c>
      <c r="F6" t="s">
        <v>73</v>
      </c>
      <c r="G6" t="s">
        <v>59</v>
      </c>
      <c r="H6" t="s">
        <v>74</v>
      </c>
      <c r="I6">
        <v>55401</v>
      </c>
      <c r="J6">
        <v>29</v>
      </c>
      <c r="K6">
        <v>0</v>
      </c>
      <c r="L6">
        <v>4</v>
      </c>
      <c r="M6" t="s">
        <v>42</v>
      </c>
      <c r="N6" t="s">
        <v>61</v>
      </c>
      <c r="O6" t="s">
        <v>61</v>
      </c>
      <c r="P6" t="s">
        <v>43</v>
      </c>
      <c r="Q6" t="s">
        <v>44</v>
      </c>
      <c r="R6">
        <v>0</v>
      </c>
      <c r="S6" t="s">
        <v>43</v>
      </c>
      <c r="T6" t="s">
        <v>44</v>
      </c>
      <c r="U6" t="s">
        <v>45</v>
      </c>
      <c r="V6">
        <v>84777428431</v>
      </c>
      <c r="Z6">
        <v>101005</v>
      </c>
      <c r="AA6" t="s">
        <v>42</v>
      </c>
      <c r="AB6" t="s">
        <v>49</v>
      </c>
      <c r="AC6">
        <v>100000</v>
      </c>
      <c r="AD6" t="s">
        <v>44</v>
      </c>
      <c r="AE6">
        <v>209</v>
      </c>
      <c r="AF6">
        <v>1</v>
      </c>
      <c r="AG6">
        <v>50</v>
      </c>
      <c r="AH6" t="s">
        <v>75</v>
      </c>
      <c r="AI6" t="s">
        <v>76</v>
      </c>
      <c r="AJ6" t="s">
        <v>77</v>
      </c>
      <c r="AK6" t="s">
        <v>78</v>
      </c>
      <c r="AL6" s="2">
        <f t="shared" ca="1" si="2"/>
        <v>57</v>
      </c>
      <c r="AM6">
        <f t="shared" si="0"/>
        <v>2026</v>
      </c>
      <c r="AN6">
        <f t="shared" si="1"/>
        <v>7</v>
      </c>
    </row>
    <row r="7" spans="1:40" x14ac:dyDescent="0.3">
      <c r="A7">
        <v>42787717</v>
      </c>
      <c r="B7" t="s">
        <v>79</v>
      </c>
      <c r="C7" t="s">
        <v>38</v>
      </c>
      <c r="D7">
        <v>0</v>
      </c>
      <c r="F7" t="s">
        <v>65</v>
      </c>
      <c r="G7" t="s">
        <v>59</v>
      </c>
      <c r="H7" t="s">
        <v>66</v>
      </c>
      <c r="I7">
        <v>55600</v>
      </c>
      <c r="M7" t="s">
        <v>42</v>
      </c>
      <c r="N7" t="s">
        <v>61</v>
      </c>
      <c r="O7" t="s">
        <v>61</v>
      </c>
      <c r="P7" t="s">
        <v>43</v>
      </c>
      <c r="Q7" t="s">
        <v>44</v>
      </c>
      <c r="R7">
        <v>0</v>
      </c>
      <c r="S7" t="s">
        <v>43</v>
      </c>
      <c r="T7" t="s">
        <v>44</v>
      </c>
      <c r="U7" t="s">
        <v>45</v>
      </c>
      <c r="V7">
        <v>84896370145</v>
      </c>
      <c r="Y7" t="s">
        <v>80</v>
      </c>
      <c r="Z7">
        <v>101005</v>
      </c>
      <c r="AA7" t="s">
        <v>42</v>
      </c>
      <c r="AB7" t="s">
        <v>49</v>
      </c>
      <c r="AC7">
        <v>100000</v>
      </c>
      <c r="AD7" t="s">
        <v>44</v>
      </c>
      <c r="AE7">
        <v>135</v>
      </c>
      <c r="AF7">
        <v>0</v>
      </c>
      <c r="AG7">
        <v>48</v>
      </c>
      <c r="AH7" t="s">
        <v>81</v>
      </c>
      <c r="AJ7" t="s">
        <v>82</v>
      </c>
      <c r="AL7" s="2">
        <f t="shared" ca="1" si="2"/>
        <v>55</v>
      </c>
      <c r="AM7">
        <f t="shared" si="0"/>
        <v>2026</v>
      </c>
      <c r="AN7">
        <f t="shared" si="1"/>
        <v>7</v>
      </c>
    </row>
    <row r="8" spans="1:40" x14ac:dyDescent="0.3">
      <c r="A8">
        <v>42814075</v>
      </c>
      <c r="B8" t="s">
        <v>83</v>
      </c>
      <c r="C8" t="s">
        <v>53</v>
      </c>
      <c r="D8">
        <v>0</v>
      </c>
      <c r="F8" t="s">
        <v>65</v>
      </c>
      <c r="G8" t="s">
        <v>59</v>
      </c>
      <c r="H8" t="s">
        <v>66</v>
      </c>
      <c r="I8">
        <v>55600</v>
      </c>
      <c r="J8">
        <v>31</v>
      </c>
      <c r="K8">
        <v>0</v>
      </c>
      <c r="L8">
        <v>4</v>
      </c>
      <c r="M8" t="s">
        <v>42</v>
      </c>
      <c r="N8" t="s">
        <v>61</v>
      </c>
      <c r="O8" t="s">
        <v>61</v>
      </c>
      <c r="P8" t="s">
        <v>43</v>
      </c>
      <c r="Q8" t="s">
        <v>44</v>
      </c>
      <c r="R8">
        <v>0</v>
      </c>
      <c r="S8" t="s">
        <v>43</v>
      </c>
      <c r="T8" t="s">
        <v>44</v>
      </c>
      <c r="U8" t="s">
        <v>45</v>
      </c>
      <c r="V8">
        <v>84779593301</v>
      </c>
      <c r="Y8" t="s">
        <v>84</v>
      </c>
      <c r="Z8">
        <v>101005</v>
      </c>
      <c r="AA8" t="s">
        <v>42</v>
      </c>
      <c r="AB8" t="s">
        <v>49</v>
      </c>
      <c r="AC8">
        <v>100000</v>
      </c>
      <c r="AD8" t="s">
        <v>44</v>
      </c>
      <c r="AE8">
        <v>115</v>
      </c>
      <c r="AF8">
        <v>1</v>
      </c>
      <c r="AG8">
        <v>47</v>
      </c>
      <c r="AH8" t="s">
        <v>85</v>
      </c>
      <c r="AI8" t="s">
        <v>86</v>
      </c>
      <c r="AJ8" t="s">
        <v>87</v>
      </c>
      <c r="AK8" t="s">
        <v>88</v>
      </c>
      <c r="AL8" s="2">
        <f t="shared" ca="1" si="2"/>
        <v>54</v>
      </c>
      <c r="AM8">
        <f t="shared" si="0"/>
        <v>2026</v>
      </c>
      <c r="AN8">
        <f t="shared" si="1"/>
        <v>7</v>
      </c>
    </row>
    <row r="9" spans="1:40" x14ac:dyDescent="0.3">
      <c r="A9">
        <v>43376946</v>
      </c>
      <c r="B9" t="s">
        <v>89</v>
      </c>
      <c r="C9" t="s">
        <v>53</v>
      </c>
      <c r="D9">
        <v>0</v>
      </c>
      <c r="F9" t="s">
        <v>90</v>
      </c>
      <c r="G9" t="s">
        <v>40</v>
      </c>
      <c r="H9" t="s">
        <v>91</v>
      </c>
      <c r="I9">
        <v>116100</v>
      </c>
      <c r="J9">
        <v>3</v>
      </c>
      <c r="K9">
        <v>0</v>
      </c>
      <c r="L9">
        <v>0</v>
      </c>
      <c r="M9" t="s">
        <v>42</v>
      </c>
      <c r="N9" t="s">
        <v>40</v>
      </c>
      <c r="O9" t="s">
        <v>40</v>
      </c>
      <c r="P9" t="s">
        <v>43</v>
      </c>
      <c r="Q9" t="s">
        <v>44</v>
      </c>
      <c r="R9">
        <v>0</v>
      </c>
      <c r="S9" t="s">
        <v>43</v>
      </c>
      <c r="T9" t="s">
        <v>44</v>
      </c>
      <c r="U9" t="s">
        <v>45</v>
      </c>
      <c r="V9">
        <v>84562546608</v>
      </c>
      <c r="Z9">
        <v>101005</v>
      </c>
      <c r="AA9" t="s">
        <v>42</v>
      </c>
      <c r="AB9" t="s">
        <v>49</v>
      </c>
      <c r="AC9">
        <v>100000</v>
      </c>
      <c r="AD9" t="s">
        <v>44</v>
      </c>
      <c r="AE9">
        <v>52</v>
      </c>
      <c r="AF9">
        <v>0</v>
      </c>
      <c r="AG9">
        <v>27</v>
      </c>
      <c r="AH9" t="s">
        <v>92</v>
      </c>
      <c r="AJ9" t="s">
        <v>93</v>
      </c>
      <c r="AL9" s="2">
        <f t="shared" ca="1" si="2"/>
        <v>34</v>
      </c>
      <c r="AM9">
        <f t="shared" si="0"/>
        <v>2026</v>
      </c>
      <c r="AN9">
        <f t="shared" si="1"/>
        <v>8</v>
      </c>
    </row>
    <row r="10" spans="1:40" x14ac:dyDescent="0.3">
      <c r="A10">
        <v>43485077</v>
      </c>
      <c r="B10" t="s">
        <v>94</v>
      </c>
      <c r="C10" t="s">
        <v>53</v>
      </c>
      <c r="D10">
        <v>0</v>
      </c>
      <c r="F10" t="s">
        <v>95</v>
      </c>
      <c r="G10" t="s">
        <v>59</v>
      </c>
      <c r="H10" t="s">
        <v>96</v>
      </c>
      <c r="I10">
        <v>55902</v>
      </c>
      <c r="J10">
        <v>15</v>
      </c>
      <c r="K10">
        <v>0</v>
      </c>
      <c r="L10">
        <v>4</v>
      </c>
      <c r="M10" t="s">
        <v>42</v>
      </c>
      <c r="N10" t="s">
        <v>61</v>
      </c>
      <c r="O10" t="s">
        <v>61</v>
      </c>
      <c r="P10" t="s">
        <v>43</v>
      </c>
      <c r="Q10" t="s">
        <v>44</v>
      </c>
      <c r="R10">
        <v>0</v>
      </c>
      <c r="S10" t="s">
        <v>43</v>
      </c>
      <c r="T10" t="s">
        <v>44</v>
      </c>
      <c r="U10" t="s">
        <v>45</v>
      </c>
      <c r="V10">
        <v>84779365049</v>
      </c>
      <c r="Z10">
        <v>101005</v>
      </c>
      <c r="AA10" t="s">
        <v>42</v>
      </c>
      <c r="AB10" t="s">
        <v>49</v>
      </c>
      <c r="AC10">
        <v>100000</v>
      </c>
      <c r="AD10" t="s">
        <v>44</v>
      </c>
      <c r="AE10">
        <v>117</v>
      </c>
      <c r="AF10">
        <v>1</v>
      </c>
      <c r="AG10">
        <v>23</v>
      </c>
      <c r="AH10" t="s">
        <v>97</v>
      </c>
      <c r="AI10" t="s">
        <v>98</v>
      </c>
      <c r="AJ10" t="s">
        <v>99</v>
      </c>
      <c r="AK10" t="s">
        <v>100</v>
      </c>
      <c r="AL10" s="2">
        <f t="shared" ca="1" si="2"/>
        <v>30</v>
      </c>
      <c r="AM10">
        <f t="shared" si="0"/>
        <v>2026</v>
      </c>
      <c r="AN10">
        <f t="shared" si="1"/>
        <v>8</v>
      </c>
    </row>
    <row r="11" spans="1:40" x14ac:dyDescent="0.3">
      <c r="A11">
        <v>43512432</v>
      </c>
      <c r="B11" t="s">
        <v>101</v>
      </c>
      <c r="C11" t="s">
        <v>53</v>
      </c>
      <c r="D11">
        <v>0</v>
      </c>
      <c r="F11" t="s">
        <v>102</v>
      </c>
      <c r="G11" t="s">
        <v>59</v>
      </c>
      <c r="H11" t="s">
        <v>96</v>
      </c>
      <c r="I11">
        <v>55902</v>
      </c>
      <c r="J11">
        <v>14</v>
      </c>
      <c r="K11">
        <v>0</v>
      </c>
      <c r="L11">
        <v>5</v>
      </c>
      <c r="M11" t="s">
        <v>42</v>
      </c>
      <c r="N11" t="s">
        <v>61</v>
      </c>
      <c r="O11" t="s">
        <v>61</v>
      </c>
      <c r="P11" t="s">
        <v>43</v>
      </c>
      <c r="Q11" t="s">
        <v>44</v>
      </c>
      <c r="R11">
        <v>0</v>
      </c>
      <c r="S11" t="s">
        <v>43</v>
      </c>
      <c r="T11" t="s">
        <v>44</v>
      </c>
      <c r="U11" t="s">
        <v>45</v>
      </c>
      <c r="V11">
        <v>84776990395</v>
      </c>
      <c r="Z11">
        <v>101005</v>
      </c>
      <c r="AA11" t="s">
        <v>42</v>
      </c>
      <c r="AB11" t="s">
        <v>49</v>
      </c>
      <c r="AC11">
        <v>100000</v>
      </c>
      <c r="AD11" t="s">
        <v>44</v>
      </c>
      <c r="AE11">
        <v>144</v>
      </c>
      <c r="AF11">
        <v>2</v>
      </c>
      <c r="AG11">
        <v>22</v>
      </c>
      <c r="AH11" t="s">
        <v>103</v>
      </c>
      <c r="AI11" t="s">
        <v>104</v>
      </c>
      <c r="AJ11" t="s">
        <v>105</v>
      </c>
      <c r="AK11" t="s">
        <v>106</v>
      </c>
      <c r="AL11" s="2">
        <f t="shared" ca="1" si="2"/>
        <v>29</v>
      </c>
      <c r="AM11">
        <f t="shared" si="0"/>
        <v>2026</v>
      </c>
      <c r="AN11">
        <f t="shared" si="1"/>
        <v>8</v>
      </c>
    </row>
    <row r="12" spans="1:40" x14ac:dyDescent="0.3">
      <c r="A12">
        <v>43701630</v>
      </c>
      <c r="B12" t="s">
        <v>107</v>
      </c>
      <c r="C12" t="s">
        <v>53</v>
      </c>
      <c r="D12">
        <v>0</v>
      </c>
      <c r="F12" t="s">
        <v>108</v>
      </c>
      <c r="G12" t="s">
        <v>59</v>
      </c>
      <c r="H12" t="s">
        <v>109</v>
      </c>
      <c r="I12">
        <v>56001</v>
      </c>
      <c r="J12">
        <v>7</v>
      </c>
      <c r="K12">
        <v>0</v>
      </c>
      <c r="L12">
        <v>4</v>
      </c>
      <c r="M12" t="s">
        <v>42</v>
      </c>
      <c r="N12" t="s">
        <v>61</v>
      </c>
      <c r="O12" t="s">
        <v>61</v>
      </c>
      <c r="P12" t="s">
        <v>43</v>
      </c>
      <c r="Q12" t="s">
        <v>44</v>
      </c>
      <c r="R12">
        <v>0</v>
      </c>
      <c r="S12" t="s">
        <v>43</v>
      </c>
      <c r="T12" t="s">
        <v>44</v>
      </c>
      <c r="U12" t="s">
        <v>45</v>
      </c>
      <c r="V12">
        <v>84776373129</v>
      </c>
      <c r="Z12">
        <v>101005</v>
      </c>
      <c r="AA12" t="s">
        <v>42</v>
      </c>
      <c r="AB12" t="s">
        <v>49</v>
      </c>
      <c r="AC12">
        <v>100000</v>
      </c>
      <c r="AD12" t="s">
        <v>44</v>
      </c>
      <c r="AE12">
        <v>118</v>
      </c>
      <c r="AF12">
        <v>0</v>
      </c>
      <c r="AG12">
        <v>15</v>
      </c>
      <c r="AH12" t="s">
        <v>110</v>
      </c>
      <c r="AJ12" t="s">
        <v>111</v>
      </c>
      <c r="AL12" s="2">
        <f t="shared" ca="1" si="2"/>
        <v>22</v>
      </c>
      <c r="AM12">
        <f t="shared" si="0"/>
        <v>2026</v>
      </c>
      <c r="AN12">
        <f t="shared" si="1"/>
        <v>8</v>
      </c>
    </row>
    <row r="13" spans="1:40" x14ac:dyDescent="0.3">
      <c r="A13">
        <v>43729827</v>
      </c>
      <c r="B13" t="s">
        <v>112</v>
      </c>
      <c r="C13" t="s">
        <v>53</v>
      </c>
      <c r="D13">
        <v>0</v>
      </c>
      <c r="F13" t="s">
        <v>113</v>
      </c>
      <c r="G13" t="s">
        <v>59</v>
      </c>
      <c r="H13" t="s">
        <v>114</v>
      </c>
      <c r="I13">
        <v>56100</v>
      </c>
      <c r="J13">
        <v>3</v>
      </c>
      <c r="K13">
        <v>0</v>
      </c>
      <c r="L13">
        <v>0</v>
      </c>
      <c r="M13" t="s">
        <v>42</v>
      </c>
      <c r="N13" t="s">
        <v>61</v>
      </c>
      <c r="O13" t="s">
        <v>61</v>
      </c>
      <c r="P13" t="s">
        <v>43</v>
      </c>
      <c r="Q13" t="s">
        <v>44</v>
      </c>
      <c r="R13">
        <v>0</v>
      </c>
      <c r="S13" t="s">
        <v>43</v>
      </c>
      <c r="T13" t="s">
        <v>44</v>
      </c>
      <c r="U13" t="s">
        <v>45</v>
      </c>
      <c r="V13">
        <v>84779107001</v>
      </c>
      <c r="Z13">
        <v>101005</v>
      </c>
      <c r="AA13" t="s">
        <v>42</v>
      </c>
      <c r="AB13" t="s">
        <v>49</v>
      </c>
      <c r="AC13">
        <v>100000</v>
      </c>
      <c r="AD13" t="s">
        <v>44</v>
      </c>
      <c r="AE13">
        <v>118</v>
      </c>
      <c r="AF13">
        <v>0</v>
      </c>
      <c r="AG13">
        <v>14</v>
      </c>
      <c r="AH13" t="s">
        <v>115</v>
      </c>
      <c r="AJ13" t="s">
        <v>116</v>
      </c>
      <c r="AL13" s="2">
        <f t="shared" ca="1" si="2"/>
        <v>21</v>
      </c>
      <c r="AM13">
        <f t="shared" si="0"/>
        <v>2026</v>
      </c>
      <c r="AN13">
        <f t="shared" si="1"/>
        <v>8</v>
      </c>
    </row>
    <row r="14" spans="1:40" x14ac:dyDescent="0.3">
      <c r="A14">
        <v>43740668</v>
      </c>
      <c r="B14" t="s">
        <v>117</v>
      </c>
      <c r="C14" t="s">
        <v>53</v>
      </c>
      <c r="D14">
        <v>0</v>
      </c>
      <c r="F14" t="s">
        <v>118</v>
      </c>
      <c r="G14" t="s">
        <v>40</v>
      </c>
      <c r="H14" t="s">
        <v>41</v>
      </c>
      <c r="I14">
        <v>116201</v>
      </c>
      <c r="M14" t="s">
        <v>42</v>
      </c>
      <c r="N14" t="s">
        <v>40</v>
      </c>
      <c r="O14" t="s">
        <v>40</v>
      </c>
      <c r="P14" t="s">
        <v>43</v>
      </c>
      <c r="Q14" t="s">
        <v>44</v>
      </c>
      <c r="R14">
        <v>0</v>
      </c>
      <c r="S14" t="s">
        <v>43</v>
      </c>
      <c r="T14" t="s">
        <v>44</v>
      </c>
      <c r="U14" t="s">
        <v>45</v>
      </c>
      <c r="V14">
        <v>84528769566</v>
      </c>
      <c r="Z14">
        <v>101005</v>
      </c>
      <c r="AA14" t="s">
        <v>42</v>
      </c>
      <c r="AB14" t="s">
        <v>49</v>
      </c>
      <c r="AC14">
        <v>100000</v>
      </c>
      <c r="AD14" t="s">
        <v>44</v>
      </c>
      <c r="AE14">
        <v>22</v>
      </c>
      <c r="AF14">
        <v>0</v>
      </c>
      <c r="AG14">
        <v>14</v>
      </c>
      <c r="AH14" t="s">
        <v>119</v>
      </c>
      <c r="AJ14" t="s">
        <v>120</v>
      </c>
      <c r="AL14" s="2">
        <f t="shared" ca="1" si="2"/>
        <v>21</v>
      </c>
      <c r="AM14">
        <f t="shared" si="0"/>
        <v>2026</v>
      </c>
      <c r="AN14">
        <f t="shared" si="1"/>
        <v>8</v>
      </c>
    </row>
    <row r="15" spans="1:40" x14ac:dyDescent="0.3">
      <c r="A15">
        <v>43756635</v>
      </c>
      <c r="B15" t="s">
        <v>121</v>
      </c>
      <c r="C15" t="s">
        <v>53</v>
      </c>
      <c r="D15">
        <v>0</v>
      </c>
      <c r="F15" t="s">
        <v>122</v>
      </c>
      <c r="G15" t="s">
        <v>59</v>
      </c>
      <c r="H15" t="s">
        <v>114</v>
      </c>
      <c r="I15">
        <v>56100</v>
      </c>
      <c r="J15">
        <v>6</v>
      </c>
      <c r="K15">
        <v>0</v>
      </c>
      <c r="L15">
        <v>0</v>
      </c>
      <c r="M15" t="s">
        <v>42</v>
      </c>
      <c r="N15" t="s">
        <v>61</v>
      </c>
      <c r="O15" t="s">
        <v>61</v>
      </c>
      <c r="P15" t="s">
        <v>43</v>
      </c>
      <c r="Q15" t="s">
        <v>44</v>
      </c>
      <c r="R15">
        <v>0</v>
      </c>
      <c r="S15" t="s">
        <v>43</v>
      </c>
      <c r="T15" t="s">
        <v>44</v>
      </c>
      <c r="U15" t="s">
        <v>45</v>
      </c>
      <c r="V15">
        <v>84786948404</v>
      </c>
      <c r="Z15">
        <v>101005</v>
      </c>
      <c r="AA15" t="s">
        <v>42</v>
      </c>
      <c r="AB15" t="s">
        <v>49</v>
      </c>
      <c r="AC15">
        <v>100000</v>
      </c>
      <c r="AD15" t="s">
        <v>44</v>
      </c>
      <c r="AE15">
        <v>97</v>
      </c>
      <c r="AF15">
        <v>0</v>
      </c>
      <c r="AG15">
        <v>13</v>
      </c>
      <c r="AH15" t="s">
        <v>123</v>
      </c>
      <c r="AJ15" t="s">
        <v>124</v>
      </c>
      <c r="AL15" s="2">
        <f t="shared" ca="1" si="2"/>
        <v>20</v>
      </c>
      <c r="AM15">
        <f t="shared" si="0"/>
        <v>2026</v>
      </c>
      <c r="AN15">
        <f t="shared" si="1"/>
        <v>8</v>
      </c>
    </row>
    <row r="16" spans="1:40" x14ac:dyDescent="0.3">
      <c r="A16">
        <v>43783789</v>
      </c>
      <c r="B16" t="s">
        <v>125</v>
      </c>
      <c r="C16" t="s">
        <v>53</v>
      </c>
      <c r="D16">
        <v>0</v>
      </c>
      <c r="F16" t="s">
        <v>126</v>
      </c>
      <c r="G16" t="s">
        <v>59</v>
      </c>
      <c r="H16" t="s">
        <v>114</v>
      </c>
      <c r="I16">
        <v>56100</v>
      </c>
      <c r="J16">
        <v>12</v>
      </c>
      <c r="K16">
        <v>0</v>
      </c>
      <c r="L16">
        <v>4</v>
      </c>
      <c r="M16" t="s">
        <v>42</v>
      </c>
      <c r="N16" t="s">
        <v>61</v>
      </c>
      <c r="O16" t="s">
        <v>61</v>
      </c>
      <c r="P16" t="s">
        <v>43</v>
      </c>
      <c r="Q16" t="s">
        <v>44</v>
      </c>
      <c r="R16">
        <v>0</v>
      </c>
      <c r="S16" t="s">
        <v>43</v>
      </c>
      <c r="T16" t="s">
        <v>44</v>
      </c>
      <c r="U16" t="s">
        <v>45</v>
      </c>
      <c r="V16">
        <v>84779648054</v>
      </c>
      <c r="Z16">
        <v>101005</v>
      </c>
      <c r="AA16" t="s">
        <v>42</v>
      </c>
      <c r="AB16" t="s">
        <v>49</v>
      </c>
      <c r="AC16">
        <v>100000</v>
      </c>
      <c r="AD16" t="s">
        <v>44</v>
      </c>
      <c r="AE16">
        <v>116</v>
      </c>
      <c r="AF16">
        <v>2</v>
      </c>
      <c r="AG16">
        <v>12</v>
      </c>
      <c r="AH16" t="s">
        <v>127</v>
      </c>
      <c r="AI16" t="s">
        <v>128</v>
      </c>
      <c r="AJ16" t="s">
        <v>129</v>
      </c>
      <c r="AK16" t="s">
        <v>130</v>
      </c>
      <c r="AL16" s="2">
        <f t="shared" ca="1" si="2"/>
        <v>19</v>
      </c>
      <c r="AM16">
        <f t="shared" si="0"/>
        <v>2026</v>
      </c>
      <c r="AN16">
        <f t="shared" si="1"/>
        <v>8</v>
      </c>
    </row>
    <row r="17" spans="1:40" x14ac:dyDescent="0.3">
      <c r="A17">
        <v>43811059</v>
      </c>
      <c r="B17" t="s">
        <v>131</v>
      </c>
      <c r="C17" t="s">
        <v>53</v>
      </c>
      <c r="D17">
        <v>0</v>
      </c>
      <c r="F17" t="s">
        <v>132</v>
      </c>
      <c r="G17" t="s">
        <v>59</v>
      </c>
      <c r="H17" t="s">
        <v>114</v>
      </c>
      <c r="I17">
        <v>56100</v>
      </c>
      <c r="J17">
        <v>3</v>
      </c>
      <c r="K17">
        <v>0</v>
      </c>
      <c r="L17">
        <v>0</v>
      </c>
      <c r="M17" t="s">
        <v>42</v>
      </c>
      <c r="N17" t="s">
        <v>61</v>
      </c>
      <c r="O17" t="s">
        <v>61</v>
      </c>
      <c r="P17" t="s">
        <v>43</v>
      </c>
      <c r="Q17" t="s">
        <v>44</v>
      </c>
      <c r="R17">
        <v>0</v>
      </c>
      <c r="S17" t="s">
        <v>43</v>
      </c>
      <c r="T17" t="s">
        <v>44</v>
      </c>
      <c r="U17" t="s">
        <v>45</v>
      </c>
      <c r="V17">
        <v>84777991820</v>
      </c>
      <c r="Z17">
        <v>101005</v>
      </c>
      <c r="AA17" t="s">
        <v>42</v>
      </c>
      <c r="AB17" t="s">
        <v>49</v>
      </c>
      <c r="AC17">
        <v>100000</v>
      </c>
      <c r="AD17" t="s">
        <v>44</v>
      </c>
      <c r="AE17">
        <v>54</v>
      </c>
      <c r="AF17">
        <v>0</v>
      </c>
      <c r="AG17">
        <v>11</v>
      </c>
      <c r="AH17" t="s">
        <v>133</v>
      </c>
      <c r="AJ17" t="s">
        <v>134</v>
      </c>
      <c r="AL17" s="2">
        <f t="shared" ca="1" si="2"/>
        <v>18</v>
      </c>
      <c r="AM17">
        <f t="shared" si="0"/>
        <v>2026</v>
      </c>
      <c r="AN17">
        <f t="shared" si="1"/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Kc</cp:lastModifiedBy>
  <dcterms:created xsi:type="dcterms:W3CDTF">2026-09-08T06:58:00Z</dcterms:created>
  <dcterms:modified xsi:type="dcterms:W3CDTF">2026-09-09T01:31:23Z</dcterms:modified>
</cp:coreProperties>
</file>