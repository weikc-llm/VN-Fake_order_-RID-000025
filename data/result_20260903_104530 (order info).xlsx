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esktop\Adhoc\03 Sept 2026\"/>
    </mc:Choice>
  </mc:AlternateContent>
  <xr:revisionPtr revIDLastSave="0" documentId="13_ncr:28001_{E3093765-BD23-4A18-A012-021A8C49F8CF}" xr6:coauthVersionLast="47" xr6:coauthVersionMax="47" xr10:uidLastSave="{00000000-0000-0000-0000-000000000000}"/>
  <bookViews>
    <workbookView xWindow="-108" yWindow="-108" windowWidth="23256" windowHeight="12456" activeTab="3" xr2:uid="{00000000-000D-0000-FFFF-FFFF00000000}"/>
  </bookViews>
  <sheets>
    <sheet name="Results export" sheetId="1" r:id="rId1"/>
    <sheet name="Pivot" sheetId="3" r:id="rId2"/>
    <sheet name="unique add" sheetId="2" r:id="rId3"/>
    <sheet name="order status" sheetId="7" r:id="rId4"/>
  </sheets>
  <definedNames>
    <definedName name="_xlnm._FilterDatabase" localSheetId="0" hidden="1">'Results export'!$A$1:$AD$1637</definedName>
    <definedName name="_xlnm._FilterDatabase" localSheetId="2" hidden="1">'unique add'!$A$1:$D$1636</definedName>
  </definedNames>
  <calcPr calcId="191029"/>
  <pivotCaches>
    <pivotCache cacheId="123" r:id="rId5"/>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2" i="1"/>
  <c r="AC3" i="1"/>
  <c r="AD3" i="1" s="1" a="1"/>
  <c r="AD3" i="1" s="1"/>
  <c r="AC4" i="1"/>
  <c r="AD4" i="1" s="1" a="1"/>
  <c r="AD4" i="1" s="1"/>
  <c r="AC5" i="1"/>
  <c r="AD5" i="1" s="1" a="1"/>
  <c r="AD5" i="1" s="1"/>
  <c r="AC6" i="1"/>
  <c r="AD6" i="1" s="1" a="1"/>
  <c r="AD6" i="1" s="1"/>
  <c r="AC7" i="1"/>
  <c r="AD7" i="1" s="1" a="1"/>
  <c r="AD7" i="1" s="1"/>
  <c r="AC8" i="1"/>
  <c r="AD8" i="1" s="1" a="1"/>
  <c r="AD8" i="1" s="1"/>
  <c r="AC9" i="1"/>
  <c r="AD9" i="1" s="1" a="1"/>
  <c r="AD9" i="1" s="1"/>
  <c r="AC10" i="1"/>
  <c r="AD10" i="1" s="1" a="1"/>
  <c r="AD10" i="1" s="1"/>
  <c r="AC11" i="1"/>
  <c r="AD11" i="1" s="1" a="1"/>
  <c r="AD11" i="1" s="1"/>
  <c r="AC12" i="1"/>
  <c r="AD12" i="1" s="1" a="1"/>
  <c r="AD12" i="1" s="1"/>
  <c r="AC13" i="1"/>
  <c r="AD13" i="1" s="1" a="1"/>
  <c r="AD13" i="1" s="1"/>
  <c r="AC14" i="1"/>
  <c r="AD14" i="1" s="1" a="1"/>
  <c r="AD14" i="1" s="1"/>
  <c r="AC15" i="1"/>
  <c r="AD15" i="1" s="1" a="1"/>
  <c r="AD15" i="1" s="1"/>
  <c r="AC16" i="1"/>
  <c r="AD16" i="1" s="1" a="1"/>
  <c r="AD16" i="1" s="1"/>
  <c r="AC17" i="1"/>
  <c r="AD17" i="1" s="1" a="1"/>
  <c r="AD17" i="1" s="1"/>
  <c r="AC18" i="1"/>
  <c r="AD18" i="1" s="1" a="1"/>
  <c r="AD18" i="1" s="1"/>
  <c r="AC19" i="1"/>
  <c r="AD19" i="1" s="1" a="1"/>
  <c r="AD19" i="1" s="1"/>
  <c r="AC20" i="1"/>
  <c r="AD20" i="1" s="1" a="1"/>
  <c r="AD20" i="1" s="1"/>
  <c r="AC21" i="1"/>
  <c r="AD21" i="1" s="1" a="1"/>
  <c r="AD21" i="1" s="1"/>
  <c r="AC22" i="1"/>
  <c r="AD22" i="1" s="1" a="1"/>
  <c r="AD22" i="1" s="1"/>
  <c r="AC23" i="1"/>
  <c r="AD23" i="1" s="1" a="1"/>
  <c r="AD23" i="1" s="1"/>
  <c r="AC24" i="1"/>
  <c r="AD24" i="1" s="1" a="1"/>
  <c r="AD24" i="1" s="1"/>
  <c r="AC25" i="1"/>
  <c r="AD25" i="1" s="1" a="1"/>
  <c r="AD25" i="1" s="1"/>
  <c r="AC26" i="1"/>
  <c r="AD26" i="1" s="1" a="1"/>
  <c r="AD26" i="1" s="1"/>
  <c r="AC27" i="1"/>
  <c r="AD27" i="1" s="1" a="1"/>
  <c r="AD27" i="1" s="1"/>
  <c r="AC28" i="1"/>
  <c r="AD28" i="1" s="1" a="1"/>
  <c r="AD28" i="1" s="1"/>
  <c r="AC29" i="1"/>
  <c r="AD29" i="1" s="1" a="1"/>
  <c r="AD29" i="1" s="1"/>
  <c r="AC30" i="1"/>
  <c r="AD30" i="1" s="1" a="1"/>
  <c r="AD30" i="1" s="1"/>
  <c r="AC31" i="1"/>
  <c r="AD31" i="1" s="1" a="1"/>
  <c r="AD31" i="1" s="1"/>
  <c r="AC32" i="1"/>
  <c r="AD32" i="1" s="1" a="1"/>
  <c r="AD32" i="1" s="1"/>
  <c r="AC33" i="1"/>
  <c r="AD33" i="1" s="1" a="1"/>
  <c r="AD33" i="1" s="1"/>
  <c r="AC34" i="1"/>
  <c r="AD34" i="1" s="1" a="1"/>
  <c r="AD34" i="1" s="1"/>
  <c r="AC35" i="1"/>
  <c r="AD35" i="1" s="1" a="1"/>
  <c r="AD35" i="1" s="1"/>
  <c r="AC36" i="1"/>
  <c r="AD36" i="1" s="1" a="1"/>
  <c r="AD36" i="1" s="1"/>
  <c r="AC37" i="1"/>
  <c r="AD37" i="1" s="1" a="1"/>
  <c r="AD37" i="1" s="1"/>
  <c r="AC38" i="1"/>
  <c r="AD38" i="1" s="1" a="1"/>
  <c r="AD38" i="1" s="1"/>
  <c r="AC39" i="1"/>
  <c r="AD39" i="1" s="1" a="1"/>
  <c r="AD39" i="1" s="1"/>
  <c r="AC40" i="1"/>
  <c r="AD40" i="1" s="1" a="1"/>
  <c r="AD40" i="1" s="1"/>
  <c r="AC41" i="1"/>
  <c r="AD41" i="1" s="1" a="1"/>
  <c r="AD41" i="1" s="1"/>
  <c r="AC42" i="1"/>
  <c r="AD42" i="1" s="1" a="1"/>
  <c r="AD42" i="1" s="1"/>
  <c r="AC43" i="1"/>
  <c r="AD43" i="1" s="1" a="1"/>
  <c r="AD43" i="1" s="1"/>
  <c r="AC44" i="1"/>
  <c r="AD44" i="1" s="1" a="1"/>
  <c r="AD44" i="1" s="1"/>
  <c r="AC45" i="1"/>
  <c r="AD45" i="1" s="1" a="1"/>
  <c r="AD45" i="1" s="1"/>
  <c r="AC46" i="1"/>
  <c r="AD46" i="1" s="1" a="1"/>
  <c r="AD46" i="1" s="1"/>
  <c r="AC47" i="1"/>
  <c r="AD47" i="1" s="1" a="1"/>
  <c r="AD47" i="1" s="1"/>
  <c r="AC48" i="1"/>
  <c r="AD48" i="1" s="1" a="1"/>
  <c r="AD48" i="1" s="1"/>
  <c r="AC49" i="1"/>
  <c r="AD49" i="1" s="1" a="1"/>
  <c r="AD49" i="1" s="1"/>
  <c r="AC50" i="1"/>
  <c r="AD50" i="1" s="1" a="1"/>
  <c r="AD50" i="1" s="1"/>
  <c r="AC51" i="1"/>
  <c r="AD51" i="1" s="1" a="1"/>
  <c r="AD51" i="1" s="1"/>
  <c r="AC52" i="1"/>
  <c r="AD52" i="1" s="1" a="1"/>
  <c r="AD52" i="1" s="1"/>
  <c r="AC53" i="1"/>
  <c r="AD53" i="1" s="1" a="1"/>
  <c r="AD53" i="1" s="1"/>
  <c r="AC54" i="1"/>
  <c r="AD54" i="1" s="1" a="1"/>
  <c r="AD54" i="1" s="1"/>
  <c r="AC55" i="1"/>
  <c r="AD55" i="1" s="1" a="1"/>
  <c r="AD55" i="1" s="1"/>
  <c r="AC56" i="1"/>
  <c r="AD56" i="1" s="1" a="1"/>
  <c r="AD56" i="1" s="1"/>
  <c r="AC57" i="1"/>
  <c r="AD57" i="1" s="1" a="1"/>
  <c r="AD57" i="1" s="1"/>
  <c r="AC58" i="1"/>
  <c r="AD58" i="1" s="1" a="1"/>
  <c r="AD58" i="1" s="1"/>
  <c r="AC59" i="1"/>
  <c r="AD59" i="1" s="1" a="1"/>
  <c r="AD59" i="1" s="1"/>
  <c r="AC60" i="1"/>
  <c r="AD60" i="1" s="1" a="1"/>
  <c r="AD60" i="1" s="1"/>
  <c r="AC61" i="1"/>
  <c r="AD61" i="1" s="1" a="1"/>
  <c r="AD61" i="1" s="1"/>
  <c r="AC62" i="1"/>
  <c r="AD62" i="1" s="1" a="1"/>
  <c r="AD62" i="1" s="1"/>
  <c r="AC63" i="1"/>
  <c r="AD63" i="1" s="1" a="1"/>
  <c r="AD63" i="1" s="1"/>
  <c r="AC64" i="1"/>
  <c r="AD64" i="1" s="1" a="1"/>
  <c r="AD64" i="1" s="1"/>
  <c r="AC65" i="1"/>
  <c r="AD65" i="1" s="1" a="1"/>
  <c r="AD65" i="1" s="1"/>
  <c r="AC66" i="1"/>
  <c r="AD66" i="1" s="1" a="1"/>
  <c r="AD66" i="1" s="1"/>
  <c r="AC67" i="1"/>
  <c r="AD67" i="1" s="1" a="1"/>
  <c r="AD67" i="1" s="1"/>
  <c r="AC68" i="1"/>
  <c r="AD68" i="1" s="1" a="1"/>
  <c r="AD68" i="1" s="1"/>
  <c r="AC69" i="1"/>
  <c r="AD69" i="1" s="1" a="1"/>
  <c r="AD69" i="1" s="1"/>
  <c r="AC70" i="1"/>
  <c r="AD70" i="1" s="1" a="1"/>
  <c r="AD70" i="1" s="1"/>
  <c r="AC71" i="1"/>
  <c r="AD71" i="1" s="1" a="1"/>
  <c r="AD71" i="1" s="1"/>
  <c r="AC72" i="1"/>
  <c r="AD72" i="1" s="1" a="1"/>
  <c r="AD72" i="1" s="1"/>
  <c r="AC73" i="1"/>
  <c r="AD73" i="1" s="1" a="1"/>
  <c r="AD73" i="1" s="1"/>
  <c r="AC74" i="1"/>
  <c r="AD74" i="1" s="1" a="1"/>
  <c r="AD74" i="1" s="1"/>
  <c r="AC75" i="1"/>
  <c r="AD75" i="1" s="1" a="1"/>
  <c r="AD75" i="1" s="1"/>
  <c r="AC76" i="1"/>
  <c r="AD76" i="1" s="1" a="1"/>
  <c r="AD76" i="1" s="1"/>
  <c r="AC77" i="1"/>
  <c r="AD77" i="1" s="1" a="1"/>
  <c r="AD77" i="1" s="1"/>
  <c r="AC78" i="1"/>
  <c r="AD78" i="1" s="1" a="1"/>
  <c r="AD78" i="1" s="1"/>
  <c r="AC79" i="1"/>
  <c r="AD79" i="1" s="1" a="1"/>
  <c r="AD79" i="1" s="1"/>
  <c r="AC80" i="1"/>
  <c r="AD80" i="1" s="1" a="1"/>
  <c r="AD80" i="1" s="1"/>
  <c r="AC81" i="1"/>
  <c r="AD81" i="1" s="1" a="1"/>
  <c r="AD81" i="1" s="1"/>
  <c r="AC82" i="1"/>
  <c r="AD82" i="1" s="1" a="1"/>
  <c r="AD82" i="1" s="1"/>
  <c r="AC83" i="1"/>
  <c r="AD83" i="1" s="1" a="1"/>
  <c r="AD83" i="1" s="1"/>
  <c r="AC84" i="1"/>
  <c r="AD84" i="1" s="1" a="1"/>
  <c r="AD84" i="1" s="1"/>
  <c r="AC85" i="1"/>
  <c r="AD85" i="1" s="1" a="1"/>
  <c r="AD85" i="1" s="1"/>
  <c r="AC86" i="1"/>
  <c r="AD86" i="1" s="1" a="1"/>
  <c r="AD86" i="1" s="1"/>
  <c r="AC87" i="1"/>
  <c r="AD87" i="1" s="1" a="1"/>
  <c r="AD87" i="1" s="1"/>
  <c r="AC88" i="1"/>
  <c r="AD88" i="1" s="1" a="1"/>
  <c r="AD88" i="1" s="1"/>
  <c r="AC89" i="1"/>
  <c r="AD89" i="1" s="1" a="1"/>
  <c r="AD89" i="1" s="1"/>
  <c r="AC90" i="1"/>
  <c r="AD90" i="1" s="1" a="1"/>
  <c r="AD90" i="1" s="1"/>
  <c r="AC91" i="1"/>
  <c r="AD91" i="1" s="1" a="1"/>
  <c r="AD91" i="1" s="1"/>
  <c r="AC92" i="1"/>
  <c r="AD92" i="1" s="1" a="1"/>
  <c r="AD92" i="1" s="1"/>
  <c r="AC93" i="1"/>
  <c r="AD93" i="1" s="1" a="1"/>
  <c r="AD93" i="1" s="1"/>
  <c r="AC94" i="1"/>
  <c r="AD94" i="1" s="1" a="1"/>
  <c r="AD94" i="1" s="1"/>
  <c r="AC95" i="1"/>
  <c r="AD95" i="1" s="1" a="1"/>
  <c r="AD95" i="1" s="1"/>
  <c r="AC96" i="1"/>
  <c r="AD96" i="1" s="1" a="1"/>
  <c r="AD96" i="1" s="1"/>
  <c r="AC97" i="1"/>
  <c r="AD97" i="1" s="1" a="1"/>
  <c r="AD97" i="1" s="1"/>
  <c r="AC98" i="1"/>
  <c r="AD98" i="1" s="1" a="1"/>
  <c r="AD98" i="1" s="1"/>
  <c r="AC99" i="1"/>
  <c r="AD99" i="1" s="1" a="1"/>
  <c r="AD99" i="1" s="1"/>
  <c r="AC100" i="1"/>
  <c r="AD100" i="1" s="1" a="1"/>
  <c r="AD100" i="1" s="1"/>
  <c r="AC101" i="1"/>
  <c r="AD101" i="1" s="1" a="1"/>
  <c r="AD101" i="1" s="1"/>
  <c r="AC102" i="1"/>
  <c r="AD102" i="1" s="1" a="1"/>
  <c r="AD102" i="1" s="1"/>
  <c r="AC103" i="1"/>
  <c r="AD103" i="1" s="1" a="1"/>
  <c r="AD103" i="1" s="1"/>
  <c r="AC104" i="1"/>
  <c r="AD104" i="1" s="1" a="1"/>
  <c r="AD104" i="1" s="1"/>
  <c r="AC105" i="1"/>
  <c r="AD105" i="1" s="1" a="1"/>
  <c r="AD105" i="1" s="1"/>
  <c r="AC106" i="1"/>
  <c r="AD106" i="1" s="1" a="1"/>
  <c r="AD106" i="1" s="1"/>
  <c r="AC107" i="1"/>
  <c r="AD107" i="1" s="1" a="1"/>
  <c r="AD107" i="1" s="1"/>
  <c r="AC108" i="1"/>
  <c r="AD108" i="1" s="1" a="1"/>
  <c r="AD108" i="1" s="1"/>
  <c r="AC109" i="1"/>
  <c r="AD109" i="1" s="1" a="1"/>
  <c r="AD109" i="1" s="1"/>
  <c r="AC110" i="1"/>
  <c r="AD110" i="1" s="1" a="1"/>
  <c r="AD110" i="1" s="1"/>
  <c r="AC111" i="1"/>
  <c r="AD111" i="1" s="1" a="1"/>
  <c r="AD111" i="1" s="1"/>
  <c r="AC112" i="1"/>
  <c r="AD112" i="1" s="1" a="1"/>
  <c r="AD112" i="1" s="1"/>
  <c r="AC113" i="1"/>
  <c r="AD113" i="1" s="1" a="1"/>
  <c r="AD113" i="1" s="1"/>
  <c r="AC114" i="1"/>
  <c r="AD114" i="1" s="1" a="1"/>
  <c r="AD114" i="1" s="1"/>
  <c r="AC115" i="1"/>
  <c r="AD115" i="1" s="1" a="1"/>
  <c r="AD115" i="1" s="1"/>
  <c r="AC116" i="1"/>
  <c r="AD116" i="1" s="1" a="1"/>
  <c r="AD116" i="1" s="1"/>
  <c r="AC117" i="1"/>
  <c r="AD117" i="1" s="1" a="1"/>
  <c r="AD117" i="1" s="1"/>
  <c r="AC118" i="1"/>
  <c r="AD118" i="1" s="1" a="1"/>
  <c r="AD118" i="1" s="1"/>
  <c r="AC119" i="1"/>
  <c r="AD119" i="1" s="1" a="1"/>
  <c r="AD119" i="1" s="1"/>
  <c r="AC120" i="1"/>
  <c r="AD120" i="1" s="1" a="1"/>
  <c r="AD120" i="1" s="1"/>
  <c r="AC121" i="1"/>
  <c r="AD121" i="1" s="1" a="1"/>
  <c r="AD121" i="1" s="1"/>
  <c r="AC122" i="1"/>
  <c r="AD122" i="1" s="1" a="1"/>
  <c r="AD122" i="1" s="1"/>
  <c r="AC123" i="1"/>
  <c r="AD123" i="1" s="1" a="1"/>
  <c r="AD123" i="1" s="1"/>
  <c r="AC124" i="1"/>
  <c r="AD124" i="1" s="1" a="1"/>
  <c r="AD124" i="1" s="1"/>
  <c r="AC125" i="1"/>
  <c r="AD125" i="1" s="1" a="1"/>
  <c r="AD125" i="1" s="1"/>
  <c r="AC126" i="1"/>
  <c r="AD126" i="1" s="1" a="1"/>
  <c r="AD126" i="1" s="1"/>
  <c r="AC127" i="1"/>
  <c r="AD127" i="1" s="1" a="1"/>
  <c r="AD127" i="1" s="1"/>
  <c r="AC128" i="1"/>
  <c r="AD128" i="1" s="1" a="1"/>
  <c r="AD128" i="1" s="1"/>
  <c r="AC129" i="1"/>
  <c r="AD129" i="1" s="1" a="1"/>
  <c r="AD129" i="1" s="1"/>
  <c r="AC130" i="1"/>
  <c r="AD130" i="1" s="1" a="1"/>
  <c r="AD130" i="1" s="1"/>
  <c r="AC131" i="1"/>
  <c r="AD131" i="1" s="1" a="1"/>
  <c r="AD131" i="1" s="1"/>
  <c r="AC132" i="1"/>
  <c r="AD132" i="1" s="1" a="1"/>
  <c r="AD132" i="1" s="1"/>
  <c r="AC133" i="1"/>
  <c r="AD133" i="1" s="1" a="1"/>
  <c r="AD133" i="1" s="1"/>
  <c r="AC134" i="1"/>
  <c r="AD134" i="1" s="1" a="1"/>
  <c r="AD134" i="1" s="1"/>
  <c r="AC135" i="1"/>
  <c r="AD135" i="1" s="1" a="1"/>
  <c r="AD135" i="1" s="1"/>
  <c r="AC136" i="1"/>
  <c r="AD136" i="1" s="1" a="1"/>
  <c r="AD136" i="1" s="1"/>
  <c r="AC137" i="1"/>
  <c r="AD137" i="1" s="1" a="1"/>
  <c r="AD137" i="1" s="1"/>
  <c r="AC138" i="1"/>
  <c r="AD138" i="1" s="1" a="1"/>
  <c r="AD138" i="1" s="1"/>
  <c r="AC139" i="1"/>
  <c r="AD139" i="1" s="1" a="1"/>
  <c r="AD139" i="1" s="1"/>
  <c r="AC140" i="1"/>
  <c r="AD140" i="1" s="1" a="1"/>
  <c r="AD140" i="1" s="1"/>
  <c r="AC141" i="1"/>
  <c r="AD141" i="1" s="1" a="1"/>
  <c r="AD141" i="1" s="1"/>
  <c r="AC142" i="1"/>
  <c r="AD142" i="1" s="1" a="1"/>
  <c r="AD142" i="1" s="1"/>
  <c r="AC143" i="1"/>
  <c r="AD143" i="1" s="1" a="1"/>
  <c r="AD143" i="1" s="1"/>
  <c r="AC144" i="1"/>
  <c r="AD144" i="1" s="1" a="1"/>
  <c r="AD144" i="1" s="1"/>
  <c r="AC145" i="1"/>
  <c r="AD145" i="1" s="1" a="1"/>
  <c r="AD145" i="1" s="1"/>
  <c r="AC146" i="1"/>
  <c r="AD146" i="1" s="1" a="1"/>
  <c r="AD146" i="1" s="1"/>
  <c r="AC147" i="1"/>
  <c r="AD147" i="1" s="1" a="1"/>
  <c r="AD147" i="1" s="1"/>
  <c r="AC148" i="1"/>
  <c r="AD148" i="1" s="1" a="1"/>
  <c r="AD148" i="1" s="1"/>
  <c r="AC149" i="1"/>
  <c r="AD149" i="1" s="1" a="1"/>
  <c r="AD149" i="1" s="1"/>
  <c r="AC150" i="1"/>
  <c r="AD150" i="1" s="1" a="1"/>
  <c r="AD150" i="1" s="1"/>
  <c r="AC151" i="1"/>
  <c r="AD151" i="1" s="1" a="1"/>
  <c r="AD151" i="1" s="1"/>
  <c r="AC152" i="1"/>
  <c r="AD152" i="1" s="1" a="1"/>
  <c r="AD152" i="1" s="1"/>
  <c r="AC153" i="1"/>
  <c r="AD153" i="1" s="1" a="1"/>
  <c r="AD153" i="1" s="1"/>
  <c r="AC154" i="1"/>
  <c r="AD154" i="1" s="1" a="1"/>
  <c r="AD154" i="1" s="1"/>
  <c r="AC155" i="1"/>
  <c r="AD155" i="1" s="1" a="1"/>
  <c r="AD155" i="1" s="1"/>
  <c r="AC156" i="1"/>
  <c r="AD156" i="1" s="1" a="1"/>
  <c r="AD156" i="1" s="1"/>
  <c r="AC157" i="1"/>
  <c r="AD157" i="1" s="1" a="1"/>
  <c r="AD157" i="1" s="1"/>
  <c r="AC158" i="1"/>
  <c r="AD158" i="1" s="1" a="1"/>
  <c r="AD158" i="1" s="1"/>
  <c r="AC159" i="1"/>
  <c r="AD159" i="1" s="1" a="1"/>
  <c r="AD159" i="1" s="1"/>
  <c r="AC160" i="1"/>
  <c r="AD160" i="1" s="1" a="1"/>
  <c r="AD160" i="1" s="1"/>
  <c r="AC161" i="1"/>
  <c r="AD161" i="1" s="1" a="1"/>
  <c r="AD161" i="1" s="1"/>
  <c r="AC162" i="1"/>
  <c r="AD162" i="1" s="1" a="1"/>
  <c r="AD162" i="1" s="1"/>
  <c r="AC163" i="1"/>
  <c r="AD163" i="1" s="1" a="1"/>
  <c r="AD163" i="1" s="1"/>
  <c r="AC164" i="1"/>
  <c r="AD164" i="1" s="1" a="1"/>
  <c r="AD164" i="1" s="1"/>
  <c r="AC165" i="1"/>
  <c r="AD165" i="1" s="1" a="1"/>
  <c r="AD165" i="1" s="1"/>
  <c r="AC166" i="1"/>
  <c r="AD166" i="1" s="1" a="1"/>
  <c r="AD166" i="1" s="1"/>
  <c r="AC167" i="1"/>
  <c r="AD167" i="1" s="1" a="1"/>
  <c r="AD167" i="1" s="1"/>
  <c r="AC168" i="1"/>
  <c r="AD168" i="1" s="1" a="1"/>
  <c r="AD168" i="1" s="1"/>
  <c r="AC169" i="1"/>
  <c r="AD169" i="1" s="1" a="1"/>
  <c r="AD169" i="1" s="1"/>
  <c r="AC170" i="1"/>
  <c r="AD170" i="1" s="1" a="1"/>
  <c r="AD170" i="1" s="1"/>
  <c r="AC171" i="1"/>
  <c r="AD171" i="1" s="1" a="1"/>
  <c r="AD171" i="1" s="1"/>
  <c r="AC172" i="1"/>
  <c r="AD172" i="1" s="1" a="1"/>
  <c r="AD172" i="1" s="1"/>
  <c r="AC173" i="1"/>
  <c r="AD173" i="1" s="1" a="1"/>
  <c r="AD173" i="1" s="1"/>
  <c r="AC174" i="1"/>
  <c r="AD174" i="1" s="1" a="1"/>
  <c r="AD174" i="1" s="1"/>
  <c r="AC175" i="1"/>
  <c r="AD175" i="1" s="1" a="1"/>
  <c r="AD175" i="1" s="1"/>
  <c r="AC176" i="1"/>
  <c r="AD176" i="1" s="1" a="1"/>
  <c r="AD176" i="1" s="1"/>
  <c r="AC177" i="1"/>
  <c r="AD177" i="1" s="1" a="1"/>
  <c r="AD177" i="1" s="1"/>
  <c r="AC178" i="1"/>
  <c r="AD178" i="1" s="1" a="1"/>
  <c r="AD178" i="1" s="1"/>
  <c r="AC179" i="1"/>
  <c r="AD179" i="1" s="1" a="1"/>
  <c r="AD179" i="1" s="1"/>
  <c r="AC180" i="1"/>
  <c r="AD180" i="1" s="1" a="1"/>
  <c r="AD180" i="1" s="1"/>
  <c r="AC181" i="1"/>
  <c r="AD181" i="1" s="1" a="1"/>
  <c r="AD181" i="1" s="1"/>
  <c r="AC182" i="1"/>
  <c r="AD182" i="1" s="1" a="1"/>
  <c r="AD182" i="1" s="1"/>
  <c r="AC183" i="1"/>
  <c r="AD183" i="1" s="1" a="1"/>
  <c r="AD183" i="1" s="1"/>
  <c r="AC184" i="1"/>
  <c r="AD184" i="1" s="1" a="1"/>
  <c r="AD184" i="1" s="1"/>
  <c r="AC185" i="1"/>
  <c r="AD185" i="1" s="1" a="1"/>
  <c r="AD185" i="1" s="1"/>
  <c r="AC186" i="1"/>
  <c r="AD186" i="1" s="1" a="1"/>
  <c r="AD186" i="1" s="1"/>
  <c r="AC187" i="1"/>
  <c r="AD187" i="1" s="1" a="1"/>
  <c r="AD187" i="1" s="1"/>
  <c r="AC188" i="1"/>
  <c r="AD188" i="1" s="1" a="1"/>
  <c r="AD188" i="1" s="1"/>
  <c r="AC189" i="1"/>
  <c r="AD189" i="1" s="1" a="1"/>
  <c r="AD189" i="1" s="1"/>
  <c r="AC190" i="1"/>
  <c r="AD190" i="1" s="1" a="1"/>
  <c r="AD190" i="1" s="1"/>
  <c r="AC191" i="1"/>
  <c r="AD191" i="1" s="1" a="1"/>
  <c r="AD191" i="1" s="1"/>
  <c r="AC192" i="1"/>
  <c r="AD192" i="1" s="1" a="1"/>
  <c r="AD192" i="1" s="1"/>
  <c r="AC193" i="1"/>
  <c r="AD193" i="1" s="1" a="1"/>
  <c r="AD193" i="1" s="1"/>
  <c r="AC194" i="1"/>
  <c r="AD194" i="1" s="1" a="1"/>
  <c r="AD194" i="1" s="1"/>
  <c r="AC195" i="1"/>
  <c r="AD195" i="1" s="1" a="1"/>
  <c r="AD195" i="1" s="1"/>
  <c r="AC196" i="1"/>
  <c r="AD196" i="1" s="1" a="1"/>
  <c r="AD196" i="1" s="1"/>
  <c r="AC197" i="1"/>
  <c r="AD197" i="1" s="1" a="1"/>
  <c r="AD197" i="1" s="1"/>
  <c r="AC198" i="1"/>
  <c r="AD198" i="1" s="1" a="1"/>
  <c r="AD198" i="1" s="1"/>
  <c r="AC199" i="1"/>
  <c r="AD199" i="1" s="1" a="1"/>
  <c r="AD199" i="1" s="1"/>
  <c r="AC200" i="1"/>
  <c r="AD200" i="1" s="1" a="1"/>
  <c r="AD200" i="1" s="1"/>
  <c r="AC201" i="1"/>
  <c r="AD201" i="1" s="1" a="1"/>
  <c r="AD201" i="1" s="1"/>
  <c r="AC202" i="1"/>
  <c r="AD202" i="1" s="1" a="1"/>
  <c r="AD202" i="1" s="1"/>
  <c r="AC203" i="1"/>
  <c r="AD203" i="1" s="1" a="1"/>
  <c r="AD203" i="1" s="1"/>
  <c r="AC204" i="1"/>
  <c r="AD204" i="1" s="1" a="1"/>
  <c r="AD204" i="1" s="1"/>
  <c r="AC205" i="1"/>
  <c r="AD205" i="1" s="1" a="1"/>
  <c r="AD205" i="1" s="1"/>
  <c r="AC206" i="1"/>
  <c r="AD206" i="1" s="1" a="1"/>
  <c r="AD206" i="1" s="1"/>
  <c r="AC207" i="1"/>
  <c r="AD207" i="1" s="1" a="1"/>
  <c r="AD207" i="1" s="1"/>
  <c r="AC208" i="1"/>
  <c r="AD208" i="1" s="1" a="1"/>
  <c r="AD208" i="1" s="1"/>
  <c r="AC209" i="1"/>
  <c r="AD209" i="1" s="1" a="1"/>
  <c r="AD209" i="1" s="1"/>
  <c r="AC210" i="1"/>
  <c r="AD210" i="1" s="1" a="1"/>
  <c r="AD210" i="1" s="1"/>
  <c r="AC211" i="1"/>
  <c r="AD211" i="1" s="1" a="1"/>
  <c r="AD211" i="1" s="1"/>
  <c r="AC212" i="1"/>
  <c r="AD212" i="1" s="1" a="1"/>
  <c r="AD212" i="1" s="1"/>
  <c r="AC213" i="1"/>
  <c r="AD213" i="1" s="1" a="1"/>
  <c r="AD213" i="1" s="1"/>
  <c r="AC214" i="1"/>
  <c r="AD214" i="1" s="1" a="1"/>
  <c r="AD214" i="1" s="1"/>
  <c r="AC215" i="1"/>
  <c r="AD215" i="1" s="1" a="1"/>
  <c r="AD215" i="1" s="1"/>
  <c r="AC216" i="1"/>
  <c r="AD216" i="1" s="1" a="1"/>
  <c r="AD216" i="1" s="1"/>
  <c r="AC217" i="1"/>
  <c r="AD217" i="1" s="1" a="1"/>
  <c r="AD217" i="1" s="1"/>
  <c r="AC218" i="1"/>
  <c r="AD218" i="1" s="1" a="1"/>
  <c r="AD218" i="1" s="1"/>
  <c r="AC219" i="1"/>
  <c r="AD219" i="1" s="1" a="1"/>
  <c r="AD219" i="1" s="1"/>
  <c r="AC220" i="1"/>
  <c r="AD220" i="1" s="1" a="1"/>
  <c r="AD220" i="1" s="1"/>
  <c r="AC221" i="1"/>
  <c r="AD221" i="1" s="1" a="1"/>
  <c r="AD221" i="1" s="1"/>
  <c r="AC222" i="1"/>
  <c r="AD222" i="1" s="1" a="1"/>
  <c r="AD222" i="1" s="1"/>
  <c r="AC223" i="1"/>
  <c r="AD223" i="1" s="1" a="1"/>
  <c r="AD223" i="1" s="1"/>
  <c r="AC224" i="1"/>
  <c r="AD224" i="1" s="1" a="1"/>
  <c r="AD224" i="1" s="1"/>
  <c r="AC225" i="1"/>
  <c r="AD225" i="1" s="1" a="1"/>
  <c r="AD225" i="1" s="1"/>
  <c r="AC226" i="1"/>
  <c r="AD226" i="1" s="1" a="1"/>
  <c r="AD226" i="1" s="1"/>
  <c r="AC227" i="1"/>
  <c r="AD227" i="1" s="1" a="1"/>
  <c r="AD227" i="1" s="1"/>
  <c r="AC228" i="1"/>
  <c r="AD228" i="1" s="1" a="1"/>
  <c r="AD228" i="1" s="1"/>
  <c r="AC229" i="1"/>
  <c r="AD229" i="1" s="1" a="1"/>
  <c r="AD229" i="1" s="1"/>
  <c r="AC230" i="1"/>
  <c r="AD230" i="1" s="1" a="1"/>
  <c r="AD230" i="1" s="1"/>
  <c r="AC231" i="1"/>
  <c r="AD231" i="1" s="1" a="1"/>
  <c r="AD231" i="1" s="1"/>
  <c r="AC232" i="1"/>
  <c r="AD232" i="1" s="1" a="1"/>
  <c r="AD232" i="1" s="1"/>
  <c r="AC233" i="1"/>
  <c r="AD233" i="1" s="1" a="1"/>
  <c r="AD233" i="1" s="1"/>
  <c r="AC234" i="1"/>
  <c r="AD234" i="1" s="1" a="1"/>
  <c r="AD234" i="1" s="1"/>
  <c r="AC235" i="1"/>
  <c r="AD235" i="1" s="1" a="1"/>
  <c r="AD235" i="1" s="1"/>
  <c r="AC236" i="1"/>
  <c r="AD236" i="1" s="1" a="1"/>
  <c r="AD236" i="1" s="1"/>
  <c r="AC237" i="1"/>
  <c r="AD237" i="1" s="1" a="1"/>
  <c r="AD237" i="1" s="1"/>
  <c r="AC238" i="1"/>
  <c r="AD238" i="1" s="1" a="1"/>
  <c r="AD238" i="1" s="1"/>
  <c r="AC239" i="1"/>
  <c r="AD239" i="1" s="1" a="1"/>
  <c r="AD239" i="1" s="1"/>
  <c r="AC240" i="1"/>
  <c r="AD240" i="1" s="1" a="1"/>
  <c r="AD240" i="1" s="1"/>
  <c r="AC241" i="1"/>
  <c r="AD241" i="1" s="1" a="1"/>
  <c r="AD241" i="1" s="1"/>
  <c r="AC242" i="1"/>
  <c r="AD242" i="1" s="1" a="1"/>
  <c r="AD242" i="1" s="1"/>
  <c r="AC243" i="1"/>
  <c r="AD243" i="1" s="1" a="1"/>
  <c r="AD243" i="1" s="1"/>
  <c r="AC244" i="1"/>
  <c r="AD244" i="1" s="1" a="1"/>
  <c r="AD244" i="1" s="1"/>
  <c r="AC245" i="1"/>
  <c r="AD245" i="1" s="1" a="1"/>
  <c r="AD245" i="1" s="1"/>
  <c r="AC246" i="1"/>
  <c r="AD246" i="1" s="1" a="1"/>
  <c r="AD246" i="1" s="1"/>
  <c r="AC247" i="1"/>
  <c r="AD247" i="1" s="1" a="1"/>
  <c r="AD247" i="1" s="1"/>
  <c r="AC248" i="1"/>
  <c r="AD248" i="1" s="1" a="1"/>
  <c r="AD248" i="1" s="1"/>
  <c r="AC249" i="1"/>
  <c r="AD249" i="1" s="1" a="1"/>
  <c r="AD249" i="1" s="1"/>
  <c r="AC250" i="1"/>
  <c r="AD250" i="1" s="1" a="1"/>
  <c r="AD250" i="1" s="1"/>
  <c r="AC251" i="1"/>
  <c r="AD251" i="1" s="1" a="1"/>
  <c r="AD251" i="1" s="1"/>
  <c r="AC252" i="1"/>
  <c r="AD252" i="1" s="1" a="1"/>
  <c r="AD252" i="1" s="1"/>
  <c r="AC253" i="1"/>
  <c r="AD253" i="1" s="1" a="1"/>
  <c r="AD253" i="1" s="1"/>
  <c r="AC254" i="1"/>
  <c r="AD254" i="1" s="1" a="1"/>
  <c r="AD254" i="1" s="1"/>
  <c r="AC255" i="1"/>
  <c r="AD255" i="1" s="1" a="1"/>
  <c r="AD255" i="1" s="1"/>
  <c r="AC256" i="1"/>
  <c r="AD256" i="1" s="1" a="1"/>
  <c r="AD256" i="1" s="1"/>
  <c r="AC257" i="1"/>
  <c r="AD257" i="1" s="1" a="1"/>
  <c r="AD257" i="1" s="1"/>
  <c r="AC258" i="1"/>
  <c r="AD258" i="1" s="1" a="1"/>
  <c r="AD258" i="1" s="1"/>
  <c r="AC259" i="1"/>
  <c r="AD259" i="1" s="1" a="1"/>
  <c r="AD259" i="1" s="1"/>
  <c r="AC260" i="1"/>
  <c r="AD260" i="1" s="1" a="1"/>
  <c r="AD260" i="1" s="1"/>
  <c r="AC261" i="1"/>
  <c r="AD261" i="1" s="1" a="1"/>
  <c r="AD261" i="1" s="1"/>
  <c r="AC262" i="1"/>
  <c r="AD262" i="1" s="1" a="1"/>
  <c r="AD262" i="1" s="1"/>
  <c r="AC263" i="1"/>
  <c r="AD263" i="1" s="1" a="1"/>
  <c r="AD263" i="1" s="1"/>
  <c r="AC264" i="1"/>
  <c r="AD264" i="1" s="1" a="1"/>
  <c r="AD264" i="1" s="1"/>
  <c r="AC265" i="1"/>
  <c r="AD265" i="1" s="1" a="1"/>
  <c r="AD265" i="1" s="1"/>
  <c r="AC266" i="1"/>
  <c r="AD266" i="1" s="1" a="1"/>
  <c r="AD266" i="1" s="1"/>
  <c r="AC267" i="1"/>
  <c r="AD267" i="1" s="1" a="1"/>
  <c r="AD267" i="1" s="1"/>
  <c r="AC268" i="1"/>
  <c r="AD268" i="1" s="1" a="1"/>
  <c r="AD268" i="1" s="1"/>
  <c r="AC269" i="1"/>
  <c r="AD269" i="1" s="1" a="1"/>
  <c r="AD269" i="1" s="1"/>
  <c r="AC270" i="1"/>
  <c r="AD270" i="1" s="1" a="1"/>
  <c r="AD270" i="1" s="1"/>
  <c r="AC271" i="1"/>
  <c r="AD271" i="1" s="1" a="1"/>
  <c r="AD271" i="1" s="1"/>
  <c r="AC272" i="1"/>
  <c r="AD272" i="1" s="1" a="1"/>
  <c r="AD272" i="1" s="1"/>
  <c r="AC273" i="1"/>
  <c r="AD273" i="1" s="1" a="1"/>
  <c r="AD273" i="1" s="1"/>
  <c r="AC274" i="1"/>
  <c r="AD274" i="1" s="1" a="1"/>
  <c r="AD274" i="1" s="1"/>
  <c r="AC275" i="1"/>
  <c r="AD275" i="1" s="1" a="1"/>
  <c r="AD275" i="1" s="1"/>
  <c r="AC276" i="1"/>
  <c r="AD276" i="1" s="1" a="1"/>
  <c r="AD276" i="1" s="1"/>
  <c r="AC277" i="1"/>
  <c r="AD277" i="1" s="1" a="1"/>
  <c r="AD277" i="1" s="1"/>
  <c r="AC278" i="1"/>
  <c r="AD278" i="1" s="1" a="1"/>
  <c r="AD278" i="1" s="1"/>
  <c r="AC279" i="1"/>
  <c r="AD279" i="1" s="1" a="1"/>
  <c r="AD279" i="1" s="1"/>
  <c r="AC280" i="1"/>
  <c r="AD280" i="1" s="1" a="1"/>
  <c r="AD280" i="1" s="1"/>
  <c r="AC281" i="1"/>
  <c r="AD281" i="1" s="1" a="1"/>
  <c r="AD281" i="1" s="1"/>
  <c r="AC282" i="1"/>
  <c r="AD282" i="1" s="1" a="1"/>
  <c r="AD282" i="1" s="1"/>
  <c r="AC283" i="1"/>
  <c r="AD283" i="1" s="1" a="1"/>
  <c r="AD283" i="1" s="1"/>
  <c r="AC284" i="1"/>
  <c r="AD284" i="1" s="1" a="1"/>
  <c r="AD284" i="1" s="1"/>
  <c r="AC285" i="1"/>
  <c r="AD285" i="1" s="1" a="1"/>
  <c r="AD285" i="1" s="1"/>
  <c r="AC286" i="1"/>
  <c r="AD286" i="1" s="1" a="1"/>
  <c r="AD286" i="1" s="1"/>
  <c r="AC287" i="1"/>
  <c r="AD287" i="1" s="1" a="1"/>
  <c r="AD287" i="1" s="1"/>
  <c r="AC288" i="1"/>
  <c r="AD288" i="1" s="1" a="1"/>
  <c r="AD288" i="1" s="1"/>
  <c r="AC289" i="1"/>
  <c r="AD289" i="1" s="1" a="1"/>
  <c r="AD289" i="1" s="1"/>
  <c r="AC290" i="1"/>
  <c r="AD290" i="1" s="1" a="1"/>
  <c r="AD290" i="1" s="1"/>
  <c r="AC291" i="1"/>
  <c r="AD291" i="1" s="1" a="1"/>
  <c r="AD291" i="1" s="1"/>
  <c r="AC292" i="1"/>
  <c r="AD292" i="1" s="1" a="1"/>
  <c r="AD292" i="1" s="1"/>
  <c r="AC293" i="1"/>
  <c r="AD293" i="1" s="1" a="1"/>
  <c r="AD293" i="1" s="1"/>
  <c r="AC294" i="1"/>
  <c r="AD294" i="1" s="1" a="1"/>
  <c r="AD294" i="1" s="1"/>
  <c r="AC295" i="1"/>
  <c r="AD295" i="1" s="1" a="1"/>
  <c r="AD295" i="1" s="1"/>
  <c r="AC296" i="1"/>
  <c r="AD296" i="1" s="1" a="1"/>
  <c r="AD296" i="1" s="1"/>
  <c r="AC297" i="1"/>
  <c r="AD297" i="1" s="1" a="1"/>
  <c r="AD297" i="1" s="1"/>
  <c r="AC298" i="1"/>
  <c r="AD298" i="1" s="1" a="1"/>
  <c r="AD298" i="1" s="1"/>
  <c r="AC299" i="1"/>
  <c r="AD299" i="1" s="1" a="1"/>
  <c r="AD299" i="1" s="1"/>
  <c r="AC300" i="1"/>
  <c r="AD300" i="1" s="1" a="1"/>
  <c r="AD300" i="1" s="1"/>
  <c r="AC301" i="1"/>
  <c r="AD301" i="1" s="1" a="1"/>
  <c r="AD301" i="1" s="1"/>
  <c r="AC302" i="1"/>
  <c r="AD302" i="1" s="1" a="1"/>
  <c r="AD302" i="1" s="1"/>
  <c r="AC303" i="1"/>
  <c r="AD303" i="1" s="1" a="1"/>
  <c r="AD303" i="1" s="1"/>
  <c r="AC304" i="1"/>
  <c r="AD304" i="1" s="1" a="1"/>
  <c r="AD304" i="1" s="1"/>
  <c r="AC305" i="1"/>
  <c r="AD305" i="1" s="1" a="1"/>
  <c r="AD305" i="1" s="1"/>
  <c r="AC306" i="1"/>
  <c r="AD306" i="1" s="1" a="1"/>
  <c r="AD306" i="1" s="1"/>
  <c r="AC307" i="1"/>
  <c r="AD307" i="1" s="1" a="1"/>
  <c r="AD307" i="1" s="1"/>
  <c r="AC308" i="1"/>
  <c r="AD308" i="1" s="1" a="1"/>
  <c r="AD308" i="1" s="1"/>
  <c r="AC309" i="1"/>
  <c r="AD309" i="1" s="1" a="1"/>
  <c r="AD309" i="1" s="1"/>
  <c r="AC310" i="1"/>
  <c r="AD310" i="1" s="1" a="1"/>
  <c r="AD310" i="1" s="1"/>
  <c r="AC311" i="1"/>
  <c r="AD311" i="1" s="1" a="1"/>
  <c r="AD311" i="1" s="1"/>
  <c r="AC312" i="1"/>
  <c r="AD312" i="1" s="1" a="1"/>
  <c r="AD312" i="1" s="1"/>
  <c r="AC313" i="1"/>
  <c r="AD313" i="1" s="1" a="1"/>
  <c r="AD313" i="1" s="1"/>
  <c r="AC314" i="1"/>
  <c r="AD314" i="1" s="1" a="1"/>
  <c r="AD314" i="1" s="1"/>
  <c r="AC315" i="1"/>
  <c r="AD315" i="1" s="1" a="1"/>
  <c r="AD315" i="1" s="1"/>
  <c r="AC316" i="1"/>
  <c r="AD316" i="1" s="1" a="1"/>
  <c r="AD316" i="1" s="1"/>
  <c r="AC317" i="1"/>
  <c r="AD317" i="1" s="1" a="1"/>
  <c r="AD317" i="1" s="1"/>
  <c r="AC318" i="1"/>
  <c r="AD318" i="1" s="1" a="1"/>
  <c r="AD318" i="1" s="1"/>
  <c r="AC319" i="1"/>
  <c r="AD319" i="1" s="1" a="1"/>
  <c r="AD319" i="1" s="1"/>
  <c r="AC320" i="1"/>
  <c r="AD320" i="1" s="1" a="1"/>
  <c r="AD320" i="1" s="1"/>
  <c r="AC321" i="1"/>
  <c r="AD321" i="1" s="1" a="1"/>
  <c r="AD321" i="1" s="1"/>
  <c r="AC322" i="1"/>
  <c r="AD322" i="1" s="1" a="1"/>
  <c r="AD322" i="1" s="1"/>
  <c r="AC323" i="1"/>
  <c r="AD323" i="1" s="1" a="1"/>
  <c r="AD323" i="1" s="1"/>
  <c r="AC324" i="1"/>
  <c r="AD324" i="1" s="1" a="1"/>
  <c r="AD324" i="1" s="1"/>
  <c r="AC325" i="1"/>
  <c r="AD325" i="1" s="1" a="1"/>
  <c r="AD325" i="1" s="1"/>
  <c r="AC326" i="1"/>
  <c r="AD326" i="1" s="1" a="1"/>
  <c r="AD326" i="1" s="1"/>
  <c r="AC327" i="1"/>
  <c r="AD327" i="1" s="1" a="1"/>
  <c r="AD327" i="1" s="1"/>
  <c r="AC328" i="1"/>
  <c r="AD328" i="1" s="1" a="1"/>
  <c r="AD328" i="1" s="1"/>
  <c r="AC329" i="1"/>
  <c r="AD329" i="1" s="1" a="1"/>
  <c r="AD329" i="1" s="1"/>
  <c r="AC330" i="1"/>
  <c r="AD330" i="1" s="1" a="1"/>
  <c r="AD330" i="1" s="1"/>
  <c r="AC331" i="1"/>
  <c r="AD331" i="1" s="1" a="1"/>
  <c r="AD331" i="1" s="1"/>
  <c r="AC332" i="1"/>
  <c r="AD332" i="1" s="1" a="1"/>
  <c r="AD332" i="1" s="1"/>
  <c r="AC333" i="1"/>
  <c r="AD333" i="1" s="1" a="1"/>
  <c r="AD333" i="1" s="1"/>
  <c r="AC334" i="1"/>
  <c r="AD334" i="1" s="1" a="1"/>
  <c r="AD334" i="1" s="1"/>
  <c r="AC335" i="1"/>
  <c r="AD335" i="1" s="1" a="1"/>
  <c r="AD335" i="1" s="1"/>
  <c r="AC336" i="1"/>
  <c r="AD336" i="1" s="1" a="1"/>
  <c r="AD336" i="1" s="1"/>
  <c r="AC337" i="1"/>
  <c r="AD337" i="1" s="1" a="1"/>
  <c r="AD337" i="1" s="1"/>
  <c r="AC338" i="1"/>
  <c r="AD338" i="1" s="1" a="1"/>
  <c r="AD338" i="1" s="1"/>
  <c r="AC339" i="1"/>
  <c r="AD339" i="1" s="1" a="1"/>
  <c r="AD339" i="1" s="1"/>
  <c r="AC340" i="1"/>
  <c r="AD340" i="1" s="1" a="1"/>
  <c r="AD340" i="1" s="1"/>
  <c r="AC341" i="1"/>
  <c r="AD341" i="1" s="1" a="1"/>
  <c r="AD341" i="1" s="1"/>
  <c r="AC342" i="1"/>
  <c r="AD342" i="1" s="1" a="1"/>
  <c r="AD342" i="1" s="1"/>
  <c r="AC343" i="1"/>
  <c r="AD343" i="1" s="1" a="1"/>
  <c r="AD343" i="1" s="1"/>
  <c r="AC344" i="1"/>
  <c r="AD344" i="1" s="1" a="1"/>
  <c r="AD344" i="1" s="1"/>
  <c r="AC345" i="1"/>
  <c r="AD345" i="1" s="1" a="1"/>
  <c r="AD345" i="1" s="1"/>
  <c r="AC346" i="1"/>
  <c r="AD346" i="1" s="1" a="1"/>
  <c r="AD346" i="1" s="1"/>
  <c r="AC347" i="1"/>
  <c r="AD347" i="1" s="1" a="1"/>
  <c r="AD347" i="1" s="1"/>
  <c r="AC348" i="1"/>
  <c r="AD348" i="1" s="1" a="1"/>
  <c r="AD348" i="1" s="1"/>
  <c r="AC349" i="1"/>
  <c r="AD349" i="1" s="1" a="1"/>
  <c r="AD349" i="1" s="1"/>
  <c r="AC350" i="1"/>
  <c r="AD350" i="1" s="1" a="1"/>
  <c r="AD350" i="1" s="1"/>
  <c r="AC351" i="1"/>
  <c r="AD351" i="1" s="1" a="1"/>
  <c r="AD351" i="1" s="1"/>
  <c r="AC352" i="1"/>
  <c r="AD352" i="1" s="1" a="1"/>
  <c r="AD352" i="1" s="1"/>
  <c r="AC353" i="1"/>
  <c r="AD353" i="1" s="1" a="1"/>
  <c r="AD353" i="1" s="1"/>
  <c r="AC354" i="1"/>
  <c r="AD354" i="1" s="1" a="1"/>
  <c r="AD354" i="1" s="1"/>
  <c r="AC355" i="1"/>
  <c r="AD355" i="1" s="1" a="1"/>
  <c r="AD355" i="1" s="1"/>
  <c r="AC356" i="1"/>
  <c r="AD356" i="1" s="1" a="1"/>
  <c r="AD356" i="1" s="1"/>
  <c r="AC357" i="1"/>
  <c r="AD357" i="1" s="1" a="1"/>
  <c r="AD357" i="1" s="1"/>
  <c r="AC358" i="1"/>
  <c r="AD358" i="1" s="1" a="1"/>
  <c r="AD358" i="1" s="1"/>
  <c r="AC359" i="1"/>
  <c r="AD359" i="1" s="1" a="1"/>
  <c r="AD359" i="1" s="1"/>
  <c r="AC360" i="1"/>
  <c r="AD360" i="1" s="1" a="1"/>
  <c r="AD360" i="1" s="1"/>
  <c r="AC361" i="1"/>
  <c r="AD361" i="1" s="1" a="1"/>
  <c r="AD361" i="1" s="1"/>
  <c r="AC362" i="1"/>
  <c r="AD362" i="1" s="1" a="1"/>
  <c r="AD362" i="1" s="1"/>
  <c r="AC363" i="1"/>
  <c r="AD363" i="1" s="1" a="1"/>
  <c r="AD363" i="1" s="1"/>
  <c r="AC364" i="1"/>
  <c r="AD364" i="1" s="1" a="1"/>
  <c r="AD364" i="1" s="1"/>
  <c r="AC365" i="1"/>
  <c r="AD365" i="1" s="1" a="1"/>
  <c r="AD365" i="1" s="1"/>
  <c r="AC366" i="1"/>
  <c r="AD366" i="1" s="1" a="1"/>
  <c r="AD366" i="1" s="1"/>
  <c r="AC367" i="1"/>
  <c r="AD367" i="1" s="1" a="1"/>
  <c r="AD367" i="1" s="1"/>
  <c r="AC368" i="1"/>
  <c r="AD368" i="1" s="1" a="1"/>
  <c r="AD368" i="1" s="1"/>
  <c r="AC369" i="1"/>
  <c r="AD369" i="1" s="1" a="1"/>
  <c r="AD369" i="1" s="1"/>
  <c r="AC370" i="1"/>
  <c r="AD370" i="1" s="1" a="1"/>
  <c r="AD370" i="1" s="1"/>
  <c r="AC371" i="1"/>
  <c r="AD371" i="1" s="1" a="1"/>
  <c r="AD371" i="1" s="1"/>
  <c r="AC372" i="1"/>
  <c r="AD372" i="1" s="1" a="1"/>
  <c r="AD372" i="1" s="1"/>
  <c r="AC373" i="1"/>
  <c r="AD373" i="1" s="1" a="1"/>
  <c r="AD373" i="1" s="1"/>
  <c r="AC374" i="1"/>
  <c r="AD374" i="1" s="1" a="1"/>
  <c r="AD374" i="1" s="1"/>
  <c r="AC375" i="1"/>
  <c r="AD375" i="1" s="1" a="1"/>
  <c r="AD375" i="1" s="1"/>
  <c r="AC376" i="1"/>
  <c r="AD376" i="1" s="1" a="1"/>
  <c r="AD376" i="1" s="1"/>
  <c r="AC377" i="1"/>
  <c r="AD377" i="1" s="1" a="1"/>
  <c r="AD377" i="1" s="1"/>
  <c r="AC378" i="1"/>
  <c r="AD378" i="1" s="1" a="1"/>
  <c r="AD378" i="1" s="1"/>
  <c r="AC379" i="1"/>
  <c r="AD379" i="1" s="1" a="1"/>
  <c r="AD379" i="1" s="1"/>
  <c r="AC380" i="1"/>
  <c r="AD380" i="1" s="1" a="1"/>
  <c r="AD380" i="1" s="1"/>
  <c r="AC381" i="1"/>
  <c r="AD381" i="1" s="1" a="1"/>
  <c r="AD381" i="1" s="1"/>
  <c r="AC382" i="1"/>
  <c r="AD382" i="1" s="1" a="1"/>
  <c r="AD382" i="1" s="1"/>
  <c r="AC383" i="1"/>
  <c r="AD383" i="1" s="1" a="1"/>
  <c r="AD383" i="1" s="1"/>
  <c r="AC384" i="1"/>
  <c r="AD384" i="1" s="1" a="1"/>
  <c r="AD384" i="1" s="1"/>
  <c r="AC385" i="1"/>
  <c r="AD385" i="1" s="1" a="1"/>
  <c r="AD385" i="1" s="1"/>
  <c r="AC386" i="1"/>
  <c r="AD386" i="1" s="1" a="1"/>
  <c r="AD386" i="1" s="1"/>
  <c r="AC387" i="1"/>
  <c r="AD387" i="1" s="1" a="1"/>
  <c r="AD387" i="1" s="1"/>
  <c r="AC388" i="1"/>
  <c r="AD388" i="1" s="1" a="1"/>
  <c r="AD388" i="1" s="1"/>
  <c r="AC389" i="1"/>
  <c r="AD389" i="1" s="1" a="1"/>
  <c r="AD389" i="1" s="1"/>
  <c r="AC390" i="1"/>
  <c r="AD390" i="1" s="1" a="1"/>
  <c r="AD390" i="1" s="1"/>
  <c r="AC391" i="1"/>
  <c r="AD391" i="1" s="1" a="1"/>
  <c r="AD391" i="1" s="1"/>
  <c r="AC392" i="1"/>
  <c r="AD392" i="1" s="1" a="1"/>
  <c r="AD392" i="1" s="1"/>
  <c r="AC393" i="1"/>
  <c r="AD393" i="1" s="1" a="1"/>
  <c r="AD393" i="1" s="1"/>
  <c r="AC394" i="1"/>
  <c r="AD394" i="1" s="1" a="1"/>
  <c r="AD394" i="1" s="1"/>
  <c r="AC395" i="1"/>
  <c r="AD395" i="1" s="1" a="1"/>
  <c r="AD395" i="1" s="1"/>
  <c r="AC396" i="1"/>
  <c r="AD396" i="1" s="1" a="1"/>
  <c r="AD396" i="1" s="1"/>
  <c r="AC397" i="1"/>
  <c r="AD397" i="1" s="1" a="1"/>
  <c r="AD397" i="1" s="1"/>
  <c r="AC398" i="1"/>
  <c r="AD398" i="1" s="1" a="1"/>
  <c r="AD398" i="1" s="1"/>
  <c r="AC399" i="1"/>
  <c r="AD399" i="1" s="1" a="1"/>
  <c r="AD399" i="1" s="1"/>
  <c r="AC400" i="1"/>
  <c r="AD400" i="1" s="1" a="1"/>
  <c r="AD400" i="1" s="1"/>
  <c r="AC401" i="1"/>
  <c r="AD401" i="1" s="1" a="1"/>
  <c r="AD401" i="1" s="1"/>
  <c r="AC402" i="1"/>
  <c r="AD402" i="1" s="1" a="1"/>
  <c r="AD402" i="1" s="1"/>
  <c r="AC403" i="1"/>
  <c r="AD403" i="1" s="1" a="1"/>
  <c r="AD403" i="1" s="1"/>
  <c r="AC404" i="1"/>
  <c r="AD404" i="1" s="1" a="1"/>
  <c r="AD404" i="1" s="1"/>
  <c r="AC405" i="1"/>
  <c r="AD405" i="1" s="1" a="1"/>
  <c r="AD405" i="1" s="1"/>
  <c r="AC406" i="1"/>
  <c r="AD406" i="1" s="1" a="1"/>
  <c r="AD406" i="1" s="1"/>
  <c r="AC407" i="1"/>
  <c r="AD407" i="1" s="1" a="1"/>
  <c r="AD407" i="1" s="1"/>
  <c r="AC408" i="1"/>
  <c r="AD408" i="1" s="1" a="1"/>
  <c r="AD408" i="1" s="1"/>
  <c r="AC409" i="1"/>
  <c r="AD409" i="1" s="1" a="1"/>
  <c r="AD409" i="1" s="1"/>
  <c r="AC410" i="1"/>
  <c r="AD410" i="1" s="1" a="1"/>
  <c r="AD410" i="1" s="1"/>
  <c r="AC411" i="1"/>
  <c r="AD411" i="1" s="1" a="1"/>
  <c r="AD411" i="1" s="1"/>
  <c r="AC412" i="1"/>
  <c r="AD412" i="1" s="1" a="1"/>
  <c r="AD412" i="1" s="1"/>
  <c r="AC413" i="1"/>
  <c r="AD413" i="1" s="1" a="1"/>
  <c r="AD413" i="1" s="1"/>
  <c r="AC414" i="1"/>
  <c r="AD414" i="1" s="1" a="1"/>
  <c r="AD414" i="1" s="1"/>
  <c r="AC415" i="1"/>
  <c r="AD415" i="1" s="1" a="1"/>
  <c r="AD415" i="1" s="1"/>
  <c r="AC416" i="1"/>
  <c r="AD416" i="1" s="1" a="1"/>
  <c r="AD416" i="1" s="1"/>
  <c r="AC417" i="1"/>
  <c r="AD417" i="1" s="1" a="1"/>
  <c r="AD417" i="1" s="1"/>
  <c r="AC418" i="1"/>
  <c r="AD418" i="1" s="1" a="1"/>
  <c r="AD418" i="1" s="1"/>
  <c r="AC419" i="1"/>
  <c r="AD419" i="1" s="1" a="1"/>
  <c r="AD419" i="1" s="1"/>
  <c r="AC420" i="1"/>
  <c r="AD420" i="1" s="1" a="1"/>
  <c r="AD420" i="1" s="1"/>
  <c r="AC421" i="1"/>
  <c r="AD421" i="1" s="1" a="1"/>
  <c r="AD421" i="1" s="1"/>
  <c r="AC422" i="1"/>
  <c r="AD422" i="1" s="1" a="1"/>
  <c r="AD422" i="1" s="1"/>
  <c r="AC423" i="1"/>
  <c r="AD423" i="1" s="1" a="1"/>
  <c r="AD423" i="1" s="1"/>
  <c r="AC424" i="1"/>
  <c r="AD424" i="1" s="1" a="1"/>
  <c r="AD424" i="1" s="1"/>
  <c r="AC425" i="1"/>
  <c r="AD425" i="1" s="1" a="1"/>
  <c r="AD425" i="1" s="1"/>
  <c r="AC426" i="1"/>
  <c r="AD426" i="1" s="1" a="1"/>
  <c r="AD426" i="1" s="1"/>
  <c r="AC427" i="1"/>
  <c r="AD427" i="1" s="1" a="1"/>
  <c r="AD427" i="1" s="1"/>
  <c r="AC428" i="1"/>
  <c r="AD428" i="1" s="1" a="1"/>
  <c r="AD428" i="1" s="1"/>
  <c r="AC429" i="1"/>
  <c r="AD429" i="1" s="1" a="1"/>
  <c r="AD429" i="1" s="1"/>
  <c r="AC430" i="1"/>
  <c r="AD430" i="1" s="1" a="1"/>
  <c r="AD430" i="1" s="1"/>
  <c r="AC431" i="1"/>
  <c r="AD431" i="1" s="1" a="1"/>
  <c r="AD431" i="1" s="1"/>
  <c r="AC432" i="1"/>
  <c r="AD432" i="1" s="1" a="1"/>
  <c r="AD432" i="1" s="1"/>
  <c r="AC433" i="1"/>
  <c r="AD433" i="1" s="1" a="1"/>
  <c r="AD433" i="1" s="1"/>
  <c r="AC434" i="1"/>
  <c r="AD434" i="1" s="1" a="1"/>
  <c r="AD434" i="1" s="1"/>
  <c r="AC435" i="1"/>
  <c r="AD435" i="1" s="1" a="1"/>
  <c r="AD435" i="1" s="1"/>
  <c r="AC436" i="1"/>
  <c r="AD436" i="1" s="1" a="1"/>
  <c r="AD436" i="1" s="1"/>
  <c r="AC437" i="1"/>
  <c r="AD437" i="1" s="1" a="1"/>
  <c r="AD437" i="1" s="1"/>
  <c r="AC438" i="1"/>
  <c r="AD438" i="1" s="1" a="1"/>
  <c r="AD438" i="1" s="1"/>
  <c r="AC439" i="1"/>
  <c r="AD439" i="1" s="1" a="1"/>
  <c r="AD439" i="1" s="1"/>
  <c r="AC440" i="1"/>
  <c r="AD440" i="1" s="1" a="1"/>
  <c r="AD440" i="1" s="1"/>
  <c r="AC441" i="1"/>
  <c r="AD441" i="1" s="1" a="1"/>
  <c r="AD441" i="1" s="1"/>
  <c r="AC442" i="1"/>
  <c r="AD442" i="1" s="1" a="1"/>
  <c r="AD442" i="1" s="1"/>
  <c r="AC443" i="1"/>
  <c r="AD443" i="1" s="1" a="1"/>
  <c r="AD443" i="1" s="1"/>
  <c r="AC444" i="1"/>
  <c r="AD444" i="1" s="1" a="1"/>
  <c r="AD444" i="1" s="1"/>
  <c r="AC445" i="1"/>
  <c r="AD445" i="1" s="1" a="1"/>
  <c r="AD445" i="1" s="1"/>
  <c r="AC446" i="1"/>
  <c r="AD446" i="1" s="1" a="1"/>
  <c r="AD446" i="1" s="1"/>
  <c r="AC447" i="1"/>
  <c r="AD447" i="1" s="1" a="1"/>
  <c r="AD447" i="1" s="1"/>
  <c r="AC448" i="1"/>
  <c r="AD448" i="1" s="1" a="1"/>
  <c r="AD448" i="1" s="1"/>
  <c r="AC449" i="1"/>
  <c r="AD449" i="1" s="1" a="1"/>
  <c r="AD449" i="1" s="1"/>
  <c r="AC450" i="1"/>
  <c r="AD450" i="1" s="1" a="1"/>
  <c r="AD450" i="1" s="1"/>
  <c r="AC451" i="1"/>
  <c r="AD451" i="1" s="1" a="1"/>
  <c r="AD451" i="1" s="1"/>
  <c r="AC452" i="1"/>
  <c r="AD452" i="1" s="1" a="1"/>
  <c r="AD452" i="1" s="1"/>
  <c r="AC453" i="1"/>
  <c r="AD453" i="1" s="1" a="1"/>
  <c r="AD453" i="1" s="1"/>
  <c r="AC454" i="1"/>
  <c r="AD454" i="1" s="1" a="1"/>
  <c r="AD454" i="1" s="1"/>
  <c r="AC455" i="1"/>
  <c r="AD455" i="1" s="1" a="1"/>
  <c r="AD455" i="1" s="1"/>
  <c r="AC456" i="1"/>
  <c r="AD456" i="1" s="1" a="1"/>
  <c r="AD456" i="1" s="1"/>
  <c r="AC457" i="1"/>
  <c r="AD457" i="1" s="1" a="1"/>
  <c r="AD457" i="1" s="1"/>
  <c r="AC458" i="1"/>
  <c r="AD458" i="1" s="1" a="1"/>
  <c r="AD458" i="1" s="1"/>
  <c r="AC459" i="1"/>
  <c r="AD459" i="1" s="1" a="1"/>
  <c r="AD459" i="1" s="1"/>
  <c r="AC460" i="1"/>
  <c r="AD460" i="1" s="1" a="1"/>
  <c r="AD460" i="1" s="1"/>
  <c r="AC461" i="1"/>
  <c r="AD461" i="1" s="1" a="1"/>
  <c r="AD461" i="1" s="1"/>
  <c r="AC462" i="1"/>
  <c r="AD462" i="1" s="1" a="1"/>
  <c r="AD462" i="1" s="1"/>
  <c r="AC463" i="1"/>
  <c r="AD463" i="1" s="1" a="1"/>
  <c r="AD463" i="1" s="1"/>
  <c r="AC464" i="1"/>
  <c r="AD464" i="1" s="1" a="1"/>
  <c r="AD464" i="1" s="1"/>
  <c r="AC465" i="1"/>
  <c r="AD465" i="1" s="1" a="1"/>
  <c r="AD465" i="1" s="1"/>
  <c r="AC466" i="1"/>
  <c r="AD466" i="1" s="1" a="1"/>
  <c r="AD466" i="1" s="1"/>
  <c r="AC467" i="1"/>
  <c r="AD467" i="1" s="1" a="1"/>
  <c r="AD467" i="1" s="1"/>
  <c r="AC468" i="1"/>
  <c r="AD468" i="1" s="1" a="1"/>
  <c r="AD468" i="1" s="1"/>
  <c r="AC469" i="1"/>
  <c r="AD469" i="1" s="1" a="1"/>
  <c r="AD469" i="1" s="1"/>
  <c r="AC470" i="1"/>
  <c r="AD470" i="1" s="1" a="1"/>
  <c r="AD470" i="1" s="1"/>
  <c r="AC471" i="1"/>
  <c r="AD471" i="1" s="1" a="1"/>
  <c r="AD471" i="1" s="1"/>
  <c r="AC472" i="1"/>
  <c r="AD472" i="1" s="1" a="1"/>
  <c r="AD472" i="1" s="1"/>
  <c r="AC473" i="1"/>
  <c r="AD473" i="1" s="1" a="1"/>
  <c r="AD473" i="1" s="1"/>
  <c r="AC474" i="1"/>
  <c r="AD474" i="1" s="1" a="1"/>
  <c r="AD474" i="1" s="1"/>
  <c r="AC475" i="1"/>
  <c r="AD475" i="1" s="1" a="1"/>
  <c r="AD475" i="1" s="1"/>
  <c r="AC476" i="1"/>
  <c r="AD476" i="1" s="1" a="1"/>
  <c r="AD476" i="1" s="1"/>
  <c r="AC477" i="1"/>
  <c r="AD477" i="1" s="1" a="1"/>
  <c r="AD477" i="1" s="1"/>
  <c r="AC478" i="1"/>
  <c r="AD478" i="1" s="1" a="1"/>
  <c r="AD478" i="1" s="1"/>
  <c r="AC479" i="1"/>
  <c r="AD479" i="1" s="1" a="1"/>
  <c r="AD479" i="1" s="1"/>
  <c r="AC480" i="1"/>
  <c r="AD480" i="1" s="1" a="1"/>
  <c r="AD480" i="1" s="1"/>
  <c r="AC481" i="1"/>
  <c r="AD481" i="1" s="1" a="1"/>
  <c r="AD481" i="1" s="1"/>
  <c r="AC482" i="1"/>
  <c r="AD482" i="1" s="1" a="1"/>
  <c r="AD482" i="1" s="1"/>
  <c r="AC483" i="1"/>
  <c r="AD483" i="1" s="1" a="1"/>
  <c r="AD483" i="1" s="1"/>
  <c r="AC484" i="1"/>
  <c r="AD484" i="1" s="1" a="1"/>
  <c r="AD484" i="1" s="1"/>
  <c r="AC485" i="1"/>
  <c r="AD485" i="1" s="1" a="1"/>
  <c r="AD485" i="1" s="1"/>
  <c r="AC486" i="1"/>
  <c r="AD486" i="1" s="1" a="1"/>
  <c r="AD486" i="1" s="1"/>
  <c r="AC487" i="1"/>
  <c r="AD487" i="1" s="1" a="1"/>
  <c r="AD487" i="1" s="1"/>
  <c r="AC488" i="1"/>
  <c r="AD488" i="1" s="1" a="1"/>
  <c r="AD488" i="1" s="1"/>
  <c r="AC489" i="1"/>
  <c r="AD489" i="1" s="1" a="1"/>
  <c r="AD489" i="1" s="1"/>
  <c r="AC490" i="1"/>
  <c r="AD490" i="1" s="1" a="1"/>
  <c r="AD490" i="1" s="1"/>
  <c r="AC491" i="1"/>
  <c r="AD491" i="1" s="1" a="1"/>
  <c r="AD491" i="1" s="1"/>
  <c r="AC492" i="1"/>
  <c r="AD492" i="1" s="1" a="1"/>
  <c r="AD492" i="1" s="1"/>
  <c r="AC493" i="1"/>
  <c r="AD493" i="1" s="1" a="1"/>
  <c r="AD493" i="1" s="1"/>
  <c r="AC494" i="1"/>
  <c r="AD494" i="1" s="1" a="1"/>
  <c r="AD494" i="1" s="1"/>
  <c r="AC495" i="1"/>
  <c r="AD495" i="1" s="1" a="1"/>
  <c r="AD495" i="1" s="1"/>
  <c r="AC496" i="1"/>
  <c r="AD496" i="1" s="1" a="1"/>
  <c r="AD496" i="1" s="1"/>
  <c r="AC497" i="1"/>
  <c r="AD497" i="1" s="1" a="1"/>
  <c r="AD497" i="1" s="1"/>
  <c r="AC498" i="1"/>
  <c r="AD498" i="1" s="1" a="1"/>
  <c r="AD498" i="1" s="1"/>
  <c r="AC499" i="1"/>
  <c r="AD499" i="1" s="1" a="1"/>
  <c r="AD499" i="1" s="1"/>
  <c r="AC500" i="1"/>
  <c r="AD500" i="1" s="1" a="1"/>
  <c r="AD500" i="1" s="1"/>
  <c r="AC501" i="1"/>
  <c r="AD501" i="1" s="1" a="1"/>
  <c r="AD501" i="1" s="1"/>
  <c r="AC502" i="1"/>
  <c r="AD502" i="1" s="1" a="1"/>
  <c r="AD502" i="1" s="1"/>
  <c r="AC503" i="1"/>
  <c r="AD503" i="1" s="1" a="1"/>
  <c r="AD503" i="1" s="1"/>
  <c r="AC504" i="1"/>
  <c r="AD504" i="1" s="1" a="1"/>
  <c r="AD504" i="1" s="1"/>
  <c r="AC505" i="1"/>
  <c r="AD505" i="1" s="1" a="1"/>
  <c r="AD505" i="1" s="1"/>
  <c r="AC506" i="1"/>
  <c r="AD506" i="1" s="1" a="1"/>
  <c r="AD506" i="1" s="1"/>
  <c r="AC507" i="1"/>
  <c r="AD507" i="1" s="1" a="1"/>
  <c r="AD507" i="1" s="1"/>
  <c r="AC508" i="1"/>
  <c r="AD508" i="1" s="1" a="1"/>
  <c r="AD508" i="1" s="1"/>
  <c r="AC509" i="1"/>
  <c r="AD509" i="1" s="1" a="1"/>
  <c r="AD509" i="1" s="1"/>
  <c r="AC510" i="1"/>
  <c r="AD510" i="1" s="1" a="1"/>
  <c r="AD510" i="1" s="1"/>
  <c r="AC511" i="1"/>
  <c r="AD511" i="1" s="1" a="1"/>
  <c r="AD511" i="1" s="1"/>
  <c r="AC512" i="1"/>
  <c r="AD512" i="1" s="1" a="1"/>
  <c r="AD512" i="1" s="1"/>
  <c r="AC513" i="1"/>
  <c r="AD513" i="1" s="1" a="1"/>
  <c r="AD513" i="1" s="1"/>
  <c r="AC514" i="1"/>
  <c r="AD514" i="1" s="1" a="1"/>
  <c r="AD514" i="1" s="1"/>
  <c r="AC515" i="1"/>
  <c r="AD515" i="1" s="1" a="1"/>
  <c r="AD515" i="1" s="1"/>
  <c r="AC516" i="1"/>
  <c r="AD516" i="1" s="1" a="1"/>
  <c r="AD516" i="1" s="1"/>
  <c r="AC517" i="1"/>
  <c r="AD517" i="1" s="1" a="1"/>
  <c r="AD517" i="1" s="1"/>
  <c r="AC518" i="1"/>
  <c r="AD518" i="1" s="1" a="1"/>
  <c r="AD518" i="1" s="1"/>
  <c r="AC519" i="1"/>
  <c r="AD519" i="1" s="1" a="1"/>
  <c r="AD519" i="1" s="1"/>
  <c r="AC520" i="1"/>
  <c r="AD520" i="1" s="1" a="1"/>
  <c r="AD520" i="1" s="1"/>
  <c r="AC521" i="1"/>
  <c r="AD521" i="1" s="1" a="1"/>
  <c r="AD521" i="1" s="1"/>
  <c r="AC522" i="1"/>
  <c r="AD522" i="1" s="1" a="1"/>
  <c r="AD522" i="1" s="1"/>
  <c r="AC523" i="1"/>
  <c r="AD523" i="1" s="1" a="1"/>
  <c r="AD523" i="1" s="1"/>
  <c r="AC524" i="1"/>
  <c r="AD524" i="1" s="1" a="1"/>
  <c r="AD524" i="1" s="1"/>
  <c r="AC525" i="1"/>
  <c r="AD525" i="1" s="1" a="1"/>
  <c r="AD525" i="1" s="1"/>
  <c r="AC526" i="1"/>
  <c r="AD526" i="1" s="1" a="1"/>
  <c r="AD526" i="1" s="1"/>
  <c r="AC527" i="1"/>
  <c r="AD527" i="1" s="1" a="1"/>
  <c r="AD527" i="1" s="1"/>
  <c r="AC528" i="1"/>
  <c r="AD528" i="1" s="1" a="1"/>
  <c r="AD528" i="1" s="1"/>
  <c r="AC529" i="1"/>
  <c r="AD529" i="1" s="1" a="1"/>
  <c r="AD529" i="1" s="1"/>
  <c r="AC530" i="1"/>
  <c r="AD530" i="1" s="1" a="1"/>
  <c r="AD530" i="1" s="1"/>
  <c r="AC531" i="1"/>
  <c r="AD531" i="1" s="1" a="1"/>
  <c r="AD531" i="1" s="1"/>
  <c r="AC532" i="1"/>
  <c r="AD532" i="1" s="1" a="1"/>
  <c r="AD532" i="1" s="1"/>
  <c r="AC533" i="1"/>
  <c r="AD533" i="1" s="1" a="1"/>
  <c r="AD533" i="1" s="1"/>
  <c r="AC534" i="1"/>
  <c r="AD534" i="1" s="1" a="1"/>
  <c r="AD534" i="1" s="1"/>
  <c r="AC535" i="1"/>
  <c r="AD535" i="1" s="1" a="1"/>
  <c r="AD535" i="1" s="1"/>
  <c r="AC536" i="1"/>
  <c r="AD536" i="1" s="1" a="1"/>
  <c r="AD536" i="1" s="1"/>
  <c r="AC537" i="1"/>
  <c r="AD537" i="1" s="1" a="1"/>
  <c r="AD537" i="1" s="1"/>
  <c r="AC538" i="1"/>
  <c r="AD538" i="1" s="1" a="1"/>
  <c r="AD538" i="1" s="1"/>
  <c r="AC539" i="1"/>
  <c r="AD539" i="1" s="1" a="1"/>
  <c r="AD539" i="1" s="1"/>
  <c r="AC540" i="1"/>
  <c r="AD540" i="1" s="1" a="1"/>
  <c r="AD540" i="1" s="1"/>
  <c r="AC541" i="1"/>
  <c r="AD541" i="1" s="1" a="1"/>
  <c r="AD541" i="1" s="1"/>
  <c r="AC542" i="1"/>
  <c r="AD542" i="1" s="1" a="1"/>
  <c r="AD542" i="1" s="1"/>
  <c r="AC543" i="1"/>
  <c r="AD543" i="1" s="1" a="1"/>
  <c r="AD543" i="1" s="1"/>
  <c r="AC544" i="1"/>
  <c r="AD544" i="1" s="1" a="1"/>
  <c r="AD544" i="1" s="1"/>
  <c r="AC545" i="1"/>
  <c r="AD545" i="1" s="1" a="1"/>
  <c r="AD545" i="1" s="1"/>
  <c r="AC546" i="1"/>
  <c r="AD546" i="1" s="1" a="1"/>
  <c r="AD546" i="1" s="1"/>
  <c r="AC547" i="1"/>
  <c r="AD547" i="1" s="1" a="1"/>
  <c r="AD547" i="1" s="1"/>
  <c r="AC548" i="1"/>
  <c r="AD548" i="1" s="1" a="1"/>
  <c r="AD548" i="1" s="1"/>
  <c r="AC549" i="1"/>
  <c r="AD549" i="1" s="1" a="1"/>
  <c r="AD549" i="1" s="1"/>
  <c r="AC550" i="1"/>
  <c r="AD550" i="1" s="1" a="1"/>
  <c r="AD550" i="1" s="1"/>
  <c r="AC551" i="1"/>
  <c r="AD551" i="1" s="1" a="1"/>
  <c r="AD551" i="1" s="1"/>
  <c r="AC552" i="1"/>
  <c r="AD552" i="1" s="1" a="1"/>
  <c r="AD552" i="1" s="1"/>
  <c r="AC553" i="1"/>
  <c r="AD553" i="1" s="1" a="1"/>
  <c r="AD553" i="1" s="1"/>
  <c r="AC554" i="1"/>
  <c r="AD554" i="1" s="1" a="1"/>
  <c r="AD554" i="1" s="1"/>
  <c r="AC555" i="1"/>
  <c r="AD555" i="1" s="1" a="1"/>
  <c r="AD555" i="1" s="1"/>
  <c r="AC556" i="1"/>
  <c r="AD556" i="1" s="1" a="1"/>
  <c r="AD556" i="1" s="1"/>
  <c r="AC557" i="1"/>
  <c r="AD557" i="1" s="1" a="1"/>
  <c r="AD557" i="1" s="1"/>
  <c r="AC558" i="1"/>
  <c r="AD558" i="1" s="1" a="1"/>
  <c r="AD558" i="1" s="1"/>
  <c r="AC559" i="1"/>
  <c r="AD559" i="1" s="1" a="1"/>
  <c r="AD559" i="1" s="1"/>
  <c r="AC560" i="1"/>
  <c r="AD560" i="1" s="1" a="1"/>
  <c r="AD560" i="1" s="1"/>
  <c r="AC561" i="1"/>
  <c r="AD561" i="1" s="1" a="1"/>
  <c r="AD561" i="1" s="1"/>
  <c r="AC562" i="1"/>
  <c r="AD562" i="1" s="1" a="1"/>
  <c r="AD562" i="1" s="1"/>
  <c r="AC563" i="1"/>
  <c r="AD563" i="1" s="1" a="1"/>
  <c r="AD563" i="1" s="1"/>
  <c r="AC564" i="1"/>
  <c r="AD564" i="1" s="1" a="1"/>
  <c r="AD564" i="1" s="1"/>
  <c r="AC565" i="1"/>
  <c r="AD565" i="1" s="1" a="1"/>
  <c r="AD565" i="1" s="1"/>
  <c r="AC566" i="1"/>
  <c r="AD566" i="1" s="1" a="1"/>
  <c r="AD566" i="1" s="1"/>
  <c r="AC567" i="1"/>
  <c r="AD567" i="1" s="1" a="1"/>
  <c r="AD567" i="1" s="1"/>
  <c r="AC568" i="1"/>
  <c r="AD568" i="1" s="1" a="1"/>
  <c r="AD568" i="1" s="1"/>
  <c r="AC569" i="1"/>
  <c r="AD569" i="1" s="1" a="1"/>
  <c r="AD569" i="1" s="1"/>
  <c r="AC570" i="1"/>
  <c r="AD570" i="1" s="1" a="1"/>
  <c r="AD570" i="1" s="1"/>
  <c r="AC571" i="1"/>
  <c r="AD571" i="1" s="1" a="1"/>
  <c r="AD571" i="1" s="1"/>
  <c r="AC572" i="1"/>
  <c r="AD572" i="1" s="1" a="1"/>
  <c r="AD572" i="1" s="1"/>
  <c r="AC573" i="1"/>
  <c r="AD573" i="1" s="1" a="1"/>
  <c r="AD573" i="1" s="1"/>
  <c r="AC574" i="1"/>
  <c r="AD574" i="1" s="1" a="1"/>
  <c r="AD574" i="1" s="1"/>
  <c r="AC575" i="1"/>
  <c r="AD575" i="1" s="1" a="1"/>
  <c r="AD575" i="1" s="1"/>
  <c r="AC576" i="1"/>
  <c r="AD576" i="1" s="1" a="1"/>
  <c r="AD576" i="1" s="1"/>
  <c r="AC577" i="1"/>
  <c r="AD577" i="1" s="1" a="1"/>
  <c r="AD577" i="1" s="1"/>
  <c r="AC578" i="1"/>
  <c r="AD578" i="1" s="1" a="1"/>
  <c r="AD578" i="1" s="1"/>
  <c r="AC579" i="1"/>
  <c r="AD579" i="1" s="1" a="1"/>
  <c r="AD579" i="1" s="1"/>
  <c r="AC580" i="1"/>
  <c r="AD580" i="1" s="1" a="1"/>
  <c r="AD580" i="1" s="1"/>
  <c r="AC581" i="1"/>
  <c r="AD581" i="1" s="1" a="1"/>
  <c r="AD581" i="1" s="1"/>
  <c r="AC582" i="1"/>
  <c r="AD582" i="1" s="1" a="1"/>
  <c r="AD582" i="1" s="1"/>
  <c r="AC583" i="1"/>
  <c r="AD583" i="1" s="1" a="1"/>
  <c r="AD583" i="1" s="1"/>
  <c r="AC584" i="1"/>
  <c r="AD584" i="1" s="1" a="1"/>
  <c r="AD584" i="1" s="1"/>
  <c r="AC585" i="1"/>
  <c r="AD585" i="1" s="1" a="1"/>
  <c r="AD585" i="1" s="1"/>
  <c r="AC586" i="1"/>
  <c r="AD586" i="1" s="1" a="1"/>
  <c r="AD586" i="1" s="1"/>
  <c r="AC587" i="1"/>
  <c r="AD587" i="1" s="1" a="1"/>
  <c r="AD587" i="1" s="1"/>
  <c r="AC588" i="1"/>
  <c r="AD588" i="1" s="1" a="1"/>
  <c r="AD588" i="1" s="1"/>
  <c r="AC589" i="1"/>
  <c r="AD589" i="1" s="1" a="1"/>
  <c r="AD589" i="1" s="1"/>
  <c r="AC590" i="1"/>
  <c r="AD590" i="1" s="1" a="1"/>
  <c r="AD590" i="1" s="1"/>
  <c r="AC591" i="1"/>
  <c r="AD591" i="1" s="1" a="1"/>
  <c r="AD591" i="1" s="1"/>
  <c r="AC592" i="1"/>
  <c r="AD592" i="1" s="1" a="1"/>
  <c r="AD592" i="1" s="1"/>
  <c r="AC593" i="1"/>
  <c r="AD593" i="1" s="1" a="1"/>
  <c r="AD593" i="1" s="1"/>
  <c r="AC594" i="1"/>
  <c r="AD594" i="1" s="1" a="1"/>
  <c r="AD594" i="1" s="1"/>
  <c r="AC595" i="1"/>
  <c r="AD595" i="1" s="1" a="1"/>
  <c r="AD595" i="1" s="1"/>
  <c r="AC596" i="1"/>
  <c r="AD596" i="1" s="1" a="1"/>
  <c r="AD596" i="1" s="1"/>
  <c r="AC597" i="1"/>
  <c r="AD597" i="1" s="1" a="1"/>
  <c r="AD597" i="1" s="1"/>
  <c r="AC598" i="1"/>
  <c r="AD598" i="1" s="1" a="1"/>
  <c r="AD598" i="1" s="1"/>
  <c r="AC599" i="1"/>
  <c r="AD599" i="1" s="1" a="1"/>
  <c r="AD599" i="1" s="1"/>
  <c r="AC600" i="1"/>
  <c r="AD600" i="1" s="1" a="1"/>
  <c r="AD600" i="1" s="1"/>
  <c r="AC601" i="1"/>
  <c r="AD601" i="1" s="1" a="1"/>
  <c r="AD601" i="1" s="1"/>
  <c r="AC602" i="1"/>
  <c r="AD602" i="1" s="1" a="1"/>
  <c r="AD602" i="1" s="1"/>
  <c r="AC603" i="1"/>
  <c r="AD603" i="1" s="1" a="1"/>
  <c r="AD603" i="1" s="1"/>
  <c r="AC604" i="1"/>
  <c r="AD604" i="1" s="1" a="1"/>
  <c r="AD604" i="1" s="1"/>
  <c r="AC605" i="1"/>
  <c r="AD605" i="1" s="1" a="1"/>
  <c r="AD605" i="1" s="1"/>
  <c r="AC606" i="1"/>
  <c r="AD606" i="1" s="1" a="1"/>
  <c r="AD606" i="1" s="1"/>
  <c r="AC607" i="1"/>
  <c r="AD607" i="1" s="1" a="1"/>
  <c r="AD607" i="1" s="1"/>
  <c r="AC608" i="1"/>
  <c r="AD608" i="1" s="1" a="1"/>
  <c r="AD608" i="1" s="1"/>
  <c r="AC609" i="1"/>
  <c r="AD609" i="1" s="1" a="1"/>
  <c r="AD609" i="1" s="1"/>
  <c r="AC610" i="1"/>
  <c r="AD610" i="1" s="1" a="1"/>
  <c r="AD610" i="1" s="1"/>
  <c r="AC611" i="1"/>
  <c r="AD611" i="1" s="1" a="1"/>
  <c r="AD611" i="1" s="1"/>
  <c r="AC612" i="1"/>
  <c r="AD612" i="1" s="1" a="1"/>
  <c r="AD612" i="1" s="1"/>
  <c r="AC613" i="1"/>
  <c r="AD613" i="1" s="1" a="1"/>
  <c r="AD613" i="1" s="1"/>
  <c r="AC614" i="1"/>
  <c r="AD614" i="1" s="1" a="1"/>
  <c r="AD614" i="1" s="1"/>
  <c r="AC615" i="1"/>
  <c r="AD615" i="1" s="1" a="1"/>
  <c r="AD615" i="1" s="1"/>
  <c r="AC616" i="1"/>
  <c r="AD616" i="1" s="1" a="1"/>
  <c r="AD616" i="1" s="1"/>
  <c r="AC617" i="1"/>
  <c r="AD617" i="1" s="1" a="1"/>
  <c r="AD617" i="1" s="1"/>
  <c r="AC618" i="1"/>
  <c r="AD618" i="1" s="1" a="1"/>
  <c r="AD618" i="1" s="1"/>
  <c r="AC619" i="1"/>
  <c r="AD619" i="1" s="1" a="1"/>
  <c r="AD619" i="1" s="1"/>
  <c r="AC620" i="1"/>
  <c r="AD620" i="1" s="1" a="1"/>
  <c r="AD620" i="1" s="1"/>
  <c r="AC621" i="1"/>
  <c r="AD621" i="1" s="1" a="1"/>
  <c r="AD621" i="1" s="1"/>
  <c r="AC622" i="1"/>
  <c r="AD622" i="1" s="1" a="1"/>
  <c r="AD622" i="1" s="1"/>
  <c r="AC623" i="1"/>
  <c r="AD623" i="1" s="1" a="1"/>
  <c r="AD623" i="1" s="1"/>
  <c r="AC624" i="1"/>
  <c r="AD624" i="1" s="1" a="1"/>
  <c r="AD624" i="1" s="1"/>
  <c r="AC625" i="1"/>
  <c r="AD625" i="1" s="1" a="1"/>
  <c r="AD625" i="1" s="1"/>
  <c r="AC626" i="1"/>
  <c r="AD626" i="1" s="1" a="1"/>
  <c r="AD626" i="1" s="1"/>
  <c r="AC627" i="1"/>
  <c r="AD627" i="1" s="1" a="1"/>
  <c r="AD627" i="1" s="1"/>
  <c r="AC628" i="1"/>
  <c r="AD628" i="1" s="1" a="1"/>
  <c r="AD628" i="1" s="1"/>
  <c r="AC629" i="1"/>
  <c r="AD629" i="1" s="1" a="1"/>
  <c r="AD629" i="1" s="1"/>
  <c r="AC630" i="1"/>
  <c r="AD630" i="1" s="1" a="1"/>
  <c r="AD630" i="1" s="1"/>
  <c r="AC631" i="1"/>
  <c r="AD631" i="1" s="1" a="1"/>
  <c r="AD631" i="1" s="1"/>
  <c r="AC632" i="1"/>
  <c r="AD632" i="1" s="1" a="1"/>
  <c r="AD632" i="1" s="1"/>
  <c r="AC633" i="1"/>
  <c r="AD633" i="1" s="1" a="1"/>
  <c r="AD633" i="1" s="1"/>
  <c r="AC634" i="1"/>
  <c r="AD634" i="1" s="1" a="1"/>
  <c r="AD634" i="1" s="1"/>
  <c r="AC635" i="1"/>
  <c r="AD635" i="1" s="1" a="1"/>
  <c r="AD635" i="1" s="1"/>
  <c r="AC636" i="1"/>
  <c r="AD636" i="1" s="1" a="1"/>
  <c r="AD636" i="1" s="1"/>
  <c r="AC637" i="1"/>
  <c r="AD637" i="1" s="1" a="1"/>
  <c r="AD637" i="1" s="1"/>
  <c r="AC638" i="1"/>
  <c r="AD638" i="1" s="1" a="1"/>
  <c r="AD638" i="1" s="1"/>
  <c r="AC639" i="1"/>
  <c r="AD639" i="1" s="1" a="1"/>
  <c r="AD639" i="1" s="1"/>
  <c r="AC640" i="1"/>
  <c r="AD640" i="1" s="1" a="1"/>
  <c r="AD640" i="1" s="1"/>
  <c r="AC641" i="1"/>
  <c r="AD641" i="1" s="1" a="1"/>
  <c r="AD641" i="1" s="1"/>
  <c r="AC642" i="1"/>
  <c r="AD642" i="1" s="1" a="1"/>
  <c r="AD642" i="1" s="1"/>
  <c r="AC643" i="1"/>
  <c r="AD643" i="1" s="1" a="1"/>
  <c r="AD643" i="1" s="1"/>
  <c r="AC644" i="1"/>
  <c r="AD644" i="1" s="1" a="1"/>
  <c r="AD644" i="1" s="1"/>
  <c r="AC645" i="1"/>
  <c r="AD645" i="1" s="1" a="1"/>
  <c r="AD645" i="1" s="1"/>
  <c r="AC646" i="1"/>
  <c r="AD646" i="1" s="1" a="1"/>
  <c r="AD646" i="1" s="1"/>
  <c r="AC647" i="1"/>
  <c r="AD647" i="1" s="1" a="1"/>
  <c r="AD647" i="1" s="1"/>
  <c r="AC648" i="1"/>
  <c r="AD648" i="1" s="1" a="1"/>
  <c r="AD648" i="1" s="1"/>
  <c r="AC649" i="1"/>
  <c r="AD649" i="1" s="1" a="1"/>
  <c r="AD649" i="1" s="1"/>
  <c r="AC650" i="1"/>
  <c r="AD650" i="1" s="1" a="1"/>
  <c r="AD650" i="1" s="1"/>
  <c r="AC651" i="1"/>
  <c r="AD651" i="1" s="1" a="1"/>
  <c r="AD651" i="1" s="1"/>
  <c r="AC652" i="1"/>
  <c r="AD652" i="1" s="1" a="1"/>
  <c r="AD652" i="1" s="1"/>
  <c r="AC653" i="1"/>
  <c r="AD653" i="1" s="1" a="1"/>
  <c r="AD653" i="1" s="1"/>
  <c r="AC654" i="1"/>
  <c r="AD654" i="1" s="1" a="1"/>
  <c r="AD654" i="1" s="1"/>
  <c r="AC655" i="1"/>
  <c r="AD655" i="1" s="1" a="1"/>
  <c r="AD655" i="1" s="1"/>
  <c r="AC656" i="1"/>
  <c r="AD656" i="1" s="1" a="1"/>
  <c r="AD656" i="1" s="1"/>
  <c r="AC657" i="1"/>
  <c r="AD657" i="1" s="1" a="1"/>
  <c r="AD657" i="1" s="1"/>
  <c r="AC658" i="1"/>
  <c r="AD658" i="1" s="1" a="1"/>
  <c r="AD658" i="1" s="1"/>
  <c r="AC659" i="1"/>
  <c r="AD659" i="1" s="1" a="1"/>
  <c r="AD659" i="1" s="1"/>
  <c r="AC660" i="1"/>
  <c r="AD660" i="1" s="1" a="1"/>
  <c r="AD660" i="1" s="1"/>
  <c r="AC661" i="1"/>
  <c r="AD661" i="1" s="1" a="1"/>
  <c r="AD661" i="1" s="1"/>
  <c r="AC662" i="1"/>
  <c r="AD662" i="1" s="1" a="1"/>
  <c r="AD662" i="1" s="1"/>
  <c r="AC663" i="1"/>
  <c r="AD663" i="1" s="1" a="1"/>
  <c r="AD663" i="1" s="1"/>
  <c r="AC664" i="1"/>
  <c r="AD664" i="1" s="1" a="1"/>
  <c r="AD664" i="1" s="1"/>
  <c r="AC665" i="1"/>
  <c r="AD665" i="1" s="1" a="1"/>
  <c r="AD665" i="1" s="1"/>
  <c r="AC666" i="1"/>
  <c r="AD666" i="1" s="1" a="1"/>
  <c r="AD666" i="1" s="1"/>
  <c r="AC667" i="1"/>
  <c r="AD667" i="1" s="1" a="1"/>
  <c r="AD667" i="1" s="1"/>
  <c r="AC668" i="1"/>
  <c r="AD668" i="1" s="1" a="1"/>
  <c r="AD668" i="1" s="1"/>
  <c r="AC669" i="1"/>
  <c r="AD669" i="1" s="1" a="1"/>
  <c r="AD669" i="1" s="1"/>
  <c r="AC670" i="1"/>
  <c r="AD670" i="1" s="1" a="1"/>
  <c r="AD670" i="1" s="1"/>
  <c r="AC671" i="1"/>
  <c r="AD671" i="1" s="1" a="1"/>
  <c r="AD671" i="1" s="1"/>
  <c r="AC672" i="1"/>
  <c r="AD672" i="1" s="1" a="1"/>
  <c r="AD672" i="1" s="1"/>
  <c r="AC673" i="1"/>
  <c r="AD673" i="1" s="1" a="1"/>
  <c r="AD673" i="1" s="1"/>
  <c r="AC674" i="1"/>
  <c r="AD674" i="1" s="1" a="1"/>
  <c r="AD674" i="1" s="1"/>
  <c r="AC675" i="1"/>
  <c r="AD675" i="1" s="1" a="1"/>
  <c r="AD675" i="1" s="1"/>
  <c r="AC676" i="1"/>
  <c r="AD676" i="1" s="1" a="1"/>
  <c r="AD676" i="1" s="1"/>
  <c r="AC677" i="1"/>
  <c r="AD677" i="1" s="1" a="1"/>
  <c r="AD677" i="1" s="1"/>
  <c r="AC678" i="1"/>
  <c r="AD678" i="1" s="1" a="1"/>
  <c r="AD678" i="1" s="1"/>
  <c r="AC679" i="1"/>
  <c r="AD679" i="1" s="1" a="1"/>
  <c r="AD679" i="1" s="1"/>
  <c r="AC680" i="1"/>
  <c r="AD680" i="1" s="1" a="1"/>
  <c r="AD680" i="1" s="1"/>
  <c r="AC681" i="1"/>
  <c r="AD681" i="1" s="1" a="1"/>
  <c r="AD681" i="1" s="1"/>
  <c r="AC682" i="1"/>
  <c r="AD682" i="1" s="1" a="1"/>
  <c r="AD682" i="1" s="1"/>
  <c r="AC683" i="1"/>
  <c r="AD683" i="1" s="1" a="1"/>
  <c r="AD683" i="1" s="1"/>
  <c r="AC684" i="1"/>
  <c r="AD684" i="1" s="1" a="1"/>
  <c r="AD684" i="1" s="1"/>
  <c r="AC685" i="1"/>
  <c r="AD685" i="1" s="1" a="1"/>
  <c r="AD685" i="1" s="1"/>
  <c r="AC686" i="1"/>
  <c r="AD686" i="1" s="1" a="1"/>
  <c r="AD686" i="1" s="1"/>
  <c r="AC687" i="1"/>
  <c r="AD687" i="1" s="1" a="1"/>
  <c r="AD687" i="1" s="1"/>
  <c r="AC688" i="1"/>
  <c r="AD688" i="1" s="1" a="1"/>
  <c r="AD688" i="1" s="1"/>
  <c r="AC689" i="1"/>
  <c r="AD689" i="1" s="1" a="1"/>
  <c r="AD689" i="1" s="1"/>
  <c r="AC690" i="1"/>
  <c r="AD690" i="1" s="1" a="1"/>
  <c r="AD690" i="1" s="1"/>
  <c r="AC691" i="1"/>
  <c r="AD691" i="1" s="1" a="1"/>
  <c r="AD691" i="1" s="1"/>
  <c r="AC692" i="1"/>
  <c r="AD692" i="1" s="1" a="1"/>
  <c r="AD692" i="1" s="1"/>
  <c r="AC693" i="1"/>
  <c r="AD693" i="1" s="1" a="1"/>
  <c r="AD693" i="1" s="1"/>
  <c r="AC694" i="1"/>
  <c r="AD694" i="1" s="1" a="1"/>
  <c r="AD694" i="1" s="1"/>
  <c r="AC695" i="1"/>
  <c r="AD695" i="1" s="1" a="1"/>
  <c r="AD695" i="1" s="1"/>
  <c r="AC696" i="1"/>
  <c r="AD696" i="1" s="1" a="1"/>
  <c r="AD696" i="1" s="1"/>
  <c r="AC697" i="1"/>
  <c r="AD697" i="1" s="1" a="1"/>
  <c r="AD697" i="1" s="1"/>
  <c r="AC698" i="1"/>
  <c r="AD698" i="1" s="1" a="1"/>
  <c r="AD698" i="1" s="1"/>
  <c r="AC699" i="1"/>
  <c r="AD699" i="1" s="1" a="1"/>
  <c r="AD699" i="1" s="1"/>
  <c r="AC700" i="1"/>
  <c r="AD700" i="1" s="1" a="1"/>
  <c r="AD700" i="1" s="1"/>
  <c r="AC701" i="1"/>
  <c r="AD701" i="1" s="1" a="1"/>
  <c r="AD701" i="1" s="1"/>
  <c r="AC702" i="1"/>
  <c r="AD702" i="1" s="1" a="1"/>
  <c r="AD702" i="1" s="1"/>
  <c r="AC703" i="1"/>
  <c r="AD703" i="1" s="1" a="1"/>
  <c r="AD703" i="1" s="1"/>
  <c r="AC704" i="1"/>
  <c r="AD704" i="1" s="1" a="1"/>
  <c r="AD704" i="1" s="1"/>
  <c r="AC705" i="1"/>
  <c r="AD705" i="1" s="1" a="1"/>
  <c r="AD705" i="1" s="1"/>
  <c r="AC706" i="1"/>
  <c r="AD706" i="1" s="1" a="1"/>
  <c r="AD706" i="1" s="1"/>
  <c r="AC707" i="1"/>
  <c r="AD707" i="1" s="1" a="1"/>
  <c r="AD707" i="1" s="1"/>
  <c r="AC708" i="1"/>
  <c r="AD708" i="1" s="1" a="1"/>
  <c r="AD708" i="1" s="1"/>
  <c r="AC709" i="1"/>
  <c r="AD709" i="1" s="1" a="1"/>
  <c r="AD709" i="1" s="1"/>
  <c r="AC710" i="1"/>
  <c r="AD710" i="1" s="1" a="1"/>
  <c r="AD710" i="1" s="1"/>
  <c r="AC711" i="1"/>
  <c r="AD711" i="1" s="1" a="1"/>
  <c r="AD711" i="1" s="1"/>
  <c r="AC712" i="1"/>
  <c r="AD712" i="1" s="1" a="1"/>
  <c r="AD712" i="1" s="1"/>
  <c r="AC713" i="1"/>
  <c r="AD713" i="1" s="1" a="1"/>
  <c r="AD713" i="1" s="1"/>
  <c r="AC714" i="1"/>
  <c r="AD714" i="1" s="1" a="1"/>
  <c r="AD714" i="1" s="1"/>
  <c r="AC715" i="1"/>
  <c r="AD715" i="1" s="1" a="1"/>
  <c r="AD715" i="1" s="1"/>
  <c r="AC716" i="1"/>
  <c r="AD716" i="1" s="1" a="1"/>
  <c r="AD716" i="1" s="1"/>
  <c r="AC717" i="1"/>
  <c r="AD717" i="1" s="1" a="1"/>
  <c r="AD717" i="1" s="1"/>
  <c r="AC718" i="1"/>
  <c r="AD718" i="1" s="1" a="1"/>
  <c r="AD718" i="1" s="1"/>
  <c r="AC719" i="1"/>
  <c r="AD719" i="1" s="1" a="1"/>
  <c r="AD719" i="1" s="1"/>
  <c r="AC720" i="1"/>
  <c r="AD720" i="1" s="1" a="1"/>
  <c r="AD720" i="1" s="1"/>
  <c r="AC721" i="1"/>
  <c r="AD721" i="1" s="1" a="1"/>
  <c r="AD721" i="1" s="1"/>
  <c r="AC722" i="1"/>
  <c r="AD722" i="1" s="1" a="1"/>
  <c r="AD722" i="1" s="1"/>
  <c r="AC723" i="1"/>
  <c r="AD723" i="1" s="1" a="1"/>
  <c r="AD723" i="1" s="1"/>
  <c r="AC724" i="1"/>
  <c r="AD724" i="1" s="1" a="1"/>
  <c r="AD724" i="1" s="1"/>
  <c r="AC725" i="1"/>
  <c r="AD725" i="1" s="1" a="1"/>
  <c r="AD725" i="1" s="1"/>
  <c r="AC726" i="1"/>
  <c r="AD726" i="1" s="1" a="1"/>
  <c r="AD726" i="1" s="1"/>
  <c r="AC727" i="1"/>
  <c r="AD727" i="1" s="1" a="1"/>
  <c r="AD727" i="1" s="1"/>
  <c r="AC728" i="1"/>
  <c r="AD728" i="1" s="1" a="1"/>
  <c r="AD728" i="1" s="1"/>
  <c r="AC729" i="1"/>
  <c r="AD729" i="1" s="1" a="1"/>
  <c r="AD729" i="1" s="1"/>
  <c r="AC730" i="1"/>
  <c r="AD730" i="1" s="1" a="1"/>
  <c r="AD730" i="1" s="1"/>
  <c r="AC731" i="1"/>
  <c r="AD731" i="1" s="1" a="1"/>
  <c r="AD731" i="1" s="1"/>
  <c r="AC732" i="1"/>
  <c r="AD732" i="1" s="1" a="1"/>
  <c r="AD732" i="1" s="1"/>
  <c r="AC733" i="1"/>
  <c r="AD733" i="1" s="1" a="1"/>
  <c r="AD733" i="1" s="1"/>
  <c r="AC734" i="1"/>
  <c r="AD734" i="1" s="1" a="1"/>
  <c r="AD734" i="1" s="1"/>
  <c r="AC735" i="1"/>
  <c r="AD735" i="1" s="1" a="1"/>
  <c r="AD735" i="1" s="1"/>
  <c r="AC736" i="1"/>
  <c r="AD736" i="1" s="1" a="1"/>
  <c r="AD736" i="1" s="1"/>
  <c r="AC737" i="1"/>
  <c r="AD737" i="1" s="1" a="1"/>
  <c r="AD737" i="1" s="1"/>
  <c r="AC738" i="1"/>
  <c r="AD738" i="1" s="1" a="1"/>
  <c r="AD738" i="1" s="1"/>
  <c r="AC739" i="1"/>
  <c r="AD739" i="1" s="1" a="1"/>
  <c r="AD739" i="1" s="1"/>
  <c r="AC740" i="1"/>
  <c r="AD740" i="1" s="1" a="1"/>
  <c r="AD740" i="1" s="1"/>
  <c r="AC741" i="1"/>
  <c r="AD741" i="1" s="1" a="1"/>
  <c r="AD741" i="1" s="1"/>
  <c r="AC742" i="1"/>
  <c r="AD742" i="1" s="1" a="1"/>
  <c r="AD742" i="1" s="1"/>
  <c r="AC743" i="1"/>
  <c r="AD743" i="1" s="1" a="1"/>
  <c r="AD743" i="1" s="1"/>
  <c r="AC744" i="1"/>
  <c r="AD744" i="1" s="1" a="1"/>
  <c r="AD744" i="1" s="1"/>
  <c r="AC745" i="1"/>
  <c r="AD745" i="1" s="1" a="1"/>
  <c r="AD745" i="1" s="1"/>
  <c r="AC746" i="1"/>
  <c r="AD746" i="1" s="1" a="1"/>
  <c r="AD746" i="1" s="1"/>
  <c r="AC747" i="1"/>
  <c r="AD747" i="1" s="1" a="1"/>
  <c r="AD747" i="1" s="1"/>
  <c r="AC748" i="1"/>
  <c r="AD748" i="1" s="1" a="1"/>
  <c r="AD748" i="1" s="1"/>
  <c r="AC749" i="1"/>
  <c r="AD749" i="1" s="1" a="1"/>
  <c r="AD749" i="1" s="1"/>
  <c r="AC750" i="1"/>
  <c r="AD750" i="1" s="1" a="1"/>
  <c r="AD750" i="1" s="1"/>
  <c r="AC751" i="1"/>
  <c r="AD751" i="1" s="1" a="1"/>
  <c r="AD751" i="1" s="1"/>
  <c r="AC752" i="1"/>
  <c r="AD752" i="1" s="1" a="1"/>
  <c r="AD752" i="1" s="1"/>
  <c r="AC753" i="1"/>
  <c r="AD753" i="1" s="1" a="1"/>
  <c r="AD753" i="1" s="1"/>
  <c r="AC754" i="1"/>
  <c r="AD754" i="1" s="1" a="1"/>
  <c r="AD754" i="1" s="1"/>
  <c r="AC755" i="1"/>
  <c r="AD755" i="1" s="1" a="1"/>
  <c r="AD755" i="1" s="1"/>
  <c r="AC756" i="1"/>
  <c r="AD756" i="1" s="1" a="1"/>
  <c r="AD756" i="1" s="1"/>
  <c r="AC757" i="1"/>
  <c r="AD757" i="1" s="1" a="1"/>
  <c r="AD757" i="1" s="1"/>
  <c r="AC758" i="1"/>
  <c r="AD758" i="1" s="1" a="1"/>
  <c r="AD758" i="1" s="1"/>
  <c r="AC759" i="1"/>
  <c r="AD759" i="1" s="1" a="1"/>
  <c r="AD759" i="1" s="1"/>
  <c r="AC760" i="1"/>
  <c r="AD760" i="1" s="1" a="1"/>
  <c r="AD760" i="1" s="1"/>
  <c r="AC761" i="1"/>
  <c r="AD761" i="1" s="1" a="1"/>
  <c r="AD761" i="1" s="1"/>
  <c r="AC762" i="1"/>
  <c r="AD762" i="1" s="1" a="1"/>
  <c r="AD762" i="1" s="1"/>
  <c r="AC763" i="1"/>
  <c r="AD763" i="1" s="1" a="1"/>
  <c r="AD763" i="1" s="1"/>
  <c r="AC764" i="1"/>
  <c r="AD764" i="1" s="1" a="1"/>
  <c r="AD764" i="1" s="1"/>
  <c r="AC765" i="1"/>
  <c r="AD765" i="1" s="1" a="1"/>
  <c r="AD765" i="1" s="1"/>
  <c r="AC766" i="1"/>
  <c r="AD766" i="1" s="1" a="1"/>
  <c r="AD766" i="1" s="1"/>
  <c r="AC767" i="1"/>
  <c r="AD767" i="1" s="1" a="1"/>
  <c r="AD767" i="1" s="1"/>
  <c r="AC768" i="1"/>
  <c r="AD768" i="1" s="1" a="1"/>
  <c r="AD768" i="1" s="1"/>
  <c r="AC769" i="1"/>
  <c r="AD769" i="1" s="1" a="1"/>
  <c r="AD769" i="1" s="1"/>
  <c r="AC770" i="1"/>
  <c r="AD770" i="1" s="1" a="1"/>
  <c r="AD770" i="1" s="1"/>
  <c r="AC771" i="1"/>
  <c r="AD771" i="1" s="1" a="1"/>
  <c r="AD771" i="1" s="1"/>
  <c r="AC772" i="1"/>
  <c r="AD772" i="1" s="1" a="1"/>
  <c r="AD772" i="1" s="1"/>
  <c r="AC773" i="1"/>
  <c r="AD773" i="1" s="1" a="1"/>
  <c r="AD773" i="1" s="1"/>
  <c r="AC774" i="1"/>
  <c r="AD774" i="1" s="1" a="1"/>
  <c r="AD774" i="1" s="1"/>
  <c r="AC775" i="1"/>
  <c r="AD775" i="1" s="1" a="1"/>
  <c r="AD775" i="1" s="1"/>
  <c r="AC776" i="1"/>
  <c r="AD776" i="1" s="1" a="1"/>
  <c r="AD776" i="1" s="1"/>
  <c r="AC777" i="1"/>
  <c r="AD777" i="1" s="1" a="1"/>
  <c r="AD777" i="1" s="1"/>
  <c r="AC778" i="1"/>
  <c r="AD778" i="1" s="1" a="1"/>
  <c r="AD778" i="1" s="1"/>
  <c r="AC779" i="1"/>
  <c r="AD779" i="1" s="1" a="1"/>
  <c r="AD779" i="1" s="1"/>
  <c r="AC780" i="1"/>
  <c r="AD780" i="1" s="1" a="1"/>
  <c r="AD780" i="1" s="1"/>
  <c r="AC781" i="1"/>
  <c r="AD781" i="1" s="1" a="1"/>
  <c r="AD781" i="1" s="1"/>
  <c r="AC782" i="1"/>
  <c r="AD782" i="1" s="1" a="1"/>
  <c r="AD782" i="1" s="1"/>
  <c r="AC783" i="1"/>
  <c r="AD783" i="1" s="1" a="1"/>
  <c r="AD783" i="1" s="1"/>
  <c r="AC784" i="1"/>
  <c r="AD784" i="1" s="1" a="1"/>
  <c r="AD784" i="1" s="1"/>
  <c r="AC785" i="1"/>
  <c r="AD785" i="1" s="1" a="1"/>
  <c r="AD785" i="1" s="1"/>
  <c r="AC786" i="1"/>
  <c r="AD786" i="1" s="1" a="1"/>
  <c r="AD786" i="1" s="1"/>
  <c r="AC787" i="1"/>
  <c r="AD787" i="1" s="1" a="1"/>
  <c r="AD787" i="1" s="1"/>
  <c r="AC788" i="1"/>
  <c r="AD788" i="1" s="1" a="1"/>
  <c r="AD788" i="1" s="1"/>
  <c r="AC789" i="1"/>
  <c r="AD789" i="1" s="1" a="1"/>
  <c r="AD789" i="1" s="1"/>
  <c r="AC790" i="1"/>
  <c r="AD790" i="1" s="1" a="1"/>
  <c r="AD790" i="1" s="1"/>
  <c r="AC791" i="1"/>
  <c r="AD791" i="1" s="1" a="1"/>
  <c r="AD791" i="1" s="1"/>
  <c r="AC792" i="1"/>
  <c r="AD792" i="1" s="1" a="1"/>
  <c r="AD792" i="1" s="1"/>
  <c r="AC793" i="1"/>
  <c r="AD793" i="1" s="1" a="1"/>
  <c r="AD793" i="1" s="1"/>
  <c r="AC794" i="1"/>
  <c r="AD794" i="1" s="1" a="1"/>
  <c r="AD794" i="1" s="1"/>
  <c r="AC795" i="1"/>
  <c r="AD795" i="1" s="1" a="1"/>
  <c r="AD795" i="1" s="1"/>
  <c r="AC796" i="1"/>
  <c r="AD796" i="1" s="1" a="1"/>
  <c r="AD796" i="1" s="1"/>
  <c r="AC797" i="1"/>
  <c r="AD797" i="1" s="1" a="1"/>
  <c r="AD797" i="1" s="1"/>
  <c r="AC798" i="1"/>
  <c r="AD798" i="1" s="1" a="1"/>
  <c r="AD798" i="1" s="1"/>
  <c r="AC799" i="1"/>
  <c r="AD799" i="1" s="1" a="1"/>
  <c r="AD799" i="1" s="1"/>
  <c r="AC800" i="1"/>
  <c r="AD800" i="1" s="1" a="1"/>
  <c r="AD800" i="1" s="1"/>
  <c r="AC801" i="1"/>
  <c r="AD801" i="1" s="1" a="1"/>
  <c r="AD801" i="1" s="1"/>
  <c r="AC802" i="1"/>
  <c r="AD802" i="1" s="1" a="1"/>
  <c r="AD802" i="1" s="1"/>
  <c r="AC803" i="1"/>
  <c r="AD803" i="1" s="1" a="1"/>
  <c r="AD803" i="1" s="1"/>
  <c r="AC804" i="1"/>
  <c r="AD804" i="1" s="1" a="1"/>
  <c r="AD804" i="1" s="1"/>
  <c r="AC805" i="1"/>
  <c r="AD805" i="1" s="1" a="1"/>
  <c r="AD805" i="1" s="1"/>
  <c r="AC806" i="1"/>
  <c r="AD806" i="1" s="1" a="1"/>
  <c r="AD806" i="1" s="1"/>
  <c r="AC807" i="1"/>
  <c r="AD807" i="1" s="1" a="1"/>
  <c r="AD807" i="1" s="1"/>
  <c r="AC808" i="1"/>
  <c r="AD808" i="1" s="1" a="1"/>
  <c r="AD808" i="1" s="1"/>
  <c r="AC809" i="1"/>
  <c r="AD809" i="1" s="1" a="1"/>
  <c r="AD809" i="1" s="1"/>
  <c r="AC810" i="1"/>
  <c r="AD810" i="1" s="1" a="1"/>
  <c r="AD810" i="1" s="1"/>
  <c r="AC811" i="1"/>
  <c r="AD811" i="1" s="1" a="1"/>
  <c r="AD811" i="1" s="1"/>
  <c r="AC812" i="1"/>
  <c r="AD812" i="1" s="1" a="1"/>
  <c r="AD812" i="1" s="1"/>
  <c r="AC813" i="1"/>
  <c r="AD813" i="1" s="1" a="1"/>
  <c r="AD813" i="1" s="1"/>
  <c r="AC814" i="1"/>
  <c r="AD814" i="1" s="1" a="1"/>
  <c r="AD814" i="1" s="1"/>
  <c r="AC815" i="1"/>
  <c r="AD815" i="1" s="1" a="1"/>
  <c r="AD815" i="1" s="1"/>
  <c r="AC816" i="1"/>
  <c r="AD816" i="1" s="1" a="1"/>
  <c r="AD816" i="1" s="1"/>
  <c r="AC817" i="1"/>
  <c r="AD817" i="1" s="1" a="1"/>
  <c r="AD817" i="1" s="1"/>
  <c r="AC818" i="1"/>
  <c r="AD818" i="1" s="1" a="1"/>
  <c r="AD818" i="1" s="1"/>
  <c r="AC819" i="1"/>
  <c r="AD819" i="1" s="1" a="1"/>
  <c r="AD819" i="1" s="1"/>
  <c r="AC820" i="1"/>
  <c r="AD820" i="1" s="1" a="1"/>
  <c r="AD820" i="1" s="1"/>
  <c r="AC821" i="1"/>
  <c r="AD821" i="1" s="1" a="1"/>
  <c r="AD821" i="1" s="1"/>
  <c r="AC822" i="1"/>
  <c r="AD822" i="1" s="1" a="1"/>
  <c r="AD822" i="1" s="1"/>
  <c r="AC823" i="1"/>
  <c r="AD823" i="1" s="1" a="1"/>
  <c r="AD823" i="1" s="1"/>
  <c r="AC824" i="1"/>
  <c r="AD824" i="1" s="1" a="1"/>
  <c r="AD824" i="1" s="1"/>
  <c r="AC825" i="1"/>
  <c r="AD825" i="1" s="1" a="1"/>
  <c r="AD825" i="1" s="1"/>
  <c r="AC826" i="1"/>
  <c r="AD826" i="1" s="1" a="1"/>
  <c r="AD826" i="1" s="1"/>
  <c r="AC827" i="1"/>
  <c r="AD827" i="1" s="1" a="1"/>
  <c r="AD827" i="1" s="1"/>
  <c r="AC828" i="1"/>
  <c r="AD828" i="1" s="1" a="1"/>
  <c r="AD828" i="1" s="1"/>
  <c r="AC829" i="1"/>
  <c r="AD829" i="1" s="1" a="1"/>
  <c r="AD829" i="1" s="1"/>
  <c r="AC830" i="1"/>
  <c r="AD830" i="1" s="1" a="1"/>
  <c r="AD830" i="1" s="1"/>
  <c r="AC831" i="1"/>
  <c r="AD831" i="1" s="1" a="1"/>
  <c r="AD831" i="1" s="1"/>
  <c r="AC832" i="1"/>
  <c r="AD832" i="1" s="1" a="1"/>
  <c r="AD832" i="1" s="1"/>
  <c r="AC833" i="1"/>
  <c r="AD833" i="1" s="1" a="1"/>
  <c r="AD833" i="1" s="1"/>
  <c r="AC834" i="1"/>
  <c r="AD834" i="1" s="1" a="1"/>
  <c r="AD834" i="1" s="1"/>
  <c r="AC835" i="1"/>
  <c r="AD835" i="1" s="1" a="1"/>
  <c r="AD835" i="1" s="1"/>
  <c r="AC836" i="1"/>
  <c r="AD836" i="1" s="1" a="1"/>
  <c r="AD836" i="1" s="1"/>
  <c r="AC837" i="1"/>
  <c r="AD837" i="1" s="1" a="1"/>
  <c r="AD837" i="1" s="1"/>
  <c r="AC838" i="1"/>
  <c r="AD838" i="1" s="1" a="1"/>
  <c r="AD838" i="1" s="1"/>
  <c r="AC839" i="1"/>
  <c r="AD839" i="1" s="1" a="1"/>
  <c r="AD839" i="1" s="1"/>
  <c r="AC840" i="1"/>
  <c r="AD840" i="1" s="1" a="1"/>
  <c r="AD840" i="1" s="1"/>
  <c r="AC841" i="1"/>
  <c r="AD841" i="1" s="1" a="1"/>
  <c r="AD841" i="1" s="1"/>
  <c r="AC842" i="1"/>
  <c r="AD842" i="1" s="1" a="1"/>
  <c r="AD842" i="1" s="1"/>
  <c r="AC843" i="1"/>
  <c r="AD843" i="1" s="1" a="1"/>
  <c r="AD843" i="1" s="1"/>
  <c r="AC844" i="1"/>
  <c r="AD844" i="1" s="1" a="1"/>
  <c r="AD844" i="1" s="1"/>
  <c r="AC845" i="1"/>
  <c r="AD845" i="1" s="1" a="1"/>
  <c r="AD845" i="1" s="1"/>
  <c r="AC846" i="1"/>
  <c r="AD846" i="1" s="1" a="1"/>
  <c r="AD846" i="1" s="1"/>
  <c r="AC847" i="1"/>
  <c r="AD847" i="1" s="1" a="1"/>
  <c r="AD847" i="1" s="1"/>
  <c r="AC848" i="1"/>
  <c r="AD848" i="1" s="1" a="1"/>
  <c r="AD848" i="1" s="1"/>
  <c r="AC849" i="1"/>
  <c r="AD849" i="1" s="1" a="1"/>
  <c r="AD849" i="1" s="1"/>
  <c r="AC850" i="1"/>
  <c r="AD850" i="1" s="1" a="1"/>
  <c r="AD850" i="1" s="1"/>
  <c r="AC851" i="1"/>
  <c r="AD851" i="1" s="1" a="1"/>
  <c r="AD851" i="1" s="1"/>
  <c r="AC852" i="1"/>
  <c r="AD852" i="1" s="1" a="1"/>
  <c r="AD852" i="1" s="1"/>
  <c r="AC853" i="1"/>
  <c r="AD853" i="1" s="1" a="1"/>
  <c r="AD853" i="1" s="1"/>
  <c r="AC854" i="1"/>
  <c r="AD854" i="1" s="1" a="1"/>
  <c r="AD854" i="1" s="1"/>
  <c r="AC855" i="1"/>
  <c r="AD855" i="1" s="1" a="1"/>
  <c r="AD855" i="1" s="1"/>
  <c r="AC856" i="1"/>
  <c r="AD856" i="1" s="1" a="1"/>
  <c r="AD856" i="1" s="1"/>
  <c r="AC857" i="1"/>
  <c r="AD857" i="1" s="1" a="1"/>
  <c r="AD857" i="1" s="1"/>
  <c r="AC858" i="1"/>
  <c r="AD858" i="1" s="1" a="1"/>
  <c r="AD858" i="1" s="1"/>
  <c r="AC859" i="1"/>
  <c r="AD859" i="1" s="1" a="1"/>
  <c r="AD859" i="1" s="1"/>
  <c r="AC860" i="1"/>
  <c r="AD860" i="1" s="1" a="1"/>
  <c r="AD860" i="1" s="1"/>
  <c r="AC861" i="1"/>
  <c r="AD861" i="1" s="1" a="1"/>
  <c r="AD861" i="1" s="1"/>
  <c r="AC862" i="1"/>
  <c r="AD862" i="1" s="1" a="1"/>
  <c r="AD862" i="1" s="1"/>
  <c r="AC863" i="1"/>
  <c r="AD863" i="1" s="1" a="1"/>
  <c r="AD863" i="1" s="1"/>
  <c r="AC864" i="1"/>
  <c r="AD864" i="1" s="1" a="1"/>
  <c r="AD864" i="1" s="1"/>
  <c r="AC865" i="1"/>
  <c r="AD865" i="1" s="1" a="1"/>
  <c r="AD865" i="1" s="1"/>
  <c r="AC866" i="1"/>
  <c r="AD866" i="1" s="1" a="1"/>
  <c r="AD866" i="1" s="1"/>
  <c r="AC867" i="1"/>
  <c r="AD867" i="1" s="1" a="1"/>
  <c r="AD867" i="1" s="1"/>
  <c r="AC868" i="1"/>
  <c r="AD868" i="1" s="1" a="1"/>
  <c r="AD868" i="1" s="1"/>
  <c r="AC869" i="1"/>
  <c r="AD869" i="1" s="1" a="1"/>
  <c r="AD869" i="1" s="1"/>
  <c r="AC870" i="1"/>
  <c r="AD870" i="1" s="1" a="1"/>
  <c r="AD870" i="1" s="1"/>
  <c r="AC871" i="1"/>
  <c r="AD871" i="1" s="1" a="1"/>
  <c r="AD871" i="1" s="1"/>
  <c r="AC872" i="1"/>
  <c r="AD872" i="1" s="1" a="1"/>
  <c r="AD872" i="1" s="1"/>
  <c r="AC873" i="1"/>
  <c r="AD873" i="1" s="1" a="1"/>
  <c r="AD873" i="1" s="1"/>
  <c r="AC874" i="1"/>
  <c r="AD874" i="1" s="1" a="1"/>
  <c r="AD874" i="1" s="1"/>
  <c r="AC875" i="1"/>
  <c r="AD875" i="1" s="1" a="1"/>
  <c r="AD875" i="1" s="1"/>
  <c r="AC876" i="1"/>
  <c r="AD876" i="1" s="1" a="1"/>
  <c r="AD876" i="1" s="1"/>
  <c r="AC877" i="1"/>
  <c r="AD877" i="1" s="1" a="1"/>
  <c r="AD877" i="1" s="1"/>
  <c r="AC878" i="1"/>
  <c r="AD878" i="1" s="1" a="1"/>
  <c r="AD878" i="1" s="1"/>
  <c r="AC879" i="1"/>
  <c r="AD879" i="1" s="1" a="1"/>
  <c r="AD879" i="1" s="1"/>
  <c r="AC880" i="1"/>
  <c r="AD880" i="1" s="1" a="1"/>
  <c r="AD880" i="1" s="1"/>
  <c r="AC881" i="1"/>
  <c r="AD881" i="1" s="1" a="1"/>
  <c r="AD881" i="1" s="1"/>
  <c r="AC882" i="1"/>
  <c r="AD882" i="1" s="1" a="1"/>
  <c r="AD882" i="1" s="1"/>
  <c r="AC883" i="1"/>
  <c r="AD883" i="1" s="1" a="1"/>
  <c r="AD883" i="1" s="1"/>
  <c r="AC884" i="1"/>
  <c r="AD884" i="1" s="1" a="1"/>
  <c r="AD884" i="1" s="1"/>
  <c r="AC885" i="1"/>
  <c r="AD885" i="1" s="1" a="1"/>
  <c r="AD885" i="1" s="1"/>
  <c r="AC886" i="1"/>
  <c r="AD886" i="1" s="1" a="1"/>
  <c r="AD886" i="1" s="1"/>
  <c r="AC887" i="1"/>
  <c r="AD887" i="1" s="1" a="1"/>
  <c r="AD887" i="1" s="1"/>
  <c r="AC888" i="1"/>
  <c r="AD888" i="1" s="1" a="1"/>
  <c r="AD888" i="1" s="1"/>
  <c r="AC889" i="1"/>
  <c r="AD889" i="1" s="1" a="1"/>
  <c r="AD889" i="1" s="1"/>
  <c r="AC890" i="1"/>
  <c r="AD890" i="1" s="1" a="1"/>
  <c r="AD890" i="1" s="1"/>
  <c r="AC891" i="1"/>
  <c r="AD891" i="1" s="1" a="1"/>
  <c r="AD891" i="1" s="1"/>
  <c r="AC892" i="1"/>
  <c r="AD892" i="1" s="1" a="1"/>
  <c r="AD892" i="1" s="1"/>
  <c r="AC893" i="1"/>
  <c r="AD893" i="1" s="1" a="1"/>
  <c r="AD893" i="1" s="1"/>
  <c r="AC894" i="1"/>
  <c r="AD894" i="1" s="1" a="1"/>
  <c r="AD894" i="1" s="1"/>
  <c r="AC895" i="1"/>
  <c r="AD895" i="1" s="1" a="1"/>
  <c r="AD895" i="1" s="1"/>
  <c r="AC896" i="1"/>
  <c r="AD896" i="1" s="1" a="1"/>
  <c r="AD896" i="1" s="1"/>
  <c r="AC897" i="1"/>
  <c r="AD897" i="1" s="1" a="1"/>
  <c r="AD897" i="1" s="1"/>
  <c r="AC898" i="1"/>
  <c r="AD898" i="1" s="1" a="1"/>
  <c r="AD898" i="1" s="1"/>
  <c r="AC899" i="1"/>
  <c r="AD899" i="1" s="1" a="1"/>
  <c r="AD899" i="1" s="1"/>
  <c r="AC900" i="1"/>
  <c r="AD900" i="1" s="1" a="1"/>
  <c r="AD900" i="1" s="1"/>
  <c r="AC901" i="1"/>
  <c r="AD901" i="1" s="1" a="1"/>
  <c r="AD901" i="1" s="1"/>
  <c r="AC902" i="1"/>
  <c r="AD902" i="1" s="1" a="1"/>
  <c r="AD902" i="1" s="1"/>
  <c r="AC903" i="1"/>
  <c r="AD903" i="1" s="1" a="1"/>
  <c r="AD903" i="1" s="1"/>
  <c r="AC904" i="1"/>
  <c r="AD904" i="1" s="1" a="1"/>
  <c r="AD904" i="1" s="1"/>
  <c r="AC905" i="1"/>
  <c r="AD905" i="1" s="1" a="1"/>
  <c r="AD905" i="1" s="1"/>
  <c r="AC906" i="1"/>
  <c r="AD906" i="1" s="1" a="1"/>
  <c r="AD906" i="1" s="1"/>
  <c r="AC907" i="1"/>
  <c r="AD907" i="1" s="1" a="1"/>
  <c r="AD907" i="1" s="1"/>
  <c r="AC908" i="1"/>
  <c r="AD908" i="1" s="1" a="1"/>
  <c r="AD908" i="1" s="1"/>
  <c r="AC909" i="1"/>
  <c r="AD909" i="1" s="1" a="1"/>
  <c r="AD909" i="1" s="1"/>
  <c r="AC910" i="1"/>
  <c r="AD910" i="1" s="1" a="1"/>
  <c r="AD910" i="1" s="1"/>
  <c r="AC911" i="1"/>
  <c r="AD911" i="1" s="1" a="1"/>
  <c r="AD911" i="1" s="1"/>
  <c r="AC912" i="1"/>
  <c r="AD912" i="1" s="1" a="1"/>
  <c r="AD912" i="1" s="1"/>
  <c r="AC913" i="1"/>
  <c r="AD913" i="1" s="1" a="1"/>
  <c r="AD913" i="1" s="1"/>
  <c r="AC914" i="1"/>
  <c r="AD914" i="1" s="1" a="1"/>
  <c r="AD914" i="1" s="1"/>
  <c r="AC915" i="1"/>
  <c r="AD915" i="1" s="1" a="1"/>
  <c r="AD915" i="1" s="1"/>
  <c r="AC916" i="1"/>
  <c r="AD916" i="1" s="1" a="1"/>
  <c r="AD916" i="1" s="1"/>
  <c r="AC917" i="1"/>
  <c r="AD917" i="1" s="1" a="1"/>
  <c r="AD917" i="1" s="1"/>
  <c r="AC918" i="1"/>
  <c r="AD918" i="1" s="1" a="1"/>
  <c r="AD918" i="1" s="1"/>
  <c r="AC919" i="1"/>
  <c r="AD919" i="1" s="1" a="1"/>
  <c r="AD919" i="1" s="1"/>
  <c r="AC920" i="1"/>
  <c r="AD920" i="1" s="1" a="1"/>
  <c r="AD920" i="1" s="1"/>
  <c r="AC921" i="1"/>
  <c r="AD921" i="1" s="1" a="1"/>
  <c r="AD921" i="1" s="1"/>
  <c r="AC922" i="1"/>
  <c r="AD922" i="1" s="1" a="1"/>
  <c r="AD922" i="1" s="1"/>
  <c r="AC923" i="1"/>
  <c r="AD923" i="1" s="1" a="1"/>
  <c r="AD923" i="1" s="1"/>
  <c r="AC924" i="1"/>
  <c r="AD924" i="1" s="1" a="1"/>
  <c r="AD924" i="1" s="1"/>
  <c r="AC925" i="1"/>
  <c r="AD925" i="1" s="1" a="1"/>
  <c r="AD925" i="1" s="1"/>
  <c r="AC926" i="1"/>
  <c r="AD926" i="1" s="1" a="1"/>
  <c r="AD926" i="1" s="1"/>
  <c r="AC927" i="1"/>
  <c r="AD927" i="1" s="1" a="1"/>
  <c r="AD927" i="1" s="1"/>
  <c r="AC928" i="1"/>
  <c r="AD928" i="1" s="1" a="1"/>
  <c r="AD928" i="1" s="1"/>
  <c r="AC929" i="1"/>
  <c r="AD929" i="1" s="1" a="1"/>
  <c r="AD929" i="1" s="1"/>
  <c r="AC930" i="1"/>
  <c r="AD930" i="1" s="1" a="1"/>
  <c r="AD930" i="1" s="1"/>
  <c r="AC931" i="1"/>
  <c r="AD931" i="1" s="1" a="1"/>
  <c r="AD931" i="1" s="1"/>
  <c r="AC932" i="1"/>
  <c r="AD932" i="1" s="1" a="1"/>
  <c r="AD932" i="1" s="1"/>
  <c r="AC933" i="1"/>
  <c r="AD933" i="1" s="1" a="1"/>
  <c r="AD933" i="1" s="1"/>
  <c r="AC934" i="1"/>
  <c r="AD934" i="1" s="1" a="1"/>
  <c r="AD934" i="1" s="1"/>
  <c r="AC935" i="1"/>
  <c r="AD935" i="1" s="1" a="1"/>
  <c r="AD935" i="1" s="1"/>
  <c r="AC936" i="1"/>
  <c r="AD936" i="1" s="1" a="1"/>
  <c r="AD936" i="1" s="1"/>
  <c r="AC937" i="1"/>
  <c r="AD937" i="1" s="1" a="1"/>
  <c r="AD937" i="1" s="1"/>
  <c r="AC938" i="1"/>
  <c r="AD938" i="1" s="1" a="1"/>
  <c r="AD938" i="1" s="1"/>
  <c r="AC939" i="1"/>
  <c r="AD939" i="1" s="1" a="1"/>
  <c r="AD939" i="1" s="1"/>
  <c r="AC940" i="1"/>
  <c r="AD940" i="1" s="1" a="1"/>
  <c r="AD940" i="1" s="1"/>
  <c r="AC941" i="1"/>
  <c r="AD941" i="1" s="1" a="1"/>
  <c r="AD941" i="1" s="1"/>
  <c r="AC942" i="1"/>
  <c r="AD942" i="1" s="1" a="1"/>
  <c r="AD942" i="1" s="1"/>
  <c r="AC943" i="1"/>
  <c r="AD943" i="1" s="1" a="1"/>
  <c r="AD943" i="1" s="1"/>
  <c r="AC944" i="1"/>
  <c r="AD944" i="1" s="1" a="1"/>
  <c r="AD944" i="1" s="1"/>
  <c r="AC945" i="1"/>
  <c r="AD945" i="1" s="1" a="1"/>
  <c r="AD945" i="1" s="1"/>
  <c r="AC946" i="1"/>
  <c r="AD946" i="1" s="1" a="1"/>
  <c r="AD946" i="1" s="1"/>
  <c r="AC947" i="1"/>
  <c r="AD947" i="1" s="1" a="1"/>
  <c r="AD947" i="1" s="1"/>
  <c r="AC948" i="1"/>
  <c r="AD948" i="1" s="1" a="1"/>
  <c r="AD948" i="1" s="1"/>
  <c r="AC949" i="1"/>
  <c r="AD949" i="1" s="1" a="1"/>
  <c r="AD949" i="1" s="1"/>
  <c r="AC950" i="1"/>
  <c r="AD950" i="1" s="1" a="1"/>
  <c r="AD950" i="1" s="1"/>
  <c r="AC951" i="1"/>
  <c r="AD951" i="1" s="1" a="1"/>
  <c r="AD951" i="1" s="1"/>
  <c r="AC952" i="1"/>
  <c r="AD952" i="1" s="1" a="1"/>
  <c r="AD952" i="1" s="1"/>
  <c r="AC953" i="1"/>
  <c r="AD953" i="1" s="1" a="1"/>
  <c r="AD953" i="1" s="1"/>
  <c r="AC954" i="1"/>
  <c r="AD954" i="1" s="1" a="1"/>
  <c r="AD954" i="1" s="1"/>
  <c r="AC955" i="1"/>
  <c r="AD955" i="1" s="1" a="1"/>
  <c r="AD955" i="1" s="1"/>
  <c r="AC956" i="1"/>
  <c r="AD956" i="1" s="1" a="1"/>
  <c r="AD956" i="1" s="1"/>
  <c r="AC957" i="1"/>
  <c r="AD957" i="1" s="1" a="1"/>
  <c r="AD957" i="1" s="1"/>
  <c r="AC958" i="1"/>
  <c r="AD958" i="1" s="1" a="1"/>
  <c r="AD958" i="1" s="1"/>
  <c r="AC959" i="1"/>
  <c r="AD959" i="1" s="1" a="1"/>
  <c r="AD959" i="1" s="1"/>
  <c r="AC960" i="1"/>
  <c r="AD960" i="1" s="1" a="1"/>
  <c r="AD960" i="1" s="1"/>
  <c r="AC961" i="1"/>
  <c r="AD961" i="1" s="1" a="1"/>
  <c r="AD961" i="1" s="1"/>
  <c r="AC962" i="1"/>
  <c r="AD962" i="1" s="1" a="1"/>
  <c r="AD962" i="1" s="1"/>
  <c r="AC963" i="1"/>
  <c r="AD963" i="1" s="1" a="1"/>
  <c r="AD963" i="1" s="1"/>
  <c r="AC964" i="1"/>
  <c r="AD964" i="1" s="1" a="1"/>
  <c r="AD964" i="1" s="1"/>
  <c r="AC965" i="1"/>
  <c r="AD965" i="1" s="1" a="1"/>
  <c r="AD965" i="1" s="1"/>
  <c r="AC966" i="1"/>
  <c r="AD966" i="1" s="1" a="1"/>
  <c r="AD966" i="1" s="1"/>
  <c r="AC967" i="1"/>
  <c r="AD967" i="1" s="1" a="1"/>
  <c r="AD967" i="1" s="1"/>
  <c r="AC968" i="1"/>
  <c r="AD968" i="1" s="1" a="1"/>
  <c r="AD968" i="1" s="1"/>
  <c r="AC969" i="1"/>
  <c r="AD969" i="1" s="1" a="1"/>
  <c r="AD969" i="1" s="1"/>
  <c r="AC970" i="1"/>
  <c r="AD970" i="1" s="1" a="1"/>
  <c r="AD970" i="1" s="1"/>
  <c r="AC971" i="1"/>
  <c r="AD971" i="1" s="1" a="1"/>
  <c r="AD971" i="1" s="1"/>
  <c r="AC972" i="1"/>
  <c r="AD972" i="1" s="1" a="1"/>
  <c r="AD972" i="1" s="1"/>
  <c r="AC973" i="1"/>
  <c r="AD973" i="1" s="1" a="1"/>
  <c r="AD973" i="1" s="1"/>
  <c r="AC974" i="1"/>
  <c r="AD974" i="1" s="1" a="1"/>
  <c r="AD974" i="1" s="1"/>
  <c r="AC975" i="1"/>
  <c r="AD975" i="1" s="1" a="1"/>
  <c r="AD975" i="1" s="1"/>
  <c r="AC976" i="1"/>
  <c r="AD976" i="1" s="1" a="1"/>
  <c r="AD976" i="1" s="1"/>
  <c r="AC977" i="1"/>
  <c r="AD977" i="1" s="1" a="1"/>
  <c r="AD977" i="1" s="1"/>
  <c r="AC978" i="1"/>
  <c r="AD978" i="1" s="1" a="1"/>
  <c r="AD978" i="1" s="1"/>
  <c r="AC979" i="1"/>
  <c r="AD979" i="1" s="1" a="1"/>
  <c r="AD979" i="1" s="1"/>
  <c r="AC980" i="1"/>
  <c r="AD980" i="1" s="1" a="1"/>
  <c r="AD980" i="1" s="1"/>
  <c r="AC981" i="1"/>
  <c r="AD981" i="1" s="1" a="1"/>
  <c r="AD981" i="1" s="1"/>
  <c r="AC982" i="1"/>
  <c r="AD982" i="1" s="1" a="1"/>
  <c r="AD982" i="1" s="1"/>
  <c r="AC983" i="1"/>
  <c r="AD983" i="1" s="1" a="1"/>
  <c r="AD983" i="1" s="1"/>
  <c r="AC984" i="1"/>
  <c r="AD984" i="1" s="1" a="1"/>
  <c r="AD984" i="1" s="1"/>
  <c r="AC985" i="1"/>
  <c r="AD985" i="1" s="1" a="1"/>
  <c r="AD985" i="1" s="1"/>
  <c r="AC986" i="1"/>
  <c r="AD986" i="1" s="1" a="1"/>
  <c r="AD986" i="1" s="1"/>
  <c r="AC987" i="1"/>
  <c r="AD987" i="1" s="1" a="1"/>
  <c r="AD987" i="1" s="1"/>
  <c r="AC988" i="1"/>
  <c r="AD988" i="1" s="1" a="1"/>
  <c r="AD988" i="1" s="1"/>
  <c r="AC989" i="1"/>
  <c r="AD989" i="1" s="1" a="1"/>
  <c r="AD989" i="1" s="1"/>
  <c r="AC990" i="1"/>
  <c r="AD990" i="1" s="1" a="1"/>
  <c r="AD990" i="1" s="1"/>
  <c r="AC991" i="1"/>
  <c r="AD991" i="1" s="1" a="1"/>
  <c r="AD991" i="1" s="1"/>
  <c r="AC992" i="1"/>
  <c r="AD992" i="1" s="1" a="1"/>
  <c r="AD992" i="1" s="1"/>
  <c r="AC993" i="1"/>
  <c r="AD993" i="1" s="1" a="1"/>
  <c r="AD993" i="1" s="1"/>
  <c r="AC994" i="1"/>
  <c r="AD994" i="1" s="1" a="1"/>
  <c r="AD994" i="1" s="1"/>
  <c r="AC995" i="1"/>
  <c r="AD995" i="1" s="1" a="1"/>
  <c r="AD995" i="1" s="1"/>
  <c r="AC996" i="1"/>
  <c r="AD996" i="1" s="1" a="1"/>
  <c r="AD996" i="1" s="1"/>
  <c r="AC997" i="1"/>
  <c r="AD997" i="1" s="1" a="1"/>
  <c r="AD997" i="1" s="1"/>
  <c r="AC998" i="1"/>
  <c r="AD998" i="1" s="1" a="1"/>
  <c r="AD998" i="1" s="1"/>
  <c r="AC999" i="1"/>
  <c r="AD999" i="1" s="1" a="1"/>
  <c r="AD999" i="1" s="1"/>
  <c r="AC1000" i="1"/>
  <c r="AD1000" i="1" s="1" a="1"/>
  <c r="AD1000" i="1" s="1"/>
  <c r="AC1001" i="1"/>
  <c r="AD1001" i="1" s="1" a="1"/>
  <c r="AD1001" i="1" s="1"/>
  <c r="AC1002" i="1"/>
  <c r="AD1002" i="1" s="1" a="1"/>
  <c r="AD1002" i="1" s="1"/>
  <c r="AC1003" i="1"/>
  <c r="AD1003" i="1" s="1" a="1"/>
  <c r="AD1003" i="1" s="1"/>
  <c r="AC1004" i="1"/>
  <c r="AD1004" i="1" s="1" a="1"/>
  <c r="AD1004" i="1" s="1"/>
  <c r="AC1005" i="1"/>
  <c r="AD1005" i="1" s="1" a="1"/>
  <c r="AD1005" i="1" s="1"/>
  <c r="AC1006" i="1"/>
  <c r="AD1006" i="1" s="1" a="1"/>
  <c r="AD1006" i="1" s="1"/>
  <c r="AC1007" i="1"/>
  <c r="AD1007" i="1" s="1" a="1"/>
  <c r="AD1007" i="1" s="1"/>
  <c r="AC1008" i="1"/>
  <c r="AD1008" i="1" s="1" a="1"/>
  <c r="AD1008" i="1" s="1"/>
  <c r="AC1009" i="1"/>
  <c r="AD1009" i="1" s="1" a="1"/>
  <c r="AD1009" i="1" s="1"/>
  <c r="AC1010" i="1"/>
  <c r="AD1010" i="1" s="1" a="1"/>
  <c r="AD1010" i="1" s="1"/>
  <c r="AC1011" i="1"/>
  <c r="AD1011" i="1" s="1" a="1"/>
  <c r="AD1011" i="1" s="1"/>
  <c r="AC1012" i="1"/>
  <c r="AD1012" i="1" s="1" a="1"/>
  <c r="AD1012" i="1" s="1"/>
  <c r="AC1013" i="1"/>
  <c r="AD1013" i="1" s="1" a="1"/>
  <c r="AD1013" i="1" s="1"/>
  <c r="AC1014" i="1"/>
  <c r="AD1014" i="1" s="1" a="1"/>
  <c r="AD1014" i="1" s="1"/>
  <c r="AC1015" i="1"/>
  <c r="AD1015" i="1" s="1" a="1"/>
  <c r="AD1015" i="1" s="1"/>
  <c r="AC1016" i="1"/>
  <c r="AD1016" i="1" s="1" a="1"/>
  <c r="AD1016" i="1" s="1"/>
  <c r="AC1017" i="1"/>
  <c r="AD1017" i="1" s="1" a="1"/>
  <c r="AD1017" i="1" s="1"/>
  <c r="AC1018" i="1"/>
  <c r="AD1018" i="1" s="1" a="1"/>
  <c r="AD1018" i="1" s="1"/>
  <c r="AC1019" i="1"/>
  <c r="AD1019" i="1" s="1" a="1"/>
  <c r="AD1019" i="1" s="1"/>
  <c r="AC1020" i="1"/>
  <c r="AD1020" i="1" s="1" a="1"/>
  <c r="AD1020" i="1" s="1"/>
  <c r="AC1021" i="1"/>
  <c r="AD1021" i="1" s="1" a="1"/>
  <c r="AD1021" i="1" s="1"/>
  <c r="AC1022" i="1"/>
  <c r="AD1022" i="1" s="1" a="1"/>
  <c r="AD1022" i="1" s="1"/>
  <c r="AC1023" i="1"/>
  <c r="AD1023" i="1" s="1" a="1"/>
  <c r="AD1023" i="1" s="1"/>
  <c r="AC1024" i="1"/>
  <c r="AD1024" i="1" s="1" a="1"/>
  <c r="AD1024" i="1" s="1"/>
  <c r="AC1025" i="1"/>
  <c r="AD1025" i="1" s="1" a="1"/>
  <c r="AD1025" i="1" s="1"/>
  <c r="AC1026" i="1"/>
  <c r="AD1026" i="1" s="1" a="1"/>
  <c r="AD1026" i="1" s="1"/>
  <c r="AC1027" i="1"/>
  <c r="AD1027" i="1" s="1" a="1"/>
  <c r="AD1027" i="1" s="1"/>
  <c r="AC1028" i="1"/>
  <c r="AD1028" i="1" s="1" a="1"/>
  <c r="AD1028" i="1" s="1"/>
  <c r="AC1029" i="1"/>
  <c r="AD1029" i="1" s="1" a="1"/>
  <c r="AD1029" i="1" s="1"/>
  <c r="AC1030" i="1"/>
  <c r="AD1030" i="1" s="1" a="1"/>
  <c r="AD1030" i="1" s="1"/>
  <c r="AC1031" i="1"/>
  <c r="AD1031" i="1" s="1" a="1"/>
  <c r="AD1031" i="1" s="1"/>
  <c r="AC1032" i="1"/>
  <c r="AD1032" i="1" s="1" a="1"/>
  <c r="AD1032" i="1" s="1"/>
  <c r="AC1033" i="1"/>
  <c r="AD1033" i="1" s="1" a="1"/>
  <c r="AD1033" i="1" s="1"/>
  <c r="AC1034" i="1"/>
  <c r="AD1034" i="1" s="1" a="1"/>
  <c r="AD1034" i="1" s="1"/>
  <c r="AC1035" i="1"/>
  <c r="AD1035" i="1" s="1" a="1"/>
  <c r="AD1035" i="1" s="1"/>
  <c r="AC1036" i="1"/>
  <c r="AD1036" i="1" s="1" a="1"/>
  <c r="AD1036" i="1" s="1"/>
  <c r="AC1037" i="1"/>
  <c r="AD1037" i="1" s="1" a="1"/>
  <c r="AD1037" i="1" s="1"/>
  <c r="AC1038" i="1"/>
  <c r="AD1038" i="1" s="1" a="1"/>
  <c r="AD1038" i="1" s="1"/>
  <c r="AC1039" i="1"/>
  <c r="AD1039" i="1" s="1" a="1"/>
  <c r="AD1039" i="1" s="1"/>
  <c r="AC1040" i="1"/>
  <c r="AD1040" i="1" s="1" a="1"/>
  <c r="AD1040" i="1" s="1"/>
  <c r="AC1041" i="1"/>
  <c r="AD1041" i="1" s="1" a="1"/>
  <c r="AD1041" i="1" s="1"/>
  <c r="AC1042" i="1"/>
  <c r="AD1042" i="1" s="1" a="1"/>
  <c r="AD1042" i="1" s="1"/>
  <c r="AC1043" i="1"/>
  <c r="AD1043" i="1" s="1" a="1"/>
  <c r="AD1043" i="1" s="1"/>
  <c r="AC1044" i="1"/>
  <c r="AD1044" i="1" s="1" a="1"/>
  <c r="AD1044" i="1" s="1"/>
  <c r="AC1045" i="1"/>
  <c r="AD1045" i="1" s="1" a="1"/>
  <c r="AD1045" i="1" s="1"/>
  <c r="AC1046" i="1"/>
  <c r="AD1046" i="1" s="1" a="1"/>
  <c r="AD1046" i="1" s="1"/>
  <c r="AC1047" i="1"/>
  <c r="AD1047" i="1" s="1" a="1"/>
  <c r="AD1047" i="1" s="1"/>
  <c r="AC1048" i="1"/>
  <c r="AD1048" i="1" s="1" a="1"/>
  <c r="AD1048" i="1" s="1"/>
  <c r="AC1049" i="1"/>
  <c r="AD1049" i="1" s="1" a="1"/>
  <c r="AD1049" i="1" s="1"/>
  <c r="AC1050" i="1"/>
  <c r="AD1050" i="1" s="1" a="1"/>
  <c r="AD1050" i="1" s="1"/>
  <c r="AC1051" i="1"/>
  <c r="AD1051" i="1" s="1" a="1"/>
  <c r="AD1051" i="1" s="1"/>
  <c r="AC1052" i="1"/>
  <c r="AD1052" i="1" s="1" a="1"/>
  <c r="AD1052" i="1" s="1"/>
  <c r="AC1053" i="1"/>
  <c r="AD1053" i="1" s="1" a="1"/>
  <c r="AD1053" i="1" s="1"/>
  <c r="AC1054" i="1"/>
  <c r="AD1054" i="1" s="1" a="1"/>
  <c r="AD1054" i="1" s="1"/>
  <c r="AC1055" i="1"/>
  <c r="AD1055" i="1" s="1" a="1"/>
  <c r="AD1055" i="1" s="1"/>
  <c r="AC1056" i="1"/>
  <c r="AD1056" i="1" s="1" a="1"/>
  <c r="AD1056" i="1" s="1"/>
  <c r="AC1057" i="1"/>
  <c r="AD1057" i="1" s="1" a="1"/>
  <c r="AD1057" i="1" s="1"/>
  <c r="AC1058" i="1"/>
  <c r="AD1058" i="1" s="1" a="1"/>
  <c r="AD1058" i="1" s="1"/>
  <c r="AC1059" i="1"/>
  <c r="AD1059" i="1" s="1" a="1"/>
  <c r="AD1059" i="1" s="1"/>
  <c r="AC1060" i="1"/>
  <c r="AD1060" i="1" s="1" a="1"/>
  <c r="AD1060" i="1" s="1"/>
  <c r="AC1061" i="1"/>
  <c r="AD1061" i="1" s="1" a="1"/>
  <c r="AD1061" i="1" s="1"/>
  <c r="AC1062" i="1"/>
  <c r="AD1062" i="1" s="1" a="1"/>
  <c r="AD1062" i="1" s="1"/>
  <c r="AC1063" i="1"/>
  <c r="AD1063" i="1" s="1" a="1"/>
  <c r="AD1063" i="1" s="1"/>
  <c r="AC1064" i="1"/>
  <c r="AD1064" i="1" s="1" a="1"/>
  <c r="AD1064" i="1" s="1"/>
  <c r="AC1065" i="1"/>
  <c r="AD1065" i="1" s="1" a="1"/>
  <c r="AD1065" i="1" s="1"/>
  <c r="AC1066" i="1"/>
  <c r="AD1066" i="1" s="1" a="1"/>
  <c r="AD1066" i="1" s="1"/>
  <c r="AC1067" i="1"/>
  <c r="AD1067" i="1" s="1" a="1"/>
  <c r="AD1067" i="1" s="1"/>
  <c r="AC1068" i="1"/>
  <c r="AD1068" i="1" s="1" a="1"/>
  <c r="AD1068" i="1" s="1"/>
  <c r="AC1069" i="1"/>
  <c r="AD1069" i="1" s="1" a="1"/>
  <c r="AD1069" i="1" s="1"/>
  <c r="AC1070" i="1"/>
  <c r="AD1070" i="1" s="1" a="1"/>
  <c r="AD1070" i="1" s="1"/>
  <c r="AC1071" i="1"/>
  <c r="AD1071" i="1" s="1" a="1"/>
  <c r="AD1071" i="1" s="1"/>
  <c r="AC1072" i="1"/>
  <c r="AD1072" i="1" s="1" a="1"/>
  <c r="AD1072" i="1" s="1"/>
  <c r="AC1073" i="1"/>
  <c r="AD1073" i="1" s="1" a="1"/>
  <c r="AD1073" i="1" s="1"/>
  <c r="AC1074" i="1"/>
  <c r="AD1074" i="1" s="1" a="1"/>
  <c r="AD1074" i="1" s="1"/>
  <c r="AC1075" i="1"/>
  <c r="AD1075" i="1" s="1" a="1"/>
  <c r="AD1075" i="1" s="1"/>
  <c r="AC1076" i="1"/>
  <c r="AD1076" i="1" s="1" a="1"/>
  <c r="AD1076" i="1" s="1"/>
  <c r="AC1077" i="1"/>
  <c r="AD1077" i="1" s="1" a="1"/>
  <c r="AD1077" i="1" s="1"/>
  <c r="AC1078" i="1"/>
  <c r="AD1078" i="1" s="1" a="1"/>
  <c r="AD1078" i="1" s="1"/>
  <c r="AC1079" i="1"/>
  <c r="AD1079" i="1" s="1" a="1"/>
  <c r="AD1079" i="1" s="1"/>
  <c r="AC1080" i="1"/>
  <c r="AD1080" i="1" s="1" a="1"/>
  <c r="AD1080" i="1" s="1"/>
  <c r="AC1081" i="1"/>
  <c r="AD1081" i="1" s="1" a="1"/>
  <c r="AD1081" i="1" s="1"/>
  <c r="AC1082" i="1"/>
  <c r="AD1082" i="1" s="1" a="1"/>
  <c r="AD1082" i="1" s="1"/>
  <c r="AC1083" i="1"/>
  <c r="AD1083" i="1" s="1" a="1"/>
  <c r="AD1083" i="1" s="1"/>
  <c r="AC1084" i="1"/>
  <c r="AD1084" i="1" s="1" a="1"/>
  <c r="AD1084" i="1" s="1"/>
  <c r="AC1085" i="1"/>
  <c r="AD1085" i="1" s="1" a="1"/>
  <c r="AD1085" i="1" s="1"/>
  <c r="AC1086" i="1"/>
  <c r="AD1086" i="1" s="1" a="1"/>
  <c r="AD1086" i="1" s="1"/>
  <c r="AC1087" i="1"/>
  <c r="AD1087" i="1" s="1" a="1"/>
  <c r="AD1087" i="1" s="1"/>
  <c r="AC1088" i="1"/>
  <c r="AD1088" i="1" s="1" a="1"/>
  <c r="AD1088" i="1" s="1"/>
  <c r="AC1089" i="1"/>
  <c r="AD1089" i="1" s="1" a="1"/>
  <c r="AD1089" i="1" s="1"/>
  <c r="AC1090" i="1"/>
  <c r="AD1090" i="1" s="1" a="1"/>
  <c r="AD1090" i="1" s="1"/>
  <c r="AC1091" i="1"/>
  <c r="AD1091" i="1" s="1" a="1"/>
  <c r="AD1091" i="1" s="1"/>
  <c r="AC1092" i="1"/>
  <c r="AD1092" i="1" s="1" a="1"/>
  <c r="AD1092" i="1" s="1"/>
  <c r="AC1093" i="1"/>
  <c r="AD1093" i="1" s="1" a="1"/>
  <c r="AD1093" i="1" s="1"/>
  <c r="AC1094" i="1"/>
  <c r="AD1094" i="1" s="1" a="1"/>
  <c r="AD1094" i="1" s="1"/>
  <c r="AC1095" i="1"/>
  <c r="AD1095" i="1" s="1" a="1"/>
  <c r="AD1095" i="1" s="1"/>
  <c r="AC1096" i="1"/>
  <c r="AD1096" i="1" s="1" a="1"/>
  <c r="AD1096" i="1" s="1"/>
  <c r="AC1097" i="1"/>
  <c r="AD1097" i="1" s="1" a="1"/>
  <c r="AD1097" i="1" s="1"/>
  <c r="AC1098" i="1"/>
  <c r="AD1098" i="1" s="1" a="1"/>
  <c r="AD1098" i="1" s="1"/>
  <c r="AC1099" i="1"/>
  <c r="AD1099" i="1" s="1" a="1"/>
  <c r="AD1099" i="1" s="1"/>
  <c r="AC1100" i="1"/>
  <c r="AD1100" i="1" s="1" a="1"/>
  <c r="AD1100" i="1" s="1"/>
  <c r="AC1101" i="1"/>
  <c r="AD1101" i="1" s="1" a="1"/>
  <c r="AD1101" i="1" s="1"/>
  <c r="AC1102" i="1"/>
  <c r="AD1102" i="1" s="1" a="1"/>
  <c r="AD1102" i="1" s="1"/>
  <c r="AC1103" i="1"/>
  <c r="AD1103" i="1" s="1" a="1"/>
  <c r="AD1103" i="1" s="1"/>
  <c r="AC1104" i="1"/>
  <c r="AD1104" i="1" s="1" a="1"/>
  <c r="AD1104" i="1" s="1"/>
  <c r="AC1105" i="1"/>
  <c r="AD1105" i="1" s="1" a="1"/>
  <c r="AD1105" i="1" s="1"/>
  <c r="AC1106" i="1"/>
  <c r="AD1106" i="1" s="1" a="1"/>
  <c r="AD1106" i="1" s="1"/>
  <c r="AC1107" i="1"/>
  <c r="AD1107" i="1" s="1" a="1"/>
  <c r="AD1107" i="1" s="1"/>
  <c r="AC1108" i="1"/>
  <c r="AD1108" i="1" s="1" a="1"/>
  <c r="AD1108" i="1" s="1"/>
  <c r="AC1109" i="1"/>
  <c r="AD1109" i="1" s="1" a="1"/>
  <c r="AD1109" i="1" s="1"/>
  <c r="AC1110" i="1"/>
  <c r="AD1110" i="1" s="1" a="1"/>
  <c r="AD1110" i="1" s="1"/>
  <c r="AC1111" i="1"/>
  <c r="AD1111" i="1" s="1" a="1"/>
  <c r="AD1111" i="1" s="1"/>
  <c r="AC1112" i="1"/>
  <c r="AD1112" i="1" s="1" a="1"/>
  <c r="AD1112" i="1" s="1"/>
  <c r="AC1113" i="1"/>
  <c r="AD1113" i="1" s="1" a="1"/>
  <c r="AD1113" i="1" s="1"/>
  <c r="AC1114" i="1"/>
  <c r="AD1114" i="1" s="1" a="1"/>
  <c r="AD1114" i="1" s="1"/>
  <c r="AC1115" i="1"/>
  <c r="AD1115" i="1" s="1" a="1"/>
  <c r="AD1115" i="1" s="1"/>
  <c r="AC1116" i="1"/>
  <c r="AD1116" i="1" s="1" a="1"/>
  <c r="AD1116" i="1" s="1"/>
  <c r="AC1117" i="1"/>
  <c r="AD1117" i="1" s="1" a="1"/>
  <c r="AD1117" i="1" s="1"/>
  <c r="AC1118" i="1"/>
  <c r="AD1118" i="1" s="1" a="1"/>
  <c r="AD1118" i="1" s="1"/>
  <c r="AC1119" i="1"/>
  <c r="AD1119" i="1" s="1" a="1"/>
  <c r="AD1119" i="1" s="1"/>
  <c r="AC1120" i="1"/>
  <c r="AD1120" i="1" s="1" a="1"/>
  <c r="AD1120" i="1" s="1"/>
  <c r="AC1121" i="1"/>
  <c r="AD1121" i="1" s="1" a="1"/>
  <c r="AD1121" i="1" s="1"/>
  <c r="AC1122" i="1"/>
  <c r="AD1122" i="1" s="1" a="1"/>
  <c r="AD1122" i="1" s="1"/>
  <c r="AC1123" i="1"/>
  <c r="AD1123" i="1" s="1" a="1"/>
  <c r="AD1123" i="1" s="1"/>
  <c r="AC1124" i="1"/>
  <c r="AD1124" i="1" s="1" a="1"/>
  <c r="AD1124" i="1" s="1"/>
  <c r="AC1125" i="1"/>
  <c r="AD1125" i="1" s="1" a="1"/>
  <c r="AD1125" i="1" s="1"/>
  <c r="AC1126" i="1"/>
  <c r="AD1126" i="1" s="1" a="1"/>
  <c r="AD1126" i="1" s="1"/>
  <c r="AC1127" i="1"/>
  <c r="AD1127" i="1" s="1" a="1"/>
  <c r="AD1127" i="1" s="1"/>
  <c r="AC1128" i="1"/>
  <c r="AD1128" i="1" s="1" a="1"/>
  <c r="AD1128" i="1" s="1"/>
  <c r="AC1129" i="1"/>
  <c r="AD1129" i="1" s="1" a="1"/>
  <c r="AD1129" i="1" s="1"/>
  <c r="AC1130" i="1"/>
  <c r="AD1130" i="1" s="1" a="1"/>
  <c r="AD1130" i="1" s="1"/>
  <c r="AC1131" i="1"/>
  <c r="AD1131" i="1" s="1" a="1"/>
  <c r="AD1131" i="1" s="1"/>
  <c r="AC1132" i="1"/>
  <c r="AD1132" i="1" s="1" a="1"/>
  <c r="AD1132" i="1" s="1"/>
  <c r="AC1133" i="1"/>
  <c r="AD1133" i="1" s="1" a="1"/>
  <c r="AD1133" i="1" s="1"/>
  <c r="AC1134" i="1"/>
  <c r="AD1134" i="1" s="1" a="1"/>
  <c r="AD1134" i="1" s="1"/>
  <c r="AC1135" i="1"/>
  <c r="AD1135" i="1" s="1" a="1"/>
  <c r="AD1135" i="1" s="1"/>
  <c r="AC1136" i="1"/>
  <c r="AD1136" i="1" s="1" a="1"/>
  <c r="AD1136" i="1" s="1"/>
  <c r="AC1137" i="1"/>
  <c r="AD1137" i="1" s="1" a="1"/>
  <c r="AD1137" i="1" s="1"/>
  <c r="AC1138" i="1"/>
  <c r="AD1138" i="1" s="1" a="1"/>
  <c r="AD1138" i="1" s="1"/>
  <c r="AC1139" i="1"/>
  <c r="AD1139" i="1" s="1" a="1"/>
  <c r="AD1139" i="1" s="1"/>
  <c r="AC1140" i="1"/>
  <c r="AD1140" i="1" s="1" a="1"/>
  <c r="AD1140" i="1" s="1"/>
  <c r="AC1141" i="1"/>
  <c r="AD1141" i="1" s="1" a="1"/>
  <c r="AD1141" i="1" s="1"/>
  <c r="AC1142" i="1"/>
  <c r="AD1142" i="1" s="1" a="1"/>
  <c r="AD1142" i="1" s="1"/>
  <c r="AC1143" i="1"/>
  <c r="AD1143" i="1" s="1" a="1"/>
  <c r="AD1143" i="1" s="1"/>
  <c r="AC1144" i="1"/>
  <c r="AD1144" i="1" s="1" a="1"/>
  <c r="AD1144" i="1" s="1"/>
  <c r="AC1145" i="1"/>
  <c r="AD1145" i="1" s="1" a="1"/>
  <c r="AD1145" i="1" s="1"/>
  <c r="AC1146" i="1"/>
  <c r="AD1146" i="1" s="1" a="1"/>
  <c r="AD1146" i="1" s="1"/>
  <c r="AC1147" i="1"/>
  <c r="AD1147" i="1" s="1" a="1"/>
  <c r="AD1147" i="1" s="1"/>
  <c r="AC1148" i="1"/>
  <c r="AD1148" i="1" s="1" a="1"/>
  <c r="AD1148" i="1" s="1"/>
  <c r="AC1149" i="1"/>
  <c r="AD1149" i="1" s="1" a="1"/>
  <c r="AD1149" i="1" s="1"/>
  <c r="AC1150" i="1"/>
  <c r="AD1150" i="1" s="1" a="1"/>
  <c r="AD1150" i="1" s="1"/>
  <c r="AC1151" i="1"/>
  <c r="AD1151" i="1" s="1" a="1"/>
  <c r="AD1151" i="1" s="1"/>
  <c r="AC1152" i="1"/>
  <c r="AD1152" i="1" s="1" a="1"/>
  <c r="AD1152" i="1" s="1"/>
  <c r="AC1153" i="1"/>
  <c r="AD1153" i="1" s="1" a="1"/>
  <c r="AD1153" i="1" s="1"/>
  <c r="AC1154" i="1"/>
  <c r="AD1154" i="1" s="1" a="1"/>
  <c r="AD1154" i="1" s="1"/>
  <c r="AC1155" i="1"/>
  <c r="AD1155" i="1" s="1" a="1"/>
  <c r="AD1155" i="1" s="1"/>
  <c r="AC1156" i="1"/>
  <c r="AD1156" i="1" s="1" a="1"/>
  <c r="AD1156" i="1" s="1"/>
  <c r="AC1157" i="1"/>
  <c r="AD1157" i="1" s="1" a="1"/>
  <c r="AD1157" i="1" s="1"/>
  <c r="AC1158" i="1"/>
  <c r="AD1158" i="1" s="1" a="1"/>
  <c r="AD1158" i="1" s="1"/>
  <c r="AC1159" i="1"/>
  <c r="AD1159" i="1" s="1" a="1"/>
  <c r="AD1159" i="1" s="1"/>
  <c r="AC1160" i="1"/>
  <c r="AD1160" i="1" s="1" a="1"/>
  <c r="AD1160" i="1" s="1"/>
  <c r="AC1161" i="1"/>
  <c r="AD1161" i="1" s="1" a="1"/>
  <c r="AD1161" i="1" s="1"/>
  <c r="AC1162" i="1"/>
  <c r="AD1162" i="1" s="1" a="1"/>
  <c r="AD1162" i="1" s="1"/>
  <c r="AC1163" i="1"/>
  <c r="AD1163" i="1" s="1" a="1"/>
  <c r="AD1163" i="1" s="1"/>
  <c r="AC1164" i="1"/>
  <c r="AD1164" i="1" s="1" a="1"/>
  <c r="AD1164" i="1" s="1"/>
  <c r="AC1165" i="1"/>
  <c r="AD1165" i="1" s="1" a="1"/>
  <c r="AD1165" i="1" s="1"/>
  <c r="AC1166" i="1"/>
  <c r="AD1166" i="1" s="1" a="1"/>
  <c r="AD1166" i="1" s="1"/>
  <c r="AC1167" i="1"/>
  <c r="AD1167" i="1" s="1" a="1"/>
  <c r="AD1167" i="1" s="1"/>
  <c r="AC1168" i="1"/>
  <c r="AD1168" i="1" s="1" a="1"/>
  <c r="AD1168" i="1" s="1"/>
  <c r="AC1169" i="1"/>
  <c r="AD1169" i="1" s="1" a="1"/>
  <c r="AD1169" i="1" s="1"/>
  <c r="AC1170" i="1"/>
  <c r="AD1170" i="1" s="1" a="1"/>
  <c r="AD1170" i="1" s="1"/>
  <c r="AC1171" i="1"/>
  <c r="AD1171" i="1" s="1" a="1"/>
  <c r="AD1171" i="1" s="1"/>
  <c r="AC1172" i="1"/>
  <c r="AD1172" i="1" s="1" a="1"/>
  <c r="AD1172" i="1" s="1"/>
  <c r="AC1173" i="1"/>
  <c r="AD1173" i="1" s="1" a="1"/>
  <c r="AD1173" i="1" s="1"/>
  <c r="AC1174" i="1"/>
  <c r="AD1174" i="1" s="1" a="1"/>
  <c r="AD1174" i="1" s="1"/>
  <c r="AC1175" i="1"/>
  <c r="AD1175" i="1" s="1" a="1"/>
  <c r="AD1175" i="1" s="1"/>
  <c r="AC1176" i="1"/>
  <c r="AD1176" i="1" s="1" a="1"/>
  <c r="AD1176" i="1" s="1"/>
  <c r="AC1177" i="1"/>
  <c r="AD1177" i="1" s="1" a="1"/>
  <c r="AD1177" i="1" s="1"/>
  <c r="AC1178" i="1"/>
  <c r="AD1178" i="1" s="1" a="1"/>
  <c r="AD1178" i="1" s="1"/>
  <c r="AC1179" i="1"/>
  <c r="AD1179" i="1" s="1" a="1"/>
  <c r="AD1179" i="1" s="1"/>
  <c r="AC1180" i="1"/>
  <c r="AD1180" i="1" s="1" a="1"/>
  <c r="AD1180" i="1" s="1"/>
  <c r="AC1181" i="1"/>
  <c r="AD1181" i="1" s="1" a="1"/>
  <c r="AD1181" i="1" s="1"/>
  <c r="AC1182" i="1"/>
  <c r="AD1182" i="1" s="1" a="1"/>
  <c r="AD1182" i="1" s="1"/>
  <c r="AC1183" i="1"/>
  <c r="AD1183" i="1" s="1" a="1"/>
  <c r="AD1183" i="1" s="1"/>
  <c r="AC1184" i="1"/>
  <c r="AD1184" i="1" s="1" a="1"/>
  <c r="AD1184" i="1" s="1"/>
  <c r="AC1185" i="1"/>
  <c r="AD1185" i="1" s="1" a="1"/>
  <c r="AD1185" i="1" s="1"/>
  <c r="AC1186" i="1"/>
  <c r="AD1186" i="1" s="1" a="1"/>
  <c r="AD1186" i="1" s="1"/>
  <c r="AC1187" i="1"/>
  <c r="AD1187" i="1" s="1" a="1"/>
  <c r="AD1187" i="1" s="1"/>
  <c r="AC1188" i="1"/>
  <c r="AD1188" i="1" s="1" a="1"/>
  <c r="AD1188" i="1" s="1"/>
  <c r="AC1189" i="1"/>
  <c r="AD1189" i="1" s="1" a="1"/>
  <c r="AD1189" i="1" s="1"/>
  <c r="AC1190" i="1"/>
  <c r="AD1190" i="1" s="1" a="1"/>
  <c r="AD1190" i="1" s="1"/>
  <c r="AC1191" i="1"/>
  <c r="AD1191" i="1" s="1" a="1"/>
  <c r="AD1191" i="1" s="1"/>
  <c r="AC1192" i="1"/>
  <c r="AD1192" i="1" s="1" a="1"/>
  <c r="AD1192" i="1" s="1"/>
  <c r="AC1193" i="1"/>
  <c r="AD1193" i="1" s="1" a="1"/>
  <c r="AD1193" i="1" s="1"/>
  <c r="AC1194" i="1"/>
  <c r="AD1194" i="1" s="1" a="1"/>
  <c r="AD1194" i="1" s="1"/>
  <c r="AC1195" i="1"/>
  <c r="AD1195" i="1" s="1" a="1"/>
  <c r="AD1195" i="1" s="1"/>
  <c r="AC1196" i="1"/>
  <c r="AD1196" i="1" s="1" a="1"/>
  <c r="AD1196" i="1" s="1"/>
  <c r="AC1197" i="1"/>
  <c r="AD1197" i="1" s="1" a="1"/>
  <c r="AD1197" i="1" s="1"/>
  <c r="AC1198" i="1"/>
  <c r="AD1198" i="1" s="1" a="1"/>
  <c r="AD1198" i="1" s="1"/>
  <c r="AC1199" i="1"/>
  <c r="AD1199" i="1" s="1" a="1"/>
  <c r="AD1199" i="1" s="1"/>
  <c r="AC1200" i="1"/>
  <c r="AD1200" i="1" s="1" a="1"/>
  <c r="AD1200" i="1" s="1"/>
  <c r="AC1201" i="1"/>
  <c r="AD1201" i="1" s="1" a="1"/>
  <c r="AD1201" i="1" s="1"/>
  <c r="AC1202" i="1"/>
  <c r="AD1202" i="1" s="1" a="1"/>
  <c r="AD1202" i="1" s="1"/>
  <c r="AC1203" i="1"/>
  <c r="AD1203" i="1" s="1" a="1"/>
  <c r="AD1203" i="1" s="1"/>
  <c r="AC1204" i="1"/>
  <c r="AD1204" i="1" s="1" a="1"/>
  <c r="AD1204" i="1" s="1"/>
  <c r="AC1205" i="1"/>
  <c r="AD1205" i="1" s="1" a="1"/>
  <c r="AD1205" i="1" s="1"/>
  <c r="AC1206" i="1"/>
  <c r="AD1206" i="1" s="1" a="1"/>
  <c r="AD1206" i="1" s="1"/>
  <c r="AC1207" i="1"/>
  <c r="AD1207" i="1" s="1" a="1"/>
  <c r="AD1207" i="1" s="1"/>
  <c r="AC1208" i="1"/>
  <c r="AD1208" i="1" s="1" a="1"/>
  <c r="AD1208" i="1" s="1"/>
  <c r="AC1209" i="1"/>
  <c r="AD1209" i="1" s="1" a="1"/>
  <c r="AD1209" i="1" s="1"/>
  <c r="AC1210" i="1"/>
  <c r="AD1210" i="1" s="1" a="1"/>
  <c r="AD1210" i="1" s="1"/>
  <c r="AC1211" i="1"/>
  <c r="AD1211" i="1" s="1" a="1"/>
  <c r="AD1211" i="1" s="1"/>
  <c r="AC1212" i="1"/>
  <c r="AD1212" i="1" s="1" a="1"/>
  <c r="AD1212" i="1" s="1"/>
  <c r="AC1213" i="1"/>
  <c r="AD1213" i="1" s="1" a="1"/>
  <c r="AD1213" i="1" s="1"/>
  <c r="AC1214" i="1"/>
  <c r="AD1214" i="1" s="1" a="1"/>
  <c r="AD1214" i="1" s="1"/>
  <c r="AC1215" i="1"/>
  <c r="AD1215" i="1" s="1" a="1"/>
  <c r="AD1215" i="1" s="1"/>
  <c r="AC1216" i="1"/>
  <c r="AD1216" i="1" s="1" a="1"/>
  <c r="AD1216" i="1" s="1"/>
  <c r="AC1217" i="1"/>
  <c r="AD1217" i="1" s="1" a="1"/>
  <c r="AD1217" i="1" s="1"/>
  <c r="AC1218" i="1"/>
  <c r="AD1218" i="1" s="1" a="1"/>
  <c r="AD1218" i="1" s="1"/>
  <c r="AC1219" i="1"/>
  <c r="AD1219" i="1" s="1" a="1"/>
  <c r="AD1219" i="1" s="1"/>
  <c r="AC1220" i="1"/>
  <c r="AD1220" i="1" s="1" a="1"/>
  <c r="AD1220" i="1" s="1"/>
  <c r="AC1221" i="1"/>
  <c r="AD1221" i="1" s="1" a="1"/>
  <c r="AD1221" i="1" s="1"/>
  <c r="AC1222" i="1"/>
  <c r="AD1222" i="1" s="1" a="1"/>
  <c r="AD1222" i="1" s="1"/>
  <c r="AC1223" i="1"/>
  <c r="AD1223" i="1" s="1" a="1"/>
  <c r="AD1223" i="1" s="1"/>
  <c r="AC1224" i="1"/>
  <c r="AD1224" i="1" s="1" a="1"/>
  <c r="AD1224" i="1" s="1"/>
  <c r="AC1225" i="1"/>
  <c r="AD1225" i="1" s="1" a="1"/>
  <c r="AD1225" i="1" s="1"/>
  <c r="AC1226" i="1"/>
  <c r="AD1226" i="1" s="1" a="1"/>
  <c r="AD1226" i="1" s="1"/>
  <c r="AC1227" i="1"/>
  <c r="AD1227" i="1" s="1" a="1"/>
  <c r="AD1227" i="1" s="1"/>
  <c r="AC1228" i="1"/>
  <c r="AD1228" i="1" s="1" a="1"/>
  <c r="AD1228" i="1" s="1"/>
  <c r="AC1229" i="1"/>
  <c r="AD1229" i="1" s="1" a="1"/>
  <c r="AD1229" i="1" s="1"/>
  <c r="AC1230" i="1"/>
  <c r="AD1230" i="1" s="1" a="1"/>
  <c r="AD1230" i="1" s="1"/>
  <c r="AC1231" i="1"/>
  <c r="AD1231" i="1" s="1" a="1"/>
  <c r="AD1231" i="1" s="1"/>
  <c r="AC1232" i="1"/>
  <c r="AD1232" i="1" s="1" a="1"/>
  <c r="AD1232" i="1" s="1"/>
  <c r="AC1233" i="1"/>
  <c r="AD1233" i="1" s="1" a="1"/>
  <c r="AD1233" i="1" s="1"/>
  <c r="AC1234" i="1"/>
  <c r="AD1234" i="1" s="1" a="1"/>
  <c r="AD1234" i="1" s="1"/>
  <c r="AC1235" i="1"/>
  <c r="AD1235" i="1" s="1" a="1"/>
  <c r="AD1235" i="1" s="1"/>
  <c r="AC1236" i="1"/>
  <c r="AD1236" i="1" s="1" a="1"/>
  <c r="AD1236" i="1" s="1"/>
  <c r="AC1237" i="1"/>
  <c r="AD1237" i="1" s="1" a="1"/>
  <c r="AD1237" i="1" s="1"/>
  <c r="AC1238" i="1"/>
  <c r="AD1238" i="1" s="1" a="1"/>
  <c r="AD1238" i="1" s="1"/>
  <c r="AC1239" i="1"/>
  <c r="AD1239" i="1" s="1" a="1"/>
  <c r="AD1239" i="1" s="1"/>
  <c r="AC1240" i="1"/>
  <c r="AD1240" i="1" s="1" a="1"/>
  <c r="AD1240" i="1" s="1"/>
  <c r="AC1241" i="1"/>
  <c r="AD1241" i="1" s="1" a="1"/>
  <c r="AD1241" i="1" s="1"/>
  <c r="AC1242" i="1"/>
  <c r="AD1242" i="1" s="1" a="1"/>
  <c r="AD1242" i="1" s="1"/>
  <c r="AC1243" i="1"/>
  <c r="AD1243" i="1" s="1" a="1"/>
  <c r="AD1243" i="1" s="1"/>
  <c r="AC1244" i="1"/>
  <c r="AD1244" i="1" s="1" a="1"/>
  <c r="AD1244" i="1" s="1"/>
  <c r="AC1245" i="1"/>
  <c r="AD1245" i="1" s="1" a="1"/>
  <c r="AD1245" i="1" s="1"/>
  <c r="AC1246" i="1"/>
  <c r="AD1246" i="1" s="1" a="1"/>
  <c r="AD1246" i="1" s="1"/>
  <c r="AC1247" i="1"/>
  <c r="AD1247" i="1" s="1" a="1"/>
  <c r="AD1247" i="1" s="1"/>
  <c r="AC1248" i="1"/>
  <c r="AD1248" i="1" s="1" a="1"/>
  <c r="AD1248" i="1" s="1"/>
  <c r="AC1249" i="1"/>
  <c r="AD1249" i="1" s="1" a="1"/>
  <c r="AD1249" i="1" s="1"/>
  <c r="AC1250" i="1"/>
  <c r="AD1250" i="1" s="1" a="1"/>
  <c r="AD1250" i="1" s="1"/>
  <c r="AC1251" i="1"/>
  <c r="AD1251" i="1" s="1" a="1"/>
  <c r="AD1251" i="1" s="1"/>
  <c r="AC1252" i="1"/>
  <c r="AD1252" i="1" s="1" a="1"/>
  <c r="AD1252" i="1" s="1"/>
  <c r="AC1253" i="1"/>
  <c r="AD1253" i="1" s="1" a="1"/>
  <c r="AD1253" i="1" s="1"/>
  <c r="AC1254" i="1"/>
  <c r="AD1254" i="1" s="1" a="1"/>
  <c r="AD1254" i="1" s="1"/>
  <c r="AC1255" i="1"/>
  <c r="AD1255" i="1" s="1" a="1"/>
  <c r="AD1255" i="1" s="1"/>
  <c r="AC1256" i="1"/>
  <c r="AD1256" i="1" s="1" a="1"/>
  <c r="AD1256" i="1" s="1"/>
  <c r="AC1257" i="1"/>
  <c r="AD1257" i="1" s="1" a="1"/>
  <c r="AD1257" i="1" s="1"/>
  <c r="AC1258" i="1"/>
  <c r="AD1258" i="1" s="1" a="1"/>
  <c r="AD1258" i="1" s="1"/>
  <c r="AC1259" i="1"/>
  <c r="AD1259" i="1" s="1" a="1"/>
  <c r="AD1259" i="1" s="1"/>
  <c r="AC1260" i="1"/>
  <c r="AD1260" i="1" s="1" a="1"/>
  <c r="AD1260" i="1" s="1"/>
  <c r="AC1261" i="1"/>
  <c r="AD1261" i="1" s="1" a="1"/>
  <c r="AD1261" i="1" s="1"/>
  <c r="AC1262" i="1"/>
  <c r="AD1262" i="1" s="1" a="1"/>
  <c r="AD1262" i="1" s="1"/>
  <c r="AC1263" i="1"/>
  <c r="AD1263" i="1" s="1" a="1"/>
  <c r="AD1263" i="1" s="1"/>
  <c r="AC1264" i="1"/>
  <c r="AD1264" i="1" s="1" a="1"/>
  <c r="AD1264" i="1" s="1"/>
  <c r="AC1265" i="1"/>
  <c r="AD1265" i="1" s="1" a="1"/>
  <c r="AD1265" i="1" s="1"/>
  <c r="AC1266" i="1"/>
  <c r="AD1266" i="1" s="1" a="1"/>
  <c r="AD1266" i="1" s="1"/>
  <c r="AC1267" i="1"/>
  <c r="AD1267" i="1" s="1" a="1"/>
  <c r="AD1267" i="1" s="1"/>
  <c r="AC1268" i="1"/>
  <c r="AD1268" i="1" s="1" a="1"/>
  <c r="AD1268" i="1" s="1"/>
  <c r="AC1269" i="1"/>
  <c r="AD1269" i="1" s="1" a="1"/>
  <c r="AD1269" i="1" s="1"/>
  <c r="AC1270" i="1"/>
  <c r="AD1270" i="1" s="1" a="1"/>
  <c r="AD1270" i="1" s="1"/>
  <c r="AC1271" i="1"/>
  <c r="AD1271" i="1" s="1" a="1"/>
  <c r="AD1271" i="1" s="1"/>
  <c r="AC1272" i="1"/>
  <c r="AD1272" i="1" s="1" a="1"/>
  <c r="AD1272" i="1" s="1"/>
  <c r="AC1273" i="1"/>
  <c r="AD1273" i="1" s="1" a="1"/>
  <c r="AD1273" i="1" s="1"/>
  <c r="AC1274" i="1"/>
  <c r="AD1274" i="1" s="1" a="1"/>
  <c r="AD1274" i="1" s="1"/>
  <c r="AC1275" i="1"/>
  <c r="AD1275" i="1" s="1" a="1"/>
  <c r="AD1275" i="1" s="1"/>
  <c r="AC1276" i="1"/>
  <c r="AD1276" i="1" s="1" a="1"/>
  <c r="AD1276" i="1" s="1"/>
  <c r="AC1277" i="1"/>
  <c r="AD1277" i="1" s="1" a="1"/>
  <c r="AD1277" i="1" s="1"/>
  <c r="AC1278" i="1"/>
  <c r="AD1278" i="1" s="1" a="1"/>
  <c r="AD1278" i="1" s="1"/>
  <c r="AC1279" i="1"/>
  <c r="AD1279" i="1" s="1" a="1"/>
  <c r="AD1279" i="1" s="1"/>
  <c r="AC1280" i="1"/>
  <c r="AD1280" i="1" s="1" a="1"/>
  <c r="AD1280" i="1" s="1"/>
  <c r="AC1281" i="1"/>
  <c r="AD1281" i="1" s="1" a="1"/>
  <c r="AD1281" i="1" s="1"/>
  <c r="AC1282" i="1"/>
  <c r="AD1282" i="1" s="1" a="1"/>
  <c r="AD1282" i="1" s="1"/>
  <c r="AC1283" i="1"/>
  <c r="AD1283" i="1" s="1" a="1"/>
  <c r="AD1283" i="1" s="1"/>
  <c r="AC1284" i="1"/>
  <c r="AD1284" i="1" s="1" a="1"/>
  <c r="AD1284" i="1" s="1"/>
  <c r="AC1285" i="1"/>
  <c r="AD1285" i="1" s="1" a="1"/>
  <c r="AD1285" i="1" s="1"/>
  <c r="AC1286" i="1"/>
  <c r="AD1286" i="1" s="1" a="1"/>
  <c r="AD1286" i="1" s="1"/>
  <c r="AC1287" i="1"/>
  <c r="AD1287" i="1" s="1" a="1"/>
  <c r="AD1287" i="1" s="1"/>
  <c r="AC1288" i="1"/>
  <c r="AD1288" i="1" s="1" a="1"/>
  <c r="AD1288" i="1" s="1"/>
  <c r="AC1289" i="1"/>
  <c r="AD1289" i="1" s="1" a="1"/>
  <c r="AD1289" i="1" s="1"/>
  <c r="AC1290" i="1"/>
  <c r="AD1290" i="1" s="1" a="1"/>
  <c r="AD1290" i="1" s="1"/>
  <c r="AC1291" i="1"/>
  <c r="AD1291" i="1" s="1" a="1"/>
  <c r="AD1291" i="1" s="1"/>
  <c r="AC1292" i="1"/>
  <c r="AD1292" i="1" s="1" a="1"/>
  <c r="AD1292" i="1" s="1"/>
  <c r="AC1293" i="1"/>
  <c r="AD1293" i="1" s="1" a="1"/>
  <c r="AD1293" i="1" s="1"/>
  <c r="AC1294" i="1"/>
  <c r="AD1294" i="1" s="1" a="1"/>
  <c r="AD1294" i="1" s="1"/>
  <c r="AC1295" i="1"/>
  <c r="AD1295" i="1" s="1" a="1"/>
  <c r="AD1295" i="1" s="1"/>
  <c r="AC1296" i="1"/>
  <c r="AD1296" i="1" s="1" a="1"/>
  <c r="AD1296" i="1" s="1"/>
  <c r="AC1297" i="1"/>
  <c r="AD1297" i="1" s="1" a="1"/>
  <c r="AD1297" i="1" s="1"/>
  <c r="AC1298" i="1"/>
  <c r="AD1298" i="1" s="1" a="1"/>
  <c r="AD1298" i="1" s="1"/>
  <c r="AC1299" i="1"/>
  <c r="AD1299" i="1" s="1" a="1"/>
  <c r="AD1299" i="1" s="1"/>
  <c r="AC1300" i="1"/>
  <c r="AD1300" i="1" s="1" a="1"/>
  <c r="AD1300" i="1" s="1"/>
  <c r="AC1301" i="1"/>
  <c r="AD1301" i="1" s="1" a="1"/>
  <c r="AD1301" i="1" s="1"/>
  <c r="AC1302" i="1"/>
  <c r="AD1302" i="1" s="1" a="1"/>
  <c r="AD1302" i="1" s="1"/>
  <c r="AC1303" i="1"/>
  <c r="AD1303" i="1" s="1" a="1"/>
  <c r="AD1303" i="1" s="1"/>
  <c r="AC1304" i="1"/>
  <c r="AD1304" i="1" s="1" a="1"/>
  <c r="AD1304" i="1" s="1"/>
  <c r="AC1305" i="1"/>
  <c r="AD1305" i="1" s="1" a="1"/>
  <c r="AD1305" i="1" s="1"/>
  <c r="AC1306" i="1"/>
  <c r="AD1306" i="1" s="1" a="1"/>
  <c r="AD1306" i="1" s="1"/>
  <c r="AC1307" i="1"/>
  <c r="AD1307" i="1" s="1" a="1"/>
  <c r="AD1307" i="1" s="1"/>
  <c r="AC1308" i="1"/>
  <c r="AD1308" i="1" s="1" a="1"/>
  <c r="AD1308" i="1" s="1"/>
  <c r="AC1309" i="1"/>
  <c r="AD1309" i="1" s="1" a="1"/>
  <c r="AD1309" i="1" s="1"/>
  <c r="AC1310" i="1"/>
  <c r="AD1310" i="1" s="1" a="1"/>
  <c r="AD1310" i="1" s="1"/>
  <c r="AC1311" i="1"/>
  <c r="AD1311" i="1" s="1" a="1"/>
  <c r="AD1311" i="1" s="1"/>
  <c r="AC1312" i="1"/>
  <c r="AD1312" i="1" s="1" a="1"/>
  <c r="AD1312" i="1" s="1"/>
  <c r="AC1313" i="1"/>
  <c r="AD1313" i="1" s="1" a="1"/>
  <c r="AD1313" i="1" s="1"/>
  <c r="AC1314" i="1"/>
  <c r="AD1314" i="1" s="1" a="1"/>
  <c r="AD1314" i="1" s="1"/>
  <c r="AC1315" i="1"/>
  <c r="AD1315" i="1" s="1" a="1"/>
  <c r="AD1315" i="1" s="1"/>
  <c r="AC1316" i="1"/>
  <c r="AD1316" i="1" s="1" a="1"/>
  <c r="AD1316" i="1" s="1"/>
  <c r="AC1317" i="1"/>
  <c r="AD1317" i="1" s="1" a="1"/>
  <c r="AD1317" i="1" s="1"/>
  <c r="AC1318" i="1"/>
  <c r="AD1318" i="1" s="1" a="1"/>
  <c r="AD1318" i="1" s="1"/>
  <c r="AC1319" i="1"/>
  <c r="AD1319" i="1" s="1" a="1"/>
  <c r="AD1319" i="1" s="1"/>
  <c r="AC1320" i="1"/>
  <c r="AD1320" i="1" s="1" a="1"/>
  <c r="AD1320" i="1" s="1"/>
  <c r="AC1321" i="1"/>
  <c r="AD1321" i="1" s="1" a="1"/>
  <c r="AD1321" i="1" s="1"/>
  <c r="AC1322" i="1"/>
  <c r="AD1322" i="1" s="1" a="1"/>
  <c r="AD1322" i="1" s="1"/>
  <c r="AC1323" i="1"/>
  <c r="AD1323" i="1" s="1" a="1"/>
  <c r="AD1323" i="1" s="1"/>
  <c r="AC1324" i="1"/>
  <c r="AD1324" i="1" s="1" a="1"/>
  <c r="AD1324" i="1" s="1"/>
  <c r="AC1325" i="1"/>
  <c r="AD1325" i="1" s="1" a="1"/>
  <c r="AD1325" i="1" s="1"/>
  <c r="AC1326" i="1"/>
  <c r="AD1326" i="1" s="1" a="1"/>
  <c r="AD1326" i="1" s="1"/>
  <c r="AC1327" i="1"/>
  <c r="AD1327" i="1" s="1" a="1"/>
  <c r="AD1327" i="1" s="1"/>
  <c r="AC1328" i="1"/>
  <c r="AD1328" i="1" s="1" a="1"/>
  <c r="AD1328" i="1" s="1"/>
  <c r="AC1329" i="1"/>
  <c r="AD1329" i="1" s="1" a="1"/>
  <c r="AD1329" i="1" s="1"/>
  <c r="AC1330" i="1"/>
  <c r="AD1330" i="1" s="1" a="1"/>
  <c r="AD1330" i="1" s="1"/>
  <c r="AC1331" i="1"/>
  <c r="AD1331" i="1" s="1" a="1"/>
  <c r="AD1331" i="1" s="1"/>
  <c r="AC1332" i="1"/>
  <c r="AD1332" i="1" s="1" a="1"/>
  <c r="AD1332" i="1" s="1"/>
  <c r="AC1333" i="1"/>
  <c r="AD1333" i="1" s="1" a="1"/>
  <c r="AD1333" i="1" s="1"/>
  <c r="AC1334" i="1"/>
  <c r="AD1334" i="1" s="1" a="1"/>
  <c r="AD1334" i="1" s="1"/>
  <c r="AC1335" i="1"/>
  <c r="AD1335" i="1" s="1" a="1"/>
  <c r="AD1335" i="1" s="1"/>
  <c r="AC1336" i="1"/>
  <c r="AD1336" i="1" s="1" a="1"/>
  <c r="AD1336" i="1" s="1"/>
  <c r="AC1337" i="1"/>
  <c r="AD1337" i="1" s="1" a="1"/>
  <c r="AD1337" i="1" s="1"/>
  <c r="AC1338" i="1"/>
  <c r="AD1338" i="1" s="1" a="1"/>
  <c r="AD1338" i="1" s="1"/>
  <c r="AC1339" i="1"/>
  <c r="AD1339" i="1" s="1" a="1"/>
  <c r="AD1339" i="1" s="1"/>
  <c r="AC1340" i="1"/>
  <c r="AD1340" i="1" s="1" a="1"/>
  <c r="AD1340" i="1" s="1"/>
  <c r="AC1341" i="1"/>
  <c r="AD1341" i="1" s="1" a="1"/>
  <c r="AD1341" i="1" s="1"/>
  <c r="AC1342" i="1"/>
  <c r="AD1342" i="1" s="1" a="1"/>
  <c r="AD1342" i="1" s="1"/>
  <c r="AC1343" i="1"/>
  <c r="AD1343" i="1" s="1" a="1"/>
  <c r="AD1343" i="1" s="1"/>
  <c r="AC1344" i="1"/>
  <c r="AD1344" i="1" s="1" a="1"/>
  <c r="AD1344" i="1" s="1"/>
  <c r="AC1345" i="1"/>
  <c r="AD1345" i="1" s="1" a="1"/>
  <c r="AD1345" i="1" s="1"/>
  <c r="AC1346" i="1"/>
  <c r="AD1346" i="1" s="1" a="1"/>
  <c r="AD1346" i="1" s="1"/>
  <c r="AC1347" i="1"/>
  <c r="AD1347" i="1" s="1" a="1"/>
  <c r="AD1347" i="1" s="1"/>
  <c r="AC1348" i="1"/>
  <c r="AD1348" i="1" s="1" a="1"/>
  <c r="AD1348" i="1" s="1"/>
  <c r="AC1349" i="1"/>
  <c r="AD1349" i="1" s="1" a="1"/>
  <c r="AD1349" i="1" s="1"/>
  <c r="AC1350" i="1"/>
  <c r="AD1350" i="1" s="1" a="1"/>
  <c r="AD1350" i="1" s="1"/>
  <c r="AC1351" i="1"/>
  <c r="AD1351" i="1" s="1" a="1"/>
  <c r="AD1351" i="1" s="1"/>
  <c r="AC1352" i="1"/>
  <c r="AD1352" i="1" s="1" a="1"/>
  <c r="AD1352" i="1" s="1"/>
  <c r="AC1353" i="1"/>
  <c r="AD1353" i="1" s="1" a="1"/>
  <c r="AD1353" i="1" s="1"/>
  <c r="AC1354" i="1"/>
  <c r="AD1354" i="1" s="1" a="1"/>
  <c r="AD1354" i="1" s="1"/>
  <c r="AC1355" i="1"/>
  <c r="AD1355" i="1" s="1" a="1"/>
  <c r="AD1355" i="1" s="1"/>
  <c r="AC1356" i="1"/>
  <c r="AD1356" i="1" s="1" a="1"/>
  <c r="AD1356" i="1" s="1"/>
  <c r="AC1357" i="1"/>
  <c r="AD1357" i="1" s="1" a="1"/>
  <c r="AD1357" i="1" s="1"/>
  <c r="AC1358" i="1"/>
  <c r="AD1358" i="1" s="1" a="1"/>
  <c r="AD1358" i="1" s="1"/>
  <c r="AC1359" i="1"/>
  <c r="AD1359" i="1" s="1" a="1"/>
  <c r="AD1359" i="1" s="1"/>
  <c r="AC1360" i="1"/>
  <c r="AD1360" i="1" s="1" a="1"/>
  <c r="AD1360" i="1" s="1"/>
  <c r="AC1361" i="1"/>
  <c r="AD1361" i="1" s="1" a="1"/>
  <c r="AD1361" i="1" s="1"/>
  <c r="AC1362" i="1"/>
  <c r="AD1362" i="1" s="1" a="1"/>
  <c r="AD1362" i="1" s="1"/>
  <c r="AC1363" i="1"/>
  <c r="AD1363" i="1" s="1" a="1"/>
  <c r="AD1363" i="1" s="1"/>
  <c r="AC1364" i="1"/>
  <c r="AD1364" i="1" s="1" a="1"/>
  <c r="AD1364" i="1" s="1"/>
  <c r="AC1365" i="1"/>
  <c r="AD1365" i="1" s="1" a="1"/>
  <c r="AD1365" i="1" s="1"/>
  <c r="AC1366" i="1"/>
  <c r="AD1366" i="1" s="1" a="1"/>
  <c r="AD1366" i="1" s="1"/>
  <c r="AC1367" i="1"/>
  <c r="AD1367" i="1" s="1" a="1"/>
  <c r="AD1367" i="1" s="1"/>
  <c r="AC1368" i="1"/>
  <c r="AD1368" i="1" s="1" a="1"/>
  <c r="AD1368" i="1" s="1"/>
  <c r="AC1369" i="1"/>
  <c r="AD1369" i="1" s="1" a="1"/>
  <c r="AD1369" i="1" s="1"/>
  <c r="AC1370" i="1"/>
  <c r="AD1370" i="1" s="1" a="1"/>
  <c r="AD1370" i="1" s="1"/>
  <c r="AC1371" i="1"/>
  <c r="AD1371" i="1" s="1" a="1"/>
  <c r="AD1371" i="1" s="1"/>
  <c r="AC1372" i="1"/>
  <c r="AD1372" i="1" s="1" a="1"/>
  <c r="AD1372" i="1" s="1"/>
  <c r="AC1373" i="1"/>
  <c r="AD1373" i="1" s="1" a="1"/>
  <c r="AD1373" i="1" s="1"/>
  <c r="AC1374" i="1"/>
  <c r="AD1374" i="1" s="1" a="1"/>
  <c r="AD1374" i="1" s="1"/>
  <c r="AC1375" i="1"/>
  <c r="AD1375" i="1" s="1" a="1"/>
  <c r="AD1375" i="1" s="1"/>
  <c r="AC1376" i="1"/>
  <c r="AD1376" i="1" s="1" a="1"/>
  <c r="AD1376" i="1" s="1"/>
  <c r="AC1377" i="1"/>
  <c r="AD1377" i="1" s="1" a="1"/>
  <c r="AD1377" i="1" s="1"/>
  <c r="AC1378" i="1"/>
  <c r="AD1378" i="1" s="1" a="1"/>
  <c r="AD1378" i="1" s="1"/>
  <c r="AC1379" i="1"/>
  <c r="AD1379" i="1" s="1" a="1"/>
  <c r="AD1379" i="1" s="1"/>
  <c r="AC1380" i="1"/>
  <c r="AD1380" i="1" s="1" a="1"/>
  <c r="AD1380" i="1" s="1"/>
  <c r="AC1381" i="1"/>
  <c r="AD1381" i="1" s="1" a="1"/>
  <c r="AD1381" i="1" s="1"/>
  <c r="AC1382" i="1"/>
  <c r="AD1382" i="1" s="1" a="1"/>
  <c r="AD1382" i="1" s="1"/>
  <c r="AC1383" i="1"/>
  <c r="AD1383" i="1" s="1" a="1"/>
  <c r="AD1383" i="1" s="1"/>
  <c r="AC1384" i="1"/>
  <c r="AD1384" i="1" s="1" a="1"/>
  <c r="AD1384" i="1" s="1"/>
  <c r="AC1385" i="1"/>
  <c r="AD1385" i="1" s="1" a="1"/>
  <c r="AD1385" i="1" s="1"/>
  <c r="AC1386" i="1"/>
  <c r="AD1386" i="1" s="1" a="1"/>
  <c r="AD1386" i="1" s="1"/>
  <c r="AC1387" i="1"/>
  <c r="AD1387" i="1" s="1" a="1"/>
  <c r="AD1387" i="1" s="1"/>
  <c r="AC1388" i="1"/>
  <c r="AD1388" i="1" s="1" a="1"/>
  <c r="AD1388" i="1" s="1"/>
  <c r="AC1389" i="1"/>
  <c r="AD1389" i="1" s="1" a="1"/>
  <c r="AD1389" i="1" s="1"/>
  <c r="AC1390" i="1"/>
  <c r="AD1390" i="1" s="1" a="1"/>
  <c r="AD1390" i="1" s="1"/>
  <c r="AC1391" i="1"/>
  <c r="AD1391" i="1" s="1" a="1"/>
  <c r="AD1391" i="1" s="1"/>
  <c r="AC1392" i="1"/>
  <c r="AD1392" i="1" s="1" a="1"/>
  <c r="AD1392" i="1" s="1"/>
  <c r="AC1393" i="1"/>
  <c r="AD1393" i="1" s="1" a="1"/>
  <c r="AD1393" i="1" s="1"/>
  <c r="AC1394" i="1"/>
  <c r="AD1394" i="1" s="1" a="1"/>
  <c r="AD1394" i="1" s="1"/>
  <c r="AC1395" i="1"/>
  <c r="AD1395" i="1" s="1" a="1"/>
  <c r="AD1395" i="1" s="1"/>
  <c r="AC1396" i="1"/>
  <c r="AD1396" i="1" s="1" a="1"/>
  <c r="AD1396" i="1" s="1"/>
  <c r="AC1397" i="1"/>
  <c r="AD1397" i="1" s="1" a="1"/>
  <c r="AD1397" i="1" s="1"/>
  <c r="AC1398" i="1"/>
  <c r="AD1398" i="1" s="1" a="1"/>
  <c r="AD1398" i="1" s="1"/>
  <c r="AC1399" i="1"/>
  <c r="AD1399" i="1" s="1" a="1"/>
  <c r="AD1399" i="1" s="1"/>
  <c r="AC1400" i="1"/>
  <c r="AD1400" i="1" s="1" a="1"/>
  <c r="AD1400" i="1" s="1"/>
  <c r="AC1401" i="1"/>
  <c r="AD1401" i="1" s="1" a="1"/>
  <c r="AD1401" i="1" s="1"/>
  <c r="AC1402" i="1"/>
  <c r="AD1402" i="1" s="1" a="1"/>
  <c r="AD1402" i="1" s="1"/>
  <c r="AC1403" i="1"/>
  <c r="AD1403" i="1" s="1" a="1"/>
  <c r="AD1403" i="1" s="1"/>
  <c r="AC1404" i="1"/>
  <c r="AD1404" i="1" s="1" a="1"/>
  <c r="AD1404" i="1" s="1"/>
  <c r="AC1405" i="1"/>
  <c r="AD1405" i="1" s="1" a="1"/>
  <c r="AD1405" i="1" s="1"/>
  <c r="AC1406" i="1"/>
  <c r="AD1406" i="1" s="1" a="1"/>
  <c r="AD1406" i="1" s="1"/>
  <c r="AC1407" i="1"/>
  <c r="AD1407" i="1" s="1" a="1"/>
  <c r="AD1407" i="1" s="1"/>
  <c r="AC1408" i="1"/>
  <c r="AD1408" i="1" s="1" a="1"/>
  <c r="AD1408" i="1" s="1"/>
  <c r="AC1409" i="1"/>
  <c r="AD1409" i="1" s="1" a="1"/>
  <c r="AD1409" i="1" s="1"/>
  <c r="AC1410" i="1"/>
  <c r="AD1410" i="1" s="1" a="1"/>
  <c r="AD1410" i="1" s="1"/>
  <c r="AC1411" i="1"/>
  <c r="AD1411" i="1" s="1" a="1"/>
  <c r="AD1411" i="1" s="1"/>
  <c r="AC1412" i="1"/>
  <c r="AD1412" i="1" s="1" a="1"/>
  <c r="AD1412" i="1" s="1"/>
  <c r="AC1413" i="1"/>
  <c r="AD1413" i="1" s="1" a="1"/>
  <c r="AD1413" i="1" s="1"/>
  <c r="AC1414" i="1"/>
  <c r="AD1414" i="1" s="1" a="1"/>
  <c r="AD1414" i="1" s="1"/>
  <c r="AC1415" i="1"/>
  <c r="AD1415" i="1" s="1" a="1"/>
  <c r="AD1415" i="1" s="1"/>
  <c r="AC1416" i="1"/>
  <c r="AD1416" i="1" s="1" a="1"/>
  <c r="AD1416" i="1" s="1"/>
  <c r="AC1417" i="1"/>
  <c r="AD1417" i="1" s="1" a="1"/>
  <c r="AD1417" i="1" s="1"/>
  <c r="AC1418" i="1"/>
  <c r="AD1418" i="1" s="1" a="1"/>
  <c r="AD1418" i="1" s="1"/>
  <c r="AC1419" i="1"/>
  <c r="AD1419" i="1" s="1" a="1"/>
  <c r="AD1419" i="1" s="1"/>
  <c r="AC1420" i="1"/>
  <c r="AD1420" i="1" s="1" a="1"/>
  <c r="AD1420" i="1" s="1"/>
  <c r="AC1421" i="1"/>
  <c r="AD1421" i="1" s="1" a="1"/>
  <c r="AD1421" i="1" s="1"/>
  <c r="AC1422" i="1"/>
  <c r="AD1422" i="1" s="1" a="1"/>
  <c r="AD1422" i="1" s="1"/>
  <c r="AC1423" i="1"/>
  <c r="AD1423" i="1" s="1" a="1"/>
  <c r="AD1423" i="1" s="1"/>
  <c r="AC1424" i="1"/>
  <c r="AD1424" i="1" s="1" a="1"/>
  <c r="AD1424" i="1" s="1"/>
  <c r="AC1425" i="1"/>
  <c r="AD1425" i="1" s="1" a="1"/>
  <c r="AD1425" i="1" s="1"/>
  <c r="AC1426" i="1"/>
  <c r="AD1426" i="1" s="1" a="1"/>
  <c r="AD1426" i="1" s="1"/>
  <c r="AC1427" i="1"/>
  <c r="AD1427" i="1" s="1" a="1"/>
  <c r="AD1427" i="1" s="1"/>
  <c r="AC1428" i="1"/>
  <c r="AD1428" i="1" s="1" a="1"/>
  <c r="AD1428" i="1" s="1"/>
  <c r="AC1429" i="1"/>
  <c r="AD1429" i="1" s="1" a="1"/>
  <c r="AD1429" i="1" s="1"/>
  <c r="AC1430" i="1"/>
  <c r="AD1430" i="1" s="1" a="1"/>
  <c r="AD1430" i="1" s="1"/>
  <c r="AC1431" i="1"/>
  <c r="AD1431" i="1" s="1" a="1"/>
  <c r="AD1431" i="1" s="1"/>
  <c r="AC1432" i="1"/>
  <c r="AD1432" i="1" s="1" a="1"/>
  <c r="AD1432" i="1" s="1"/>
  <c r="AC1433" i="1"/>
  <c r="AD1433" i="1" s="1" a="1"/>
  <c r="AD1433" i="1" s="1"/>
  <c r="AC1434" i="1"/>
  <c r="AD1434" i="1" s="1" a="1"/>
  <c r="AD1434" i="1" s="1"/>
  <c r="AC1435" i="1"/>
  <c r="AD1435" i="1" s="1" a="1"/>
  <c r="AD1435" i="1" s="1"/>
  <c r="AC1436" i="1"/>
  <c r="AD1436" i="1" s="1" a="1"/>
  <c r="AD1436" i="1" s="1"/>
  <c r="AC1437" i="1"/>
  <c r="AD1437" i="1" s="1" a="1"/>
  <c r="AD1437" i="1" s="1"/>
  <c r="AC1438" i="1"/>
  <c r="AD1438" i="1" s="1" a="1"/>
  <c r="AD1438" i="1" s="1"/>
  <c r="AC1439" i="1"/>
  <c r="AD1439" i="1" s="1" a="1"/>
  <c r="AD1439" i="1" s="1"/>
  <c r="AC1440" i="1"/>
  <c r="AD1440" i="1" s="1" a="1"/>
  <c r="AD1440" i="1" s="1"/>
  <c r="AC1441" i="1"/>
  <c r="AD1441" i="1" s="1" a="1"/>
  <c r="AD1441" i="1" s="1"/>
  <c r="AC1442" i="1"/>
  <c r="AD1442" i="1" s="1" a="1"/>
  <c r="AD1442" i="1" s="1"/>
  <c r="AC1443" i="1"/>
  <c r="AD1443" i="1" s="1" a="1"/>
  <c r="AD1443" i="1" s="1"/>
  <c r="AC1444" i="1"/>
  <c r="AD1444" i="1" s="1" a="1"/>
  <c r="AD1444" i="1" s="1"/>
  <c r="AC1445" i="1"/>
  <c r="AD1445" i="1" s="1" a="1"/>
  <c r="AD1445" i="1" s="1"/>
  <c r="AC1446" i="1"/>
  <c r="AD1446" i="1" s="1" a="1"/>
  <c r="AD1446" i="1" s="1"/>
  <c r="AC1447" i="1"/>
  <c r="AD1447" i="1" s="1" a="1"/>
  <c r="AD1447" i="1" s="1"/>
  <c r="AC1448" i="1"/>
  <c r="AD1448" i="1" s="1" a="1"/>
  <c r="AD1448" i="1" s="1"/>
  <c r="AC1449" i="1"/>
  <c r="AD1449" i="1" s="1" a="1"/>
  <c r="AD1449" i="1" s="1"/>
  <c r="AC1450" i="1"/>
  <c r="AD1450" i="1" s="1" a="1"/>
  <c r="AD1450" i="1" s="1"/>
  <c r="AC1451" i="1"/>
  <c r="AD1451" i="1" s="1" a="1"/>
  <c r="AD1451" i="1" s="1"/>
  <c r="AC1452" i="1"/>
  <c r="AD1452" i="1" s="1" a="1"/>
  <c r="AD1452" i="1" s="1"/>
  <c r="AC1453" i="1"/>
  <c r="AD1453" i="1" s="1" a="1"/>
  <c r="AD1453" i="1" s="1"/>
  <c r="AC1454" i="1"/>
  <c r="AD1454" i="1" s="1" a="1"/>
  <c r="AD1454" i="1" s="1"/>
  <c r="AC1455" i="1"/>
  <c r="AD1455" i="1" s="1" a="1"/>
  <c r="AD1455" i="1" s="1"/>
  <c r="AC1456" i="1"/>
  <c r="AD1456" i="1" s="1" a="1"/>
  <c r="AD1456" i="1" s="1"/>
  <c r="AC1457" i="1"/>
  <c r="AD1457" i="1" s="1" a="1"/>
  <c r="AD1457" i="1" s="1"/>
  <c r="AC1458" i="1"/>
  <c r="AD1458" i="1" s="1" a="1"/>
  <c r="AD1458" i="1" s="1"/>
  <c r="AC1459" i="1"/>
  <c r="AD1459" i="1" s="1" a="1"/>
  <c r="AD1459" i="1" s="1"/>
  <c r="AC1460" i="1"/>
  <c r="AD1460" i="1" s="1" a="1"/>
  <c r="AD1460" i="1" s="1"/>
  <c r="AC1461" i="1"/>
  <c r="AD1461" i="1" s="1" a="1"/>
  <c r="AD1461" i="1" s="1"/>
  <c r="AC1462" i="1"/>
  <c r="AD1462" i="1" s="1" a="1"/>
  <c r="AD1462" i="1" s="1"/>
  <c r="AC1463" i="1"/>
  <c r="AD1463" i="1" s="1" a="1"/>
  <c r="AD1463" i="1" s="1"/>
  <c r="AC1464" i="1"/>
  <c r="AD1464" i="1" s="1" a="1"/>
  <c r="AD1464" i="1" s="1"/>
  <c r="AC1465" i="1"/>
  <c r="AD1465" i="1" s="1" a="1"/>
  <c r="AD1465" i="1" s="1"/>
  <c r="AC1466" i="1"/>
  <c r="AD1466" i="1" s="1" a="1"/>
  <c r="AD1466" i="1" s="1"/>
  <c r="AC1467" i="1"/>
  <c r="AD1467" i="1" s="1" a="1"/>
  <c r="AD1467" i="1" s="1"/>
  <c r="AC1468" i="1"/>
  <c r="AD1468" i="1" s="1" a="1"/>
  <c r="AD1468" i="1" s="1"/>
  <c r="AC1469" i="1"/>
  <c r="AD1469" i="1" s="1" a="1"/>
  <c r="AD1469" i="1" s="1"/>
  <c r="AC1470" i="1"/>
  <c r="AD1470" i="1" s="1" a="1"/>
  <c r="AD1470" i="1" s="1"/>
  <c r="AC1471" i="1"/>
  <c r="AD1471" i="1" s="1" a="1"/>
  <c r="AD1471" i="1" s="1"/>
  <c r="AC1472" i="1"/>
  <c r="AD1472" i="1" s="1" a="1"/>
  <c r="AD1472" i="1" s="1"/>
  <c r="AC1473" i="1"/>
  <c r="AD1473" i="1" s="1" a="1"/>
  <c r="AD1473" i="1" s="1"/>
  <c r="AC1474" i="1"/>
  <c r="AD1474" i="1" s="1" a="1"/>
  <c r="AD1474" i="1" s="1"/>
  <c r="AC1475" i="1"/>
  <c r="AD1475" i="1" s="1" a="1"/>
  <c r="AD1475" i="1" s="1"/>
  <c r="AC1476" i="1"/>
  <c r="AD1476" i="1" s="1" a="1"/>
  <c r="AD1476" i="1" s="1"/>
  <c r="AC1477" i="1"/>
  <c r="AD1477" i="1" s="1" a="1"/>
  <c r="AD1477" i="1" s="1"/>
  <c r="AC1478" i="1"/>
  <c r="AD1478" i="1" s="1" a="1"/>
  <c r="AD1478" i="1" s="1"/>
  <c r="AC1479" i="1"/>
  <c r="AD1479" i="1" s="1" a="1"/>
  <c r="AD1479" i="1" s="1"/>
  <c r="AC1480" i="1"/>
  <c r="AD1480" i="1" s="1" a="1"/>
  <c r="AD1480" i="1" s="1"/>
  <c r="AC1481" i="1"/>
  <c r="AD1481" i="1" s="1" a="1"/>
  <c r="AD1481" i="1" s="1"/>
  <c r="AC1482" i="1"/>
  <c r="AD1482" i="1" s="1" a="1"/>
  <c r="AD1482" i="1" s="1"/>
  <c r="AC1483" i="1"/>
  <c r="AD1483" i="1" s="1" a="1"/>
  <c r="AD1483" i="1" s="1"/>
  <c r="AC1484" i="1"/>
  <c r="AD1484" i="1" s="1" a="1"/>
  <c r="AD1484" i="1" s="1"/>
  <c r="AC1485" i="1"/>
  <c r="AD1485" i="1" s="1" a="1"/>
  <c r="AD1485" i="1" s="1"/>
  <c r="AC1486" i="1"/>
  <c r="AD1486" i="1" s="1" a="1"/>
  <c r="AD1486" i="1" s="1"/>
  <c r="AC1487" i="1"/>
  <c r="AD1487" i="1" s="1" a="1"/>
  <c r="AD1487" i="1" s="1"/>
  <c r="AC1488" i="1"/>
  <c r="AD1488" i="1" s="1" a="1"/>
  <c r="AD1488" i="1" s="1"/>
  <c r="AC1489" i="1"/>
  <c r="AD1489" i="1" s="1" a="1"/>
  <c r="AD1489" i="1" s="1"/>
  <c r="AC1490" i="1"/>
  <c r="AD1490" i="1" s="1" a="1"/>
  <c r="AD1490" i="1" s="1"/>
  <c r="AC1491" i="1"/>
  <c r="AD1491" i="1" s="1" a="1"/>
  <c r="AD1491" i="1" s="1"/>
  <c r="AC1492" i="1"/>
  <c r="AD1492" i="1" s="1" a="1"/>
  <c r="AD1492" i="1" s="1"/>
  <c r="AC1493" i="1"/>
  <c r="AD1493" i="1" s="1" a="1"/>
  <c r="AD1493" i="1" s="1"/>
  <c r="AC1494" i="1"/>
  <c r="AD1494" i="1" s="1" a="1"/>
  <c r="AD1494" i="1" s="1"/>
  <c r="AC1495" i="1"/>
  <c r="AD1495" i="1" s="1" a="1"/>
  <c r="AD1495" i="1" s="1"/>
  <c r="AC1496" i="1"/>
  <c r="AD1496" i="1" s="1" a="1"/>
  <c r="AD1496" i="1" s="1"/>
  <c r="AC1497" i="1"/>
  <c r="AD1497" i="1" s="1" a="1"/>
  <c r="AD1497" i="1" s="1"/>
  <c r="AC1498" i="1"/>
  <c r="AD1498" i="1" s="1" a="1"/>
  <c r="AD1498" i="1" s="1"/>
  <c r="AC1499" i="1"/>
  <c r="AD1499" i="1" s="1" a="1"/>
  <c r="AD1499" i="1" s="1"/>
  <c r="AC1500" i="1"/>
  <c r="AD1500" i="1" s="1" a="1"/>
  <c r="AD1500" i="1" s="1"/>
  <c r="AC1501" i="1"/>
  <c r="AD1501" i="1" s="1" a="1"/>
  <c r="AD1501" i="1" s="1"/>
  <c r="AC1502" i="1"/>
  <c r="AD1502" i="1" s="1" a="1"/>
  <c r="AD1502" i="1" s="1"/>
  <c r="AC1503" i="1"/>
  <c r="AD1503" i="1" s="1" a="1"/>
  <c r="AD1503" i="1" s="1"/>
  <c r="AC1504" i="1"/>
  <c r="AD1504" i="1" s="1" a="1"/>
  <c r="AD1504" i="1" s="1"/>
  <c r="AC1505" i="1"/>
  <c r="AD1505" i="1" s="1" a="1"/>
  <c r="AD1505" i="1" s="1"/>
  <c r="AC1506" i="1"/>
  <c r="AD1506" i="1" s="1" a="1"/>
  <c r="AD1506" i="1" s="1"/>
  <c r="AC1507" i="1"/>
  <c r="AD1507" i="1" s="1" a="1"/>
  <c r="AD1507" i="1" s="1"/>
  <c r="AC1508" i="1"/>
  <c r="AD1508" i="1" s="1" a="1"/>
  <c r="AD1508" i="1" s="1"/>
  <c r="AC1509" i="1"/>
  <c r="AD1509" i="1" s="1" a="1"/>
  <c r="AD1509" i="1" s="1"/>
  <c r="AC1510" i="1"/>
  <c r="AD1510" i="1" s="1" a="1"/>
  <c r="AD1510" i="1" s="1"/>
  <c r="AC1511" i="1"/>
  <c r="AD1511" i="1" s="1" a="1"/>
  <c r="AD1511" i="1" s="1"/>
  <c r="AC1512" i="1"/>
  <c r="AD1512" i="1" s="1" a="1"/>
  <c r="AD1512" i="1" s="1"/>
  <c r="AC1513" i="1"/>
  <c r="AD1513" i="1" s="1" a="1"/>
  <c r="AD1513" i="1" s="1"/>
  <c r="AC1514" i="1"/>
  <c r="AD1514" i="1" s="1" a="1"/>
  <c r="AD1514" i="1" s="1"/>
  <c r="AC1515" i="1"/>
  <c r="AD1515" i="1" s="1" a="1"/>
  <c r="AD1515" i="1" s="1"/>
  <c r="AC1516" i="1"/>
  <c r="AD1516" i="1" s="1" a="1"/>
  <c r="AD1516" i="1" s="1"/>
  <c r="AC1517" i="1"/>
  <c r="AD1517" i="1" s="1" a="1"/>
  <c r="AD1517" i="1" s="1"/>
  <c r="AC1518" i="1"/>
  <c r="AD1518" i="1" s="1" a="1"/>
  <c r="AD1518" i="1" s="1"/>
  <c r="AC1519" i="1"/>
  <c r="AD1519" i="1" s="1" a="1"/>
  <c r="AD1519" i="1" s="1"/>
  <c r="AC1520" i="1"/>
  <c r="AD1520" i="1" s="1" a="1"/>
  <c r="AD1520" i="1" s="1"/>
  <c r="AC1521" i="1"/>
  <c r="AD1521" i="1" s="1" a="1"/>
  <c r="AD1521" i="1" s="1"/>
  <c r="AC1522" i="1"/>
  <c r="AD1522" i="1" s="1" a="1"/>
  <c r="AD1522" i="1" s="1"/>
  <c r="AC1523" i="1"/>
  <c r="AD1523" i="1" s="1" a="1"/>
  <c r="AD1523" i="1" s="1"/>
  <c r="AC1524" i="1"/>
  <c r="AD1524" i="1" s="1" a="1"/>
  <c r="AD1524" i="1" s="1"/>
  <c r="AC1525" i="1"/>
  <c r="AD1525" i="1" s="1" a="1"/>
  <c r="AD1525" i="1" s="1"/>
  <c r="AC1526" i="1"/>
  <c r="AD1526" i="1" s="1" a="1"/>
  <c r="AD1526" i="1" s="1"/>
  <c r="AC1527" i="1"/>
  <c r="AD1527" i="1" s="1" a="1"/>
  <c r="AD1527" i="1" s="1"/>
  <c r="AC1528" i="1"/>
  <c r="AD1528" i="1" s="1" a="1"/>
  <c r="AD1528" i="1" s="1"/>
  <c r="AC1529" i="1"/>
  <c r="AD1529" i="1" s="1" a="1"/>
  <c r="AD1529" i="1" s="1"/>
  <c r="AC1530" i="1"/>
  <c r="AD1530" i="1" s="1" a="1"/>
  <c r="AD1530" i="1" s="1"/>
  <c r="AC1531" i="1"/>
  <c r="AD1531" i="1" s="1" a="1"/>
  <c r="AD1531" i="1" s="1"/>
  <c r="AC1532" i="1"/>
  <c r="AD1532" i="1" s="1" a="1"/>
  <c r="AD1532" i="1" s="1"/>
  <c r="AC1533" i="1"/>
  <c r="AD1533" i="1" s="1" a="1"/>
  <c r="AD1533" i="1" s="1"/>
  <c r="AC1534" i="1"/>
  <c r="AD1534" i="1" s="1" a="1"/>
  <c r="AD1534" i="1" s="1"/>
  <c r="AC1535" i="1"/>
  <c r="AD1535" i="1" s="1" a="1"/>
  <c r="AD1535" i="1" s="1"/>
  <c r="AC1536" i="1"/>
  <c r="AD1536" i="1" s="1" a="1"/>
  <c r="AD1536" i="1" s="1"/>
  <c r="AC1537" i="1"/>
  <c r="AD1537" i="1" s="1" a="1"/>
  <c r="AD1537" i="1" s="1"/>
  <c r="AC1538" i="1"/>
  <c r="AD1538" i="1" s="1" a="1"/>
  <c r="AD1538" i="1" s="1"/>
  <c r="AC1539" i="1"/>
  <c r="AD1539" i="1" s="1" a="1"/>
  <c r="AD1539" i="1" s="1"/>
  <c r="AC1540" i="1"/>
  <c r="AD1540" i="1" s="1" a="1"/>
  <c r="AD1540" i="1" s="1"/>
  <c r="AC1541" i="1"/>
  <c r="AD1541" i="1" s="1" a="1"/>
  <c r="AD1541" i="1" s="1"/>
  <c r="AC1542" i="1"/>
  <c r="AD1542" i="1" s="1" a="1"/>
  <c r="AD1542" i="1" s="1"/>
  <c r="AC1543" i="1"/>
  <c r="AD1543" i="1" s="1" a="1"/>
  <c r="AD1543" i="1" s="1"/>
  <c r="AC1544" i="1"/>
  <c r="AD1544" i="1" s="1" a="1"/>
  <c r="AD1544" i="1" s="1"/>
  <c r="AC1545" i="1"/>
  <c r="AD1545" i="1" s="1" a="1"/>
  <c r="AD1545" i="1" s="1"/>
  <c r="AC1546" i="1"/>
  <c r="AD1546" i="1" s="1" a="1"/>
  <c r="AD1546" i="1" s="1"/>
  <c r="AC1547" i="1"/>
  <c r="AD1547" i="1" s="1" a="1"/>
  <c r="AD1547" i="1" s="1"/>
  <c r="AC1548" i="1"/>
  <c r="AD1548" i="1" s="1" a="1"/>
  <c r="AD1548" i="1" s="1"/>
  <c r="AC1549" i="1"/>
  <c r="AD1549" i="1" s="1" a="1"/>
  <c r="AD1549" i="1" s="1"/>
  <c r="AC1550" i="1"/>
  <c r="AD1550" i="1" s="1" a="1"/>
  <c r="AD1550" i="1" s="1"/>
  <c r="AC1551" i="1"/>
  <c r="AD1551" i="1" s="1" a="1"/>
  <c r="AD1551" i="1" s="1"/>
  <c r="AC1552" i="1"/>
  <c r="AD1552" i="1" s="1" a="1"/>
  <c r="AD1552" i="1" s="1"/>
  <c r="AC1553" i="1"/>
  <c r="AD1553" i="1" s="1" a="1"/>
  <c r="AD1553" i="1" s="1"/>
  <c r="AC1554" i="1"/>
  <c r="AD1554" i="1" s="1" a="1"/>
  <c r="AD1554" i="1" s="1"/>
  <c r="AC1555" i="1"/>
  <c r="AD1555" i="1" s="1" a="1"/>
  <c r="AD1555" i="1" s="1"/>
  <c r="AC1556" i="1"/>
  <c r="AD1556" i="1" s="1" a="1"/>
  <c r="AD1556" i="1" s="1"/>
  <c r="AC1557" i="1"/>
  <c r="AD1557" i="1" s="1" a="1"/>
  <c r="AD1557" i="1" s="1"/>
  <c r="AC1558" i="1"/>
  <c r="AD1558" i="1" s="1" a="1"/>
  <c r="AD1558" i="1" s="1"/>
  <c r="AC1559" i="1"/>
  <c r="AD1559" i="1" s="1" a="1"/>
  <c r="AD1559" i="1" s="1"/>
  <c r="AC1560" i="1"/>
  <c r="AD1560" i="1" s="1" a="1"/>
  <c r="AD1560" i="1" s="1"/>
  <c r="AC1561" i="1"/>
  <c r="AD1561" i="1" s="1" a="1"/>
  <c r="AD1561" i="1" s="1"/>
  <c r="AC1562" i="1"/>
  <c r="AD1562" i="1" s="1" a="1"/>
  <c r="AD1562" i="1" s="1"/>
  <c r="AC1563" i="1"/>
  <c r="AD1563" i="1" s="1" a="1"/>
  <c r="AD1563" i="1" s="1"/>
  <c r="AC1564" i="1"/>
  <c r="AD1564" i="1" s="1" a="1"/>
  <c r="AD1564" i="1" s="1"/>
  <c r="AC1565" i="1"/>
  <c r="AD1565" i="1" s="1" a="1"/>
  <c r="AD1565" i="1" s="1"/>
  <c r="AC1566" i="1"/>
  <c r="AD1566" i="1" s="1" a="1"/>
  <c r="AD1566" i="1" s="1"/>
  <c r="AC1567" i="1"/>
  <c r="AD1567" i="1" s="1" a="1"/>
  <c r="AD1567" i="1" s="1"/>
  <c r="AC1568" i="1"/>
  <c r="AD1568" i="1" s="1" a="1"/>
  <c r="AD1568" i="1" s="1"/>
  <c r="AC1569" i="1"/>
  <c r="AD1569" i="1" s="1" a="1"/>
  <c r="AD1569" i="1" s="1"/>
  <c r="AC1570" i="1"/>
  <c r="AD1570" i="1" s="1" a="1"/>
  <c r="AD1570" i="1" s="1"/>
  <c r="AC1571" i="1"/>
  <c r="AD1571" i="1" s="1" a="1"/>
  <c r="AD1571" i="1" s="1"/>
  <c r="AC1572" i="1"/>
  <c r="AD1572" i="1" s="1" a="1"/>
  <c r="AD1572" i="1" s="1"/>
  <c r="AC1573" i="1"/>
  <c r="AD1573" i="1" s="1" a="1"/>
  <c r="AD1573" i="1" s="1"/>
  <c r="AC1574" i="1"/>
  <c r="AD1574" i="1" s="1" a="1"/>
  <c r="AD1574" i="1" s="1"/>
  <c r="AC1575" i="1"/>
  <c r="AD1575" i="1" s="1" a="1"/>
  <c r="AD1575" i="1" s="1"/>
  <c r="AC1576" i="1"/>
  <c r="AD1576" i="1" s="1" a="1"/>
  <c r="AD1576" i="1" s="1"/>
  <c r="AC1577" i="1"/>
  <c r="AD1577" i="1" s="1" a="1"/>
  <c r="AD1577" i="1" s="1"/>
  <c r="AC1578" i="1"/>
  <c r="AD1578" i="1" s="1" a="1"/>
  <c r="AD1578" i="1" s="1"/>
  <c r="AC1579" i="1"/>
  <c r="AD1579" i="1" s="1" a="1"/>
  <c r="AD1579" i="1" s="1"/>
  <c r="AC1580" i="1"/>
  <c r="AD1580" i="1" s="1" a="1"/>
  <c r="AD1580" i="1" s="1"/>
  <c r="AC1581" i="1"/>
  <c r="AD1581" i="1" s="1" a="1"/>
  <c r="AD1581" i="1" s="1"/>
  <c r="AC1582" i="1"/>
  <c r="AD1582" i="1" s="1" a="1"/>
  <c r="AD1582" i="1" s="1"/>
  <c r="AC1583" i="1"/>
  <c r="AD1583" i="1" s="1" a="1"/>
  <c r="AD1583" i="1" s="1"/>
  <c r="AC1584" i="1"/>
  <c r="AD1584" i="1" s="1" a="1"/>
  <c r="AD1584" i="1" s="1"/>
  <c r="AC1585" i="1"/>
  <c r="AD1585" i="1" s="1" a="1"/>
  <c r="AD1585" i="1" s="1"/>
  <c r="AC1586" i="1"/>
  <c r="AD1586" i="1" s="1" a="1"/>
  <c r="AD1586" i="1" s="1"/>
  <c r="AC1587" i="1"/>
  <c r="AD1587" i="1" s="1" a="1"/>
  <c r="AD1587" i="1" s="1"/>
  <c r="AC1588" i="1"/>
  <c r="AD1588" i="1" s="1" a="1"/>
  <c r="AD1588" i="1" s="1"/>
  <c r="AC1589" i="1"/>
  <c r="AD1589" i="1" s="1" a="1"/>
  <c r="AD1589" i="1" s="1"/>
  <c r="AC1590" i="1"/>
  <c r="AD1590" i="1" s="1" a="1"/>
  <c r="AD1590" i="1" s="1"/>
  <c r="AC1591" i="1"/>
  <c r="AD1591" i="1" s="1" a="1"/>
  <c r="AD1591" i="1" s="1"/>
  <c r="AC1592" i="1"/>
  <c r="AD1592" i="1" s="1" a="1"/>
  <c r="AD1592" i="1" s="1"/>
  <c r="AC1593" i="1"/>
  <c r="AD1593" i="1" s="1" a="1"/>
  <c r="AD1593" i="1" s="1"/>
  <c r="AC1594" i="1"/>
  <c r="AD1594" i="1" s="1" a="1"/>
  <c r="AD1594" i="1" s="1"/>
  <c r="AC1595" i="1"/>
  <c r="AD1595" i="1" s="1" a="1"/>
  <c r="AD1595" i="1" s="1"/>
  <c r="AC1596" i="1"/>
  <c r="AD1596" i="1" s="1" a="1"/>
  <c r="AD1596" i="1" s="1"/>
  <c r="AC1597" i="1"/>
  <c r="AD1597" i="1" s="1" a="1"/>
  <c r="AD1597" i="1" s="1"/>
  <c r="AC1598" i="1"/>
  <c r="AD1598" i="1" s="1" a="1"/>
  <c r="AD1598" i="1" s="1"/>
  <c r="AC1599" i="1"/>
  <c r="AD1599" i="1" s="1" a="1"/>
  <c r="AD1599" i="1" s="1"/>
  <c r="AC1600" i="1"/>
  <c r="AD1600" i="1" s="1" a="1"/>
  <c r="AD1600" i="1" s="1"/>
  <c r="AC1601" i="1"/>
  <c r="AD1601" i="1" s="1" a="1"/>
  <c r="AD1601" i="1" s="1"/>
  <c r="AC1602" i="1"/>
  <c r="AD1602" i="1" s="1" a="1"/>
  <c r="AD1602" i="1" s="1"/>
  <c r="AC1603" i="1"/>
  <c r="AD1603" i="1" s="1" a="1"/>
  <c r="AD1603" i="1" s="1"/>
  <c r="AC1604" i="1"/>
  <c r="AD1604" i="1" s="1" a="1"/>
  <c r="AD1604" i="1" s="1"/>
  <c r="AC1605" i="1"/>
  <c r="AD1605" i="1" s="1" a="1"/>
  <c r="AD1605" i="1" s="1"/>
  <c r="AC1606" i="1"/>
  <c r="AD1606" i="1" s="1" a="1"/>
  <c r="AD1606" i="1" s="1"/>
  <c r="AC1607" i="1"/>
  <c r="AD1607" i="1" s="1" a="1"/>
  <c r="AD1607" i="1" s="1"/>
  <c r="AC1608" i="1"/>
  <c r="AD1608" i="1" s="1" a="1"/>
  <c r="AD1608" i="1" s="1"/>
  <c r="AC1609" i="1"/>
  <c r="AD1609" i="1" s="1" a="1"/>
  <c r="AD1609" i="1" s="1"/>
  <c r="AC1610" i="1"/>
  <c r="AD1610" i="1" s="1" a="1"/>
  <c r="AD1610" i="1" s="1"/>
  <c r="AC1611" i="1"/>
  <c r="AD1611" i="1" s="1" a="1"/>
  <c r="AD1611" i="1" s="1"/>
  <c r="AC1612" i="1"/>
  <c r="AD1612" i="1" s="1" a="1"/>
  <c r="AD1612" i="1" s="1"/>
  <c r="AC1613" i="1"/>
  <c r="AD1613" i="1" s="1" a="1"/>
  <c r="AD1613" i="1" s="1"/>
  <c r="AC1614" i="1"/>
  <c r="AD1614" i="1" s="1" a="1"/>
  <c r="AD1614" i="1" s="1"/>
  <c r="AC1615" i="1"/>
  <c r="AD1615" i="1" s="1" a="1"/>
  <c r="AD1615" i="1" s="1"/>
  <c r="AC1616" i="1"/>
  <c r="AD1616" i="1" s="1" a="1"/>
  <c r="AD1616" i="1" s="1"/>
  <c r="AC1617" i="1"/>
  <c r="AD1617" i="1" s="1" a="1"/>
  <c r="AD1617" i="1" s="1"/>
  <c r="AC1618" i="1"/>
  <c r="AD1618" i="1" s="1" a="1"/>
  <c r="AD1618" i="1" s="1"/>
  <c r="AC1619" i="1"/>
  <c r="AD1619" i="1" s="1" a="1"/>
  <c r="AD1619" i="1" s="1"/>
  <c r="AC1620" i="1"/>
  <c r="AD1620" i="1" s="1" a="1"/>
  <c r="AD1620" i="1" s="1"/>
  <c r="AC1621" i="1"/>
  <c r="AD1621" i="1" s="1" a="1"/>
  <c r="AD1621" i="1" s="1"/>
  <c r="AC1622" i="1"/>
  <c r="AD1622" i="1" s="1" a="1"/>
  <c r="AD1622" i="1" s="1"/>
  <c r="AC1623" i="1"/>
  <c r="AD1623" i="1" s="1" a="1"/>
  <c r="AD1623" i="1" s="1"/>
  <c r="AC1624" i="1"/>
  <c r="AD1624" i="1" s="1" a="1"/>
  <c r="AD1624" i="1" s="1"/>
  <c r="AC1625" i="1"/>
  <c r="AD1625" i="1" s="1" a="1"/>
  <c r="AD1625" i="1" s="1"/>
  <c r="AC1626" i="1"/>
  <c r="AD1626" i="1" s="1" a="1"/>
  <c r="AD1626" i="1" s="1"/>
  <c r="AC1627" i="1"/>
  <c r="AD1627" i="1" s="1" a="1"/>
  <c r="AD1627" i="1" s="1"/>
  <c r="AC1628" i="1"/>
  <c r="AD1628" i="1" s="1" a="1"/>
  <c r="AD1628" i="1" s="1"/>
  <c r="AC1629" i="1"/>
  <c r="AD1629" i="1" s="1" a="1"/>
  <c r="AD1629" i="1" s="1"/>
  <c r="AC1630" i="1"/>
  <c r="AD1630" i="1" s="1" a="1"/>
  <c r="AD1630" i="1" s="1"/>
  <c r="AC1631" i="1"/>
  <c r="AD1631" i="1" s="1" a="1"/>
  <c r="AD1631" i="1" s="1"/>
  <c r="AC1632" i="1"/>
  <c r="AD1632" i="1" s="1" a="1"/>
  <c r="AD1632" i="1" s="1"/>
  <c r="AC1633" i="1"/>
  <c r="AD1633" i="1" s="1" a="1"/>
  <c r="AD1633" i="1" s="1"/>
  <c r="AC1634" i="1"/>
  <c r="AD1634" i="1" s="1" a="1"/>
  <c r="AD1634" i="1" s="1"/>
  <c r="AC1635" i="1"/>
  <c r="AD1635" i="1" s="1" a="1"/>
  <c r="AD1635" i="1" s="1"/>
  <c r="AC1636" i="1"/>
  <c r="AD1636" i="1" s="1" a="1"/>
  <c r="AD1636" i="1" s="1"/>
  <c r="AC1637" i="1"/>
  <c r="AD1637" i="1" s="1" a="1"/>
  <c r="AD1637" i="1" s="1"/>
  <c r="AC2" i="1"/>
  <c r="AD2" i="1" s="1" a="1"/>
  <c r="AD2" i="1" s="1"/>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E3" i="2"/>
  <c r="E4" i="2"/>
  <c r="E5" i="2"/>
  <c r="I5" i="2" s="1"/>
  <c r="E6" i="2"/>
  <c r="E7" i="2"/>
  <c r="I7" i="2" s="1"/>
  <c r="E8" i="2"/>
  <c r="E9" i="2"/>
  <c r="E10" i="2"/>
  <c r="I10" i="2" s="1"/>
  <c r="E11" i="2"/>
  <c r="E12" i="2"/>
  <c r="E13" i="2"/>
  <c r="E14" i="2"/>
  <c r="E15" i="2"/>
  <c r="I15" i="2" s="1"/>
  <c r="E16" i="2"/>
  <c r="E17" i="2"/>
  <c r="E18" i="2"/>
  <c r="I18" i="2" s="1"/>
  <c r="E19" i="2"/>
  <c r="E20" i="2"/>
  <c r="E21" i="2"/>
  <c r="E22" i="2"/>
  <c r="I22" i="2" s="1"/>
  <c r="E23" i="2"/>
  <c r="E24" i="2"/>
  <c r="E25" i="2"/>
  <c r="I25" i="2" s="1"/>
  <c r="E26" i="2"/>
  <c r="E27" i="2"/>
  <c r="I27" i="2" s="1"/>
  <c r="E28" i="2"/>
  <c r="E29" i="2"/>
  <c r="E30" i="2"/>
  <c r="I30" i="2" s="1"/>
  <c r="E31" i="2"/>
  <c r="E32" i="2"/>
  <c r="E33" i="2"/>
  <c r="E34" i="2"/>
  <c r="I34" i="2" s="1"/>
  <c r="E35" i="2"/>
  <c r="E36" i="2"/>
  <c r="E37" i="2"/>
  <c r="E38" i="2"/>
  <c r="E39" i="2"/>
  <c r="I39" i="2" s="1"/>
  <c r="E40" i="2"/>
  <c r="E41" i="2"/>
  <c r="I41" i="2" s="1"/>
  <c r="E42" i="2"/>
  <c r="I42" i="2" s="1"/>
  <c r="E43" i="2"/>
  <c r="E44" i="2"/>
  <c r="E45" i="2"/>
  <c r="E46" i="2"/>
  <c r="I46" i="2" s="1"/>
  <c r="E47" i="2"/>
  <c r="E48" i="2"/>
  <c r="E49" i="2"/>
  <c r="I49" i="2" s="1"/>
  <c r="E50" i="2"/>
  <c r="E51" i="2"/>
  <c r="E52" i="2"/>
  <c r="E53" i="2"/>
  <c r="I53" i="2" s="1"/>
  <c r="E54" i="2"/>
  <c r="E55" i="2"/>
  <c r="I55" i="2" s="1"/>
  <c r="E56" i="2"/>
  <c r="I56" i="2" s="1"/>
  <c r="E57" i="2"/>
  <c r="E58" i="2"/>
  <c r="E59" i="2"/>
  <c r="E60" i="2"/>
  <c r="I60" i="2" s="1"/>
  <c r="E61" i="2"/>
  <c r="E62" i="2"/>
  <c r="E63" i="2"/>
  <c r="E64" i="2"/>
  <c r="I64" i="2" s="1"/>
  <c r="E65" i="2"/>
  <c r="E66" i="2"/>
  <c r="E67" i="2"/>
  <c r="I67" i="2" s="1"/>
  <c r="E68" i="2"/>
  <c r="E69" i="2"/>
  <c r="E70" i="2"/>
  <c r="I70" i="2" s="1"/>
  <c r="E71" i="2"/>
  <c r="I71" i="2" s="1"/>
  <c r="E72" i="2"/>
  <c r="E73" i="2"/>
  <c r="E74" i="2"/>
  <c r="E75" i="2"/>
  <c r="I75" i="2" s="1"/>
  <c r="E76" i="2"/>
  <c r="E77" i="2"/>
  <c r="E78" i="2"/>
  <c r="I78" i="2" s="1"/>
  <c r="E79" i="2"/>
  <c r="E80" i="2"/>
  <c r="E81" i="2"/>
  <c r="E82" i="2"/>
  <c r="I82" i="2" s="1"/>
  <c r="E83" i="2"/>
  <c r="E84" i="2"/>
  <c r="I84" i="2" s="1"/>
  <c r="E85" i="2"/>
  <c r="I85" i="2" s="1"/>
  <c r="E86" i="2"/>
  <c r="E87" i="2"/>
  <c r="E88" i="2"/>
  <c r="E89" i="2"/>
  <c r="I89" i="2" s="1"/>
  <c r="E90" i="2"/>
  <c r="E91" i="2"/>
  <c r="E92" i="2"/>
  <c r="I92" i="2" s="1"/>
  <c r="E93" i="2"/>
  <c r="E94" i="2"/>
  <c r="E95" i="2"/>
  <c r="E96" i="2"/>
  <c r="I96" i="2" s="1"/>
  <c r="E97" i="2"/>
  <c r="E98" i="2"/>
  <c r="E99" i="2"/>
  <c r="I99" i="2" s="1"/>
  <c r="E100" i="2"/>
  <c r="I100" i="2" s="1"/>
  <c r="E101" i="2"/>
  <c r="E102" i="2"/>
  <c r="E103" i="2"/>
  <c r="I103" i="2" s="1"/>
  <c r="E104" i="2"/>
  <c r="G104" i="2" s="1"/>
  <c r="E105" i="2"/>
  <c r="E106" i="2"/>
  <c r="E107" i="2"/>
  <c r="I107" i="2" s="1"/>
  <c r="E108" i="2"/>
  <c r="E109" i="2"/>
  <c r="E110" i="2"/>
  <c r="I110" i="2" s="1"/>
  <c r="E111" i="2"/>
  <c r="E112" i="2"/>
  <c r="I112" i="2" s="1"/>
  <c r="E113" i="2"/>
  <c r="I113" i="2" s="1"/>
  <c r="E114" i="2"/>
  <c r="E115" i="2"/>
  <c r="I115" i="2" s="1"/>
  <c r="E116" i="2"/>
  <c r="I116" i="2" s="1"/>
  <c r="E117" i="2"/>
  <c r="E118" i="2"/>
  <c r="E119" i="2"/>
  <c r="E120" i="2"/>
  <c r="I120" i="2" s="1"/>
  <c r="E121" i="2"/>
  <c r="E122" i="2"/>
  <c r="E123" i="2"/>
  <c r="I123" i="2" s="1"/>
  <c r="E124" i="2"/>
  <c r="E125" i="2"/>
  <c r="I125" i="2" s="1"/>
  <c r="E126" i="2"/>
  <c r="I126" i="2" s="1"/>
  <c r="E127" i="2"/>
  <c r="E128" i="2"/>
  <c r="I128" i="2" s="1"/>
  <c r="E129" i="2"/>
  <c r="E130" i="2"/>
  <c r="I130" i="2" s="1"/>
  <c r="E131" i="2"/>
  <c r="E132" i="2"/>
  <c r="E133" i="2"/>
  <c r="I133" i="2" s="1"/>
  <c r="E134" i="2"/>
  <c r="E135" i="2"/>
  <c r="E136" i="2"/>
  <c r="I136" i="2" s="1"/>
  <c r="E137" i="2"/>
  <c r="E138" i="2"/>
  <c r="I138" i="2" s="1"/>
  <c r="E139" i="2"/>
  <c r="I139" i="2" s="1"/>
  <c r="E140" i="2"/>
  <c r="E141" i="2"/>
  <c r="E142" i="2"/>
  <c r="I142" i="2" s="1"/>
  <c r="E143" i="2"/>
  <c r="I143" i="2" s="1"/>
  <c r="E144" i="2"/>
  <c r="E145" i="2"/>
  <c r="E146" i="2"/>
  <c r="I146" i="2" s="1"/>
  <c r="E147" i="2"/>
  <c r="E148" i="2"/>
  <c r="E149" i="2"/>
  <c r="I149" i="2" s="1"/>
  <c r="E150" i="2"/>
  <c r="E151" i="2"/>
  <c r="I151" i="2" s="1"/>
  <c r="E152" i="2"/>
  <c r="I152" i="2" s="1"/>
  <c r="E153" i="2"/>
  <c r="E154" i="2"/>
  <c r="E155" i="2"/>
  <c r="I155" i="2" s="1"/>
  <c r="E156" i="2"/>
  <c r="I156" i="2" s="1"/>
  <c r="E157" i="2"/>
  <c r="E158" i="2"/>
  <c r="E159" i="2"/>
  <c r="I159" i="2" s="1"/>
  <c r="E160" i="2"/>
  <c r="E161" i="2"/>
  <c r="E162" i="2"/>
  <c r="I162" i="2" s="1"/>
  <c r="E163" i="2"/>
  <c r="E164" i="2"/>
  <c r="I164" i="2" s="1"/>
  <c r="E165" i="2"/>
  <c r="E166" i="2"/>
  <c r="I166" i="2" s="1"/>
  <c r="E167" i="2"/>
  <c r="E168" i="2"/>
  <c r="I168" i="2" s="1"/>
  <c r="E169" i="2"/>
  <c r="I169" i="2" s="1"/>
  <c r="E170" i="2"/>
  <c r="E171" i="2"/>
  <c r="E172" i="2"/>
  <c r="I172" i="2" s="1"/>
  <c r="E173" i="2"/>
  <c r="E174" i="2"/>
  <c r="E175" i="2"/>
  <c r="I175" i="2" s="1"/>
  <c r="E176" i="2"/>
  <c r="E177" i="2"/>
  <c r="I177" i="2" s="1"/>
  <c r="E178" i="2"/>
  <c r="I178" i="2" s="1"/>
  <c r="E179" i="2"/>
  <c r="E180" i="2"/>
  <c r="I180" i="2" s="1"/>
  <c r="E181" i="2"/>
  <c r="I181" i="2" s="1"/>
  <c r="E182" i="2"/>
  <c r="E183" i="2"/>
  <c r="E184" i="2"/>
  <c r="I184" i="2" s="1"/>
  <c r="E185" i="2"/>
  <c r="E186" i="2"/>
  <c r="E187" i="2"/>
  <c r="I187" i="2" s="1"/>
  <c r="E188" i="2"/>
  <c r="E189" i="2"/>
  <c r="I189" i="2" s="1"/>
  <c r="E190" i="2"/>
  <c r="I190" i="2" s="1"/>
  <c r="E191" i="2"/>
  <c r="E192" i="2"/>
  <c r="I192" i="2" s="1"/>
  <c r="E193" i="2"/>
  <c r="I193" i="2" s="1"/>
  <c r="E194" i="2"/>
  <c r="E195" i="2"/>
  <c r="E196" i="2"/>
  <c r="I196" i="2" s="1"/>
  <c r="E197" i="2"/>
  <c r="E198" i="2"/>
  <c r="E199" i="2"/>
  <c r="I199" i="2" s="1"/>
  <c r="E200" i="2"/>
  <c r="G200" i="2" s="1"/>
  <c r="E201" i="2"/>
  <c r="I201" i="2" s="1"/>
  <c r="E202" i="2"/>
  <c r="I202" i="2" s="1"/>
  <c r="E203" i="2"/>
  <c r="E204" i="2"/>
  <c r="I204" i="2" s="1"/>
  <c r="E205" i="2"/>
  <c r="I205" i="2" s="1"/>
  <c r="E206" i="2"/>
  <c r="E207" i="2"/>
  <c r="E208" i="2"/>
  <c r="I208" i="2" s="1"/>
  <c r="E209" i="2"/>
  <c r="E210" i="2"/>
  <c r="E211" i="2"/>
  <c r="I211" i="2" s="1"/>
  <c r="E212" i="2"/>
  <c r="E213" i="2"/>
  <c r="I213" i="2" s="1"/>
  <c r="E214" i="2"/>
  <c r="I214" i="2" s="1"/>
  <c r="E215" i="2"/>
  <c r="E216" i="2"/>
  <c r="I216" i="2" s="1"/>
  <c r="E217" i="2"/>
  <c r="I217" i="2" s="1"/>
  <c r="E218" i="2"/>
  <c r="I218" i="2" s="1"/>
  <c r="E219" i="2"/>
  <c r="E220" i="2"/>
  <c r="I220" i="2" s="1"/>
  <c r="E221" i="2"/>
  <c r="E222" i="2"/>
  <c r="E223" i="2"/>
  <c r="I223" i="2" s="1"/>
  <c r="E224" i="2"/>
  <c r="E225" i="2"/>
  <c r="I225" i="2" s="1"/>
  <c r="E226" i="2"/>
  <c r="I226" i="2" s="1"/>
  <c r="E227" i="2"/>
  <c r="E228" i="2"/>
  <c r="I228" i="2" s="1"/>
  <c r="E229" i="2"/>
  <c r="I229" i="2" s="1"/>
  <c r="E230" i="2"/>
  <c r="I230" i="2" s="1"/>
  <c r="E231" i="2"/>
  <c r="E232" i="2"/>
  <c r="I232" i="2" s="1"/>
  <c r="E233" i="2"/>
  <c r="E234" i="2"/>
  <c r="E235" i="2"/>
  <c r="I235" i="2" s="1"/>
  <c r="E236" i="2"/>
  <c r="E237" i="2"/>
  <c r="I237" i="2" s="1"/>
  <c r="E238" i="2"/>
  <c r="I238" i="2" s="1"/>
  <c r="E239" i="2"/>
  <c r="E240" i="2"/>
  <c r="I240" i="2" s="1"/>
  <c r="E241" i="2"/>
  <c r="I241" i="2" s="1"/>
  <c r="E242" i="2"/>
  <c r="I242" i="2" s="1"/>
  <c r="E243" i="2"/>
  <c r="E244" i="2"/>
  <c r="I244" i="2" s="1"/>
  <c r="E245" i="2"/>
  <c r="E246" i="2"/>
  <c r="E247" i="2"/>
  <c r="I247" i="2" s="1"/>
  <c r="E248" i="2"/>
  <c r="G248" i="2" s="1"/>
  <c r="E249" i="2"/>
  <c r="I249" i="2" s="1"/>
  <c r="E250" i="2"/>
  <c r="I250" i="2" s="1"/>
  <c r="E251" i="2"/>
  <c r="E252" i="2"/>
  <c r="I252" i="2" s="1"/>
  <c r="E253" i="2"/>
  <c r="I253" i="2" s="1"/>
  <c r="E254" i="2"/>
  <c r="I254" i="2" s="1"/>
  <c r="E255" i="2"/>
  <c r="E256" i="2"/>
  <c r="I256" i="2" s="1"/>
  <c r="E257" i="2"/>
  <c r="E258" i="2"/>
  <c r="E259" i="2"/>
  <c r="I259" i="2" s="1"/>
  <c r="E260" i="2"/>
  <c r="E261" i="2"/>
  <c r="I261" i="2" s="1"/>
  <c r="E262" i="2"/>
  <c r="I262" i="2" s="1"/>
  <c r="E263" i="2"/>
  <c r="E264" i="2"/>
  <c r="I264" i="2" s="1"/>
  <c r="E265" i="2"/>
  <c r="I265" i="2" s="1"/>
  <c r="E266" i="2"/>
  <c r="I266" i="2" s="1"/>
  <c r="E267" i="2"/>
  <c r="E268" i="2"/>
  <c r="I268" i="2" s="1"/>
  <c r="E269" i="2"/>
  <c r="E270" i="2"/>
  <c r="E271" i="2"/>
  <c r="I271" i="2" s="1"/>
  <c r="E272" i="2"/>
  <c r="E273" i="2"/>
  <c r="I273" i="2" s="1"/>
  <c r="E274" i="2"/>
  <c r="I274" i="2" s="1"/>
  <c r="E275" i="2"/>
  <c r="E276" i="2"/>
  <c r="I276" i="2" s="1"/>
  <c r="E277" i="2"/>
  <c r="I277" i="2" s="1"/>
  <c r="E278" i="2"/>
  <c r="I278" i="2" s="1"/>
  <c r="E279" i="2"/>
  <c r="E280" i="2"/>
  <c r="I280" i="2" s="1"/>
  <c r="E281" i="2"/>
  <c r="E282" i="2"/>
  <c r="I282" i="2" s="1"/>
  <c r="E283" i="2"/>
  <c r="I283" i="2" s="1"/>
  <c r="E284" i="2"/>
  <c r="E285" i="2"/>
  <c r="I285" i="2" s="1"/>
  <c r="E286" i="2"/>
  <c r="I286" i="2" s="1"/>
  <c r="E287" i="2"/>
  <c r="E288" i="2"/>
  <c r="I288" i="2" s="1"/>
  <c r="E289" i="2"/>
  <c r="I289" i="2" s="1"/>
  <c r="E290" i="2"/>
  <c r="I290" i="2" s="1"/>
  <c r="E291" i="2"/>
  <c r="E292" i="2"/>
  <c r="I292" i="2" s="1"/>
  <c r="E293" i="2"/>
  <c r="E294" i="2"/>
  <c r="I294" i="2" s="1"/>
  <c r="E295" i="2"/>
  <c r="I295" i="2" s="1"/>
  <c r="E296" i="2"/>
  <c r="G296" i="2" s="1"/>
  <c r="E297" i="2"/>
  <c r="I297" i="2" s="1"/>
  <c r="E298" i="2"/>
  <c r="I298" i="2" s="1"/>
  <c r="E299" i="2"/>
  <c r="E300" i="2"/>
  <c r="I300" i="2" s="1"/>
  <c r="E301" i="2"/>
  <c r="I301" i="2" s="1"/>
  <c r="E302" i="2"/>
  <c r="I302" i="2" s="1"/>
  <c r="E303" i="2"/>
  <c r="E304" i="2"/>
  <c r="I304" i="2" s="1"/>
  <c r="E305" i="2"/>
  <c r="E306" i="2"/>
  <c r="I306" i="2" s="1"/>
  <c r="E307" i="2"/>
  <c r="I307" i="2" s="1"/>
  <c r="E308" i="2"/>
  <c r="E309" i="2"/>
  <c r="I309" i="2" s="1"/>
  <c r="E310" i="2"/>
  <c r="I310" i="2" s="1"/>
  <c r="E311" i="2"/>
  <c r="E312" i="2"/>
  <c r="I312" i="2" s="1"/>
  <c r="E313" i="2"/>
  <c r="I313" i="2" s="1"/>
  <c r="E314" i="2"/>
  <c r="I314" i="2" s="1"/>
  <c r="E315" i="2"/>
  <c r="E316" i="2"/>
  <c r="I316" i="2" s="1"/>
  <c r="E317" i="2"/>
  <c r="E318" i="2"/>
  <c r="I318" i="2" s="1"/>
  <c r="E319" i="2"/>
  <c r="I319" i="2" s="1"/>
  <c r="E320" i="2"/>
  <c r="E321" i="2"/>
  <c r="I321" i="2" s="1"/>
  <c r="E322" i="2"/>
  <c r="I322" i="2" s="1"/>
  <c r="E323" i="2"/>
  <c r="E324" i="2"/>
  <c r="I324" i="2" s="1"/>
  <c r="E325" i="2"/>
  <c r="I325" i="2" s="1"/>
  <c r="E326" i="2"/>
  <c r="I326" i="2" s="1"/>
  <c r="E327" i="2"/>
  <c r="E328" i="2"/>
  <c r="I328" i="2" s="1"/>
  <c r="E329" i="2"/>
  <c r="E330" i="2"/>
  <c r="I330" i="2" s="1"/>
  <c r="E331" i="2"/>
  <c r="I331" i="2" s="1"/>
  <c r="E332" i="2"/>
  <c r="E333" i="2"/>
  <c r="I333" i="2" s="1"/>
  <c r="E334" i="2"/>
  <c r="I334" i="2" s="1"/>
  <c r="E335" i="2"/>
  <c r="E336" i="2"/>
  <c r="I336" i="2" s="1"/>
  <c r="E337" i="2"/>
  <c r="I337" i="2" s="1"/>
  <c r="E338" i="2"/>
  <c r="I338" i="2" s="1"/>
  <c r="E339" i="2"/>
  <c r="E340" i="2"/>
  <c r="I340" i="2" s="1"/>
  <c r="E341" i="2"/>
  <c r="E342" i="2"/>
  <c r="I342" i="2" s="1"/>
  <c r="E343" i="2"/>
  <c r="I343" i="2" s="1"/>
  <c r="E344" i="2"/>
  <c r="G344" i="2" s="1"/>
  <c r="E345" i="2"/>
  <c r="I345" i="2" s="1"/>
  <c r="E346" i="2"/>
  <c r="I346" i="2" s="1"/>
  <c r="E347" i="2"/>
  <c r="E348" i="2"/>
  <c r="I348" i="2" s="1"/>
  <c r="E349" i="2"/>
  <c r="I349" i="2" s="1"/>
  <c r="E350" i="2"/>
  <c r="I350" i="2" s="1"/>
  <c r="E351" i="2"/>
  <c r="E352" i="2"/>
  <c r="I352" i="2" s="1"/>
  <c r="E353" i="2"/>
  <c r="E354" i="2"/>
  <c r="I354" i="2" s="1"/>
  <c r="E355" i="2"/>
  <c r="I355" i="2" s="1"/>
  <c r="E356" i="2"/>
  <c r="E357" i="2"/>
  <c r="I357" i="2" s="1"/>
  <c r="E358" i="2"/>
  <c r="I358" i="2" s="1"/>
  <c r="E359" i="2"/>
  <c r="E360" i="2"/>
  <c r="I360" i="2" s="1"/>
  <c r="E361" i="2"/>
  <c r="I361" i="2" s="1"/>
  <c r="E362" i="2"/>
  <c r="I362" i="2" s="1"/>
  <c r="E363" i="2"/>
  <c r="E364" i="2"/>
  <c r="I364" i="2" s="1"/>
  <c r="E365" i="2"/>
  <c r="E366" i="2"/>
  <c r="I366" i="2" s="1"/>
  <c r="E367" i="2"/>
  <c r="I367" i="2" s="1"/>
  <c r="E368" i="2"/>
  <c r="E369" i="2"/>
  <c r="I369" i="2" s="1"/>
  <c r="E370" i="2"/>
  <c r="I370" i="2" s="1"/>
  <c r="E371" i="2"/>
  <c r="I371" i="2" s="1"/>
  <c r="E372" i="2"/>
  <c r="I372" i="2" s="1"/>
  <c r="E373" i="2"/>
  <c r="I373" i="2" s="1"/>
  <c r="E374" i="2"/>
  <c r="I374" i="2" s="1"/>
  <c r="E375" i="2"/>
  <c r="E376" i="2"/>
  <c r="I376" i="2" s="1"/>
  <c r="E377" i="2"/>
  <c r="E378" i="2"/>
  <c r="I378" i="2" s="1"/>
  <c r="E379" i="2"/>
  <c r="I379" i="2" s="1"/>
  <c r="E380" i="2"/>
  <c r="E381" i="2"/>
  <c r="I381" i="2" s="1"/>
  <c r="E382" i="2"/>
  <c r="I382" i="2" s="1"/>
  <c r="E383" i="2"/>
  <c r="I383" i="2" s="1"/>
  <c r="E384" i="2"/>
  <c r="I384" i="2" s="1"/>
  <c r="E385" i="2"/>
  <c r="I385" i="2" s="1"/>
  <c r="E386" i="2"/>
  <c r="I386" i="2" s="1"/>
  <c r="E387" i="2"/>
  <c r="E388" i="2"/>
  <c r="I388" i="2" s="1"/>
  <c r="E389" i="2"/>
  <c r="E390" i="2"/>
  <c r="I390" i="2" s="1"/>
  <c r="E391" i="2"/>
  <c r="I391" i="2" s="1"/>
  <c r="E392" i="2"/>
  <c r="G392" i="2" s="1"/>
  <c r="E393" i="2"/>
  <c r="I393" i="2" s="1"/>
  <c r="E394" i="2"/>
  <c r="I394" i="2" s="1"/>
  <c r="E395" i="2"/>
  <c r="I395" i="2" s="1"/>
  <c r="E396" i="2"/>
  <c r="I396" i="2" s="1"/>
  <c r="E397" i="2"/>
  <c r="I397" i="2" s="1"/>
  <c r="E398" i="2"/>
  <c r="I398" i="2" s="1"/>
  <c r="E399" i="2"/>
  <c r="E400" i="2"/>
  <c r="I400" i="2" s="1"/>
  <c r="E401" i="2"/>
  <c r="E402" i="2"/>
  <c r="I402" i="2" s="1"/>
  <c r="E403" i="2"/>
  <c r="I403" i="2" s="1"/>
  <c r="E404" i="2"/>
  <c r="E405" i="2"/>
  <c r="I405" i="2" s="1"/>
  <c r="E406" i="2"/>
  <c r="I406" i="2" s="1"/>
  <c r="E407" i="2"/>
  <c r="I407" i="2" s="1"/>
  <c r="E408" i="2"/>
  <c r="I408" i="2" s="1"/>
  <c r="E409" i="2"/>
  <c r="I409" i="2" s="1"/>
  <c r="E410" i="2"/>
  <c r="I410" i="2" s="1"/>
  <c r="E411" i="2"/>
  <c r="E412" i="2"/>
  <c r="I412" i="2" s="1"/>
  <c r="E413" i="2"/>
  <c r="E414" i="2"/>
  <c r="I414" i="2" s="1"/>
  <c r="E415" i="2"/>
  <c r="I415" i="2" s="1"/>
  <c r="E416" i="2"/>
  <c r="E417" i="2"/>
  <c r="I417" i="2" s="1"/>
  <c r="E418" i="2"/>
  <c r="I418" i="2" s="1"/>
  <c r="E419" i="2"/>
  <c r="I419" i="2" s="1"/>
  <c r="E420" i="2"/>
  <c r="I420" i="2" s="1"/>
  <c r="E421" i="2"/>
  <c r="I421" i="2" s="1"/>
  <c r="E422" i="2"/>
  <c r="I422" i="2" s="1"/>
  <c r="E423" i="2"/>
  <c r="E424" i="2"/>
  <c r="I424" i="2" s="1"/>
  <c r="E425" i="2"/>
  <c r="E426" i="2"/>
  <c r="I426" i="2" s="1"/>
  <c r="E427" i="2"/>
  <c r="I427" i="2" s="1"/>
  <c r="E428" i="2"/>
  <c r="E429" i="2"/>
  <c r="I429" i="2" s="1"/>
  <c r="E430" i="2"/>
  <c r="I430" i="2" s="1"/>
  <c r="E431" i="2"/>
  <c r="I431" i="2" s="1"/>
  <c r="E432" i="2"/>
  <c r="I432" i="2" s="1"/>
  <c r="E433" i="2"/>
  <c r="I433" i="2" s="1"/>
  <c r="E434" i="2"/>
  <c r="I434" i="2" s="1"/>
  <c r="E435" i="2"/>
  <c r="E436" i="2"/>
  <c r="I436" i="2" s="1"/>
  <c r="E437" i="2"/>
  <c r="E438" i="2"/>
  <c r="I438" i="2" s="1"/>
  <c r="E439" i="2"/>
  <c r="I439" i="2" s="1"/>
  <c r="E440" i="2"/>
  <c r="G440" i="2" s="1"/>
  <c r="E441" i="2"/>
  <c r="I441" i="2" s="1"/>
  <c r="E442" i="2"/>
  <c r="I442" i="2" s="1"/>
  <c r="E443" i="2"/>
  <c r="I443" i="2" s="1"/>
  <c r="E444" i="2"/>
  <c r="I444" i="2" s="1"/>
  <c r="E445" i="2"/>
  <c r="I445" i="2" s="1"/>
  <c r="E446" i="2"/>
  <c r="I446" i="2" s="1"/>
  <c r="E447" i="2"/>
  <c r="E448" i="2"/>
  <c r="I448" i="2" s="1"/>
  <c r="E449" i="2"/>
  <c r="E450" i="2"/>
  <c r="I450" i="2" s="1"/>
  <c r="E451" i="2"/>
  <c r="I451" i="2" s="1"/>
  <c r="E452" i="2"/>
  <c r="E453" i="2"/>
  <c r="I453" i="2" s="1"/>
  <c r="E454" i="2"/>
  <c r="I454" i="2" s="1"/>
  <c r="E455" i="2"/>
  <c r="I455" i="2" s="1"/>
  <c r="E456" i="2"/>
  <c r="I456" i="2" s="1"/>
  <c r="E457" i="2"/>
  <c r="I457" i="2" s="1"/>
  <c r="E458" i="2"/>
  <c r="I458" i="2" s="1"/>
  <c r="E459" i="2"/>
  <c r="E460" i="2"/>
  <c r="I460" i="2" s="1"/>
  <c r="E461" i="2"/>
  <c r="E462" i="2"/>
  <c r="I462" i="2" s="1"/>
  <c r="E463" i="2"/>
  <c r="I463" i="2" s="1"/>
  <c r="E464" i="2"/>
  <c r="E465" i="2"/>
  <c r="I465" i="2" s="1"/>
  <c r="E466" i="2"/>
  <c r="I466" i="2" s="1"/>
  <c r="E467" i="2"/>
  <c r="I467" i="2" s="1"/>
  <c r="E468" i="2"/>
  <c r="I468" i="2" s="1"/>
  <c r="E469" i="2"/>
  <c r="I469" i="2" s="1"/>
  <c r="E470" i="2"/>
  <c r="I470" i="2" s="1"/>
  <c r="E471" i="2"/>
  <c r="E472" i="2"/>
  <c r="I472" i="2" s="1"/>
  <c r="E473" i="2"/>
  <c r="E474" i="2"/>
  <c r="I474" i="2" s="1"/>
  <c r="E475" i="2"/>
  <c r="I475" i="2" s="1"/>
  <c r="E476" i="2"/>
  <c r="E477" i="2"/>
  <c r="I477" i="2" s="1"/>
  <c r="E478" i="2"/>
  <c r="I478" i="2" s="1"/>
  <c r="E479" i="2"/>
  <c r="I479" i="2" s="1"/>
  <c r="E480" i="2"/>
  <c r="I480" i="2" s="1"/>
  <c r="E481" i="2"/>
  <c r="I481" i="2" s="1"/>
  <c r="E482" i="2"/>
  <c r="I482" i="2" s="1"/>
  <c r="E483" i="2"/>
  <c r="E484" i="2"/>
  <c r="I484" i="2" s="1"/>
  <c r="E485" i="2"/>
  <c r="E486" i="2"/>
  <c r="I486" i="2" s="1"/>
  <c r="E487" i="2"/>
  <c r="I487" i="2" s="1"/>
  <c r="E488" i="2"/>
  <c r="G488" i="2" s="1"/>
  <c r="E489" i="2"/>
  <c r="I489" i="2" s="1"/>
  <c r="E490" i="2"/>
  <c r="I490" i="2" s="1"/>
  <c r="E491" i="2"/>
  <c r="I491" i="2" s="1"/>
  <c r="E492" i="2"/>
  <c r="I492" i="2" s="1"/>
  <c r="E493" i="2"/>
  <c r="I493" i="2" s="1"/>
  <c r="E494" i="2"/>
  <c r="I494" i="2" s="1"/>
  <c r="E495" i="2"/>
  <c r="E496" i="2"/>
  <c r="I496" i="2" s="1"/>
  <c r="E497" i="2"/>
  <c r="E498" i="2"/>
  <c r="I498" i="2" s="1"/>
  <c r="E499" i="2"/>
  <c r="I499" i="2" s="1"/>
  <c r="E500" i="2"/>
  <c r="E501" i="2"/>
  <c r="I501" i="2" s="1"/>
  <c r="E502" i="2"/>
  <c r="I502" i="2" s="1"/>
  <c r="E503" i="2"/>
  <c r="I503" i="2" s="1"/>
  <c r="E504" i="2"/>
  <c r="I504" i="2" s="1"/>
  <c r="E505" i="2"/>
  <c r="I505" i="2" s="1"/>
  <c r="E506" i="2"/>
  <c r="I506" i="2" s="1"/>
  <c r="E507" i="2"/>
  <c r="E508" i="2"/>
  <c r="I508" i="2" s="1"/>
  <c r="E509" i="2"/>
  <c r="E510" i="2"/>
  <c r="I510" i="2" s="1"/>
  <c r="E511" i="2"/>
  <c r="I511" i="2" s="1"/>
  <c r="E512" i="2"/>
  <c r="E513" i="2"/>
  <c r="I513" i="2" s="1"/>
  <c r="E514" i="2"/>
  <c r="I514" i="2" s="1"/>
  <c r="E515" i="2"/>
  <c r="I515" i="2" s="1"/>
  <c r="E516" i="2"/>
  <c r="I516" i="2" s="1"/>
  <c r="E517" i="2"/>
  <c r="I517" i="2" s="1"/>
  <c r="E518" i="2"/>
  <c r="I518" i="2" s="1"/>
  <c r="E519" i="2"/>
  <c r="E520" i="2"/>
  <c r="I520" i="2" s="1"/>
  <c r="E521" i="2"/>
  <c r="E522" i="2"/>
  <c r="I522" i="2" s="1"/>
  <c r="E523" i="2"/>
  <c r="I523" i="2" s="1"/>
  <c r="E524" i="2"/>
  <c r="E525" i="2"/>
  <c r="I525" i="2" s="1"/>
  <c r="E526" i="2"/>
  <c r="I526" i="2" s="1"/>
  <c r="E527" i="2"/>
  <c r="I527" i="2" s="1"/>
  <c r="E528" i="2"/>
  <c r="I528" i="2" s="1"/>
  <c r="E529" i="2"/>
  <c r="I529" i="2" s="1"/>
  <c r="E530" i="2"/>
  <c r="I530" i="2" s="1"/>
  <c r="E531" i="2"/>
  <c r="I531" i="2" s="1"/>
  <c r="E532" i="2"/>
  <c r="I532" i="2" s="1"/>
  <c r="E533" i="2"/>
  <c r="E534" i="2"/>
  <c r="I534" i="2" s="1"/>
  <c r="E535" i="2"/>
  <c r="I535" i="2" s="1"/>
  <c r="E536" i="2"/>
  <c r="G536" i="2" s="1"/>
  <c r="E537" i="2"/>
  <c r="I537" i="2" s="1"/>
  <c r="E538" i="2"/>
  <c r="I538" i="2" s="1"/>
  <c r="E539" i="2"/>
  <c r="I539" i="2" s="1"/>
  <c r="E540" i="2"/>
  <c r="I540" i="2" s="1"/>
  <c r="E2" i="2"/>
  <c r="I2" i="2" s="1"/>
  <c r="D3" i="2"/>
  <c r="H3" i="2" s="1"/>
  <c r="D4" i="2"/>
  <c r="H4" i="2" s="1"/>
  <c r="D5" i="2"/>
  <c r="H5" i="2" s="1"/>
  <c r="D6" i="2"/>
  <c r="D7" i="2"/>
  <c r="H7" i="2" s="1"/>
  <c r="D8" i="2"/>
  <c r="H8" i="2" s="1"/>
  <c r="D9" i="2"/>
  <c r="D10" i="2"/>
  <c r="H10" i="2" s="1"/>
  <c r="D11" i="2"/>
  <c r="H11" i="2" s="1"/>
  <c r="D12" i="2"/>
  <c r="H12" i="2" s="1"/>
  <c r="D13" i="2"/>
  <c r="H13" i="2" s="1"/>
  <c r="D14" i="2"/>
  <c r="H14" i="2" s="1"/>
  <c r="D15" i="2"/>
  <c r="H15" i="2" s="1"/>
  <c r="D16" i="2"/>
  <c r="H16" i="2" s="1"/>
  <c r="D17" i="2"/>
  <c r="H17" i="2" s="1"/>
  <c r="D18" i="2"/>
  <c r="D19" i="2"/>
  <c r="H19" i="2" s="1"/>
  <c r="D20" i="2"/>
  <c r="H20" i="2" s="1"/>
  <c r="D21" i="2"/>
  <c r="D22" i="2"/>
  <c r="H22" i="2" s="1"/>
  <c r="D23" i="2"/>
  <c r="H23" i="2" s="1"/>
  <c r="D24" i="2"/>
  <c r="H24" i="2" s="1"/>
  <c r="D25" i="2"/>
  <c r="H25" i="2" s="1"/>
  <c r="D26" i="2"/>
  <c r="H26" i="2" s="1"/>
  <c r="D27" i="2"/>
  <c r="H27" i="2" s="1"/>
  <c r="D28" i="2"/>
  <c r="H28" i="2" s="1"/>
  <c r="D29" i="2"/>
  <c r="H29" i="2" s="1"/>
  <c r="D30" i="2"/>
  <c r="D31" i="2"/>
  <c r="H31" i="2" s="1"/>
  <c r="D32" i="2"/>
  <c r="H32" i="2" s="1"/>
  <c r="D33" i="2"/>
  <c r="D34" i="2"/>
  <c r="H34" i="2" s="1"/>
  <c r="D35" i="2"/>
  <c r="H35" i="2" s="1"/>
  <c r="D36" i="2"/>
  <c r="H36" i="2" s="1"/>
  <c r="D37" i="2"/>
  <c r="H37" i="2" s="1"/>
  <c r="D38" i="2"/>
  <c r="H38" i="2" s="1"/>
  <c r="D39" i="2"/>
  <c r="H39" i="2" s="1"/>
  <c r="D40" i="2"/>
  <c r="H40" i="2" s="1"/>
  <c r="D41" i="2"/>
  <c r="H41" i="2" s="1"/>
  <c r="D42" i="2"/>
  <c r="D43" i="2"/>
  <c r="H43" i="2" s="1"/>
  <c r="D44" i="2"/>
  <c r="H44" i="2" s="1"/>
  <c r="D45" i="2"/>
  <c r="F45" i="2" s="1"/>
  <c r="D46" i="2"/>
  <c r="H46" i="2" s="1"/>
  <c r="D47" i="2"/>
  <c r="H47" i="2" s="1"/>
  <c r="D48" i="2"/>
  <c r="H48" i="2" s="1"/>
  <c r="D49" i="2"/>
  <c r="H49" i="2" s="1"/>
  <c r="D50" i="2"/>
  <c r="H50" i="2" s="1"/>
  <c r="D51" i="2"/>
  <c r="H51" i="2" s="1"/>
  <c r="D52" i="2"/>
  <c r="H52" i="2" s="1"/>
  <c r="D53" i="2"/>
  <c r="H53" i="2" s="1"/>
  <c r="D54" i="2"/>
  <c r="D55" i="2"/>
  <c r="H55" i="2" s="1"/>
  <c r="D56" i="2"/>
  <c r="H56" i="2" s="1"/>
  <c r="D57" i="2"/>
  <c r="D58" i="2"/>
  <c r="H58" i="2" s="1"/>
  <c r="D59" i="2"/>
  <c r="H59" i="2" s="1"/>
  <c r="D60" i="2"/>
  <c r="H60" i="2" s="1"/>
  <c r="D61" i="2"/>
  <c r="H61" i="2" s="1"/>
  <c r="D62" i="2"/>
  <c r="H62" i="2" s="1"/>
  <c r="D63" i="2"/>
  <c r="H63" i="2" s="1"/>
  <c r="D64" i="2"/>
  <c r="H64" i="2" s="1"/>
  <c r="D65" i="2"/>
  <c r="H65" i="2" s="1"/>
  <c r="D66" i="2"/>
  <c r="D67" i="2"/>
  <c r="H67" i="2" s="1"/>
  <c r="D68" i="2"/>
  <c r="H68" i="2" s="1"/>
  <c r="D69" i="2"/>
  <c r="D70" i="2"/>
  <c r="H70" i="2" s="1"/>
  <c r="D71" i="2"/>
  <c r="H71" i="2" s="1"/>
  <c r="D72" i="2"/>
  <c r="H72" i="2" s="1"/>
  <c r="D73" i="2"/>
  <c r="H73" i="2" s="1"/>
  <c r="D74" i="2"/>
  <c r="H74" i="2" s="1"/>
  <c r="D75" i="2"/>
  <c r="H75" i="2" s="1"/>
  <c r="D76" i="2"/>
  <c r="H76" i="2" s="1"/>
  <c r="D77" i="2"/>
  <c r="H77" i="2" s="1"/>
  <c r="D78" i="2"/>
  <c r="D79" i="2"/>
  <c r="H79" i="2" s="1"/>
  <c r="D80" i="2"/>
  <c r="H80" i="2" s="1"/>
  <c r="D81" i="2"/>
  <c r="D82" i="2"/>
  <c r="H82" i="2" s="1"/>
  <c r="D83" i="2"/>
  <c r="H83" i="2" s="1"/>
  <c r="D84" i="2"/>
  <c r="H84" i="2" s="1"/>
  <c r="D85" i="2"/>
  <c r="H85" i="2" s="1"/>
  <c r="D86" i="2"/>
  <c r="H86" i="2" s="1"/>
  <c r="D87" i="2"/>
  <c r="H87" i="2" s="1"/>
  <c r="D88" i="2"/>
  <c r="H88" i="2" s="1"/>
  <c r="D89" i="2"/>
  <c r="H89" i="2" s="1"/>
  <c r="D90" i="2"/>
  <c r="D91" i="2"/>
  <c r="H91" i="2" s="1"/>
  <c r="D92" i="2"/>
  <c r="H92" i="2" s="1"/>
  <c r="D93" i="2"/>
  <c r="F93" i="2" s="1"/>
  <c r="D94" i="2"/>
  <c r="H94" i="2" s="1"/>
  <c r="D95" i="2"/>
  <c r="H95" i="2" s="1"/>
  <c r="D96" i="2"/>
  <c r="H96" i="2" s="1"/>
  <c r="D97" i="2"/>
  <c r="H97" i="2" s="1"/>
  <c r="D98" i="2"/>
  <c r="H98" i="2" s="1"/>
  <c r="D99" i="2"/>
  <c r="H99" i="2" s="1"/>
  <c r="D100" i="2"/>
  <c r="H100" i="2" s="1"/>
  <c r="D101" i="2"/>
  <c r="H101" i="2" s="1"/>
  <c r="D102" i="2"/>
  <c r="D103" i="2"/>
  <c r="H103" i="2" s="1"/>
  <c r="D104" i="2"/>
  <c r="H104" i="2" s="1"/>
  <c r="D105" i="2"/>
  <c r="D106" i="2"/>
  <c r="H106" i="2" s="1"/>
  <c r="D107" i="2"/>
  <c r="H107" i="2" s="1"/>
  <c r="D108" i="2"/>
  <c r="H108" i="2" s="1"/>
  <c r="D109" i="2"/>
  <c r="H109" i="2" s="1"/>
  <c r="D110" i="2"/>
  <c r="H110" i="2" s="1"/>
  <c r="D111" i="2"/>
  <c r="H111" i="2" s="1"/>
  <c r="D112" i="2"/>
  <c r="H112" i="2" s="1"/>
  <c r="D113" i="2"/>
  <c r="H113" i="2" s="1"/>
  <c r="D114" i="2"/>
  <c r="D115" i="2"/>
  <c r="H115" i="2" s="1"/>
  <c r="D116" i="2"/>
  <c r="H116" i="2" s="1"/>
  <c r="D117" i="2"/>
  <c r="D118" i="2"/>
  <c r="H118" i="2" s="1"/>
  <c r="D119" i="2"/>
  <c r="H119" i="2" s="1"/>
  <c r="D120" i="2"/>
  <c r="H120" i="2" s="1"/>
  <c r="D121" i="2"/>
  <c r="H121" i="2" s="1"/>
  <c r="D122" i="2"/>
  <c r="H122" i="2" s="1"/>
  <c r="D123" i="2"/>
  <c r="H123" i="2" s="1"/>
  <c r="D124" i="2"/>
  <c r="H124" i="2" s="1"/>
  <c r="D125" i="2"/>
  <c r="H125" i="2" s="1"/>
  <c r="D126" i="2"/>
  <c r="D127" i="2"/>
  <c r="H127" i="2" s="1"/>
  <c r="D128" i="2"/>
  <c r="H128" i="2" s="1"/>
  <c r="D129" i="2"/>
  <c r="D130" i="2"/>
  <c r="H130" i="2" s="1"/>
  <c r="D131" i="2"/>
  <c r="H131" i="2" s="1"/>
  <c r="D132" i="2"/>
  <c r="H132" i="2" s="1"/>
  <c r="D133" i="2"/>
  <c r="H133" i="2" s="1"/>
  <c r="D134" i="2"/>
  <c r="H134" i="2" s="1"/>
  <c r="D135" i="2"/>
  <c r="H135" i="2" s="1"/>
  <c r="D136" i="2"/>
  <c r="H136" i="2" s="1"/>
  <c r="D137" i="2"/>
  <c r="H137" i="2" s="1"/>
  <c r="D138" i="2"/>
  <c r="D139" i="2"/>
  <c r="H139" i="2" s="1"/>
  <c r="D140" i="2"/>
  <c r="H140" i="2" s="1"/>
  <c r="D141" i="2"/>
  <c r="F141" i="2" s="1"/>
  <c r="D142" i="2"/>
  <c r="H142" i="2" s="1"/>
  <c r="D143" i="2"/>
  <c r="H143" i="2" s="1"/>
  <c r="D144" i="2"/>
  <c r="H144" i="2" s="1"/>
  <c r="D145" i="2"/>
  <c r="H145" i="2" s="1"/>
  <c r="D146" i="2"/>
  <c r="H146" i="2" s="1"/>
  <c r="D147" i="2"/>
  <c r="H147" i="2" s="1"/>
  <c r="D148" i="2"/>
  <c r="H148" i="2" s="1"/>
  <c r="D149" i="2"/>
  <c r="H149" i="2" s="1"/>
  <c r="D150" i="2"/>
  <c r="D151" i="2"/>
  <c r="H151" i="2" s="1"/>
  <c r="D152" i="2"/>
  <c r="H152" i="2" s="1"/>
  <c r="D153" i="2"/>
  <c r="D154" i="2"/>
  <c r="H154" i="2" s="1"/>
  <c r="D155" i="2"/>
  <c r="H155" i="2" s="1"/>
  <c r="D156" i="2"/>
  <c r="H156" i="2" s="1"/>
  <c r="D157" i="2"/>
  <c r="H157" i="2" s="1"/>
  <c r="D158" i="2"/>
  <c r="H158" i="2" s="1"/>
  <c r="D159" i="2"/>
  <c r="H159" i="2" s="1"/>
  <c r="D160" i="2"/>
  <c r="H160" i="2" s="1"/>
  <c r="D161" i="2"/>
  <c r="H161" i="2" s="1"/>
  <c r="D162" i="2"/>
  <c r="D163" i="2"/>
  <c r="H163" i="2" s="1"/>
  <c r="D164" i="2"/>
  <c r="H164" i="2" s="1"/>
  <c r="D165" i="2"/>
  <c r="D166" i="2"/>
  <c r="H166" i="2" s="1"/>
  <c r="D167" i="2"/>
  <c r="H167" i="2" s="1"/>
  <c r="D168" i="2"/>
  <c r="H168" i="2" s="1"/>
  <c r="D169" i="2"/>
  <c r="H169" i="2" s="1"/>
  <c r="D170" i="2"/>
  <c r="H170" i="2" s="1"/>
  <c r="D171" i="2"/>
  <c r="H171" i="2" s="1"/>
  <c r="D172" i="2"/>
  <c r="H172" i="2" s="1"/>
  <c r="D173" i="2"/>
  <c r="H173" i="2" s="1"/>
  <c r="D174" i="2"/>
  <c r="D175" i="2"/>
  <c r="H175" i="2" s="1"/>
  <c r="D176" i="2"/>
  <c r="H176" i="2" s="1"/>
  <c r="D177" i="2"/>
  <c r="D178" i="2"/>
  <c r="H178" i="2" s="1"/>
  <c r="D179" i="2"/>
  <c r="H179" i="2" s="1"/>
  <c r="D180" i="2"/>
  <c r="H180" i="2" s="1"/>
  <c r="D181" i="2"/>
  <c r="H181" i="2" s="1"/>
  <c r="D182" i="2"/>
  <c r="H182" i="2" s="1"/>
  <c r="D183" i="2"/>
  <c r="H183" i="2" s="1"/>
  <c r="D184" i="2"/>
  <c r="H184" i="2" s="1"/>
  <c r="D185" i="2"/>
  <c r="H185" i="2" s="1"/>
  <c r="D186" i="2"/>
  <c r="D187" i="2"/>
  <c r="H187" i="2" s="1"/>
  <c r="D188" i="2"/>
  <c r="H188" i="2" s="1"/>
  <c r="D189" i="2"/>
  <c r="F189" i="2" s="1"/>
  <c r="D190" i="2"/>
  <c r="H190" i="2" s="1"/>
  <c r="D191" i="2"/>
  <c r="H191" i="2" s="1"/>
  <c r="D192" i="2"/>
  <c r="H192" i="2" s="1"/>
  <c r="D193" i="2"/>
  <c r="H193" i="2" s="1"/>
  <c r="D194" i="2"/>
  <c r="H194" i="2" s="1"/>
  <c r="D195" i="2"/>
  <c r="H195" i="2" s="1"/>
  <c r="D196" i="2"/>
  <c r="H196" i="2" s="1"/>
  <c r="D197" i="2"/>
  <c r="H197" i="2" s="1"/>
  <c r="D198" i="2"/>
  <c r="D199" i="2"/>
  <c r="H199" i="2" s="1"/>
  <c r="D200" i="2"/>
  <c r="H200" i="2" s="1"/>
  <c r="D201" i="2"/>
  <c r="D202" i="2"/>
  <c r="H202" i="2" s="1"/>
  <c r="D203" i="2"/>
  <c r="H203" i="2" s="1"/>
  <c r="D204" i="2"/>
  <c r="H204" i="2" s="1"/>
  <c r="D205" i="2"/>
  <c r="H205" i="2" s="1"/>
  <c r="D206" i="2"/>
  <c r="H206" i="2" s="1"/>
  <c r="D207" i="2"/>
  <c r="H207" i="2" s="1"/>
  <c r="D208" i="2"/>
  <c r="H208" i="2" s="1"/>
  <c r="D209" i="2"/>
  <c r="H209" i="2" s="1"/>
  <c r="D210" i="2"/>
  <c r="D211" i="2"/>
  <c r="H211" i="2" s="1"/>
  <c r="D212" i="2"/>
  <c r="H212" i="2" s="1"/>
  <c r="D213" i="2"/>
  <c r="D214" i="2"/>
  <c r="H214" i="2" s="1"/>
  <c r="D215" i="2"/>
  <c r="H215" i="2" s="1"/>
  <c r="D216" i="2"/>
  <c r="H216" i="2" s="1"/>
  <c r="D217" i="2"/>
  <c r="H217" i="2" s="1"/>
  <c r="D218" i="2"/>
  <c r="H218" i="2" s="1"/>
  <c r="D219" i="2"/>
  <c r="H219" i="2" s="1"/>
  <c r="D220" i="2"/>
  <c r="H220" i="2" s="1"/>
  <c r="D221" i="2"/>
  <c r="H221" i="2" s="1"/>
  <c r="D222" i="2"/>
  <c r="D223" i="2"/>
  <c r="H223" i="2" s="1"/>
  <c r="D224" i="2"/>
  <c r="H224" i="2" s="1"/>
  <c r="D225" i="2"/>
  <c r="D226" i="2"/>
  <c r="H226" i="2" s="1"/>
  <c r="D227" i="2"/>
  <c r="H227" i="2" s="1"/>
  <c r="D228" i="2"/>
  <c r="H228" i="2" s="1"/>
  <c r="D229" i="2"/>
  <c r="H229" i="2" s="1"/>
  <c r="D230" i="2"/>
  <c r="H230" i="2" s="1"/>
  <c r="D231" i="2"/>
  <c r="H231" i="2" s="1"/>
  <c r="D232" i="2"/>
  <c r="H232" i="2" s="1"/>
  <c r="D233" i="2"/>
  <c r="H233" i="2" s="1"/>
  <c r="D234" i="2"/>
  <c r="D235" i="2"/>
  <c r="H235" i="2" s="1"/>
  <c r="D236" i="2"/>
  <c r="H236" i="2" s="1"/>
  <c r="D237" i="2"/>
  <c r="F237" i="2" s="1"/>
  <c r="D238" i="2"/>
  <c r="H238" i="2" s="1"/>
  <c r="D239" i="2"/>
  <c r="H239" i="2" s="1"/>
  <c r="D240" i="2"/>
  <c r="H240" i="2" s="1"/>
  <c r="D241" i="2"/>
  <c r="H241" i="2" s="1"/>
  <c r="D242" i="2"/>
  <c r="H242" i="2" s="1"/>
  <c r="D243" i="2"/>
  <c r="H243" i="2" s="1"/>
  <c r="D244" i="2"/>
  <c r="H244" i="2" s="1"/>
  <c r="D245" i="2"/>
  <c r="H245" i="2" s="1"/>
  <c r="D246" i="2"/>
  <c r="D247" i="2"/>
  <c r="H247" i="2" s="1"/>
  <c r="D248" i="2"/>
  <c r="H248" i="2" s="1"/>
  <c r="D249" i="2"/>
  <c r="D250" i="2"/>
  <c r="H250" i="2" s="1"/>
  <c r="D251" i="2"/>
  <c r="H251" i="2" s="1"/>
  <c r="D252" i="2"/>
  <c r="H252" i="2" s="1"/>
  <c r="D253" i="2"/>
  <c r="H253" i="2" s="1"/>
  <c r="D254" i="2"/>
  <c r="H254" i="2" s="1"/>
  <c r="D255" i="2"/>
  <c r="H255" i="2" s="1"/>
  <c r="D256" i="2"/>
  <c r="H256" i="2" s="1"/>
  <c r="D257" i="2"/>
  <c r="H257" i="2" s="1"/>
  <c r="D258" i="2"/>
  <c r="D259" i="2"/>
  <c r="H259" i="2" s="1"/>
  <c r="D260" i="2"/>
  <c r="H260" i="2" s="1"/>
  <c r="D261" i="2"/>
  <c r="D262" i="2"/>
  <c r="H262" i="2" s="1"/>
  <c r="D263" i="2"/>
  <c r="H263" i="2" s="1"/>
  <c r="D264" i="2"/>
  <c r="H264" i="2" s="1"/>
  <c r="D265" i="2"/>
  <c r="H265" i="2" s="1"/>
  <c r="D266" i="2"/>
  <c r="H266" i="2" s="1"/>
  <c r="D267" i="2"/>
  <c r="H267" i="2" s="1"/>
  <c r="D268" i="2"/>
  <c r="H268" i="2" s="1"/>
  <c r="D269" i="2"/>
  <c r="H269" i="2" s="1"/>
  <c r="D270" i="2"/>
  <c r="D271" i="2"/>
  <c r="H271" i="2" s="1"/>
  <c r="D272" i="2"/>
  <c r="H272" i="2" s="1"/>
  <c r="D273" i="2"/>
  <c r="D274" i="2"/>
  <c r="H274" i="2" s="1"/>
  <c r="D275" i="2"/>
  <c r="H275" i="2" s="1"/>
  <c r="D276" i="2"/>
  <c r="H276" i="2" s="1"/>
  <c r="D277" i="2"/>
  <c r="H277" i="2" s="1"/>
  <c r="D278" i="2"/>
  <c r="H278" i="2" s="1"/>
  <c r="D279" i="2"/>
  <c r="H279" i="2" s="1"/>
  <c r="D280" i="2"/>
  <c r="H280" i="2" s="1"/>
  <c r="D281" i="2"/>
  <c r="H281" i="2" s="1"/>
  <c r="D282" i="2"/>
  <c r="H282" i="2" s="1"/>
  <c r="D283" i="2"/>
  <c r="H283" i="2" s="1"/>
  <c r="D284" i="2"/>
  <c r="H284" i="2" s="1"/>
  <c r="D285" i="2"/>
  <c r="F285" i="2" s="1"/>
  <c r="D286" i="2"/>
  <c r="H286" i="2" s="1"/>
  <c r="D287" i="2"/>
  <c r="H287" i="2" s="1"/>
  <c r="D288" i="2"/>
  <c r="H288" i="2" s="1"/>
  <c r="D289" i="2"/>
  <c r="H289" i="2" s="1"/>
  <c r="D290" i="2"/>
  <c r="H290" i="2" s="1"/>
  <c r="D291" i="2"/>
  <c r="H291" i="2" s="1"/>
  <c r="D292" i="2"/>
  <c r="H292" i="2" s="1"/>
  <c r="D293" i="2"/>
  <c r="H293" i="2" s="1"/>
  <c r="D294" i="2"/>
  <c r="H294" i="2" s="1"/>
  <c r="D295" i="2"/>
  <c r="H295" i="2" s="1"/>
  <c r="D296" i="2"/>
  <c r="H296" i="2" s="1"/>
  <c r="D297" i="2"/>
  <c r="D298" i="2"/>
  <c r="H298" i="2" s="1"/>
  <c r="D299" i="2"/>
  <c r="H299" i="2" s="1"/>
  <c r="D300" i="2"/>
  <c r="H300" i="2" s="1"/>
  <c r="D301" i="2"/>
  <c r="H301" i="2" s="1"/>
  <c r="D302" i="2"/>
  <c r="H302" i="2" s="1"/>
  <c r="D303" i="2"/>
  <c r="H303" i="2" s="1"/>
  <c r="D304" i="2"/>
  <c r="H304" i="2" s="1"/>
  <c r="D305" i="2"/>
  <c r="H305" i="2" s="1"/>
  <c r="D306" i="2"/>
  <c r="H306" i="2" s="1"/>
  <c r="D307" i="2"/>
  <c r="H307" i="2" s="1"/>
  <c r="D308" i="2"/>
  <c r="H308" i="2" s="1"/>
  <c r="D309" i="2"/>
  <c r="H309" i="2" s="1"/>
  <c r="D310" i="2"/>
  <c r="H310" i="2" s="1"/>
  <c r="D311" i="2"/>
  <c r="H311" i="2" s="1"/>
  <c r="D312" i="2"/>
  <c r="H312" i="2" s="1"/>
  <c r="D313" i="2"/>
  <c r="H313" i="2" s="1"/>
  <c r="D314" i="2"/>
  <c r="H314" i="2" s="1"/>
  <c r="D315" i="2"/>
  <c r="H315" i="2" s="1"/>
  <c r="D2" i="2"/>
  <c r="H2" i="2" s="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2" i="1"/>
  <c r="G181" i="2" l="1"/>
  <c r="G103" i="2"/>
  <c r="I154" i="2"/>
  <c r="G154" i="2"/>
  <c r="I118" i="2"/>
  <c r="G118" i="2"/>
  <c r="I106" i="2"/>
  <c r="G106" i="2"/>
  <c r="I94" i="2"/>
  <c r="G94" i="2"/>
  <c r="I58" i="2"/>
  <c r="G58" i="2"/>
  <c r="F309" i="2"/>
  <c r="F296" i="2"/>
  <c r="F283" i="2"/>
  <c r="F269" i="2"/>
  <c r="F255" i="2"/>
  <c r="F241" i="2"/>
  <c r="F227" i="2"/>
  <c r="F212" i="2"/>
  <c r="F197" i="2"/>
  <c r="F183" i="2"/>
  <c r="F169" i="2"/>
  <c r="F155" i="2"/>
  <c r="F140" i="2"/>
  <c r="F125" i="2"/>
  <c r="F111" i="2"/>
  <c r="F97" i="2"/>
  <c r="F83" i="2"/>
  <c r="F68" i="2"/>
  <c r="F53" i="2"/>
  <c r="F39" i="2"/>
  <c r="F25" i="2"/>
  <c r="F11" i="2"/>
  <c r="G535" i="2"/>
  <c r="G520" i="2"/>
  <c r="G504" i="2"/>
  <c r="G489" i="2"/>
  <c r="G472" i="2"/>
  <c r="G456" i="2"/>
  <c r="G441" i="2"/>
  <c r="G424" i="2"/>
  <c r="G408" i="2"/>
  <c r="G393" i="2"/>
  <c r="G376" i="2"/>
  <c r="G360" i="2"/>
  <c r="G342" i="2"/>
  <c r="G324" i="2"/>
  <c r="G306" i="2"/>
  <c r="G288" i="2"/>
  <c r="G268" i="2"/>
  <c r="G249" i="2"/>
  <c r="G228" i="2"/>
  <c r="G205" i="2"/>
  <c r="G156" i="2"/>
  <c r="G130" i="2"/>
  <c r="G70" i="2"/>
  <c r="G34" i="2"/>
  <c r="H45" i="2"/>
  <c r="G165" i="2"/>
  <c r="I165" i="2"/>
  <c r="G153" i="2"/>
  <c r="I153" i="2"/>
  <c r="G141" i="2"/>
  <c r="I141" i="2"/>
  <c r="G129" i="2"/>
  <c r="I129" i="2"/>
  <c r="G117" i="2"/>
  <c r="I117" i="2"/>
  <c r="G105" i="2"/>
  <c r="I105" i="2"/>
  <c r="G93" i="2"/>
  <c r="I93" i="2"/>
  <c r="G81" i="2"/>
  <c r="I81" i="2"/>
  <c r="G69" i="2"/>
  <c r="I69" i="2"/>
  <c r="G57" i="2"/>
  <c r="I57" i="2"/>
  <c r="G45" i="2"/>
  <c r="I45" i="2"/>
  <c r="G33" i="2"/>
  <c r="I33" i="2"/>
  <c r="G21" i="2"/>
  <c r="I21" i="2"/>
  <c r="G9" i="2"/>
  <c r="I9" i="2"/>
  <c r="F308" i="2"/>
  <c r="F295" i="2"/>
  <c r="F282" i="2"/>
  <c r="F268" i="2"/>
  <c r="F254" i="2"/>
  <c r="F240" i="2"/>
  <c r="F226" i="2"/>
  <c r="F211" i="2"/>
  <c r="F196" i="2"/>
  <c r="F182" i="2"/>
  <c r="F168" i="2"/>
  <c r="F154" i="2"/>
  <c r="F139" i="2"/>
  <c r="F124" i="2"/>
  <c r="F110" i="2"/>
  <c r="F96" i="2"/>
  <c r="F82" i="2"/>
  <c r="F67" i="2"/>
  <c r="F52" i="2"/>
  <c r="F38" i="2"/>
  <c r="F24" i="2"/>
  <c r="F10" i="2"/>
  <c r="G534" i="2"/>
  <c r="G518" i="2"/>
  <c r="G503" i="2"/>
  <c r="G487" i="2"/>
  <c r="G470" i="2"/>
  <c r="G455" i="2"/>
  <c r="G439" i="2"/>
  <c r="G422" i="2"/>
  <c r="G407" i="2"/>
  <c r="G391" i="2"/>
  <c r="G374" i="2"/>
  <c r="G358" i="2"/>
  <c r="G340" i="2"/>
  <c r="G322" i="2"/>
  <c r="G304" i="2"/>
  <c r="G286" i="2"/>
  <c r="G266" i="2"/>
  <c r="G247" i="2"/>
  <c r="G226" i="2"/>
  <c r="G204" i="2"/>
  <c r="G180" i="2"/>
  <c r="G155" i="2"/>
  <c r="G128" i="2"/>
  <c r="G100" i="2"/>
  <c r="G67" i="2"/>
  <c r="G30" i="2"/>
  <c r="I536" i="2"/>
  <c r="H297" i="2"/>
  <c r="F297" i="2"/>
  <c r="F273" i="2"/>
  <c r="H273" i="2"/>
  <c r="H261" i="2"/>
  <c r="F261" i="2"/>
  <c r="H249" i="2"/>
  <c r="F249" i="2"/>
  <c r="F225" i="2"/>
  <c r="H225" i="2"/>
  <c r="H213" i="2"/>
  <c r="F213" i="2"/>
  <c r="H201" i="2"/>
  <c r="F201" i="2"/>
  <c r="F177" i="2"/>
  <c r="H177" i="2"/>
  <c r="H165" i="2"/>
  <c r="F165" i="2"/>
  <c r="H153" i="2"/>
  <c r="F153" i="2"/>
  <c r="F129" i="2"/>
  <c r="H129" i="2"/>
  <c r="H117" i="2"/>
  <c r="F117" i="2"/>
  <c r="H105" i="2"/>
  <c r="F105" i="2"/>
  <c r="F81" i="2"/>
  <c r="H81" i="2"/>
  <c r="H69" i="2"/>
  <c r="F69" i="2"/>
  <c r="H57" i="2"/>
  <c r="F57" i="2"/>
  <c r="F33" i="2"/>
  <c r="H33" i="2"/>
  <c r="H21" i="2"/>
  <c r="F21" i="2"/>
  <c r="H9" i="2"/>
  <c r="F9" i="2"/>
  <c r="G524" i="2"/>
  <c r="I524" i="2"/>
  <c r="I512" i="2"/>
  <c r="G512" i="2"/>
  <c r="I500" i="2"/>
  <c r="G500" i="2"/>
  <c r="G476" i="2"/>
  <c r="I476" i="2"/>
  <c r="I464" i="2"/>
  <c r="G464" i="2"/>
  <c r="I452" i="2"/>
  <c r="G452" i="2"/>
  <c r="G428" i="2"/>
  <c r="I428" i="2"/>
  <c r="I416" i="2"/>
  <c r="G416" i="2"/>
  <c r="I404" i="2"/>
  <c r="G404" i="2"/>
  <c r="G380" i="2"/>
  <c r="I380" i="2"/>
  <c r="I368" i="2"/>
  <c r="G368" i="2"/>
  <c r="I356" i="2"/>
  <c r="G356" i="2"/>
  <c r="G332" i="2"/>
  <c r="I332" i="2"/>
  <c r="I320" i="2"/>
  <c r="G320" i="2"/>
  <c r="I308" i="2"/>
  <c r="G308" i="2"/>
  <c r="G284" i="2"/>
  <c r="I284" i="2"/>
  <c r="I272" i="2"/>
  <c r="G272" i="2"/>
  <c r="I260" i="2"/>
  <c r="G260" i="2"/>
  <c r="G236" i="2"/>
  <c r="I236" i="2"/>
  <c r="I224" i="2"/>
  <c r="G224" i="2"/>
  <c r="I212" i="2"/>
  <c r="G212" i="2"/>
  <c r="G188" i="2"/>
  <c r="I188" i="2"/>
  <c r="I176" i="2"/>
  <c r="G176" i="2"/>
  <c r="I140" i="2"/>
  <c r="G140" i="2"/>
  <c r="G80" i="2"/>
  <c r="I80" i="2"/>
  <c r="I68" i="2"/>
  <c r="G68" i="2"/>
  <c r="I44" i="2"/>
  <c r="G44" i="2"/>
  <c r="G32" i="2"/>
  <c r="I32" i="2"/>
  <c r="I20" i="2"/>
  <c r="G20" i="2"/>
  <c r="G8" i="2"/>
  <c r="I8" i="2"/>
  <c r="F307" i="2"/>
  <c r="F294" i="2"/>
  <c r="F281" i="2"/>
  <c r="F267" i="2"/>
  <c r="F253" i="2"/>
  <c r="F239" i="2"/>
  <c r="F224" i="2"/>
  <c r="F209" i="2"/>
  <c r="F195" i="2"/>
  <c r="F181" i="2"/>
  <c r="F167" i="2"/>
  <c r="F152" i="2"/>
  <c r="F137" i="2"/>
  <c r="F123" i="2"/>
  <c r="F109" i="2"/>
  <c r="F95" i="2"/>
  <c r="F80" i="2"/>
  <c r="F65" i="2"/>
  <c r="F51" i="2"/>
  <c r="F37" i="2"/>
  <c r="F23" i="2"/>
  <c r="F8" i="2"/>
  <c r="G532" i="2"/>
  <c r="G517" i="2"/>
  <c r="G502" i="2"/>
  <c r="G486" i="2"/>
  <c r="G469" i="2"/>
  <c r="G454" i="2"/>
  <c r="G438" i="2"/>
  <c r="G421" i="2"/>
  <c r="G406" i="2"/>
  <c r="G390" i="2"/>
  <c r="G373" i="2"/>
  <c r="G357" i="2"/>
  <c r="G338" i="2"/>
  <c r="G321" i="2"/>
  <c r="G302" i="2"/>
  <c r="G285" i="2"/>
  <c r="G265" i="2"/>
  <c r="G244" i="2"/>
  <c r="G225" i="2"/>
  <c r="G202" i="2"/>
  <c r="G178" i="2"/>
  <c r="G152" i="2"/>
  <c r="G126" i="2"/>
  <c r="G99" i="2"/>
  <c r="G64" i="2"/>
  <c r="G27" i="2"/>
  <c r="I488" i="2"/>
  <c r="I163" i="2"/>
  <c r="G163" i="2"/>
  <c r="I127" i="2"/>
  <c r="G127" i="2"/>
  <c r="I91" i="2"/>
  <c r="G91" i="2"/>
  <c r="I79" i="2"/>
  <c r="G79" i="2"/>
  <c r="I43" i="2"/>
  <c r="G43" i="2"/>
  <c r="I31" i="2"/>
  <c r="G31" i="2"/>
  <c r="I19" i="2"/>
  <c r="G19" i="2"/>
  <c r="F306" i="2"/>
  <c r="F293" i="2"/>
  <c r="F280" i="2"/>
  <c r="F266" i="2"/>
  <c r="F252" i="2"/>
  <c r="F238" i="2"/>
  <c r="F223" i="2"/>
  <c r="F208" i="2"/>
  <c r="F194" i="2"/>
  <c r="F180" i="2"/>
  <c r="F166" i="2"/>
  <c r="F151" i="2"/>
  <c r="F136" i="2"/>
  <c r="F122" i="2"/>
  <c r="F108" i="2"/>
  <c r="F94" i="2"/>
  <c r="F79" i="2"/>
  <c r="F64" i="2"/>
  <c r="F50" i="2"/>
  <c r="F36" i="2"/>
  <c r="F22" i="2"/>
  <c r="F7" i="2"/>
  <c r="G531" i="2"/>
  <c r="G516" i="2"/>
  <c r="G501" i="2"/>
  <c r="G484" i="2"/>
  <c r="G468" i="2"/>
  <c r="G453" i="2"/>
  <c r="G436" i="2"/>
  <c r="G420" i="2"/>
  <c r="G405" i="2"/>
  <c r="G388" i="2"/>
  <c r="G372" i="2"/>
  <c r="G355" i="2"/>
  <c r="G337" i="2"/>
  <c r="G319" i="2"/>
  <c r="G301" i="2"/>
  <c r="G283" i="2"/>
  <c r="G264" i="2"/>
  <c r="G242" i="2"/>
  <c r="G223" i="2"/>
  <c r="G201" i="2"/>
  <c r="G177" i="2"/>
  <c r="G151" i="2"/>
  <c r="G125" i="2"/>
  <c r="G96" i="2"/>
  <c r="G60" i="2"/>
  <c r="G25" i="2"/>
  <c r="I440" i="2"/>
  <c r="I270" i="2"/>
  <c r="G270" i="2"/>
  <c r="I258" i="2"/>
  <c r="G258" i="2"/>
  <c r="I246" i="2"/>
  <c r="G246" i="2"/>
  <c r="I234" i="2"/>
  <c r="G234" i="2"/>
  <c r="I222" i="2"/>
  <c r="G222" i="2"/>
  <c r="I210" i="2"/>
  <c r="G210" i="2"/>
  <c r="I198" i="2"/>
  <c r="G198" i="2"/>
  <c r="I186" i="2"/>
  <c r="G186" i="2"/>
  <c r="I174" i="2"/>
  <c r="G174" i="2"/>
  <c r="I150" i="2"/>
  <c r="G150" i="2"/>
  <c r="I114" i="2"/>
  <c r="G114" i="2"/>
  <c r="I102" i="2"/>
  <c r="G102" i="2"/>
  <c r="I90" i="2"/>
  <c r="G90" i="2"/>
  <c r="I66" i="2"/>
  <c r="G66" i="2"/>
  <c r="I54" i="2"/>
  <c r="G54" i="2"/>
  <c r="I6" i="2"/>
  <c r="G6" i="2"/>
  <c r="F305" i="2"/>
  <c r="F292" i="2"/>
  <c r="F279" i="2"/>
  <c r="F265" i="2"/>
  <c r="F251" i="2"/>
  <c r="F236" i="2"/>
  <c r="F221" i="2"/>
  <c r="F207" i="2"/>
  <c r="F193" i="2"/>
  <c r="F179" i="2"/>
  <c r="F164" i="2"/>
  <c r="F149" i="2"/>
  <c r="F135" i="2"/>
  <c r="F121" i="2"/>
  <c r="F107" i="2"/>
  <c r="F92" i="2"/>
  <c r="F77" i="2"/>
  <c r="F63" i="2"/>
  <c r="F49" i="2"/>
  <c r="F35" i="2"/>
  <c r="F20" i="2"/>
  <c r="F5" i="2"/>
  <c r="G530" i="2"/>
  <c r="G515" i="2"/>
  <c r="G499" i="2"/>
  <c r="G482" i="2"/>
  <c r="G467" i="2"/>
  <c r="G451" i="2"/>
  <c r="G434" i="2"/>
  <c r="G419" i="2"/>
  <c r="G403" i="2"/>
  <c r="G386" i="2"/>
  <c r="G371" i="2"/>
  <c r="G354" i="2"/>
  <c r="G336" i="2"/>
  <c r="G318" i="2"/>
  <c r="G300" i="2"/>
  <c r="G282" i="2"/>
  <c r="G262" i="2"/>
  <c r="G241" i="2"/>
  <c r="G220" i="2"/>
  <c r="G199" i="2"/>
  <c r="G175" i="2"/>
  <c r="G149" i="2"/>
  <c r="G123" i="2"/>
  <c r="G92" i="2"/>
  <c r="G56" i="2"/>
  <c r="G22" i="2"/>
  <c r="I392" i="2"/>
  <c r="F270" i="2"/>
  <c r="H270" i="2"/>
  <c r="F258" i="2"/>
  <c r="H258" i="2"/>
  <c r="H246" i="2"/>
  <c r="F246" i="2"/>
  <c r="F234" i="2"/>
  <c r="H234" i="2"/>
  <c r="F222" i="2"/>
  <c r="H222" i="2"/>
  <c r="F210" i="2"/>
  <c r="H210" i="2"/>
  <c r="H198" i="2"/>
  <c r="F198" i="2"/>
  <c r="F186" i="2"/>
  <c r="H186" i="2"/>
  <c r="F174" i="2"/>
  <c r="H174" i="2"/>
  <c r="F162" i="2"/>
  <c r="H162" i="2"/>
  <c r="H150" i="2"/>
  <c r="F150" i="2"/>
  <c r="F138" i="2"/>
  <c r="H138" i="2"/>
  <c r="F126" i="2"/>
  <c r="H126" i="2"/>
  <c r="F114" i="2"/>
  <c r="H114" i="2"/>
  <c r="H102" i="2"/>
  <c r="F102" i="2"/>
  <c r="F90" i="2"/>
  <c r="H90" i="2"/>
  <c r="F78" i="2"/>
  <c r="H78" i="2"/>
  <c r="F66" i="2"/>
  <c r="H66" i="2"/>
  <c r="H54" i="2"/>
  <c r="F54" i="2"/>
  <c r="F42" i="2"/>
  <c r="H42" i="2"/>
  <c r="F30" i="2"/>
  <c r="H30" i="2"/>
  <c r="F18" i="2"/>
  <c r="H18" i="2"/>
  <c r="H6" i="2"/>
  <c r="F6" i="2"/>
  <c r="G533" i="2"/>
  <c r="I533" i="2"/>
  <c r="G521" i="2"/>
  <c r="I521" i="2"/>
  <c r="G509" i="2"/>
  <c r="I509" i="2"/>
  <c r="I497" i="2"/>
  <c r="G497" i="2"/>
  <c r="G485" i="2"/>
  <c r="I485" i="2"/>
  <c r="G473" i="2"/>
  <c r="I473" i="2"/>
  <c r="G461" i="2"/>
  <c r="I461" i="2"/>
  <c r="I449" i="2"/>
  <c r="G449" i="2"/>
  <c r="G437" i="2"/>
  <c r="I437" i="2"/>
  <c r="G425" i="2"/>
  <c r="I425" i="2"/>
  <c r="G413" i="2"/>
  <c r="I413" i="2"/>
  <c r="I401" i="2"/>
  <c r="G401" i="2"/>
  <c r="G389" i="2"/>
  <c r="I389" i="2"/>
  <c r="G377" i="2"/>
  <c r="I377" i="2"/>
  <c r="G365" i="2"/>
  <c r="I365" i="2"/>
  <c r="I353" i="2"/>
  <c r="G353" i="2"/>
  <c r="G341" i="2"/>
  <c r="I341" i="2"/>
  <c r="G329" i="2"/>
  <c r="I329" i="2"/>
  <c r="G317" i="2"/>
  <c r="I317" i="2"/>
  <c r="I305" i="2"/>
  <c r="G305" i="2"/>
  <c r="G293" i="2"/>
  <c r="I293" i="2"/>
  <c r="G281" i="2"/>
  <c r="I281" i="2"/>
  <c r="G269" i="2"/>
  <c r="I269" i="2"/>
  <c r="I257" i="2"/>
  <c r="G257" i="2"/>
  <c r="G245" i="2"/>
  <c r="I245" i="2"/>
  <c r="G233" i="2"/>
  <c r="I233" i="2"/>
  <c r="G221" i="2"/>
  <c r="I221" i="2"/>
  <c r="I209" i="2"/>
  <c r="G209" i="2"/>
  <c r="G197" i="2"/>
  <c r="I197" i="2"/>
  <c r="G185" i="2"/>
  <c r="I185" i="2"/>
  <c r="G173" i="2"/>
  <c r="I173" i="2"/>
  <c r="I161" i="2"/>
  <c r="G161" i="2"/>
  <c r="G137" i="2"/>
  <c r="I137" i="2"/>
  <c r="G101" i="2"/>
  <c r="I101" i="2"/>
  <c r="G77" i="2"/>
  <c r="I77" i="2"/>
  <c r="I65" i="2"/>
  <c r="G65" i="2"/>
  <c r="I29" i="2"/>
  <c r="G29" i="2"/>
  <c r="I17" i="2"/>
  <c r="G17" i="2"/>
  <c r="F304" i="2"/>
  <c r="F291" i="2"/>
  <c r="F278" i="2"/>
  <c r="F264" i="2"/>
  <c r="F250" i="2"/>
  <c r="F235" i="2"/>
  <c r="F220" i="2"/>
  <c r="F206" i="2"/>
  <c r="F192" i="2"/>
  <c r="F178" i="2"/>
  <c r="F163" i="2"/>
  <c r="F148" i="2"/>
  <c r="F134" i="2"/>
  <c r="F120" i="2"/>
  <c r="F106" i="2"/>
  <c r="F91" i="2"/>
  <c r="F76" i="2"/>
  <c r="F62" i="2"/>
  <c r="F48" i="2"/>
  <c r="F34" i="2"/>
  <c r="F19" i="2"/>
  <c r="F4" i="2"/>
  <c r="G529" i="2"/>
  <c r="G514" i="2"/>
  <c r="G498" i="2"/>
  <c r="G481" i="2"/>
  <c r="G466" i="2"/>
  <c r="G450" i="2"/>
  <c r="G433" i="2"/>
  <c r="G418" i="2"/>
  <c r="G402" i="2"/>
  <c r="G385" i="2"/>
  <c r="G370" i="2"/>
  <c r="G352" i="2"/>
  <c r="G334" i="2"/>
  <c r="G316" i="2"/>
  <c r="G298" i="2"/>
  <c r="G280" i="2"/>
  <c r="G261" i="2"/>
  <c r="G240" i="2"/>
  <c r="G218" i="2"/>
  <c r="G196" i="2"/>
  <c r="G172" i="2"/>
  <c r="G146" i="2"/>
  <c r="G120" i="2"/>
  <c r="G89" i="2"/>
  <c r="G55" i="2"/>
  <c r="G18" i="2"/>
  <c r="I344" i="2"/>
  <c r="G160" i="2"/>
  <c r="I160" i="2"/>
  <c r="G148" i="2"/>
  <c r="I148" i="2"/>
  <c r="I124" i="2"/>
  <c r="G124" i="2"/>
  <c r="I88" i="2"/>
  <c r="G88" i="2"/>
  <c r="I76" i="2"/>
  <c r="G76" i="2"/>
  <c r="G52" i="2"/>
  <c r="I52" i="2"/>
  <c r="I40" i="2"/>
  <c r="G40" i="2"/>
  <c r="I28" i="2"/>
  <c r="G28" i="2"/>
  <c r="I16" i="2"/>
  <c r="G16" i="2"/>
  <c r="I4" i="2"/>
  <c r="G4" i="2"/>
  <c r="F315" i="2"/>
  <c r="F303" i="2"/>
  <c r="F290" i="2"/>
  <c r="F277" i="2"/>
  <c r="F263" i="2"/>
  <c r="F248" i="2"/>
  <c r="F233" i="2"/>
  <c r="F219" i="2"/>
  <c r="F205" i="2"/>
  <c r="F191" i="2"/>
  <c r="F176" i="2"/>
  <c r="F161" i="2"/>
  <c r="F147" i="2"/>
  <c r="F133" i="2"/>
  <c r="F119" i="2"/>
  <c r="F104" i="2"/>
  <c r="F89" i="2"/>
  <c r="F75" i="2"/>
  <c r="F61" i="2"/>
  <c r="F47" i="2"/>
  <c r="F32" i="2"/>
  <c r="F17" i="2"/>
  <c r="F3" i="2"/>
  <c r="G528" i="2"/>
  <c r="G513" i="2"/>
  <c r="G496" i="2"/>
  <c r="G480" i="2"/>
  <c r="G465" i="2"/>
  <c r="G448" i="2"/>
  <c r="G432" i="2"/>
  <c r="G417" i="2"/>
  <c r="G400" i="2"/>
  <c r="G384" i="2"/>
  <c r="G369" i="2"/>
  <c r="G350" i="2"/>
  <c r="G333" i="2"/>
  <c r="G314" i="2"/>
  <c r="G297" i="2"/>
  <c r="G278" i="2"/>
  <c r="G259" i="2"/>
  <c r="G238" i="2"/>
  <c r="G217" i="2"/>
  <c r="G193" i="2"/>
  <c r="G169" i="2"/>
  <c r="G143" i="2"/>
  <c r="G116" i="2"/>
  <c r="G85" i="2"/>
  <c r="G53" i="2"/>
  <c r="G15" i="2"/>
  <c r="I296" i="2"/>
  <c r="I519" i="2"/>
  <c r="G519" i="2"/>
  <c r="I507" i="2"/>
  <c r="G507" i="2"/>
  <c r="I495" i="2"/>
  <c r="G495" i="2"/>
  <c r="I483" i="2"/>
  <c r="G483" i="2"/>
  <c r="I471" i="2"/>
  <c r="G471" i="2"/>
  <c r="I459" i="2"/>
  <c r="G459" i="2"/>
  <c r="I447" i="2"/>
  <c r="G447" i="2"/>
  <c r="I435" i="2"/>
  <c r="G435" i="2"/>
  <c r="I423" i="2"/>
  <c r="G423" i="2"/>
  <c r="I411" i="2"/>
  <c r="G411" i="2"/>
  <c r="I399" i="2"/>
  <c r="G399" i="2"/>
  <c r="I387" i="2"/>
  <c r="G387" i="2"/>
  <c r="I375" i="2"/>
  <c r="G375" i="2"/>
  <c r="I363" i="2"/>
  <c r="G363" i="2"/>
  <c r="I351" i="2"/>
  <c r="G351" i="2"/>
  <c r="I339" i="2"/>
  <c r="G339" i="2"/>
  <c r="I327" i="2"/>
  <c r="G327" i="2"/>
  <c r="I315" i="2"/>
  <c r="G315" i="2"/>
  <c r="I303" i="2"/>
  <c r="G303" i="2"/>
  <c r="I291" i="2"/>
  <c r="G291" i="2"/>
  <c r="I279" i="2"/>
  <c r="G279" i="2"/>
  <c r="I267" i="2"/>
  <c r="G267" i="2"/>
  <c r="I255" i="2"/>
  <c r="G255" i="2"/>
  <c r="I243" i="2"/>
  <c r="G243" i="2"/>
  <c r="I231" i="2"/>
  <c r="G231" i="2"/>
  <c r="I219" i="2"/>
  <c r="G219" i="2"/>
  <c r="I207" i="2"/>
  <c r="G207" i="2"/>
  <c r="I195" i="2"/>
  <c r="G195" i="2"/>
  <c r="I183" i="2"/>
  <c r="G183" i="2"/>
  <c r="I171" i="2"/>
  <c r="G171" i="2"/>
  <c r="I147" i="2"/>
  <c r="G147" i="2"/>
  <c r="I135" i="2"/>
  <c r="G135" i="2"/>
  <c r="I111" i="2"/>
  <c r="G111" i="2"/>
  <c r="I87" i="2"/>
  <c r="G87" i="2"/>
  <c r="I63" i="2"/>
  <c r="G63" i="2"/>
  <c r="I51" i="2"/>
  <c r="G51" i="2"/>
  <c r="I3" i="2"/>
  <c r="G3" i="2"/>
  <c r="F314" i="2"/>
  <c r="F302" i="2"/>
  <c r="F289" i="2"/>
  <c r="F276" i="2"/>
  <c r="F262" i="2"/>
  <c r="F247" i="2"/>
  <c r="F232" i="2"/>
  <c r="F218" i="2"/>
  <c r="F204" i="2"/>
  <c r="F190" i="2"/>
  <c r="F175" i="2"/>
  <c r="F160" i="2"/>
  <c r="F146" i="2"/>
  <c r="F132" i="2"/>
  <c r="F118" i="2"/>
  <c r="F103" i="2"/>
  <c r="F88" i="2"/>
  <c r="F74" i="2"/>
  <c r="F60" i="2"/>
  <c r="F46" i="2"/>
  <c r="F31" i="2"/>
  <c r="F16" i="2"/>
  <c r="G2" i="2"/>
  <c r="G527" i="2"/>
  <c r="G511" i="2"/>
  <c r="G494" i="2"/>
  <c r="G479" i="2"/>
  <c r="G463" i="2"/>
  <c r="G446" i="2"/>
  <c r="G431" i="2"/>
  <c r="G415" i="2"/>
  <c r="G398" i="2"/>
  <c r="G383" i="2"/>
  <c r="G367" i="2"/>
  <c r="G349" i="2"/>
  <c r="G331" i="2"/>
  <c r="G313" i="2"/>
  <c r="G295" i="2"/>
  <c r="G277" i="2"/>
  <c r="G256" i="2"/>
  <c r="G237" i="2"/>
  <c r="G216" i="2"/>
  <c r="G192" i="2"/>
  <c r="G168" i="2"/>
  <c r="G142" i="2"/>
  <c r="G115" i="2"/>
  <c r="G84" i="2"/>
  <c r="G49" i="2"/>
  <c r="G10" i="2"/>
  <c r="H285" i="2"/>
  <c r="I248" i="2"/>
  <c r="I206" i="2"/>
  <c r="G206" i="2"/>
  <c r="I194" i="2"/>
  <c r="G194" i="2"/>
  <c r="I182" i="2"/>
  <c r="G182" i="2"/>
  <c r="I170" i="2"/>
  <c r="G170" i="2"/>
  <c r="I158" i="2"/>
  <c r="G158" i="2"/>
  <c r="I134" i="2"/>
  <c r="G134" i="2"/>
  <c r="I122" i="2"/>
  <c r="G122" i="2"/>
  <c r="G98" i="2"/>
  <c r="I98" i="2"/>
  <c r="G86" i="2"/>
  <c r="I86" i="2"/>
  <c r="G74" i="2"/>
  <c r="I74" i="2"/>
  <c r="G62" i="2"/>
  <c r="I62" i="2"/>
  <c r="G50" i="2"/>
  <c r="I50" i="2"/>
  <c r="G38" i="2"/>
  <c r="I38" i="2"/>
  <c r="G26" i="2"/>
  <c r="I26" i="2"/>
  <c r="G14" i="2"/>
  <c r="I14" i="2"/>
  <c r="F2" i="2"/>
  <c r="F313" i="2"/>
  <c r="F301" i="2"/>
  <c r="F288" i="2"/>
  <c r="F275" i="2"/>
  <c r="F260" i="2"/>
  <c r="F245" i="2"/>
  <c r="F231" i="2"/>
  <c r="F217" i="2"/>
  <c r="F203" i="2"/>
  <c r="F188" i="2"/>
  <c r="F173" i="2"/>
  <c r="F159" i="2"/>
  <c r="F145" i="2"/>
  <c r="F131" i="2"/>
  <c r="F116" i="2"/>
  <c r="F101" i="2"/>
  <c r="F87" i="2"/>
  <c r="F73" i="2"/>
  <c r="F59" i="2"/>
  <c r="F44" i="2"/>
  <c r="F29" i="2"/>
  <c r="F15" i="2"/>
  <c r="G540" i="2"/>
  <c r="G526" i="2"/>
  <c r="G510" i="2"/>
  <c r="G493" i="2"/>
  <c r="G478" i="2"/>
  <c r="G462" i="2"/>
  <c r="G445" i="2"/>
  <c r="G430" i="2"/>
  <c r="G414" i="2"/>
  <c r="G397" i="2"/>
  <c r="G382" i="2"/>
  <c r="G366" i="2"/>
  <c r="G348" i="2"/>
  <c r="G330" i="2"/>
  <c r="G312" i="2"/>
  <c r="G294" i="2"/>
  <c r="G276" i="2"/>
  <c r="G254" i="2"/>
  <c r="G235" i="2"/>
  <c r="G214" i="2"/>
  <c r="G190" i="2"/>
  <c r="G166" i="2"/>
  <c r="G139" i="2"/>
  <c r="G113" i="2"/>
  <c r="G82" i="2"/>
  <c r="G46" i="2"/>
  <c r="G7" i="2"/>
  <c r="H237" i="2"/>
  <c r="I200" i="2"/>
  <c r="I157" i="2"/>
  <c r="G157" i="2"/>
  <c r="I145" i="2"/>
  <c r="G145" i="2"/>
  <c r="I121" i="2"/>
  <c r="G121" i="2"/>
  <c r="I109" i="2"/>
  <c r="G109" i="2"/>
  <c r="I97" i="2"/>
  <c r="G97" i="2"/>
  <c r="I73" i="2"/>
  <c r="G73" i="2"/>
  <c r="I61" i="2"/>
  <c r="G61" i="2"/>
  <c r="I37" i="2"/>
  <c r="G37" i="2"/>
  <c r="I13" i="2"/>
  <c r="G13" i="2"/>
  <c r="F312" i="2"/>
  <c r="F300" i="2"/>
  <c r="F287" i="2"/>
  <c r="F274" i="2"/>
  <c r="F259" i="2"/>
  <c r="F244" i="2"/>
  <c r="F230" i="2"/>
  <c r="F216" i="2"/>
  <c r="F202" i="2"/>
  <c r="F187" i="2"/>
  <c r="F172" i="2"/>
  <c r="F158" i="2"/>
  <c r="F144" i="2"/>
  <c r="F130" i="2"/>
  <c r="F115" i="2"/>
  <c r="F100" i="2"/>
  <c r="F86" i="2"/>
  <c r="F72" i="2"/>
  <c r="F58" i="2"/>
  <c r="F43" i="2"/>
  <c r="F28" i="2"/>
  <c r="F14" i="2"/>
  <c r="G539" i="2"/>
  <c r="G525" i="2"/>
  <c r="G508" i="2"/>
  <c r="G492" i="2"/>
  <c r="G477" i="2"/>
  <c r="G460" i="2"/>
  <c r="G444" i="2"/>
  <c r="G429" i="2"/>
  <c r="G412" i="2"/>
  <c r="G396" i="2"/>
  <c r="G381" i="2"/>
  <c r="G364" i="2"/>
  <c r="G346" i="2"/>
  <c r="G328" i="2"/>
  <c r="G310" i="2"/>
  <c r="G292" i="2"/>
  <c r="G274" i="2"/>
  <c r="G253" i="2"/>
  <c r="G232" i="2"/>
  <c r="G213" i="2"/>
  <c r="G189" i="2"/>
  <c r="G164" i="2"/>
  <c r="G138" i="2"/>
  <c r="G112" i="2"/>
  <c r="G78" i="2"/>
  <c r="G42" i="2"/>
  <c r="G5" i="2"/>
  <c r="H189" i="2"/>
  <c r="I144" i="2"/>
  <c r="G144" i="2"/>
  <c r="I132" i="2"/>
  <c r="G132" i="2"/>
  <c r="I108" i="2"/>
  <c r="G108" i="2"/>
  <c r="I72" i="2"/>
  <c r="G72" i="2"/>
  <c r="I48" i="2"/>
  <c r="G48" i="2"/>
  <c r="I36" i="2"/>
  <c r="G36" i="2"/>
  <c r="I24" i="2"/>
  <c r="G24" i="2"/>
  <c r="I12" i="2"/>
  <c r="G12" i="2"/>
  <c r="F311" i="2"/>
  <c r="F299" i="2"/>
  <c r="F286" i="2"/>
  <c r="F272" i="2"/>
  <c r="F257" i="2"/>
  <c r="F243" i="2"/>
  <c r="F229" i="2"/>
  <c r="F215" i="2"/>
  <c r="F200" i="2"/>
  <c r="F185" i="2"/>
  <c r="F171" i="2"/>
  <c r="F157" i="2"/>
  <c r="F143" i="2"/>
  <c r="F128" i="2"/>
  <c r="F113" i="2"/>
  <c r="F99" i="2"/>
  <c r="F85" i="2"/>
  <c r="F71" i="2"/>
  <c r="F56" i="2"/>
  <c r="F41" i="2"/>
  <c r="F27" i="2"/>
  <c r="F13" i="2"/>
  <c r="G538" i="2"/>
  <c r="G523" i="2"/>
  <c r="G506" i="2"/>
  <c r="G491" i="2"/>
  <c r="G475" i="2"/>
  <c r="G458" i="2"/>
  <c r="G443" i="2"/>
  <c r="G427" i="2"/>
  <c r="G410" i="2"/>
  <c r="G395" i="2"/>
  <c r="G379" i="2"/>
  <c r="G362" i="2"/>
  <c r="G345" i="2"/>
  <c r="G326" i="2"/>
  <c r="G309" i="2"/>
  <c r="G290" i="2"/>
  <c r="G273" i="2"/>
  <c r="G252" i="2"/>
  <c r="G230" i="2"/>
  <c r="G211" i="2"/>
  <c r="G187" i="2"/>
  <c r="G162" i="2"/>
  <c r="G136" i="2"/>
  <c r="G110" i="2"/>
  <c r="G75" i="2"/>
  <c r="G41" i="2"/>
  <c r="H141" i="2"/>
  <c r="I104" i="2"/>
  <c r="I359" i="2"/>
  <c r="G359" i="2"/>
  <c r="I347" i="2"/>
  <c r="G347" i="2"/>
  <c r="I335" i="2"/>
  <c r="G335" i="2"/>
  <c r="I323" i="2"/>
  <c r="G323" i="2"/>
  <c r="I311" i="2"/>
  <c r="G311" i="2"/>
  <c r="I299" i="2"/>
  <c r="G299" i="2"/>
  <c r="I287" i="2"/>
  <c r="G287" i="2"/>
  <c r="I275" i="2"/>
  <c r="G275" i="2"/>
  <c r="I263" i="2"/>
  <c r="G263" i="2"/>
  <c r="I251" i="2"/>
  <c r="G251" i="2"/>
  <c r="I239" i="2"/>
  <c r="G239" i="2"/>
  <c r="I227" i="2"/>
  <c r="G227" i="2"/>
  <c r="I215" i="2"/>
  <c r="G215" i="2"/>
  <c r="I203" i="2"/>
  <c r="G203" i="2"/>
  <c r="I191" i="2"/>
  <c r="G191" i="2"/>
  <c r="I179" i="2"/>
  <c r="G179" i="2"/>
  <c r="I167" i="2"/>
  <c r="G167" i="2"/>
  <c r="I131" i="2"/>
  <c r="G131" i="2"/>
  <c r="I119" i="2"/>
  <c r="G119" i="2"/>
  <c r="I95" i="2"/>
  <c r="G95" i="2"/>
  <c r="I83" i="2"/>
  <c r="G83" i="2"/>
  <c r="I59" i="2"/>
  <c r="G59" i="2"/>
  <c r="I47" i="2"/>
  <c r="G47" i="2"/>
  <c r="G35" i="2"/>
  <c r="I35" i="2"/>
  <c r="G23" i="2"/>
  <c r="I23" i="2"/>
  <c r="G11" i="2"/>
  <c r="I11" i="2"/>
  <c r="F310" i="2"/>
  <c r="F298" i="2"/>
  <c r="F284" i="2"/>
  <c r="F271" i="2"/>
  <c r="F256" i="2"/>
  <c r="F242" i="2"/>
  <c r="F228" i="2"/>
  <c r="F214" i="2"/>
  <c r="F199" i="2"/>
  <c r="F184" i="2"/>
  <c r="F170" i="2"/>
  <c r="F156" i="2"/>
  <c r="F142" i="2"/>
  <c r="F127" i="2"/>
  <c r="F112" i="2"/>
  <c r="F98" i="2"/>
  <c r="F84" i="2"/>
  <c r="F70" i="2"/>
  <c r="F55" i="2"/>
  <c r="F40" i="2"/>
  <c r="F26" i="2"/>
  <c r="F12" i="2"/>
  <c r="G537" i="2"/>
  <c r="G522" i="2"/>
  <c r="G505" i="2"/>
  <c r="G490" i="2"/>
  <c r="G474" i="2"/>
  <c r="G457" i="2"/>
  <c r="G442" i="2"/>
  <c r="G426" i="2"/>
  <c r="G409" i="2"/>
  <c r="G394" i="2"/>
  <c r="G378" i="2"/>
  <c r="G361" i="2"/>
  <c r="G343" i="2"/>
  <c r="G325" i="2"/>
  <c r="G307" i="2"/>
  <c r="G289" i="2"/>
  <c r="G271" i="2"/>
  <c r="G250" i="2"/>
  <c r="G229" i="2"/>
  <c r="G208" i="2"/>
  <c r="G184" i="2"/>
  <c r="G159" i="2"/>
  <c r="G133" i="2"/>
  <c r="G107" i="2"/>
  <c r="G71" i="2"/>
  <c r="G39" i="2"/>
  <c r="H9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tc={43854A6F-F1AF-4419-A8FF-A862D5BCA5BF}</author>
  </authors>
  <commentList>
    <comment ref="AC1" authorId="0" shapeId="0" xr:uid="{43854A6F-F1AF-4419-A8FF-A862D5BCA5BF}">
      <text>
        <t xml:space="preserve">[Threaded comment]
Your version of Excel allows you to read this threaded comment; however, any edits to it will get removed if the file is opened in a newer version of Excel. Learn more: https://go.microsoft.com/fwlink/?linkid=870924
Comment:
    Order creation vs order cancellation/completion [h]:mm:ss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<sst xmlns="http://schemas.openxmlformats.org/spreadsheetml/2006/main" count="31998" uniqueCount="9414">
  <si>
    <t>order_display_id</t>
  </si>
  <si>
    <t>user_name</t>
  </si>
  <si>
    <t>user_id</t>
  </si>
  <si>
    <t>driver_id</t>
  </si>
  <si>
    <t>order_remark</t>
  </si>
  <si>
    <t>vehicle_type</t>
  </si>
  <si>
    <t>order_status</t>
  </si>
  <si>
    <t>order_creation_local_time</t>
  </si>
  <si>
    <t>order_scheduled_local_time</t>
  </si>
  <si>
    <t>match_time_local</t>
  </si>
  <si>
    <t>arrival_time_local</t>
  </si>
  <si>
    <t>order_cancellation_local_time</t>
  </si>
  <si>
    <t>order_completion_local_time</t>
  </si>
  <si>
    <t>start_longitude</t>
  </si>
  <si>
    <t>start_latitude</t>
  </si>
  <si>
    <t>end_longitude</t>
  </si>
  <si>
    <t>end_latitude</t>
  </si>
  <si>
    <t>delivery_fee</t>
  </si>
  <si>
    <t>driver_receivable</t>
  </si>
  <si>
    <t>order_commission</t>
  </si>
  <si>
    <t>order_payment_type</t>
  </si>
  <si>
    <t>start_address</t>
  </si>
  <si>
    <t>end_address</t>
  </si>
  <si>
    <t>destination_number</t>
  </si>
  <si>
    <t>3534007535487119762</t>
  </si>
  <si>
    <t/>
  </si>
  <si>
    <t>NULL</t>
  </si>
  <si>
    <t>Expired</t>
  </si>
  <si>
    <t>2026-07-07 07:30:27</t>
  </si>
  <si>
    <t>2026-07-07 07:40:28</t>
  </si>
  <si>
    <t>2026-07-07 09:40:28</t>
  </si>
  <si>
    <t>106.5231879</t>
  </si>
  <si>
    <t>10.6277377</t>
  </si>
  <si>
    <t>106.7012286</t>
  </si>
  <si>
    <t>10.7578246</t>
  </si>
  <si>
    <t>Cash</t>
  </si>
  <si>
    <t>Công ty Lavie Long An - Nhà phân phối nước khoáng lavie cửa hàng 24/24, Ấp Chánh, Mỹ Yên, Tây Ninh, Việt NamCông ty Lavie Long An - Nhà phân phối nước khoáng lavie cửa hàng 24/24</t>
  </si>
  <si>
    <t>Quận 4, Khánh Hội, Hồ Chí Minh, Việt NamQuận 4</t>
  </si>
  <si>
    <t>3534007535487120225</t>
  </si>
  <si>
    <t>2026-07-07 07:33:04</t>
  </si>
  <si>
    <t>2026-07-07 07:43:05</t>
  </si>
  <si>
    <t>2026-07-07 09:43:05</t>
  </si>
  <si>
    <t>106.6536587</t>
  </si>
  <si>
    <t>10.7295791</t>
  </si>
  <si>
    <t>Quận 8, Đường Số 18, Ấp 2, Bình Hưng, Hồ Chí Minh, Việt NamQuận 8</t>
  </si>
  <si>
    <t>3534010775092032064</t>
  </si>
  <si>
    <t>2026-07-07 07:30:01</t>
  </si>
  <si>
    <t>2026-07-07 07:40:02</t>
  </si>
  <si>
    <t>2026-07-07 09:40:02</t>
  </si>
  <si>
    <t>106.6714905</t>
  </si>
  <si>
    <t>10.7833121</t>
  </si>
  <si>
    <t>Quận 3, Nhiêu Lộc, Hồ Chí Minh, Việt NamQuận 3</t>
  </si>
  <si>
    <t>3534010775092032246</t>
  </si>
  <si>
    <t>2026-07-07 07:31:08</t>
  </si>
  <si>
    <t>2026-07-07 07:41:09</t>
  </si>
  <si>
    <t>2026-07-07 09:41:09</t>
  </si>
  <si>
    <t>106.6746036</t>
  </si>
  <si>
    <t>10.7504578</t>
  </si>
  <si>
    <t>Quận 5, Trần Tuấn Khải, An Đông, Hồ Chí Minh, Việt NamQuận 5</t>
  </si>
  <si>
    <t>3534010775108804700</t>
  </si>
  <si>
    <t>2026-07-07 07:32:47</t>
  </si>
  <si>
    <t>2026-07-07 07:42:48</t>
  </si>
  <si>
    <t>2026-07-07 09:42:48</t>
  </si>
  <si>
    <t>106.6680016</t>
  </si>
  <si>
    <t>10.7369477</t>
  </si>
  <si>
    <t>Quận 7, Đường Hoàng Kim Giao, Chánh Hưng, Hồ Chí Minh, Việt NamQuận 7</t>
  </si>
  <si>
    <t>3534010775108804807</t>
  </si>
  <si>
    <t>2026-07-07 07:33:21</t>
  </si>
  <si>
    <t>2026-07-07 07:43:22</t>
  </si>
  <si>
    <t>2026-07-07 09:43:22</t>
  </si>
  <si>
    <t>3534011301603009201</t>
  </si>
  <si>
    <t>2026-07-07 07:31:26</t>
  </si>
  <si>
    <t>2026-07-07 07:41:27</t>
  </si>
  <si>
    <t>2026-07-07 09:41:27</t>
  </si>
  <si>
    <t>3534011301619781713</t>
  </si>
  <si>
    <t>Motorcycle</t>
  </si>
  <si>
    <t>Canceled</t>
  </si>
  <si>
    <t>2026-07-07 07:33:40</t>
  </si>
  <si>
    <t>2026-07-07 07:43:41</t>
  </si>
  <si>
    <t>2026-07-07 08:21:50</t>
  </si>
  <si>
    <t>2026-07-07 08:25:04</t>
  </si>
  <si>
    <t>106.7866577</t>
  </si>
  <si>
    <t>10.8450844</t>
  </si>
  <si>
    <t>Quận 9, Tăng Nhơn Phú, Hồ Chí Minh, Việt NamQuận 9</t>
  </si>
  <si>
    <t>3534012472182924148</t>
  </si>
  <si>
    <t>2026-07-07 07:28:17</t>
  </si>
  <si>
    <t>2026-07-07 07:38:18</t>
  </si>
  <si>
    <t>2026-07-07 08:22:06</t>
  </si>
  <si>
    <t>2026-07-07 08:24:35</t>
  </si>
  <si>
    <t>106.690788</t>
  </si>
  <si>
    <t>10.793931</t>
  </si>
  <si>
    <t>Quận 1, Đường Trần Khắc Chân, Tân Định, Hồ Chí Minh, Việt NamQuận 1</t>
  </si>
  <si>
    <t>3534012472199696520</t>
  </si>
  <si>
    <t>2026-07-07 07:29:39</t>
  </si>
  <si>
    <t>2026-07-07 07:39:40</t>
  </si>
  <si>
    <t>2026-07-07 09:39:40</t>
  </si>
  <si>
    <t>106.6650848</t>
  </si>
  <si>
    <t>10.7895815</t>
  </si>
  <si>
    <t>Quận 3, Cách Mạng Tháng Tám, Nhiêu Lộc, Hồ Chí Minh, Việt NamQuận 3</t>
  </si>
  <si>
    <t>3534012472199696988</t>
  </si>
  <si>
    <t>2026-07-07 07:32:29</t>
  </si>
  <si>
    <t>2026-07-07 07:42:30</t>
  </si>
  <si>
    <t>2026-07-07 09:42:30</t>
  </si>
  <si>
    <t>106.7076858</t>
  </si>
  <si>
    <t>10.7295817</t>
  </si>
  <si>
    <t>quận 7, Hưng Phước 4, Khu đô thị Phú Mỹ Hưng, Tân Hưng, Hồ Chí Minh, Việt Namquận 7</t>
  </si>
  <si>
    <t>3534012472216482093</t>
  </si>
  <si>
    <t>2026-07-07 07:36:47</t>
  </si>
  <si>
    <t>2026-07-07 07:46:48</t>
  </si>
  <si>
    <t>2026-07-07 09:46:48</t>
  </si>
  <si>
    <t>106.627662</t>
  </si>
  <si>
    <t>10.859887</t>
  </si>
  <si>
    <t>Quan 12, Đông Bắc, Trung Mỹ Tây, Hồ Chí Minh, Việt NamQuan 12</t>
  </si>
  <si>
    <t>3534014380373135707</t>
  </si>
  <si>
    <t>2026-07-07 07:34:33</t>
  </si>
  <si>
    <t>2026-07-07 07:44:34</t>
  </si>
  <si>
    <t>2026-07-07 09:44:34</t>
  </si>
  <si>
    <t>106.825223</t>
  </si>
  <si>
    <t>10.8010303</t>
  </si>
  <si>
    <t>Quận 9, Long Trường, Hồ Chí Minh, Việt NamQuận 9</t>
  </si>
  <si>
    <t>3534014380373136008</t>
  </si>
  <si>
    <t>2026-07-07 07:36:29</t>
  </si>
  <si>
    <t>2026-07-07 07:46:30</t>
  </si>
  <si>
    <t>2026-07-07 09:46:30</t>
  </si>
  <si>
    <t>106.6745776</t>
  </si>
  <si>
    <t>10.865126</t>
  </si>
  <si>
    <t>Quận 12, Thới An, Hồ Chí Minh, Việt NamQuận 12</t>
  </si>
  <si>
    <t>3534016166374887578</t>
  </si>
  <si>
    <t>2026-07-07 07:35:55</t>
  </si>
  <si>
    <t>2026-07-07 07:45:56</t>
  </si>
  <si>
    <t>2026-07-07 09:45:56</t>
  </si>
  <si>
    <t>106.6483066</t>
  </si>
  <si>
    <t>10.7589406</t>
  </si>
  <si>
    <t>Quận 11, Đường Xóm Đất, Bình Thới, Hồ Chí Minh, Việt NamQuận 11</t>
  </si>
  <si>
    <t>3534743471825048236</t>
  </si>
  <si>
    <t>2026-07-08 07:47:24</t>
  </si>
  <si>
    <t>2026-07-08 07:57:25</t>
  </si>
  <si>
    <t>2026-07-08 07:47:30</t>
  </si>
  <si>
    <t>2026-07-08 07:50:20</t>
  </si>
  <si>
    <t>3534749721749054014</t>
  </si>
  <si>
    <t>2026-07-08 07:52:13</t>
  </si>
  <si>
    <t>2026-07-08 08:02:14</t>
  </si>
  <si>
    <t>2026-07-08 10:02:14</t>
  </si>
  <si>
    <t>3534749721765826649</t>
  </si>
  <si>
    <t>2026-07-08 07:54:23</t>
  </si>
  <si>
    <t>2026-07-08 08:04:24</t>
  </si>
  <si>
    <t>2026-07-08 10:04:24</t>
  </si>
  <si>
    <t>106.6727587</t>
  </si>
  <si>
    <t>10.7604736</t>
  </si>
  <si>
    <t>Quận 10, Đường Nguyễn Chí Thanh, An Đông, Hồ Chí Minh, Việt NamQuận 10</t>
  </si>
  <si>
    <t>3534750002918417308</t>
  </si>
  <si>
    <t>2026-07-08 07:54:02</t>
  </si>
  <si>
    <t>2026-07-08 08:04:03</t>
  </si>
  <si>
    <t>2026-07-08 10:04:03</t>
  </si>
  <si>
    <t>106.6720206</t>
  </si>
  <si>
    <t>10.7723438</t>
  </si>
  <si>
    <t>Quận 10 TP HCM, Đường Lê Hồng Phong, Hòa Hưng, Hồ Chí Minh, Việt NamQuận 10 TP HCM</t>
  </si>
  <si>
    <t>3534750002935189872</t>
  </si>
  <si>
    <t>2026-07-08 07:56:10</t>
  </si>
  <si>
    <t>2026-07-08 08:06:10</t>
  </si>
  <si>
    <t>2026-07-08 10:06:10</t>
  </si>
  <si>
    <t>3534750781481906437</t>
  </si>
  <si>
    <t>2026-07-08 07:47:55</t>
  </si>
  <si>
    <t>2026-07-08 07:57:56</t>
  </si>
  <si>
    <t>2026-07-08 09:57:56</t>
  </si>
  <si>
    <t>3534750781481906575</t>
  </si>
  <si>
    <t>2026-07-08 07:48:34</t>
  </si>
  <si>
    <t>2026-07-08 07:58:35</t>
  </si>
  <si>
    <t>2026-07-08 09:58:35</t>
  </si>
  <si>
    <t>106.730817218056</t>
  </si>
  <si>
    <t>10.793521983679</t>
  </si>
  <si>
    <t>Quận 2an Khánhhồ Chí Minhviệt NamQuận 2</t>
  </si>
  <si>
    <t>3534750781481906634</t>
  </si>
  <si>
    <t>2026-07-08 07:48:51</t>
  </si>
  <si>
    <t>2026-07-08 07:58:52</t>
  </si>
  <si>
    <t>2026-07-08 10:04:46</t>
  </si>
  <si>
    <t>3534752199055995334</t>
  </si>
  <si>
    <t>2026-07-08 07:51:20</t>
  </si>
  <si>
    <t>2026-07-08 08:01:21</t>
  </si>
  <si>
    <t>2026-07-08 10:01:21</t>
  </si>
  <si>
    <t>106.6408802</t>
  </si>
  <si>
    <t>10.7471372</t>
  </si>
  <si>
    <t>Quận 6, Đường Phan Văn Khỏe, Bình Tây, Hồ Chí Minh, Việt NamQuận 6</t>
  </si>
  <si>
    <t>3534752291414569729</t>
  </si>
  <si>
    <t>2026-07-08 07:52:39</t>
  </si>
  <si>
    <t>2026-07-08 08:02:40</t>
  </si>
  <si>
    <t>2026-07-08 10:02:40</t>
  </si>
  <si>
    <t>3534754282190631019</t>
  </si>
  <si>
    <t>2026-07-08 07:53:28</t>
  </si>
  <si>
    <t>2026-07-08 08:03:29</t>
  </si>
  <si>
    <t>2026-07-08 10:03:29</t>
  </si>
  <si>
    <t>3536888892227805525</t>
  </si>
  <si>
    <t>Mộng Trà</t>
  </si>
  <si>
    <t>2026-07-11 07:13:13</t>
  </si>
  <si>
    <t>2026-07-11 07:23:13</t>
  </si>
  <si>
    <t>2026-07-11 07:13:39</t>
  </si>
  <si>
    <t>2026-07-11 07:19:05</t>
  </si>
  <si>
    <t>106.5037027</t>
  </si>
  <si>
    <t>10.5794517</t>
  </si>
  <si>
    <t>106.62834070583496</t>
  </si>
  <si>
    <t>11.090765978654137</t>
  </si>
  <si>
    <t>Công ty TNHH Thức Ăn Chăn Nuôi Thiên Bang Việt Nam, Cụm CN, Long Cang, Tây Ninh, Việt NamCông ty TNHH Thức Ăn Chăn Nuôi Thiên Bang Việt Nam</t>
  </si>
  <si>
    <t>3JQG+RWX, Thới Hòa, Hồ Chí Minh, Việt Nam3JQG+RWX, Thới Hòa, Hồ Chí Minh, Việt Nam</t>
  </si>
  <si>
    <t>3536892542245363783</t>
  </si>
  <si>
    <t>2026-07-11 07:14:41</t>
  </si>
  <si>
    <t>2026-07-11 07:24:41</t>
  </si>
  <si>
    <t>2026-07-11 07:29:39</t>
  </si>
  <si>
    <t>2026-07-11 07:33:48</t>
  </si>
  <si>
    <t>106.8023397</t>
  </si>
  <si>
    <t>11.0762325</t>
  </si>
  <si>
    <t>Tân Uyen bình dương, Tân Uyên, Hồ Chí Minh, Việt NamTân Uyen bình dương</t>
  </si>
  <si>
    <t>3536892542245364266</t>
  </si>
  <si>
    <t>2026-07-11 07:18:29</t>
  </si>
  <si>
    <t>2026-07-11 07:28:29</t>
  </si>
  <si>
    <t>2026-07-11 09:28:29</t>
  </si>
  <si>
    <t>106.5058752</t>
  </si>
  <si>
    <t>10.5788652</t>
  </si>
  <si>
    <t>106.9327317</t>
  </si>
  <si>
    <t>10.8086349</t>
  </si>
  <si>
    <t>Công ty TNHH Dachan ( VN ), Long Cang, Tây Ninh, Việt NamCông ty TNHH Dachan ( VN )</t>
  </si>
  <si>
    <t>nhơn trach đồng nai, ấp 5, An Phước, Đồng Nai, Việt Namnhơn trach đồng nai</t>
  </si>
  <si>
    <t>3536894397914506046</t>
  </si>
  <si>
    <t>2026-07-11 07:14:55</t>
  </si>
  <si>
    <t>2026-07-11 07:24:54</t>
  </si>
  <si>
    <t>2026-07-11 07:34:38</t>
  </si>
  <si>
    <t>2026-07-11 07:37:16</t>
  </si>
  <si>
    <t>3536894397914506092</t>
  </si>
  <si>
    <t>2026-07-11 07:15:24</t>
  </si>
  <si>
    <t>2026-07-11 07:25:23</t>
  </si>
  <si>
    <t>2026-07-11 09:25:23</t>
  </si>
  <si>
    <t>106.65615902537839</t>
  </si>
  <si>
    <t>10.969039555549466</t>
  </si>
  <si>
    <t>362 Bùi Quốc Khánh, Thủ Dầu Một, Hồ Chí Minh, Việt Nam362 Bùi Quốc Khánh, Thủ Dầu Một, Hồ Chí Minh, Việt Nam</t>
  </si>
  <si>
    <t>3536894397931278472</t>
  </si>
  <si>
    <t>2026-07-11 07:17:02</t>
  </si>
  <si>
    <t>2026-07-11 07:27:02</t>
  </si>
  <si>
    <t>2026-07-11 09:27:02</t>
  </si>
  <si>
    <t>106.8045949</t>
  </si>
  <si>
    <t>10.9364413</t>
  </si>
  <si>
    <t>Biên Hòa, Đồng Nai, Việt NamBiên Hòa</t>
  </si>
  <si>
    <t>3536895895834678063</t>
  </si>
  <si>
    <t>2026-07-11 07:23:32</t>
  </si>
  <si>
    <t>2026-07-11 07:33:31</t>
  </si>
  <si>
    <t>2026-07-11 09:33:31</t>
  </si>
  <si>
    <t>106.5078088</t>
  </si>
  <si>
    <t>10.5780347</t>
  </si>
  <si>
    <t>106.6733441</t>
  </si>
  <si>
    <t>10.8314858</t>
  </si>
  <si>
    <t>Công Ty TNHH Dinh Dưỡng Động Vật Eh Long An Việt Nam, Long Cang, Tây Ninh, Việt NamCông Ty TNHH Dinh Dưỡng Động Vật Eh Long An Việt Nam</t>
  </si>
  <si>
    <t>Gò Vấp, Hồ Chí Minh, Việt NamGò Vấp</t>
  </si>
  <si>
    <t>3536896082573489068</t>
  </si>
  <si>
    <t>2026-07-11 07:17:27</t>
  </si>
  <si>
    <t>2026-07-11 07:27:26</t>
  </si>
  <si>
    <t>2026-07-11 11:23:19</t>
  </si>
  <si>
    <t>107.03196361191712</t>
  </si>
  <si>
    <t>10.791423374691675</t>
  </si>
  <si>
    <t>Q2RJ+HQ Long Thành, Đồng Nai, Việt NamQ2RJ+HQ Long Thành, Đồng Nai, Việt Nam</t>
  </si>
  <si>
    <t>3536896082598650095</t>
  </si>
  <si>
    <t>2026-07-11 07:20:26</t>
  </si>
  <si>
    <t>2026-07-11 07:30:25</t>
  </si>
  <si>
    <t>2026-07-11 09:30:25</t>
  </si>
  <si>
    <t>106.5099096</t>
  </si>
  <si>
    <t>10.5732368</t>
  </si>
  <si>
    <t>106.590819</t>
  </si>
  <si>
    <t>10.7924374</t>
  </si>
  <si>
    <t>Cty Highland Dragon Long An, Long Cang, Tây Ninh, Việt NamCty Highland Dragon Long An</t>
  </si>
  <si>
    <t>Bình Tân, Hồ Chí Minh, Việt NamBình Tân</t>
  </si>
  <si>
    <t>3536896082598650124</t>
  </si>
  <si>
    <t>2026-07-11 07:20:34</t>
  </si>
  <si>
    <t>2026-07-11 07:30:34</t>
  </si>
  <si>
    <t>2026-07-11 09:30:34</t>
  </si>
  <si>
    <t>3536896082598650843</t>
  </si>
  <si>
    <t>2026-07-11 07:25:53</t>
  </si>
  <si>
    <t>2026-07-11 07:35:52</t>
  </si>
  <si>
    <t>2026-07-11 09:35:52</t>
  </si>
  <si>
    <t>106.5067945</t>
  </si>
  <si>
    <t>10.5783866</t>
  </si>
  <si>
    <t>CÔNG TY SINO PACIFIC, Unnamed, Road, Long Cang, Tây Ninh, Việt NamCÔNG TY SINO PACIFIC</t>
  </si>
  <si>
    <t>3536898880157479696</t>
  </si>
  <si>
    <t>2026-07-11 07:19:34</t>
  </si>
  <si>
    <t>2026-07-11 07:29:33</t>
  </si>
  <si>
    <t>2026-07-11 09:29:33</t>
  </si>
  <si>
    <t>106.7584753206543</t>
  </si>
  <si>
    <t>10.837457563285428</t>
  </si>
  <si>
    <t>60 Đ. Số 4, Thủ Đức, Hồ Chí Minh 700000, Việt Nam60 Đ. Số 4, Thủ Đức, Hồ Chí Minh 700000, Việt Nam</t>
  </si>
  <si>
    <t>3536900571829334629</t>
  </si>
  <si>
    <t>2026-07-11 07:19:48</t>
  </si>
  <si>
    <t>2026-07-11 07:29:48</t>
  </si>
  <si>
    <t>2026-07-11 09:29:48</t>
  </si>
  <si>
    <t>106.702825</t>
  </si>
  <si>
    <t>10.8135113</t>
  </si>
  <si>
    <t>Bình Thạnh, Hồ Chí Minh, Việt NamBình Thạnh</t>
  </si>
  <si>
    <t>3536900571829335003</t>
  </si>
  <si>
    <t>2026-07-11 07:22:41</t>
  </si>
  <si>
    <t>2026-07-11 07:32:41</t>
  </si>
  <si>
    <t>2026-07-11 09:52:08</t>
  </si>
  <si>
    <t>106.5908421</t>
  </si>
  <si>
    <t>10.8855147</t>
  </si>
  <si>
    <t>5 23, Tổ 4, Hóc Môn, Hồ Chí Minh, Việt Nam5 23, Tổ 4, Hóc Môn, Hồ Chí Minh, Việt Nam</t>
  </si>
  <si>
    <t>3536901666257465954</t>
  </si>
  <si>
    <t>2026-07-11 07:13:33</t>
  </si>
  <si>
    <t>2026-07-11 07:23:33</t>
  </si>
  <si>
    <t>2026-07-11 07:14:17</t>
  </si>
  <si>
    <t>2026-07-11 07:21:36</t>
  </si>
  <si>
    <t>106.6282341</t>
  </si>
  <si>
    <t>11.0905613</t>
  </si>
  <si>
    <t>3536901666274239308</t>
  </si>
  <si>
    <t>2026-07-11 07:23:17</t>
  </si>
  <si>
    <t>2026-07-11 07:33:16</t>
  </si>
  <si>
    <t>2026-07-11 09:33:16</t>
  </si>
  <si>
    <t>106.64487657224423</t>
  </si>
  <si>
    <t>10.799047999999992</t>
  </si>
  <si>
    <t>Hẻm 2 Bình Giã, Tân Bình, Hồ Chí Minh, Việt NamHẻm 2 Bình Giã, Tân Bình, Hồ Chí Minh, Việt Nam</t>
  </si>
  <si>
    <t>3536901666291011786</t>
  </si>
  <si>
    <t>2026-07-11 07:26:18</t>
  </si>
  <si>
    <t>2026-07-11 07:36:18</t>
  </si>
  <si>
    <t>2026-07-11 09:36:18</t>
  </si>
  <si>
    <t>106.6586052</t>
  </si>
  <si>
    <t>10.9713673</t>
  </si>
  <si>
    <t>Thủ Dầu Một, Hồ Chí Minh, Việt NamThủ Dầu Một</t>
  </si>
  <si>
    <t>3536904641201787074</t>
  </si>
  <si>
    <t>2026-07-11 07:14:28</t>
  </si>
  <si>
    <t>2026-07-11 07:24:27</t>
  </si>
  <si>
    <t>2026-07-11 09:24:27</t>
  </si>
  <si>
    <t>106.7535289</t>
  </si>
  <si>
    <t>10.9088973</t>
  </si>
  <si>
    <t>Thuận An Bình Dương, Đường N2, Dĩ An, Hồ Chí Minh, Việt NamThuận An Bình Dương</t>
  </si>
  <si>
    <t>3536904641201787747</t>
  </si>
  <si>
    <t>2026-07-11 07:19:58</t>
  </si>
  <si>
    <t>2026-07-11 07:29:58</t>
  </si>
  <si>
    <t>2026-07-11 09:29:58</t>
  </si>
  <si>
    <t>3536904641218572621</t>
  </si>
  <si>
    <t>2026-07-11 07:23:43</t>
  </si>
  <si>
    <t>2026-07-11 07:33:42</t>
  </si>
  <si>
    <t>2026-07-11 09:52:48</t>
  </si>
  <si>
    <t>106.67432042408139</t>
  </si>
  <si>
    <t>10.832349889539737</t>
  </si>
  <si>
    <t>2A Đ. Phan Văn Trị, Gò Vấp, Hồ Chí Minh 700000, Việt Nam2A Đ. Phan Văn Trị, Gò Vấp, Hồ Chí Minh 700000, Việt Nam</t>
  </si>
  <si>
    <t>3536908458773401872</t>
  </si>
  <si>
    <t>2026-07-11 07:23:05</t>
  </si>
  <si>
    <t>2026-07-11 07:33:04</t>
  </si>
  <si>
    <t>2026-07-11 09:33:04</t>
  </si>
  <si>
    <t>106.6419476</t>
  </si>
  <si>
    <t>10.799048</t>
  </si>
  <si>
    <t>Tân Bình, Hồ Chí Minh, Việt NamTân Bình</t>
  </si>
  <si>
    <t>3536908458806960692</t>
  </si>
  <si>
    <t>2026-07-11 07:36:19</t>
  </si>
  <si>
    <t>2026-07-11 07:46:18</t>
  </si>
  <si>
    <t>2026-07-11 09:46:18</t>
  </si>
  <si>
    <t>106.4934381</t>
  </si>
  <si>
    <t>10.6118595</t>
  </si>
  <si>
    <t>106.6263666</t>
  </si>
  <si>
    <t>11.0899974</t>
  </si>
  <si>
    <t>Cong ty Nutreco, Long Cang, Tây Ninh, Việt NamCong ty Nutreco</t>
  </si>
  <si>
    <t>Bến cát Bình Dương, Quốc lộ 13, Thới Hòa, Hồ Chí Minh, Việt NamBến cát Bình Dương</t>
  </si>
  <si>
    <t>3536910680043245674</t>
  </si>
  <si>
    <t>2026-07-11 07:22:54</t>
  </si>
  <si>
    <t>2026-07-11 07:32:54</t>
  </si>
  <si>
    <t>2026-07-11 09:32:54</t>
  </si>
  <si>
    <t>3536910680043246049</t>
  </si>
  <si>
    <t>Rejected</t>
  </si>
  <si>
    <t>2026-07-11 07:25:31</t>
  </si>
  <si>
    <t>2026-07-11 10:00:00</t>
  </si>
  <si>
    <t>2026-07-11 17:22:27</t>
  </si>
  <si>
    <t>3536910680085193020</t>
  </si>
  <si>
    <t>2026-07-11 07:38:55</t>
  </si>
  <si>
    <t>2026-07-11 07:48:54</t>
  </si>
  <si>
    <t>2026-07-11 09:48:54</t>
  </si>
  <si>
    <t>3536910680085193261</t>
  </si>
  <si>
    <t>2026-07-11 07:40:18</t>
  </si>
  <si>
    <t>2026-07-11 07:50:18</t>
  </si>
  <si>
    <t>2026-07-11 09:50:18</t>
  </si>
  <si>
    <t>3536911608066568653</t>
  </si>
  <si>
    <t>2026-07-11 07:26:49</t>
  </si>
  <si>
    <t>2026-07-11 07:36:48</t>
  </si>
  <si>
    <t>2026-07-11 09:36:48</t>
  </si>
  <si>
    <t>3536911608066569218</t>
  </si>
  <si>
    <t>2026-07-11 07:30:35</t>
  </si>
  <si>
    <t>2026-07-11 10:01:00</t>
  </si>
  <si>
    <t>2026-07-11 10:54:56</t>
  </si>
  <si>
    <t>3536911608108503174</t>
  </si>
  <si>
    <t>2026-07-11 07:37:54</t>
  </si>
  <si>
    <t>2026-07-11 07:47:54</t>
  </si>
  <si>
    <t>2026-07-11 09:47:54</t>
  </si>
  <si>
    <t>106.7528749</t>
  </si>
  <si>
    <t>10.8963726</t>
  </si>
  <si>
    <t>Dĩ An, Bình Dương, Việt NamDĩ An</t>
  </si>
  <si>
    <t>3536911608108503992</t>
  </si>
  <si>
    <t>2026-07-11 07:42:49</t>
  </si>
  <si>
    <t>2026-07-11 07:52:48</t>
  </si>
  <si>
    <t>106.7559004</t>
  </si>
  <si>
    <t>10.8378053</t>
  </si>
  <si>
    <t>Thủ Đức, Hồ Chí Minh, Việt NamThủ Đức</t>
  </si>
  <si>
    <t>3536912396981596645</t>
  </si>
  <si>
    <t>2026-07-11 07:28:45</t>
  </si>
  <si>
    <t>2026-07-11 10:24:52</t>
  </si>
  <si>
    <t>3536912397006758682</t>
  </si>
  <si>
    <t>2026-07-11 07:36:42</t>
  </si>
  <si>
    <t>2026-07-11 07:46:42</t>
  </si>
  <si>
    <t>2026-07-11 09:46:42</t>
  </si>
  <si>
    <t>3536912774276019032</t>
  </si>
  <si>
    <t>2026-07-11 07:37:35</t>
  </si>
  <si>
    <t>2026-07-11 07:47:34</t>
  </si>
  <si>
    <t>2026-07-11 09:47:34</t>
  </si>
  <si>
    <t>3536912774301180098</t>
  </si>
  <si>
    <t>2026-07-11 07:40:01</t>
  </si>
  <si>
    <t>2026-07-11 07:50:01</t>
  </si>
  <si>
    <t>2026-07-11 09:50:01</t>
  </si>
  <si>
    <t>3536914235613475170</t>
  </si>
  <si>
    <t>Completed</t>
  </si>
  <si>
    <t>2026-07-11 07:37:15</t>
  </si>
  <si>
    <t>2026-07-11 07:47:14</t>
  </si>
  <si>
    <t>2026-07-11 08:25:44</t>
  </si>
  <si>
    <t>2026-07-21 07:48:14</t>
  </si>
  <si>
    <t>3536914235638636695</t>
  </si>
  <si>
    <t>2026-07-11 07:41:43</t>
  </si>
  <si>
    <t>2026-07-11 07:51:42</t>
  </si>
  <si>
    <t>2026-07-11 09:51:42</t>
  </si>
  <si>
    <t>107.0303221</t>
  </si>
  <si>
    <t>10.7925089</t>
  </si>
  <si>
    <t>Long Thành, Đồng Nai, Việt NamLong Thành</t>
  </si>
  <si>
    <t>3536914235638636743</t>
  </si>
  <si>
    <t>2026-07-11 07:42:01</t>
  </si>
  <si>
    <t>2026-07-11 07:52:01</t>
  </si>
  <si>
    <t>2026-07-11 10:13:30</t>
  </si>
  <si>
    <t>3536915386337546457</t>
  </si>
  <si>
    <t>2026-07-11 07:31:34</t>
  </si>
  <si>
    <t>2026-07-11 10:02:00</t>
  </si>
  <si>
    <t>2026-07-11 09:55:15</t>
  </si>
  <si>
    <t>2026-07-11 10:11:24</t>
  </si>
  <si>
    <t>3536915386354332278</t>
  </si>
  <si>
    <t>2026-07-11 07:40:41</t>
  </si>
  <si>
    <t>2026-07-11 07:50:41</t>
  </si>
  <si>
    <t>2026-07-11 09:50:41</t>
  </si>
  <si>
    <t>106.80421939073791</t>
  </si>
  <si>
    <t>10.937884451963384</t>
  </si>
  <si>
    <t>WRQ3+4MM, 20 Nguyễn Ái Quốc, phường, Biên Hòa, Đồng Nai, Việt NamWRQ3+4MM, 20 Nguyễn Ái Quốc, phường, Biên Hòa, Đồng Nai, Việt Nam</t>
  </si>
  <si>
    <t>3536915386371105258</t>
  </si>
  <si>
    <t>2026-07-11 07:45:50</t>
  </si>
  <si>
    <t>2026-07-11 07:55:50</t>
  </si>
  <si>
    <t>2026-07-11 09:55:50</t>
  </si>
  <si>
    <t>106.4883674</t>
  </si>
  <si>
    <t>10.6224901</t>
  </si>
  <si>
    <t>106.65921674365536</t>
  </si>
  <si>
    <t>10.971367299999995</t>
  </si>
  <si>
    <t>Công ty TNHH Koda Sài Gòn, Đường Số 1, Bến Lức, Tây Ninh, Việt NamCông ty TNHH Koda Sài Gòn</t>
  </si>
  <si>
    <t>750 Đ. Cách Mạng Tháng Tám, Thủ Dầu Một, Hồ Chí Minh 590000, Việt Nam750 Đ. Cách Mạng Tháng Tám, Thủ Dầu Một, Hồ Chí Minh 590000, Việt Nam</t>
  </si>
  <si>
    <t>3536915386371105571</t>
  </si>
  <si>
    <t>2026-07-11 07:47:29</t>
  </si>
  <si>
    <t>2026-07-11 07:57:28</t>
  </si>
  <si>
    <t>2026-07-11 09:57:28</t>
  </si>
  <si>
    <t>3536916284623250192</t>
  </si>
  <si>
    <t>2026-07-11 07:42:22</t>
  </si>
  <si>
    <t>2026-07-11 07:52:22</t>
  </si>
  <si>
    <t>2026-07-11 09:52:22</t>
  </si>
  <si>
    <t>3536916284640022817</t>
  </si>
  <si>
    <t>2026-07-11 07:45:33</t>
  </si>
  <si>
    <t>2026-07-11 07:55:32</t>
  </si>
  <si>
    <t>2026-07-11 09:55:32</t>
  </si>
  <si>
    <t>3536918165072343531</t>
  </si>
  <si>
    <t>2026-07-11 07:43:40</t>
  </si>
  <si>
    <t>2026-07-11 07:53:39</t>
  </si>
  <si>
    <t>2026-07-11 09:53:39</t>
  </si>
  <si>
    <t>106.5230542</t>
  </si>
  <si>
    <t>10.962533</t>
  </si>
  <si>
    <t>Củ Chi, Hồ Chí Minh, Việt NamCủ Chi</t>
  </si>
  <si>
    <t>3536918165072343943</t>
  </si>
  <si>
    <t>2026-07-11 07:46:07</t>
  </si>
  <si>
    <t>2026-07-11 07:56:06</t>
  </si>
  <si>
    <t>2026-07-11 09:56:06</t>
  </si>
  <si>
    <t>106.6216471</t>
  </si>
  <si>
    <t>10.8750776</t>
  </si>
  <si>
    <t>Hoc mon, Thới Tam Thôn 17, Đông Thạnh, Hồ Chí Minh, Việt NamHoc mon</t>
  </si>
  <si>
    <t>3536918165089116391</t>
  </si>
  <si>
    <t>2026-07-11 07:47:45</t>
  </si>
  <si>
    <t>2026-07-11 07:57:45</t>
  </si>
  <si>
    <t>2026-07-11 09:57:45</t>
  </si>
  <si>
    <t>3536920660003742564</t>
  </si>
  <si>
    <t>2026-07-11 07:55:21</t>
  </si>
  <si>
    <t>2026-07-11 08:05:20</t>
  </si>
  <si>
    <t>2026-07-11 10:05:20</t>
  </si>
  <si>
    <t>106.5089084</t>
  </si>
  <si>
    <t>10.6378954</t>
  </si>
  <si>
    <t>CÔNG TY TNHH VIETNAM WIN TEXTILES, Nhà xưởng G1, Đường VL2, Khu công nghiệp, Mỹ Yên, Tây Ninh, Việt NamCÔNG TY TNHH VIETNAM WIN TEXTILES</t>
  </si>
  <si>
    <t>3536920660003742656</t>
  </si>
  <si>
    <t>2026-07-11 08:05:50</t>
  </si>
  <si>
    <t>2026-07-11 10:05:50</t>
  </si>
  <si>
    <t>106.935861</t>
  </si>
  <si>
    <t>10.8312488</t>
  </si>
  <si>
    <t>KCN Long Thành, Đường số 9, An Phước, Đồng Nai, Việt NamKCN Long Thành</t>
  </si>
  <si>
    <t>3536922118690402944</t>
  </si>
  <si>
    <t>Automatic cancelled after 10 days without completion</t>
  </si>
  <si>
    <t>2026-07-11 07:50:56</t>
  </si>
  <si>
    <t>2026-07-11 08:00:56</t>
  </si>
  <si>
    <t>2026-07-11 08:15:59</t>
  </si>
  <si>
    <t>2026-07-21 08:01:56</t>
  </si>
  <si>
    <t>106.548153</t>
  </si>
  <si>
    <t>10.6243872</t>
  </si>
  <si>
    <t>106.6262271</t>
  </si>
  <si>
    <t>11.0888403</t>
  </si>
  <si>
    <t>Công Ty Tnhh Crecimiento Industrial Việt Nam Chi Nhánh Long An, ẤP 3B, Mỹ Yên, Tây Ninh, Việt NamCông Ty Tnhh Crecimiento Industrial Việt Nam Chi Nhánh Long An</t>
  </si>
  <si>
    <t>45 QL13, Thới Hòa, Hồ Chí Minh, Việt Nam45 QL13, Thới Hòa, Hồ Chí Minh, Việt Nam</t>
  </si>
  <si>
    <t>3536922118690403144</t>
  </si>
  <si>
    <t>2026-07-11 07:52:00</t>
  </si>
  <si>
    <t>2026-07-11 08:01:59</t>
  </si>
  <si>
    <t>2026-07-11 09:16:51</t>
  </si>
  <si>
    <t>2026-07-11 09:51:45</t>
  </si>
  <si>
    <t>106.6798923</t>
  </si>
  <si>
    <t>11.0139846</t>
  </si>
  <si>
    <t>Thủ dầu một, Đường ĐX-025, Bình Dương, Hồ Chí Minh, Việt NamThủ dầu một</t>
  </si>
  <si>
    <t>3536923446607048884</t>
  </si>
  <si>
    <t>2026-07-11 07:45:18</t>
  </si>
  <si>
    <t>2026-07-11 07:55:18</t>
  </si>
  <si>
    <t>2026-07-11 09:55:18</t>
  </si>
  <si>
    <t>3536923446648983741</t>
  </si>
  <si>
    <t>2026-07-11 07:56:18</t>
  </si>
  <si>
    <t>2026-07-11 08:06:18</t>
  </si>
  <si>
    <t>2026-07-11 10:06:18</t>
  </si>
  <si>
    <t>106.4615963</t>
  </si>
  <si>
    <t>11.141591</t>
  </si>
  <si>
    <t>Cu Chi Tunnel, Phú Hiệp, An Nhơn Tây, Củ Chi, Hồ Chí Minh, Việt NamCu Chi Tunnel</t>
  </si>
  <si>
    <t>3536923446648984126</t>
  </si>
  <si>
    <t>2026-07-11 07:58:16</t>
  </si>
  <si>
    <t>2026-07-11 08:08:15</t>
  </si>
  <si>
    <t>2026-07-11 09:39:23</t>
  </si>
  <si>
    <t>106.5460635</t>
  </si>
  <si>
    <t>10.6373043</t>
  </si>
  <si>
    <t>CTY TNHH Thương mại Kỹ Thuật Xuất Nhập Khẩu NAM HẢI, Lộ Đình, Phước Lý, Tây Ninh, Việt NamCTY TNHH Thương mại Kỹ Thuật Xuất Nhập Khẩu NAM HẢI</t>
  </si>
  <si>
    <t>3536923446648984181</t>
  </si>
  <si>
    <t>2026-07-11 07:58:30</t>
  </si>
  <si>
    <t>2026-07-11 08:08:29</t>
  </si>
  <si>
    <t>2026-07-11 08:35:37</t>
  </si>
  <si>
    <t>3536925697044075348</t>
  </si>
  <si>
    <t>2026-07-11 07:53:01</t>
  </si>
  <si>
    <t>2026-07-11 08:03:00</t>
  </si>
  <si>
    <t>2026-07-11 10:03:00</t>
  </si>
  <si>
    <t>106.75641541589965</t>
  </si>
  <si>
    <t>10.897752734523126</t>
  </si>
  <si>
    <t>VQX4+6Q9, Đường số 12, Dĩ An, Hồ Chí Minh, Việt NamVQX4+6Q9, Đường số 12, Dĩ An, Hồ Chí Minh, Việt Nam</t>
  </si>
  <si>
    <t>3536925697060860318</t>
  </si>
  <si>
    <t>2026-07-11 07:55:37</t>
  </si>
  <si>
    <t>2026-07-11 08:05:36</t>
  </si>
  <si>
    <t>2026-07-11 10:05:36</t>
  </si>
  <si>
    <t>3536925697077633297</t>
  </si>
  <si>
    <t>2026-07-11 08:00:02</t>
  </si>
  <si>
    <t>2026-07-11 08:10:02</t>
  </si>
  <si>
    <t>2026-07-11 09:59:46</t>
  </si>
  <si>
    <t>3536927756271178133</t>
  </si>
  <si>
    <t>2026-07-11 07:54:00</t>
  </si>
  <si>
    <t>2026-07-11 08:04:00</t>
  </si>
  <si>
    <t>2026-07-11 10:04:00</t>
  </si>
  <si>
    <t>3536927756271178186</t>
  </si>
  <si>
    <t>2026-07-11 07:54:15</t>
  </si>
  <si>
    <t>2026-07-11 08:04:15</t>
  </si>
  <si>
    <t>2026-07-11 10:04:15</t>
  </si>
  <si>
    <t>3536927756271178336</t>
  </si>
  <si>
    <t>2026-07-11 07:55:06</t>
  </si>
  <si>
    <t>2026-07-11 08:05:06</t>
  </si>
  <si>
    <t>2026-07-11 08:18:45</t>
  </si>
  <si>
    <t>2026-07-11 08:21:47</t>
  </si>
  <si>
    <t>3536927756287963317</t>
  </si>
  <si>
    <t>2026-07-11 07:58:03</t>
  </si>
  <si>
    <t>2026-07-11 08:08:03</t>
  </si>
  <si>
    <t>2026-07-11 09:50:25</t>
  </si>
  <si>
    <t>3536929826151813837</t>
  </si>
  <si>
    <t>2026-07-11 07:59:14</t>
  </si>
  <si>
    <t>2026-07-11 08:09:13</t>
  </si>
  <si>
    <t>2026-07-11 08:28:32</t>
  </si>
  <si>
    <t>2026-07-11 08:31:41</t>
  </si>
  <si>
    <t>3536929826151813967</t>
  </si>
  <si>
    <t>2026-07-11 07:59:47</t>
  </si>
  <si>
    <t>2026-07-11 08:09:47</t>
  </si>
  <si>
    <t>2026-07-11 09:10:13</t>
  </si>
  <si>
    <t>2026-07-11 09:15:25</t>
  </si>
  <si>
    <t>106.6110909</t>
  </si>
  <si>
    <t>10.7227658</t>
  </si>
  <si>
    <t>Việt Nam, Hồ Chí Minh, An Lạc, Khu phố 8, Đ. Số 20, Bình TânBình Tân</t>
  </si>
  <si>
    <t>3536930997570588858</t>
  </si>
  <si>
    <t>2026-07-11 07:58:59</t>
  </si>
  <si>
    <t>2026-07-11 08:08:59</t>
  </si>
  <si>
    <t>2026-07-11 10:23:40</t>
  </si>
  <si>
    <t>3536930997570589183</t>
  </si>
  <si>
    <t>2026-07-11 08:00:25</t>
  </si>
  <si>
    <t>2026-07-11 08:10:25</t>
  </si>
  <si>
    <t>2026-07-11 10:41:01</t>
  </si>
  <si>
    <t>3539499515428163978</t>
  </si>
  <si>
    <t>2026-07-14 21:26:42</t>
  </si>
  <si>
    <t>2026-07-15 08:57:00</t>
  </si>
  <si>
    <t>2026-07-15 10:57:00</t>
  </si>
  <si>
    <t>106.5131415</t>
  </si>
  <si>
    <t>10.5799575</t>
  </si>
  <si>
    <t>106.6181936</t>
  </si>
  <si>
    <t>11.0789266</t>
  </si>
  <si>
    <t>Ấp 3, Cần Đước, Long An, Việt NamChi Nhánh Long An , Công Ty TNHH Huy Đậu</t>
  </si>
  <si>
    <t>79 Đường D8, 2 khu phố 4, Hòa Lợi, Hồ Chí Minh, Việt Nam79 Đường D8, 2 khu phố 4, Hòa Lợi, Hồ Chí Minh, Việt Nam</t>
  </si>
  <si>
    <t>3539499515428164423</t>
  </si>
  <si>
    <t>2026-07-14 21:30:57</t>
  </si>
  <si>
    <t>2026-07-15 09:01:00</t>
  </si>
  <si>
    <t>2026-07-15 11:01:00</t>
  </si>
  <si>
    <t>106.5083424</t>
  </si>
  <si>
    <t>10.5737325</t>
  </si>
  <si>
    <t>CCN Long Dinh , Long Cang, Can Duoc, Long An, Long Cang, Long An, 850000, Việt NamCông ty CP TP An Long / An Long Food JSC</t>
  </si>
  <si>
    <t>3539499515428164458</t>
  </si>
  <si>
    <t>2026-07-14 21:31:17</t>
  </si>
  <si>
    <t>2026-07-15 09:02:00</t>
  </si>
  <si>
    <t>2026-07-15 11:02:00</t>
  </si>
  <si>
    <t>3539501606087381069</t>
  </si>
  <si>
    <t>2026-07-14 21:29:48</t>
  </si>
  <si>
    <t>2026-07-15 08:56:00</t>
  </si>
  <si>
    <t>2026-07-15 10:56:00</t>
  </si>
  <si>
    <t>3539501606087381605</t>
  </si>
  <si>
    <t>2026-07-14 21:35:00</t>
  </si>
  <si>
    <t>2026-07-15 09:05:00</t>
  </si>
  <si>
    <t>2026-07-15 11:05:00</t>
  </si>
  <si>
    <t>106.5104934</t>
  </si>
  <si>
    <t>10.5740284</t>
  </si>
  <si>
    <t>106.682188</t>
  </si>
  <si>
    <t>10.948222</t>
  </si>
  <si>
    <t>Long Cang, Cần Đước, Long An, Việt NamNhà Xưởng Công ty Trần Phát</t>
  </si>
  <si>
    <t>Thuận An, Hồ Chí Minh, Việt NamThuận An</t>
  </si>
  <si>
    <t>3539502139200197171</t>
  </si>
  <si>
    <t>2026-07-14 21:36:07</t>
  </si>
  <si>
    <t>2026-07-15 10:06:00</t>
  </si>
  <si>
    <t>2026-07-15 12:06:00</t>
  </si>
  <si>
    <t>106.5058144</t>
  </si>
  <si>
    <t>10.5789015</t>
  </si>
  <si>
    <t>Xã Long Cang, Huyện Cần Đước, Long An, Việt NamCông Ty TNHH Dachan VN</t>
  </si>
  <si>
    <t>3539504510122811555</t>
  </si>
  <si>
    <t>2026-07-14 21:27:03</t>
  </si>
  <si>
    <t>2026-07-15 09:39:33</t>
  </si>
  <si>
    <t>2026-07-15 09:45:36</t>
  </si>
  <si>
    <t>3539504510122811735</t>
  </si>
  <si>
    <t>2026-07-14 21:28:47</t>
  </si>
  <si>
    <t>2026-07-15 09:34:00</t>
  </si>
  <si>
    <t>2026-07-15 12:37:50</t>
  </si>
  <si>
    <t>2026-07-25 09:35:00</t>
  </si>
  <si>
    <t>106.8043734</t>
  </si>
  <si>
    <t>10.9384958</t>
  </si>
  <si>
    <t>WRQ3+9PX, Biên Hòa, Đồng Nai, Việt NamWRQ3+9PX, Biên Hòa, Đồng Nai, Việt Nam</t>
  </si>
  <si>
    <t>3539505256725701485</t>
  </si>
  <si>
    <t>2026-07-14 21:37:49</t>
  </si>
  <si>
    <t>2026-07-15 10:08:00</t>
  </si>
  <si>
    <t>2026-07-15 12:08:00</t>
  </si>
  <si>
    <t>106.5028834</t>
  </si>
  <si>
    <t>10.5768255</t>
  </si>
  <si>
    <t>Xã Long Cang, Huyện Cần Đước, Long An, Việt NamCông Ty TNHH Ant La</t>
  </si>
  <si>
    <t>3539505256742474194</t>
  </si>
  <si>
    <t>2026-07-14 21:41:53</t>
  </si>
  <si>
    <t>2026-07-15 09:12:00</t>
  </si>
  <si>
    <t>2026-07-15 11:12:00</t>
  </si>
  <si>
    <t>106.5067944</t>
  </si>
  <si>
    <t>10.5783864</t>
  </si>
  <si>
    <t>Xã Long Cang, Huyện Cần Đước, Long An, Việt NamCông Ty Sino Pacific</t>
  </si>
  <si>
    <t>3539507562342998366</t>
  </si>
  <si>
    <t>2026-07-14 21:25:43</t>
  </si>
  <si>
    <t>2026-07-15 08:30:00</t>
  </si>
  <si>
    <t>2026-07-15 10:09:56</t>
  </si>
  <si>
    <t>106.61853454967651</t>
  </si>
  <si>
    <t>11.079237086712821</t>
  </si>
  <si>
    <t>3539507562342999075</t>
  </si>
  <si>
    <t>2026-07-14 21:32:59</t>
  </si>
  <si>
    <t>2026-07-15 09:03:00</t>
  </si>
  <si>
    <t>2026-07-15 11:03:00</t>
  </si>
  <si>
    <t>106.5108855</t>
  </si>
  <si>
    <t>10.5718494</t>
  </si>
  <si>
    <t>Công ty cổ phần Logistics nPL (kho Long An), Long Cang, Cần Đước, Long An, Việt NamCông ty cổ phần Logistics nPL (kho Long An)</t>
  </si>
  <si>
    <t>3539507562359771324</t>
  </si>
  <si>
    <t>2026-07-14 21:34:28</t>
  </si>
  <si>
    <t>2026-07-15 10:05:00</t>
  </si>
  <si>
    <t>2026-07-15 12:05:00</t>
  </si>
  <si>
    <t>3539507562359771683</t>
  </si>
  <si>
    <t>2026-07-14 21:38:08</t>
  </si>
  <si>
    <t>2026-07-15 09:08:00</t>
  </si>
  <si>
    <t>2026-07-15 10:05:32</t>
  </si>
  <si>
    <t>2026-07-15 10:54:12</t>
  </si>
  <si>
    <t>3539507562384945369</t>
  </si>
  <si>
    <t>2026-07-14 21:45:56</t>
  </si>
  <si>
    <t>2026-07-15 09:16:00</t>
  </si>
  <si>
    <t>2026-07-15 11:16:00</t>
  </si>
  <si>
    <t>106.4999555</t>
  </si>
  <si>
    <t>10.5783561</t>
  </si>
  <si>
    <t>106.59293258070376</t>
  </si>
  <si>
    <t>10.792616564036976</t>
  </si>
  <si>
    <t>Công Ty TNHH Vôi Thành Đô Long An, Nguyễn Trung Trực, Long Cang, Tây Ninh, Việt NamCông Ty TNHH Vôi Thành Đô Long An</t>
  </si>
  <si>
    <t>49 Đường số 8, Bình Tân, Hồ Chí Minh, Việt Nam49 Đường số 8, Bình Tân, Hồ Chí Minh, Việt Nam</t>
  </si>
  <si>
    <t>3539507869248610627</t>
  </si>
  <si>
    <t>2026-07-14 21:36:40</t>
  </si>
  <si>
    <t>2026-07-15 09:07:00</t>
  </si>
  <si>
    <t>2026-07-15 11:07:00</t>
  </si>
  <si>
    <t>3539507869265383783</t>
  </si>
  <si>
    <t>2026-07-14 21:48:20</t>
  </si>
  <si>
    <t>2026-07-15 10:56:18</t>
  </si>
  <si>
    <t>2026-07-15 11:12:50</t>
  </si>
  <si>
    <t>106.5077574</t>
  </si>
  <si>
    <t>10.5779655</t>
  </si>
  <si>
    <t>106.7018494</t>
  </si>
  <si>
    <t>10.8124129</t>
  </si>
  <si>
    <t>Long Cang, Cần Đước, Long An, Việt NamCông Ty TNHH Dinh Dưỡng Động Vật Eh Long An Việt Nam</t>
  </si>
  <si>
    <t>324 Chu Văn An, Bình Thạnh, Hồ Chí Minh, Việt Nam324 Chu Văn An, Bình Thạnh, Hồ Chí Minh, Việt Nam</t>
  </si>
  <si>
    <t>3539507869265384283</t>
  </si>
  <si>
    <t>2026-07-14 21:54:17</t>
  </si>
  <si>
    <t>2026-07-15 08:25:00</t>
  </si>
  <si>
    <t>2026-07-15 10:25:00</t>
  </si>
  <si>
    <t>106.5022924</t>
  </si>
  <si>
    <t>10.5769605</t>
  </si>
  <si>
    <t>KCN Long Định, Xã Long Cang, Huyện Cần Đước, Long Cang, Bến Lức, Long An 82420, Việt NamALLYBUILD VN , Nhà máy Long An</t>
  </si>
  <si>
    <t>3539508123314381730</t>
  </si>
  <si>
    <t>2026-07-14 21:33:35</t>
  </si>
  <si>
    <t>2026-07-15 09:04:00</t>
  </si>
  <si>
    <t>2026-07-15 11:04:00</t>
  </si>
  <si>
    <t>3539508123339542764</t>
  </si>
  <si>
    <t>2026-07-14 21:37:18</t>
  </si>
  <si>
    <t>3539508123339543274</t>
  </si>
  <si>
    <t>2026-07-14 21:42:52</t>
  </si>
  <si>
    <t>2026-07-15 09:13:00</t>
  </si>
  <si>
    <t>2026-07-15 11:13:00</t>
  </si>
  <si>
    <t>106.67414310796512</t>
  </si>
  <si>
    <t>10.836975991958276</t>
  </si>
  <si>
    <t>89B Đường Số 7, Gò Vấp, Hồ Chí Minh, Việt Nam89B Đường Số 7, Gò Vấp, Hồ Chí Minh, Việt Nam</t>
  </si>
  <si>
    <t>3539508123339543435</t>
  </si>
  <si>
    <t>2026-07-14 21:44:34</t>
  </si>
  <si>
    <t>106.5037935</t>
  </si>
  <si>
    <t>10.5795504</t>
  </si>
  <si>
    <t>106.64200711478883</t>
  </si>
  <si>
    <t>10.802794731588344</t>
  </si>
  <si>
    <t>Công ty TNHH Thức Ăn Chăn Nuôi Thiên Bang Việt Nam, Long Cang, Cần Đước, Long An, Việt NamCông ty TNHH Thức Ăn Chăn Nuôi Thiên Bang Việt Nam</t>
  </si>
  <si>
    <t>1-5 Thân Nhân Trung, Tân Bình, Hồ Chí Minh, Việt Nam1-5 Thân Nhân Trung, Tân Bình, Hồ Chí Minh, Việt Nam</t>
  </si>
  <si>
    <t>3539508123356328507</t>
  </si>
  <si>
    <t>2026-07-14 21:51:40</t>
  </si>
  <si>
    <t>2026-07-15 08:40:00</t>
  </si>
  <si>
    <t>2026-07-15 10:10:08</t>
  </si>
  <si>
    <t>2026-07-15 10:11:42</t>
  </si>
  <si>
    <t>106.5060105</t>
  </si>
  <si>
    <t>10.5814134</t>
  </si>
  <si>
    <t>106.7956620185547</t>
  </si>
  <si>
    <t>10.852160226459592</t>
  </si>
  <si>
    <t>Unnamed Road, Long Cang, Cần Đước, Long An, Việt NamCông ty TNHH XNK NHỰA TIẾN PHÁT 2</t>
  </si>
  <si>
    <t>39793 Man Thiện, Tăng Nhơn Phú, Hồ Chí Minh, Việt Nam39793 Man Thiện, Tăng Nhơn Phú, Hồ Chí Minh, Việt Nam</t>
  </si>
  <si>
    <t>3539510635736035947</t>
  </si>
  <si>
    <t>2026-07-14 21:36:23</t>
  </si>
  <si>
    <t>2026-07-15 10:07:00</t>
  </si>
  <si>
    <t>2026-07-15 12:07:00</t>
  </si>
  <si>
    <t>3539510635761197279</t>
  </si>
  <si>
    <t>2026-07-14 21:42:30</t>
  </si>
  <si>
    <t>2026-07-15 10:13:00</t>
  </si>
  <si>
    <t>2026-07-15 10:51:06</t>
  </si>
  <si>
    <t>106.67036616665649</t>
  </si>
  <si>
    <t>10.83530225053944</t>
  </si>
  <si>
    <t>41 Đ Số 3, KDC Cityland Park Hills, Gò Vấp, Hồ Chí Minh, Việt Nam41 Đ Số 3, KDC Cityland Park Hills, Gò Vấp, Hồ Chí Minh, Việt Nam</t>
  </si>
  <si>
    <t>3539510635786359433</t>
  </si>
  <si>
    <t>2026-07-14 21:59:57</t>
  </si>
  <si>
    <t>2026-07-15 08:40:40</t>
  </si>
  <si>
    <t>2026-07-15 08:44:06</t>
  </si>
  <si>
    <t>106.4946645</t>
  </si>
  <si>
    <t>10.6118377</t>
  </si>
  <si>
    <t>Lô C1, H, KCN Thuận Đạo Mở Rộng, 2 Đường Số 1, Long Định, Cần Đước, Long An, Việt NamChi nhánh Long An , Công ty TNHH Nutreco International Việt Nam (Nutreco Long An)</t>
  </si>
  <si>
    <t>3539510635786359616</t>
  </si>
  <si>
    <t>2026-07-14 22:02:33</t>
  </si>
  <si>
    <t>2026-07-15 08:33:00</t>
  </si>
  <si>
    <t>2026-07-15 10:33:00</t>
  </si>
  <si>
    <t>106.4951745</t>
  </si>
  <si>
    <t>10.6017856</t>
  </si>
  <si>
    <t>Lô F4,1, Lô F4,2 Đường Số 13, KCN Thuận Đạo mở rộng, Cần Đước, Long An, Việt NamCông ty TNHH Quick Pack Việt Nam</t>
  </si>
  <si>
    <t>3539510635786359743</t>
  </si>
  <si>
    <t>2026-07-14 22:04:05</t>
  </si>
  <si>
    <t>2026-07-15 11:34:00</t>
  </si>
  <si>
    <t>106.4898855</t>
  </si>
  <si>
    <t>10.6028007</t>
  </si>
  <si>
    <t>106.7518574</t>
  </si>
  <si>
    <t>10.9205741</t>
  </si>
  <si>
    <t>Unnamed, Road, Cần Đước, Long An, Việt NamCông ty CP Kim khí Nam Hưng CN Thuận Đạo</t>
  </si>
  <si>
    <t>Dĩ An, Bình Dương, Dĩ An, Tân Đông Hiệp, Hồ Chí Minh, Việt NamDĩ An, Bình Dương</t>
  </si>
  <si>
    <t>3539510635786359762</t>
  </si>
  <si>
    <t>2026-07-14 22:04:19</t>
  </si>
  <si>
    <t>2026-07-15 09:35:00</t>
  </si>
  <si>
    <t>2026-07-15 11:35:00</t>
  </si>
  <si>
    <t>3539512161053401955</t>
  </si>
  <si>
    <t>2026-07-14 21:53:02</t>
  </si>
  <si>
    <t>2026-07-15 08:23:00</t>
  </si>
  <si>
    <t>2026-07-15 10:31:33</t>
  </si>
  <si>
    <t>106.9004472</t>
  </si>
  <si>
    <t>10.745397</t>
  </si>
  <si>
    <t>Nhơn Trạch, Đồng Nai, Việt NamNhơn Trạch</t>
  </si>
  <si>
    <t>3539512161070174676</t>
  </si>
  <si>
    <t>2026-07-14 22:01:33</t>
  </si>
  <si>
    <t>2026-07-15 08:32:00</t>
  </si>
  <si>
    <t>2026-07-15 10:32:00</t>
  </si>
  <si>
    <t>3539512161070175177</t>
  </si>
  <si>
    <t>2026-07-14 22:08:42</t>
  </si>
  <si>
    <t>2026-07-15 08:39:00</t>
  </si>
  <si>
    <t>2026-07-15 10:39:00</t>
  </si>
  <si>
    <t>106.50134301938476</t>
  </si>
  <si>
    <t>10.62292731657329</t>
  </si>
  <si>
    <t>JGF2+5G Bến Lức, Long An, Việt NamJGF2+5G Bến Lức, Long An, Việt Nam</t>
  </si>
  <si>
    <t>3539514814034571392</t>
  </si>
  <si>
    <t>2026-07-14 21:40:15</t>
  </si>
  <si>
    <t>2026-07-15 09:11:00</t>
  </si>
  <si>
    <t>2026-07-15 11:11:00</t>
  </si>
  <si>
    <t>106.5023824</t>
  </si>
  <si>
    <t>10.5809064</t>
  </si>
  <si>
    <t>106.59865492435912</t>
  </si>
  <si>
    <t>10.888822769823918</t>
  </si>
  <si>
    <t>Cầu Ô Binh, Long Cang, Cần Đước, Long An, Việt NamCông Ty Cổ Phần Tâp Đoàn Hưng Long</t>
  </si>
  <si>
    <t>Tổ 65, 1/138 Tổ 64 Khu Phố 7, Khu Phố 6, Hóc Môn, Hồ Chí Minh, Việt NamTổ 65, 1/138 Tổ 64 Khu Phố 7, Khu Phố 6, Hóc Môn, Hồ Chí Minh, Việt Nam</t>
  </si>
  <si>
    <t>3539514814034571570</t>
  </si>
  <si>
    <t>2026-07-14 21:42:11</t>
  </si>
  <si>
    <t>106.67168113041073</t>
  </si>
  <si>
    <t>10.832560642707772</t>
  </si>
  <si>
    <t>A28 Đ. Số 7, Gò Vấp, Hồ Chí Minh, Việt NamA28 Đ. Số 7, Gò Vấp, Hồ Chí Minh, Việt Nam</t>
  </si>
  <si>
    <t>3539514814034571958</t>
  </si>
  <si>
    <t>2026-07-14 21:46:36</t>
  </si>
  <si>
    <t>2026-07-15 09:00:00</t>
  </si>
  <si>
    <t>2026-07-15 10:25:12</t>
  </si>
  <si>
    <t>106.63672864260556</t>
  </si>
  <si>
    <t>10.940925282518837</t>
  </si>
  <si>
    <t>51A Đ. 164, ấp 5, Bình Mỹ, Hồ Chí Minh, Việt Nam51A Đ. 164, ấp 5, Bình Mỹ, Hồ Chí Minh, Việt Nam</t>
  </si>
  <si>
    <t>3539515745212003222</t>
  </si>
  <si>
    <t>2026-07-14 21:51:05</t>
  </si>
  <si>
    <t>2026-07-15 09:21:00</t>
  </si>
  <si>
    <t>2026-07-15 11:21:00</t>
  </si>
  <si>
    <t>106.7908848614075</t>
  </si>
  <si>
    <t>10.845495351052016</t>
  </si>
  <si>
    <t>A5/2 Đ. Lê Văn Việt, Tăng Nhơn Phú, Hồ Chí Minh, Việt NamA5/2 Đ. Lê Văn Việt, Tăng Nhơn Phú, Hồ Chí Minh, Việt Nam</t>
  </si>
  <si>
    <t>3539515745237164546</t>
  </si>
  <si>
    <t>2026-07-14 21:58:56</t>
  </si>
  <si>
    <t>2026-07-15 09:29:00</t>
  </si>
  <si>
    <t>2026-07-15 12:10:43</t>
  </si>
  <si>
    <t>106.4883825</t>
  </si>
  <si>
    <t>10.6224357</t>
  </si>
  <si>
    <t>Lô A4 Đường Số 1, TT. Bến Lức, Bến Lức, Long An, Việt NamCông Ty Tnhh Koda Sài Gòn</t>
  </si>
  <si>
    <t>3539518415289151561</t>
  </si>
  <si>
    <t>2026-07-14 21:47:27</t>
  </si>
  <si>
    <t>2026-07-15 11:01:01</t>
  </si>
  <si>
    <t>106.7050458690643</t>
  </si>
  <si>
    <t>10.813110843401649</t>
  </si>
  <si>
    <t>49 Đường số 17, Bình Thạnh, Hồ Chí Minh, Việt Nam49 Đường số 17, Bình Thạnh, Hồ Chí Minh, Việt Nam</t>
  </si>
  <si>
    <t>3539518415289151772</t>
  </si>
  <si>
    <t>2026-07-14 21:49:39</t>
  </si>
  <si>
    <t>106.71182242670594</t>
  </si>
  <si>
    <t>10.838859237978344</t>
  </si>
  <si>
    <t>RPQ6+MV6, Hiệp Bình, Hồ Chí Minh, Việt NamRPQ6+MV6, Hiệp Bình, Hồ Chí Minh, Việt Nam</t>
  </si>
  <si>
    <t>3539518415289152393</t>
  </si>
  <si>
    <t>2026-07-14 21:57:42</t>
  </si>
  <si>
    <t>2026-07-15 11:08:00</t>
  </si>
  <si>
    <t>3539518415322701977</t>
  </si>
  <si>
    <t>2026-07-14 22:01:01</t>
  </si>
  <si>
    <t>2026-07-15 08:31:00</t>
  </si>
  <si>
    <t>2026-07-15 10:31:00</t>
  </si>
  <si>
    <t>3539518415322702528</t>
  </si>
  <si>
    <t>2026-07-14 22:09:03</t>
  </si>
  <si>
    <t>2026-07-15 08:14:12</t>
  </si>
  <si>
    <t>3539518415322702672</t>
  </si>
  <si>
    <t>2026-07-14 22:11:07</t>
  </si>
  <si>
    <t>2026-07-15 09:41:00</t>
  </si>
  <si>
    <t>2026-07-15 11:41:00</t>
  </si>
  <si>
    <t>106.51481843747558</t>
  </si>
  <si>
    <t>10.62267423738934</t>
  </si>
  <si>
    <t>106.7371475</t>
  </si>
  <si>
    <t>10.7944654</t>
  </si>
  <si>
    <t>JGF7+3W Mỹ Yên, Long An, Việt NamJGF7+3W Mỹ Yên, Long An, Việt Nam</t>
  </si>
  <si>
    <t>quận 2, Đường Số 3, An Khánh, Hồ Chí Minh, Việt Namquận 2</t>
  </si>
  <si>
    <t>3539518415339475377</t>
  </si>
  <si>
    <t>2026-07-14 22:19:57</t>
  </si>
  <si>
    <t>2026-07-15 08:50:00</t>
  </si>
  <si>
    <t>2026-07-15 10:50:00</t>
  </si>
  <si>
    <t>106.49803853787841</t>
  </si>
  <si>
    <t>10.638238216969443</t>
  </si>
  <si>
    <t>JFQX+892, Bến Lức, Tây Ninh 83000, Việt NamJFQX+892, Bến Lức, Tây Ninh 83000, Việt Nam</t>
  </si>
  <si>
    <t>3539519200337031358</t>
  </si>
  <si>
    <t>2026-07-14 21:50:27</t>
  </si>
  <si>
    <t>2026-07-15 09:09:00</t>
  </si>
  <si>
    <t>2026-07-15 11:09:00</t>
  </si>
  <si>
    <t>106.71743366986698</t>
  </si>
  <si>
    <t>10.83077161276968</t>
  </si>
  <si>
    <t>73 D. So 6, khu phố 2, Hiệp Bình, Hồ Chí Minh, Việt Nam73 D. So 6, khu phố 2, Hiệp Bình, Hồ Chí Minh, Việt Nam</t>
  </si>
  <si>
    <t>3539519200362193599</t>
  </si>
  <si>
    <t>2026-07-14 22:11:25</t>
  </si>
  <si>
    <t>2026-07-15 08:42:00</t>
  </si>
  <si>
    <t>2026-07-15 10:42:00</t>
  </si>
  <si>
    <t>3539521895848435939</t>
  </si>
  <si>
    <t>2026-07-14 21:58:25</t>
  </si>
  <si>
    <t>2026-07-15 11:29:00</t>
  </si>
  <si>
    <t>3539521895848436446</t>
  </si>
  <si>
    <t>2026-07-14 22:05:18</t>
  </si>
  <si>
    <t>2026-07-15 08:36:00</t>
  </si>
  <si>
    <t>2026-07-15 10:36:00</t>
  </si>
  <si>
    <t>3539521895848436476</t>
  </si>
  <si>
    <t>2026-07-14 22:05:51</t>
  </si>
  <si>
    <t>3539521895865209206</t>
  </si>
  <si>
    <t>2026-07-14 22:13:15</t>
  </si>
  <si>
    <t>2026-07-15 08:43:00</t>
  </si>
  <si>
    <t>2026-07-15 09:50:51</t>
  </si>
  <si>
    <t>106.52945256986084</t>
  </si>
  <si>
    <t>10.62617514748829</t>
  </si>
  <si>
    <t>JGGH+FQ Mỹ Yên, Long An, Việt NamJGGH+FQ Mỹ Yên, Long An, Việt Nam</t>
  </si>
  <si>
    <t>3539521895865209357</t>
  </si>
  <si>
    <t>2026-07-14 22:15:20</t>
  </si>
  <si>
    <t>2026-07-15 08:46:00</t>
  </si>
  <si>
    <t>2026-07-15 10:46:00</t>
  </si>
  <si>
    <t>106.51468969144287</t>
  </si>
  <si>
    <t>10.640431451092626</t>
  </si>
  <si>
    <t>JGR7+5V Mỹ Yên, Long An, Việt NamJGR7+5V Mỹ Yên, Long An, Việt Nam</t>
  </si>
  <si>
    <t>3539521895865209637</t>
  </si>
  <si>
    <t>2026-07-14 22:19:03</t>
  </si>
  <si>
    <t>2026-07-15 08:49:00</t>
  </si>
  <si>
    <t>2026-07-15 10:49:00</t>
  </si>
  <si>
    <t>106.53640485562744</t>
  </si>
  <si>
    <t>10.624066170306412</t>
  </si>
  <si>
    <t>JGFP+RV2, Mỹ Yên, Tây Ninh, Việt NamJGFP+RV2, Mỹ Yên, Tây Ninh, Việt Nam</t>
  </si>
  <si>
    <t>3539522561417371814</t>
  </si>
  <si>
    <t>2026-07-14 22:12:34</t>
  </si>
  <si>
    <t>2026-07-15 10:43:00</t>
  </si>
  <si>
    <t>3539522864564887578</t>
  </si>
  <si>
    <t>2026-07-14 21:58:00</t>
  </si>
  <si>
    <t>2026-07-15 09:28:00</t>
  </si>
  <si>
    <t>2026-07-15 08:59:46</t>
  </si>
  <si>
    <t>2026-07-15 09:08:03</t>
  </si>
  <si>
    <t>106.62844799419555</t>
  </si>
  <si>
    <t>11.090934433979537</t>
  </si>
  <si>
    <t>3539522864564888152</t>
  </si>
  <si>
    <t>2026-07-14 22:06:09</t>
  </si>
  <si>
    <t>2026-07-15 08:37:00</t>
  </si>
  <si>
    <t>2026-07-15 10:37:00</t>
  </si>
  <si>
    <t>3539522864590050181</t>
  </si>
  <si>
    <t>2026-07-14 22:24:14</t>
  </si>
  <si>
    <t>2026-07-15 08:55:00</t>
  </si>
  <si>
    <t>2026-07-15 10:55:00</t>
  </si>
  <si>
    <t>106.5083382204956</t>
  </si>
  <si>
    <t>10.63317684727272</t>
  </si>
  <si>
    <t>275 QL1A, Bến Lức, Tây Ninh, Việt Nam275 QL1A, Bến Lức, Tây Ninh, Việt Nam</t>
  </si>
  <si>
    <t>3539525944719143268</t>
  </si>
  <si>
    <t>2026-07-14 22:09:43</t>
  </si>
  <si>
    <t>2026-07-15 08:29:06</t>
  </si>
  <si>
    <t>2026-07-15 08:57:57</t>
  </si>
  <si>
    <t>106.6350013</t>
  </si>
  <si>
    <t>10.9399035</t>
  </si>
  <si>
    <t>Củ chi, Bình Mỹ, Hồ Chí Minh, Việt NamCủ chi</t>
  </si>
  <si>
    <t>3539527374221832370</t>
  </si>
  <si>
    <t>2026-07-14 22:10:32</t>
  </si>
  <si>
    <t>2026-07-15 10:01:18</t>
  </si>
  <si>
    <t>2026-07-15 10:23:31</t>
  </si>
  <si>
    <t>3539527374221832605</t>
  </si>
  <si>
    <t>2026-07-14 22:13:59</t>
  </si>
  <si>
    <t>2026-07-15 08:44:00</t>
  </si>
  <si>
    <t>2026-07-15 10:44:00</t>
  </si>
  <si>
    <t>3539527374221832637</t>
  </si>
  <si>
    <t>2026-07-14 22:14:33</t>
  </si>
  <si>
    <t>2026-07-15 08:45:00</t>
  </si>
  <si>
    <t>2026-07-15 10:45:00</t>
  </si>
  <si>
    <t>3539527374221832716</t>
  </si>
  <si>
    <t>2026-07-14 22:15:41</t>
  </si>
  <si>
    <t>2026-07-15 08:47:50</t>
  </si>
  <si>
    <t>2026-07-15 09:31:58</t>
  </si>
  <si>
    <t>3539527374221833074</t>
  </si>
  <si>
    <t>2026-07-14 22:20:44</t>
  </si>
  <si>
    <t>2026-07-15 08:51:00</t>
  </si>
  <si>
    <t>2026-07-15 10:51:01</t>
  </si>
  <si>
    <t>3539531445565616176</t>
  </si>
  <si>
    <t>2026-07-14 22:17:49</t>
  </si>
  <si>
    <t>2026-07-15 08:48:00</t>
  </si>
  <si>
    <t>2026-07-15 10:48:00</t>
  </si>
  <si>
    <t>3539531445565616220</t>
  </si>
  <si>
    <t>2026-07-14 22:18:37</t>
  </si>
  <si>
    <t>3539532428500758866</t>
  </si>
  <si>
    <t>2026-07-14 22:23:50</t>
  </si>
  <si>
    <t>2026-07-15 08:54:00</t>
  </si>
  <si>
    <t>2026-07-15 10:54:00</t>
  </si>
  <si>
    <t>106.7889751285889</t>
  </si>
  <si>
    <t>10.845906301539326</t>
  </si>
  <si>
    <t>39753 Đ. Lê Văn Việt, Tăng Nhơn Phú, Hồ Chí Minh, Việt Nam39753 Đ. Lê Văn Việt, Tăng Nhơn Phú, Hồ Chí Minh, Việt Nam</t>
  </si>
  <si>
    <t>3539601279234036387</t>
  </si>
  <si>
    <t>2026-07-15 05:40:40</t>
  </si>
  <si>
    <t>2026-07-15 10:11:00</t>
  </si>
  <si>
    <t>2026-07-15 10:28:38</t>
  </si>
  <si>
    <t>106.5101334</t>
  </si>
  <si>
    <t>10.6367997</t>
  </si>
  <si>
    <t>Lô D2,4, Đường Vl2, Khu Công Nghiệp Vĩnh Lộc 2, Ấp Vôi Lá, Lương Hoà, Bến Lức, Long An, Việt NamCông Ty Cổ Phần Kim Khí Nam Hưng</t>
  </si>
  <si>
    <t>3539601279234036703</t>
  </si>
  <si>
    <t>2026-07-15 05:49:08</t>
  </si>
  <si>
    <t>2026-07-15 08:34:29</t>
  </si>
  <si>
    <t>106.5532354</t>
  </si>
  <si>
    <t>10.6378417</t>
  </si>
  <si>
    <t>36 Đường Mười Cày, Phước Lý, Cần Giuộc, Long An, Việt NamCÔNG TY TNHH SẢN XUẤT TRANG TRÍ NỘI THẤT NHẬT PHI</t>
  </si>
  <si>
    <t>3539618904664138738</t>
  </si>
  <si>
    <t>2026-07-15 05:36:36</t>
  </si>
  <si>
    <t>2026-07-15 09:58:00</t>
  </si>
  <si>
    <t>2026-07-15 11:58:00</t>
  </si>
  <si>
    <t>106.5038994</t>
  </si>
  <si>
    <t>10.6432606</t>
  </si>
  <si>
    <t>106.7027847</t>
  </si>
  <si>
    <t>10.8134919</t>
  </si>
  <si>
    <t>Lô D3, 1, 4 Đường VL7, KCN Vĩnh Lộc 2 X, Bến Lức, Long An 77777, Việt NamCông Ty Cổ Phần Nosafood , Nhà máy Bến Lức</t>
  </si>
  <si>
    <t>3539618904664138809</t>
  </si>
  <si>
    <t>2026-07-15 05:39:06</t>
  </si>
  <si>
    <t>2026-07-15 09:11:45</t>
  </si>
  <si>
    <t>3539618904680910940</t>
  </si>
  <si>
    <t>2026-07-15 05:41:46</t>
  </si>
  <si>
    <t>2026-07-15 11:00:01</t>
  </si>
  <si>
    <t>3539618904680911395</t>
  </si>
  <si>
    <t>2026-07-15 05:54:14</t>
  </si>
  <si>
    <t>2026-07-15 06:31:06</t>
  </si>
  <si>
    <t>2026-07-15 07:15:09</t>
  </si>
  <si>
    <t>106.5502011</t>
  </si>
  <si>
    <t>10.6534976</t>
  </si>
  <si>
    <t>Cty TNHH MTV SX TM CB Thực phẩm Vĩ Huy, Mỹ Yên, Tây Ninh, Việt NamCty TNHH MTV SX TM CB Thực phẩm Vĩ Huy</t>
  </si>
  <si>
    <t>3539626075632132894</t>
  </si>
  <si>
    <t>2026-07-15 05:37:44</t>
  </si>
  <si>
    <t>2026-07-15 10:51:00</t>
  </si>
  <si>
    <t>106.7558686</t>
  </si>
  <si>
    <t>10.8378718</t>
  </si>
  <si>
    <t>3539626075632133089</t>
  </si>
  <si>
    <t>2026-07-15 05:44:17</t>
  </si>
  <si>
    <t>2026-07-15 10:37:03</t>
  </si>
  <si>
    <t>106.5424234</t>
  </si>
  <si>
    <t>10.6455987</t>
  </si>
  <si>
    <t>58 QL1A, Mỹ Yên, Bến Lức, Long An, Việt NamCông Ty TNHH Đế Vương</t>
  </si>
  <si>
    <t>3539626075632133116</t>
  </si>
  <si>
    <t>2026-07-15 05:44:54</t>
  </si>
  <si>
    <t>2026-07-15 09:56:00</t>
  </si>
  <si>
    <t>2026-07-15 09:38:35</t>
  </si>
  <si>
    <t>2026-07-15 09:48:24</t>
  </si>
  <si>
    <t>3539626075648905570</t>
  </si>
  <si>
    <t>2026-07-15 05:53:33</t>
  </si>
  <si>
    <t>2026-07-15 10:30:42</t>
  </si>
  <si>
    <t>2026-07-15 10:46:07</t>
  </si>
  <si>
    <t>106.5922924</t>
  </si>
  <si>
    <t>10.8863934</t>
  </si>
  <si>
    <t>Hóc Môn, Hồ Chí Minh, Việt NamHóc Môn</t>
  </si>
  <si>
    <t>3539646846639231579</t>
  </si>
  <si>
    <t>2026-07-15 05:45:27</t>
  </si>
  <si>
    <t>2026-07-15 09:55:20</t>
  </si>
  <si>
    <t>3539653594284515580</t>
  </si>
  <si>
    <t>2026-07-15 05:37:07</t>
  </si>
  <si>
    <t>2026-07-15 10:00:00</t>
  </si>
  <si>
    <t>2026-07-15 12:00:01</t>
  </si>
  <si>
    <t>3539653594284515892</t>
  </si>
  <si>
    <t>2026-07-15 05:46:39</t>
  </si>
  <si>
    <t>2026-07-15 09:10:00</t>
  </si>
  <si>
    <t>2026-07-15 10:02:53</t>
  </si>
  <si>
    <t>3539653594284516230</t>
  </si>
  <si>
    <t>2026-07-15 05:55:19</t>
  </si>
  <si>
    <t>2026-07-15 06:30:50</t>
  </si>
  <si>
    <t>2026-07-15 07:13:18</t>
  </si>
  <si>
    <t>106.5908874</t>
  </si>
  <si>
    <t>10.7924296</t>
  </si>
  <si>
    <t>3539663435044447157</t>
  </si>
  <si>
    <t>2026-07-15 05:33:49</t>
  </si>
  <si>
    <t>2026-07-15 10:04:00</t>
  </si>
  <si>
    <t>2026-07-15 12:04:00</t>
  </si>
  <si>
    <t>106.5139924</t>
  </si>
  <si>
    <t>10.6327756</t>
  </si>
  <si>
    <t>Km 1930, Voi Lá, ấp QL1A, Long Hiệp, Bến Lức, Long An 82619, Việt NamCông ty TNHH Bao Bì Xuất Khẩu và Thương Mại Vạn Thành</t>
  </si>
  <si>
    <t>3539684815936909805</t>
  </si>
  <si>
    <t>2026-07-15 05:29:45</t>
  </si>
  <si>
    <t>2026-07-15 08:26:00</t>
  </si>
  <si>
    <t>2026-07-15 09:40:49</t>
  </si>
  <si>
    <t>3539708641471066129</t>
  </si>
  <si>
    <t>2026-07-15 05:31:26</t>
  </si>
  <si>
    <t>2026-07-15 09:00:44</t>
  </si>
  <si>
    <t>3539708641471066750</t>
  </si>
  <si>
    <t>2026-07-15 05:50:32</t>
  </si>
  <si>
    <t>2026-07-15 10:04:15</t>
  </si>
  <si>
    <t>3539777959827296850</t>
  </si>
  <si>
    <t>2026-07-15 07:01:51</t>
  </si>
  <si>
    <t>2026-07-15 07:11:50</t>
  </si>
  <si>
    <t>2026-07-15 07:02:55</t>
  </si>
  <si>
    <t>2026-07-15 07:10:41</t>
  </si>
  <si>
    <t>106.4565394</t>
  </si>
  <si>
    <t>10.6698277</t>
  </si>
  <si>
    <t>47C, Provincial Road 830/2 Commune, Hamlet 3, Bến Lức, Long An 850000, Việt NamCÔNG TY TNHH MTV HÒA THÀNH LONG AN</t>
  </si>
  <si>
    <t>3539777959827297038</t>
  </si>
  <si>
    <t>2026-07-15 07:03:25</t>
  </si>
  <si>
    <t>2026-07-15 07:13:24</t>
  </si>
  <si>
    <t>2026-07-15 09:13:24</t>
  </si>
  <si>
    <t>3539784141207982455</t>
  </si>
  <si>
    <t>2026-07-15 07:05:56</t>
  </si>
  <si>
    <t>2026-07-15 07:15:55</t>
  </si>
  <si>
    <t>2026-07-15 09:15:55</t>
  </si>
  <si>
    <t>106.5033511</t>
  </si>
  <si>
    <t>10.6243758</t>
  </si>
  <si>
    <t>Cong Ty TNHH MTV Tu Van Xay Dung Thien Kim, Ap Lo Gach, Bến Lức, Tây Ninh, Việt NamCong Ty TNHH MTV Tu Van Xay Dung Thien Kim</t>
  </si>
  <si>
    <t>3539785046523334735</t>
  </si>
  <si>
    <t>2026-07-15 07:04:10</t>
  </si>
  <si>
    <t>2026-07-15 07:14:09</t>
  </si>
  <si>
    <t>2026-07-15 09:14:09</t>
  </si>
  <si>
    <t>3539785046523334798</t>
  </si>
  <si>
    <t>2026-07-15 07:04:40</t>
  </si>
  <si>
    <t>2026-07-15 07:14:39</t>
  </si>
  <si>
    <t>2026-07-15 09:14:39</t>
  </si>
  <si>
    <t>3539785046523334814</t>
  </si>
  <si>
    <t>2026-07-15 07:04:53</t>
  </si>
  <si>
    <t>2026-07-15 07:14:53</t>
  </si>
  <si>
    <t>2026-07-15 12:21:08</t>
  </si>
  <si>
    <t>3539789726963950247</t>
  </si>
  <si>
    <t>2026-07-15 07:05:41</t>
  </si>
  <si>
    <t>2026-07-15 07:15:40</t>
  </si>
  <si>
    <t>2026-07-15 08:30:55</t>
  </si>
  <si>
    <t>3539794616155071162</t>
  </si>
  <si>
    <t>2026-07-15 07:02:57</t>
  </si>
  <si>
    <t>2026-07-15 07:12:56</t>
  </si>
  <si>
    <t>2026-07-15 09:12:56</t>
  </si>
  <si>
    <t>3539794616197017853</t>
  </si>
  <si>
    <t>2026-07-15 07:15:56</t>
  </si>
  <si>
    <t>2026-07-15 07:25:55</t>
  </si>
  <si>
    <t>2026-07-15 08:38:00</t>
  </si>
  <si>
    <t>106.5123574</t>
  </si>
  <si>
    <t>10.6383727</t>
  </si>
  <si>
    <t>Đường VL2, Long Hiệp, Bến Lức, Long An, Việt NamKho lạnh HP chi nhánh hồ chí minh</t>
  </si>
  <si>
    <t>3539794616197017948</t>
  </si>
  <si>
    <t>2026-07-15 07:16:40</t>
  </si>
  <si>
    <t>2026-07-15 07:26:39</t>
  </si>
  <si>
    <t>2026-07-15 08:52:35</t>
  </si>
  <si>
    <t>2026-07-15 08:54:43</t>
  </si>
  <si>
    <t>106.5083764</t>
  </si>
  <si>
    <t>10.6428357</t>
  </si>
  <si>
    <t>CÔNG TY TNHH BIBICA MIỀN TÂY, 9 VL3, KCN Vĩnh Lộc 2, Long Hiệp, Bến Lức, Long An, Việt NamCÔNG TY TNHH BIBICA MIỀN TÂY</t>
  </si>
  <si>
    <t>3539794729149625136</t>
  </si>
  <si>
    <t>2026-07-15 07:04:26</t>
  </si>
  <si>
    <t>2026-07-15 07:14:25</t>
  </si>
  <si>
    <t>2026-07-15 10:58:46</t>
  </si>
  <si>
    <t>3539794729149625252</t>
  </si>
  <si>
    <t>2026-07-15 07:05:19</t>
  </si>
  <si>
    <t>2026-07-15 07:15:18</t>
  </si>
  <si>
    <t>2026-07-15 09:15:18</t>
  </si>
  <si>
    <t>3539794729166398100</t>
  </si>
  <si>
    <t>2026-07-15 07:11:34</t>
  </si>
  <si>
    <t>2026-07-15 07:21:33</t>
  </si>
  <si>
    <t>2026-07-15 09:21:33</t>
  </si>
  <si>
    <t>106.5139264</t>
  </si>
  <si>
    <t>10.6292206</t>
  </si>
  <si>
    <t>Lô B7, Đường số 4, KCN, Phúc Long, Long Hiệp, Bến Lức, Long An, Việt NamCông Ty TNHH MTV Cellutane Việt Nam</t>
  </si>
  <si>
    <t>3539794729166398280</t>
  </si>
  <si>
    <t>2026-07-15 07:12:47</t>
  </si>
  <si>
    <t>2026-07-15 07:22:46</t>
  </si>
  <si>
    <t>2026-07-15 09:22:46</t>
  </si>
  <si>
    <t>106.5078604</t>
  </si>
  <si>
    <t>10.6267066</t>
  </si>
  <si>
    <t>Long Hiệp, Bến Lức, Long An, Việt NamCông Ty TNHH Rượu Đệ Nhất Gò Đen</t>
  </si>
  <si>
    <t>3539794729166398432</t>
  </si>
  <si>
    <t>2026-07-15 07:14:06</t>
  </si>
  <si>
    <t>2026-07-15 07:24:05</t>
  </si>
  <si>
    <t>2026-07-15 09:24:05</t>
  </si>
  <si>
    <t>106.5089814</t>
  </si>
  <si>
    <t>10.6378936</t>
  </si>
  <si>
    <t>Lô A1, Nhà xưởng G1, 20 Đường VL2, Khu công nghiệp, Mỹ Yên, Tây Ninh, Việt NamCÔNG TY TNHH VIETNAM WIN TEXTILES</t>
  </si>
  <si>
    <t>3539796042218431417</t>
  </si>
  <si>
    <t>2026-07-15 07:07:56</t>
  </si>
  <si>
    <t>2026-07-15 07:17:55</t>
  </si>
  <si>
    <t>2026-07-15 09:17:55</t>
  </si>
  <si>
    <t>106.5110835</t>
  </si>
  <si>
    <t>10.6189887</t>
  </si>
  <si>
    <t>106.7167379</t>
  </si>
  <si>
    <t>10.8450997</t>
  </si>
  <si>
    <t>lô H5 – đường số 8 KCN Phuc Long X.Long Hiep H, Long Hiệp, Bến Lức, Long An, Việt NamCông ty cổ phần Sơn và Chống thấm Việt Nhật</t>
  </si>
  <si>
    <t>9/QL13/31 Tổ 8, Khu Phố 5, Hiệp Bình, Hồ Chí Minh, Việt Nam9/QL13/31 Tổ 8, Khu Phố 5, Hiệp Bình, Hồ Chí Minh, Việt Nam</t>
  </si>
  <si>
    <t>3539796042218431469</t>
  </si>
  <si>
    <t>2026-07-15 07:08:22</t>
  </si>
  <si>
    <t>2026-07-15 07:18:21</t>
  </si>
  <si>
    <t>2026-07-15 09:19:11</t>
  </si>
  <si>
    <t>3539796042243592261</t>
  </si>
  <si>
    <t>2026-07-15 07:08:34</t>
  </si>
  <si>
    <t>2026-07-15 07:18:33</t>
  </si>
  <si>
    <t>2026-07-15 09:18:33</t>
  </si>
  <si>
    <t>3539796042260377844</t>
  </si>
  <si>
    <t>2026-07-15 07:18:00</t>
  </si>
  <si>
    <t>2026-07-15 07:27:59</t>
  </si>
  <si>
    <t>2026-07-15 11:10:31</t>
  </si>
  <si>
    <t>3539796042260378492</t>
  </si>
  <si>
    <t>2026-07-15 07:22:33</t>
  </si>
  <si>
    <t>2026-07-15 07:32:32</t>
  </si>
  <si>
    <t>2026-07-15 09:32:32</t>
  </si>
  <si>
    <t>106.5173754</t>
  </si>
  <si>
    <t>10.6461136</t>
  </si>
  <si>
    <t>Factory 1A, Lot B2,15, VL7 Street, Vinh Loc 2 Industrial Zone, Voi La Hamlet Long Hiep Commune, Ben Luc District, Long A Province, Long Hiệp, Ho chi minh city, Long An 82619, Việt NamDM TEXTILES COMPANY LTD.</t>
  </si>
  <si>
    <t>3539797911108022767</t>
  </si>
  <si>
    <t>2026-07-15 07:06:19</t>
  </si>
  <si>
    <t>2026-07-15 07:16:19</t>
  </si>
  <si>
    <t>2026-07-15 09:16:19</t>
  </si>
  <si>
    <t>3539797911133184444</t>
  </si>
  <si>
    <t>2026-07-15 07:14:18</t>
  </si>
  <si>
    <t>2026-07-15 07:24:17</t>
  </si>
  <si>
    <t>2026-07-15 08:44:51</t>
  </si>
  <si>
    <t>2026-07-15 08:48:35</t>
  </si>
  <si>
    <t>3539800216431718648</t>
  </si>
  <si>
    <t>2026-07-15 07:07:24</t>
  </si>
  <si>
    <t>2026-07-15 07:17:24</t>
  </si>
  <si>
    <t>2026-07-15 08:05:19</t>
  </si>
  <si>
    <t>2026-07-15 08:10:41</t>
  </si>
  <si>
    <t>106.71197263041077</t>
  </si>
  <si>
    <t>10.841398748547151</t>
  </si>
  <si>
    <t>71 Đ. Số 5, Khu đô Thị Vạn Phúc, Hiệp Bình, Hồ Chí Minh 70000, Việt Nam71 Đ. Số 5, Khu đô Thị Vạn Phúc, Hiệp Bình, Hồ Chí Minh 70000, Việt Nam</t>
  </si>
  <si>
    <t>3539800216431719155</t>
  </si>
  <si>
    <t>2026-07-15 07:11:47</t>
  </si>
  <si>
    <t>2026-07-15 07:21:46</t>
  </si>
  <si>
    <t>2026-07-15 09:21:46</t>
  </si>
  <si>
    <t>3539800216431719345</t>
  </si>
  <si>
    <t>2026-07-15 07:13:12</t>
  </si>
  <si>
    <t>2026-07-15 07:23:11</t>
  </si>
  <si>
    <t>2026-07-15 09:23:11</t>
  </si>
  <si>
    <t>106.737878</t>
  </si>
  <si>
    <t>10.795368</t>
  </si>
  <si>
    <t>2/15D Trần Não, Khu đô thị An Phú An Khánh, An Khánh, Hồ Chí Minh, Việt Nam2/15D Trần Não, Khu đô thị An Phú An Khánh, An Khánh, Hồ Chí Minh, Việt Nam</t>
  </si>
  <si>
    <t>3539800216448491643</t>
  </si>
  <si>
    <t>2026-07-15 07:14:42</t>
  </si>
  <si>
    <t>2026-07-15 07:24:41</t>
  </si>
  <si>
    <t>2026-07-15 08:51:28</t>
  </si>
  <si>
    <t>2026-07-15 08:59:27</t>
  </si>
  <si>
    <t>3539800216448491762</t>
  </si>
  <si>
    <t>2026-07-15 07:15:34</t>
  </si>
  <si>
    <t>2026-07-15 07:25:33</t>
  </si>
  <si>
    <t>2026-07-15 09:49:16</t>
  </si>
  <si>
    <t>3539800216448492137</t>
  </si>
  <si>
    <t>2026-07-15 07:18:23</t>
  </si>
  <si>
    <t>2026-07-15 07:28:22</t>
  </si>
  <si>
    <t>2026-07-15 09:39:54</t>
  </si>
  <si>
    <t>2026-07-15 09:47:36</t>
  </si>
  <si>
    <t>3539800216473653271</t>
  </si>
  <si>
    <t>2026-07-15 07:21:40</t>
  </si>
  <si>
    <t>2026-07-15 07:31:39</t>
  </si>
  <si>
    <t>2026-07-15 09:31:39</t>
  </si>
  <si>
    <t>3539803592519283211</t>
  </si>
  <si>
    <t>2026-07-15 07:15:23</t>
  </si>
  <si>
    <t>2026-07-15 07:25:23</t>
  </si>
  <si>
    <t>2026-07-15 09:25:23</t>
  </si>
  <si>
    <t>3539803592519283407</t>
  </si>
  <si>
    <t>2026-07-15 07:16:51</t>
  </si>
  <si>
    <t>2026-07-15 07:26:50</t>
  </si>
  <si>
    <t>2026-07-15 09:26:50</t>
  </si>
  <si>
    <t>3539803592536055905</t>
  </si>
  <si>
    <t>2026-07-15 07:19:06</t>
  </si>
  <si>
    <t>2026-07-15 07:29:05</t>
  </si>
  <si>
    <t>2026-07-15 10:01:54</t>
  </si>
  <si>
    <t>106.5178464</t>
  </si>
  <si>
    <t>10.6429186</t>
  </si>
  <si>
    <t>Đường VL2, Long Hiệp, Bến Lức, Long An, Việt NamCty cổ phần tập đoàn kim đức</t>
  </si>
  <si>
    <t>3539803592536056231</t>
  </si>
  <si>
    <t>2026-07-15 07:21:28</t>
  </si>
  <si>
    <t>2026-07-15 07:31:27</t>
  </si>
  <si>
    <t>2026-07-15 09:31:27</t>
  </si>
  <si>
    <t>3539804246612603013</t>
  </si>
  <si>
    <t>2026-07-15 07:13:00</t>
  </si>
  <si>
    <t>2026-07-15 07:22:59</t>
  </si>
  <si>
    <t>2026-07-15 09:22:59</t>
  </si>
  <si>
    <t>106.73804872222902</t>
  </si>
  <si>
    <t>10.795350674110054</t>
  </si>
  <si>
    <t>3539804246612603355</t>
  </si>
  <si>
    <t>2026-07-15 07:15:45</t>
  </si>
  <si>
    <t>2026-07-15 07:25:44</t>
  </si>
  <si>
    <t>2026-07-15 15:01:04</t>
  </si>
  <si>
    <t>2026-07-15 15:06:43</t>
  </si>
  <si>
    <t>3539804246637764943</t>
  </si>
  <si>
    <t>2026-07-15 07:22:08</t>
  </si>
  <si>
    <t>2026-07-15 07:32:07</t>
  </si>
  <si>
    <t>2026-07-15 09:32:07</t>
  </si>
  <si>
    <t>3539804246654537818</t>
  </si>
  <si>
    <t>2026-07-15 07:26:53</t>
  </si>
  <si>
    <t>2026-07-15 07:36:54</t>
  </si>
  <si>
    <t>2026-07-15 09:41:36</t>
  </si>
  <si>
    <t>106.6047527</t>
  </si>
  <si>
    <t>10.5077325</t>
  </si>
  <si>
    <t>Cần Đước High School, Khu 1B, Cần Đước, Tây Ninh, Việt NamCần Đước High School</t>
  </si>
  <si>
    <t>3539804246654537985</t>
  </si>
  <si>
    <t>2026-07-15 07:27:55</t>
  </si>
  <si>
    <t>2026-07-15 07:37:56</t>
  </si>
  <si>
    <t>2026-07-15 09:56:20</t>
  </si>
  <si>
    <t>3539807011749458915</t>
  </si>
  <si>
    <t>2026-07-15 07:23:53</t>
  </si>
  <si>
    <t>2026-07-15 07:33:52</t>
  </si>
  <si>
    <t>2026-07-15 09:33:52</t>
  </si>
  <si>
    <t>106.4933144</t>
  </si>
  <si>
    <t>10.6397674</t>
  </si>
  <si>
    <t>CN. CÔNG TY CPXD MINH LONG, Đường Số 2, Bến Lức, Tây Ninh, Việt NamCN. CÔNG TY CPXD MINH LONG</t>
  </si>
  <si>
    <t>3539807011766231290</t>
  </si>
  <si>
    <t>2026-07-15 07:25:04</t>
  </si>
  <si>
    <t>2026-07-15 07:35:05</t>
  </si>
  <si>
    <t>2026-07-15 09:35:05</t>
  </si>
  <si>
    <t>3539807011783004674</t>
  </si>
  <si>
    <t>2026-07-15 07:33:23</t>
  </si>
  <si>
    <t>2026-07-15 07:43:24</t>
  </si>
  <si>
    <t>2026-07-15 08:19:01</t>
  </si>
  <si>
    <t>106.6114474</t>
  </si>
  <si>
    <t>10.6361703</t>
  </si>
  <si>
    <t>Phước Lý, Tây Ninh, Việt NamPhước Lý</t>
  </si>
  <si>
    <t>3539807985817842224</t>
  </si>
  <si>
    <t>2026-07-15 07:21:52</t>
  </si>
  <si>
    <t>2026-07-15 07:31:51</t>
  </si>
  <si>
    <t>2026-07-15 09:31:51</t>
  </si>
  <si>
    <t>3539807985834615033</t>
  </si>
  <si>
    <t>2026-07-15 07:26:33</t>
  </si>
  <si>
    <t>2026-07-15 07:36:34</t>
  </si>
  <si>
    <t>2026-07-15 10:01:14</t>
  </si>
  <si>
    <t>3539807985851388347</t>
  </si>
  <si>
    <t>2026-07-15 07:33:46</t>
  </si>
  <si>
    <t>2026-07-15 07:43:47</t>
  </si>
  <si>
    <t>2026-07-15 07:37:58</t>
  </si>
  <si>
    <t>2026-07-15 07:47:39</t>
  </si>
  <si>
    <t>3539809918192415025</t>
  </si>
  <si>
    <t>2026-07-15 07:36:03</t>
  </si>
  <si>
    <t>2026-07-15 07:46:04</t>
  </si>
  <si>
    <t>2026-07-15 09:08:02</t>
  </si>
  <si>
    <t>106.5853853</t>
  </si>
  <si>
    <t>10.6453917</t>
  </si>
  <si>
    <t>ĐT835B, Phước Lý, Tây Ninh, Việt NamĐT835B</t>
  </si>
  <si>
    <t>3539810167652831701</t>
  </si>
  <si>
    <t>2026-07-15 07:39:18</t>
  </si>
  <si>
    <t>2026-07-15 07:49:19</t>
  </si>
  <si>
    <t>2026-07-15 08:47:18</t>
  </si>
  <si>
    <t>3539810942617608356</t>
  </si>
  <si>
    <t>2026-07-15 07:24:01</t>
  </si>
  <si>
    <t>2026-07-15 07:34:02</t>
  </si>
  <si>
    <t>2026-07-15 09:34:02</t>
  </si>
  <si>
    <t>106.7497022</t>
  </si>
  <si>
    <t>10.9267968</t>
  </si>
  <si>
    <t>DI AN BINH DUONG, Đường tỉnh 743, kp Chiêu Liêu, Dĩ An, An Phú, Hồ Chí Minh, Việt NamDI AN BINH DUONG</t>
  </si>
  <si>
    <t>3539810942634382310</t>
  </si>
  <si>
    <t>2026-07-15 07:35:39</t>
  </si>
  <si>
    <t>2026-07-15 07:45:40</t>
  </si>
  <si>
    <t>2026-07-15 10:03:33</t>
  </si>
  <si>
    <t>3539812096017658515</t>
  </si>
  <si>
    <t>2026-07-15 07:28:54</t>
  </si>
  <si>
    <t>2026-07-15 07:38:55</t>
  </si>
  <si>
    <t>2026-07-15 09:38:55</t>
  </si>
  <si>
    <t>3539813597804982964</t>
  </si>
  <si>
    <t>2026-07-15 07:31:43</t>
  </si>
  <si>
    <t>2026-07-15 07:41:44</t>
  </si>
  <si>
    <t>2026-07-15 09:41:44</t>
  </si>
  <si>
    <t>106.5109555</t>
  </si>
  <si>
    <t>10.6319069</t>
  </si>
  <si>
    <t>Khu công nghiệp Phúc Long, KCN Phúc Long, Quốc lộ 1A, KP9, Mỹ Yên, Tây Ninh, Việt NamKhu công nghiệp Phúc Long</t>
  </si>
  <si>
    <t>3539818364371431759</t>
  </si>
  <si>
    <t>2026-07-15 07:37:39</t>
  </si>
  <si>
    <t>2026-07-15 07:47:40</t>
  </si>
  <si>
    <t>2026-07-15 07:38:26</t>
  </si>
  <si>
    <t>2026-07-15 07:49:25</t>
  </si>
  <si>
    <t>3539818364371431862</t>
  </si>
  <si>
    <t>2026-07-15 07:38:09</t>
  </si>
  <si>
    <t>2026-07-15 07:48:10</t>
  </si>
  <si>
    <t>2026-07-15 08:02:42</t>
  </si>
  <si>
    <t>3539818364371431915</t>
  </si>
  <si>
    <t>2026-07-15 07:38:29</t>
  </si>
  <si>
    <t>2026-07-15 07:48:30</t>
  </si>
  <si>
    <t>2026-07-15 16:48:15</t>
  </si>
  <si>
    <t>2026-07-15 16:57:43</t>
  </si>
  <si>
    <t>2026-07-15 17:31:30</t>
  </si>
  <si>
    <t>3540486933325239342</t>
  </si>
  <si>
    <t>uyên phương</t>
  </si>
  <si>
    <t>2026-07-16 06:52:22</t>
  </si>
  <si>
    <t>2026-07-16 08:23:00</t>
  </si>
  <si>
    <t>2026-07-16 10:23:00</t>
  </si>
  <si>
    <t>106.4922768</t>
  </si>
  <si>
    <t>10.6041638</t>
  </si>
  <si>
    <t>106.6594396</t>
  </si>
  <si>
    <t>10.9804599</t>
  </si>
  <si>
    <t>CÔNG TY TNHH SAN LEN C VIỆT NAM, Đường số 13, KCN Thuận Đạo mở rộng, Long Cang, Tây Ninh, Việt NamCÔNG TY TNHH SAN LEN C VIỆT NAM</t>
  </si>
  <si>
    <t>Công ty TNHH MTV Nhựa Ngọc Thắng, Đường Chùa Hội Khánh, Phường, Thủ Dầu Một, Hồ Chí Minh, Việt NamCông ty TNHH MTV Nhựa Ngọc Thắng</t>
  </si>
  <si>
    <t>3540488675580404104</t>
  </si>
  <si>
    <t>2026-07-16 06:46:53</t>
  </si>
  <si>
    <t>2026-07-16 08:17:00</t>
  </si>
  <si>
    <t>2026-07-16 10:17:00</t>
  </si>
  <si>
    <t>106.5004737</t>
  </si>
  <si>
    <t>10.6023939</t>
  </si>
  <si>
    <t>106.5998907</t>
  </si>
  <si>
    <t>11.1261863</t>
  </si>
  <si>
    <t>Công ty Cổ Phần CNG Việt Nam - Trạm Cấp Khí Trung Tâm KCN Thuận Đạo - Long An, Thang, Long Cang, Tây Ninh, Việt NamCông ty Cổ Phần CNG Việt Nam - Trạm Cấp Khí Trung Tâm KCN Thuận Đạo - Long An</t>
  </si>
  <si>
    <t>Diamond Viet Nam Co.,Ltd, Đường N6, Bến Cát, Hồ Chí Minh, Việt NamDiamond Viet Nam Co.,Ltd</t>
  </si>
  <si>
    <t>3540491486544229380</t>
  </si>
  <si>
    <t>2026-07-16 06:45:26</t>
  </si>
  <si>
    <t>2026-07-16 09:16:00</t>
  </si>
  <si>
    <t>2026-07-16 13:15:59</t>
  </si>
  <si>
    <t>2026-07-16 13:27:57</t>
  </si>
  <si>
    <t>106.547103</t>
  </si>
  <si>
    <t>11.1133992</t>
  </si>
  <si>
    <t>Công ty TNHH Chinh Long Bến Cát, Tây Nam, Hồ Chí Minh, Việt NamCông ty TNHH Chinh Long Bến Cát</t>
  </si>
  <si>
    <t>3540491486561001839</t>
  </si>
  <si>
    <t>2026-07-16 06:49:28</t>
  </si>
  <si>
    <t>2026-07-16 09:20:00</t>
  </si>
  <si>
    <t>2026-07-16 08:18:10</t>
  </si>
  <si>
    <t>2026-07-16 08:21:54</t>
  </si>
  <si>
    <t>106.4951467</t>
  </si>
  <si>
    <t>10.6033893</t>
  </si>
  <si>
    <t>106.7818405</t>
  </si>
  <si>
    <t>11.0982515</t>
  </si>
  <si>
    <t>CÔNG TY TNHH MTV PARAMOUNT BRIGHT HOLDING LIMITED (PARK BRIGHT HOLDING LIMITED), Long Cang, Long An Province Việt NamCÔNG TY TNHH MTV PARAMOUNT BRIGHT HOLDING LIMITED (PARK BRIGHT HOLDING LIMITED)</t>
  </si>
  <si>
    <t>Công ty TNHH XinHui, Tân Uyên, Hồ Chí Minh, Việt NamCông ty TNHH XinHui</t>
  </si>
  <si>
    <t>3540491486561002141</t>
  </si>
  <si>
    <t>2026-07-16 06:52:58</t>
  </si>
  <si>
    <t>3540491486561002365</t>
  </si>
  <si>
    <t>2026-07-16 06:55:35</t>
  </si>
  <si>
    <t>2026-07-16 09:26:00</t>
  </si>
  <si>
    <t>2026-07-16 10:55:21</t>
  </si>
  <si>
    <t>106.4946141</t>
  </si>
  <si>
    <t>10.6118874</t>
  </si>
  <si>
    <t>106.7238529</t>
  </si>
  <si>
    <t>10.965328</t>
  </si>
  <si>
    <t>Chi nhánh Long An - Công ty TNHH Nutreco International Việt Nam (Nutreco Long An), H, Đường Số 1, Long Cang, Tây Ninh, Việt NamChi nhánh Long An - Công ty TNHH Nutreco International Việt Nam (Nutreco Long An)</t>
  </si>
  <si>
    <t>Công Ty Bách Thuận 佰順噴漆廠, Unnamed, Road, Thuận Giao, Hồ Chí Minh, Việt NamCông Ty Bách Thuận 佰順噴漆廠</t>
  </si>
  <si>
    <t>3540503167873806443</t>
  </si>
  <si>
    <t>2026-07-16 06:46:23</t>
  </si>
  <si>
    <t>2026-07-16 09:17:00</t>
  </si>
  <si>
    <t>2026-07-16 09:33:23</t>
  </si>
  <si>
    <t>2026-07-16 10:42:26</t>
  </si>
  <si>
    <t>3540503167873806934</t>
  </si>
  <si>
    <t>2026-07-16 06:51:39</t>
  </si>
  <si>
    <t>2026-07-16 08:22:00</t>
  </si>
  <si>
    <t>2026-07-16 10:22:00</t>
  </si>
  <si>
    <t>3540503167890579515</t>
  </si>
  <si>
    <t>2026-07-16 06:57:12</t>
  </si>
  <si>
    <t>2026-07-16 08:28:00</t>
  </si>
  <si>
    <t>2026-07-16 10:28:00</t>
  </si>
  <si>
    <t>106.4950919</t>
  </si>
  <si>
    <t>10.6128057</t>
  </si>
  <si>
    <t>106.7464376</t>
  </si>
  <si>
    <t>10.8958555</t>
  </si>
  <si>
    <t>CÔNG TY TNHH ĐẠI THẾ GIỚI LONG AN, Long Cang, Tây Ninh, Việt NamCÔNG TY TNHH ĐẠI THẾ GIỚI LONG AN</t>
  </si>
  <si>
    <t>Công Ty TNHH Eins Vina Co., Ltd, Thống Nhất, Quận, Dĩ An, Hồ Chí Minh, Việt NamCông Ty TNHH Eins Vina Co., Ltd</t>
  </si>
  <si>
    <t>3540503167890579830</t>
  </si>
  <si>
    <t>2026-07-16 07:00:22</t>
  </si>
  <si>
    <t>2026-07-16 08:31:00</t>
  </si>
  <si>
    <t>2026-07-16 10:31:01</t>
  </si>
  <si>
    <t>106.4914421</t>
  </si>
  <si>
    <t>10.6249528</t>
  </si>
  <si>
    <t>106.88914826986695</t>
  </si>
  <si>
    <t>10.937880561196147</t>
  </si>
  <si>
    <t>Cty giày chingluh việt nam, Nguyễn Trung Trực, Bến Lức, Tây Ninh, Việt NamCty giày chingluh việt nam</t>
  </si>
  <si>
    <t>118/4 Khu Công Nghiệp Amata, Long Bình, Đồng Nai 70000, Việt Nam118/4 Khu Công Nghiệp Amata, Long Bình, Đồng Nai 70000, Việt Nam</t>
  </si>
  <si>
    <t>3540507203993826203</t>
  </si>
  <si>
    <t>2026-07-16 06:49:09</t>
  </si>
  <si>
    <t>2026-07-16 09:19:00</t>
  </si>
  <si>
    <t>2026-07-16 10:16:13</t>
  </si>
  <si>
    <t>2026-07-16 10:26:47</t>
  </si>
  <si>
    <t>3540507204010598532</t>
  </si>
  <si>
    <t>2026-07-16 06:51:17</t>
  </si>
  <si>
    <t>2026-07-16 09:22:00</t>
  </si>
  <si>
    <t>2026-07-16 11:22:00</t>
  </si>
  <si>
    <t>3540507204010599166</t>
  </si>
  <si>
    <t>2026-07-16 06:58:06</t>
  </si>
  <si>
    <t>2026-07-16 09:28:00</t>
  </si>
  <si>
    <t>2026-07-16 10:52:41</t>
  </si>
  <si>
    <t>2026-07-16 11:17:56</t>
  </si>
  <si>
    <t>106.7585602</t>
  </si>
  <si>
    <t>10.9003816</t>
  </si>
  <si>
    <t>Công ty May Esprinta VN - KCN SÓNG THẦN 2, Đường số 12 2, Khu Công Nghiệp Sóng Thần, Dĩ An, Hồ Chí Minh, Việt NamCông ty May Esprinta VN - KCN SÓNG THẦN 2</t>
  </si>
  <si>
    <t>3540510486254809563</t>
  </si>
  <si>
    <t>2026-07-16 07:07:34</t>
  </si>
  <si>
    <t>2026-07-16 09:38:00</t>
  </si>
  <si>
    <t>2026-07-16 09:11:59</t>
  </si>
  <si>
    <t>2026-07-16 10:44:30</t>
  </si>
  <si>
    <t>106.4971215</t>
  </si>
  <si>
    <t>10.6226478</t>
  </si>
  <si>
    <t>106.5909085</t>
  </si>
  <si>
    <t>10.8728107</t>
  </si>
  <si>
    <t>CÔNG TY TNHH MTV HÒA THÀNH LONG AN, Đường Phan Văn Mãng, Khu Phố 9, Bến Lức, Tây Ninh, Việt NamCÔNG TY TNHH MTV HÒA THÀNH LONG AN</t>
  </si>
  <si>
    <t>BMFE CORP-Công Ty Cổ Phần BMFE, Xuân Thới 14, Xuân Thới Sơn, Hồ Chí Minh, Việt NamBMFE CORP-Công Ty Cổ Phần BMFE</t>
  </si>
  <si>
    <t>3540516693740843266</t>
  </si>
  <si>
    <t>2026-07-16 06:54:25</t>
  </si>
  <si>
    <t>2026-07-16 08:25:00</t>
  </si>
  <si>
    <t>2026-07-16 10:25:00</t>
  </si>
  <si>
    <t>106.7093672</t>
  </si>
  <si>
    <t>10.9399942</t>
  </si>
  <si>
    <t>Công Ty Cổ Phần Chế Biến Gỗ Thuận An, Đại lộ Bình Dương, Thuận Giao, Hồ Chí Minh, Việt NamCông Ty Cổ Phần Chế Biến Gỗ Thuận An</t>
  </si>
  <si>
    <t>3540516693740843332</t>
  </si>
  <si>
    <t>2026-07-16 06:55:17</t>
  </si>
  <si>
    <t>2026-07-16 11:47:41</t>
  </si>
  <si>
    <t>3540516693766004861</t>
  </si>
  <si>
    <t>2026-07-16 07:03:52</t>
  </si>
  <si>
    <t>2026-07-16 09:01:00</t>
  </si>
  <si>
    <t>2026-07-16 11:01:01</t>
  </si>
  <si>
    <t>106.493598</t>
  </si>
  <si>
    <t>10.631643</t>
  </si>
  <si>
    <t>106.9219537</t>
  </si>
  <si>
    <t>10.8153073</t>
  </si>
  <si>
    <t>Công Ty Liên Doanh Phát Triển Đầu Tư KCN Thuận Đạo, Bến Lức, Tây Ninh, Việt NamCông Ty Liên Doanh Phát Triển Đầu Tư KCN Thuận Đạo</t>
  </si>
  <si>
    <t>Công Ty TNHH SX - TM Thiên Long Long Thành, Đường số 7, An Phước, Đồng Nai, Việt NamCông Ty TNHH SX - TM Thiên Long Long Thành</t>
  </si>
  <si>
    <t>3540517716857409541</t>
  </si>
  <si>
    <t>2026-07-16 06:54:43</t>
  </si>
  <si>
    <t>2026-07-17 11:29:18</t>
  </si>
  <si>
    <t>3540517716890968294</t>
  </si>
  <si>
    <t>2026-07-16 07:13:38</t>
  </si>
  <si>
    <t>2026-07-16 09:32:00</t>
  </si>
  <si>
    <t>2026-07-16 11:40:49</t>
  </si>
  <si>
    <t>2026-07-16 11:42:22</t>
  </si>
  <si>
    <t>106.5003853</t>
  </si>
  <si>
    <t>10.632966</t>
  </si>
  <si>
    <t>106.65495466535947</t>
  </si>
  <si>
    <t>10.809603310418508</t>
  </si>
  <si>
    <t>Công Ty Tnhh Sản Xuất Giày Toàn Cầu Elite Việt Nam, Quốc lộ 1A, ấp 3, Bến Lức, Tây Ninh, Việt NamCông Ty Tnhh Sản Xuất Giày Toàn Cầu Elite Việt Nam</t>
  </si>
  <si>
    <t>16a đường 18, Tân Sơn Nhất, Hồ Chí Minh, Việt Nam16a đường 18, Tân Sơn Nhất, Hồ Chí Minh, Việt Nam</t>
  </si>
  <si>
    <t>3540519004634574901</t>
  </si>
  <si>
    <t>2026-07-16 07:06:12</t>
  </si>
  <si>
    <t>2026-07-16 08:36:00</t>
  </si>
  <si>
    <t>2026-07-16 10:36:00</t>
  </si>
  <si>
    <t>106.5919873</t>
  </si>
  <si>
    <t>10.8787181</t>
  </si>
  <si>
    <t>Công ty Cổ Phần Thương mại Hóc Môn (HOTRACO), Bà Triệu, Hóc Môn, Hồ Chí Minh, Việt NamCông ty Cổ Phần Thương mại Hóc Môn (HOTRACO)</t>
  </si>
  <si>
    <t>3540519004634575566</t>
  </si>
  <si>
    <t>2026-07-16 07:11:36</t>
  </si>
  <si>
    <t>2026-07-16 10:40:27</t>
  </si>
  <si>
    <t>3540519004651348148</t>
  </si>
  <si>
    <t>2026-07-16 07:14:55</t>
  </si>
  <si>
    <t>2026-07-16 08:29:00</t>
  </si>
  <si>
    <t>2026-07-16 10:11:35</t>
  </si>
  <si>
    <t>106.4861436</t>
  </si>
  <si>
    <t>10.6206926</t>
  </si>
  <si>
    <t>106.5922566</t>
  </si>
  <si>
    <t>10.7697428</t>
  </si>
  <si>
    <t>Công Ty Cổ Phần Bourbon Bến Lức, Nguyễn Trung Trực, Khu Phố 6, Bến Lức, Tây Ninh, Việt NamCông Ty Cổ Phần Bourbon Bến Lức</t>
  </si>
  <si>
    <t>CÔNG TY TNHH SX HTD BÌNH TÂN, Hương lộ 2, Bình Trị Đông, Hồ Chí Minh, Việt NamCÔNG TY TNHH SX HTD BÌNH TÂN</t>
  </si>
  <si>
    <t>3540519317252821972</t>
  </si>
  <si>
    <t>2026-07-16 07:20:11</t>
  </si>
  <si>
    <t>2026-07-16 09:35:00</t>
  </si>
  <si>
    <t>2026-07-16 11:27:32</t>
  </si>
  <si>
    <t>106.7533776</t>
  </si>
  <si>
    <t>10.8495118</t>
  </si>
  <si>
    <t>CÔNG TY TNHH TM-DV THỦ ĐỨC, Dương Văn Cam, P, Linh Xuân, Hồ Chí Minh, Việt NamCÔNG TY TNHH TM-DV THỦ ĐỨC</t>
  </si>
  <si>
    <t>3540522106565653357</t>
  </si>
  <si>
    <t>2026-07-16 07:15:42</t>
  </si>
  <si>
    <t>2026-07-16 08:34:00</t>
  </si>
  <si>
    <t>2026-07-16 10:50:57</t>
  </si>
  <si>
    <t>2026-07-16 10:56:11</t>
  </si>
  <si>
    <t>106.590205</t>
  </si>
  <si>
    <t>10.8092331</t>
  </si>
  <si>
    <t>Cty TNHH AN BÌNH VN, Đường 12A, Bình Tân, Hồ Chí Minh, Việt NamCty TNHH AN BÌNH VN</t>
  </si>
  <si>
    <t>3540522106582426419</t>
  </si>
  <si>
    <t>2026-07-16 07:22:35</t>
  </si>
  <si>
    <t>2026-07-16 08:33:00</t>
  </si>
  <si>
    <t>2026-07-16 10:33:00</t>
  </si>
  <si>
    <t>106.73360671543152</t>
  </si>
  <si>
    <t>10.794185941590401</t>
  </si>
  <si>
    <t>57 Đ. Số 8, Khu Phố 4, An Khánh, Hồ Chí Minh, Việt Nam57 Đ. Số 8, Khu Phố 4, An Khánh, Hồ Chí Minh, Việt Nam</t>
  </si>
  <si>
    <t>3540522106582426555</t>
  </si>
  <si>
    <t>2026-07-16 07:23:26</t>
  </si>
  <si>
    <t>2026-07-16 08:54:00</t>
  </si>
  <si>
    <t>2026-07-16 10:54:00</t>
  </si>
  <si>
    <t>106.70465963096616</t>
  </si>
  <si>
    <t>10.813563991617887</t>
  </si>
  <si>
    <t>79/H53 Đ. Nguyễn Xí, Bình Thạnh, Hồ Chí Minh, Việt Nam79/H53 Đ. Nguyễn Xí, Bình Thạnh, Hồ Chí Minh, Việt Nam</t>
  </si>
  <si>
    <t>3540524844011713124</t>
  </si>
  <si>
    <t>2026-07-16 07:17:42</t>
  </si>
  <si>
    <t>2026-07-16 08:48:00</t>
  </si>
  <si>
    <t>2026-07-16 10:48:00</t>
  </si>
  <si>
    <t>106.9405288</t>
  </si>
  <si>
    <t>10.7198991</t>
  </si>
  <si>
    <t>Công ty TNHH Palm Paper, Đường C-15, KCN Nhơn Trạch, Nhơn Trạch, Đồng Nai, Việt NamCông ty TNHH Palm Paper</t>
  </si>
  <si>
    <t>3540529294822564445</t>
  </si>
  <si>
    <t>2026-07-16 07:16:01</t>
  </si>
  <si>
    <t>2026-07-16 09:30:00</t>
  </si>
  <si>
    <t>2026-07-16 12:03:53</t>
  </si>
  <si>
    <t>2026-07-16 12:12:34</t>
  </si>
  <si>
    <t>3540529294847725720</t>
  </si>
  <si>
    <t>2026-07-16 07:20:33</t>
  </si>
  <si>
    <t>2026-07-16 08:51:00</t>
  </si>
  <si>
    <t>2026-07-16 09:37:43</t>
  </si>
  <si>
    <t>2026-07-16 09:46:52</t>
  </si>
  <si>
    <t>106.75296990422972</t>
  </si>
  <si>
    <t>10.85112396547801</t>
  </si>
  <si>
    <t>23/7 Đặng Thị Rành, Linh Xuân, Hồ Chí Minh, Việt Nam23/7 Đặng Thị Rành, Linh Xuân, Hồ Chí Minh, Việt Nam</t>
  </si>
  <si>
    <t>3540533194099225113</t>
  </si>
  <si>
    <t>2026-07-16 07:21:59</t>
  </si>
  <si>
    <t>2026-07-16 10:28:38</t>
  </si>
  <si>
    <t>2026-07-16 10:38:00</t>
  </si>
  <si>
    <t>2026-07-16 11:36:33</t>
  </si>
  <si>
    <t>106.7856918452606</t>
  </si>
  <si>
    <t>10.848735209866073</t>
  </si>
  <si>
    <t>99 Man Thiện, Tăng Nhơn Phú, Hồ Chí Minh, Việt Nam99 Man Thiện, Tăng Nhơn Phú, Hồ Chí Minh, Việt Nam</t>
  </si>
  <si>
    <t>3540533194115998215</t>
  </si>
  <si>
    <t>2026-07-16 07:28:06</t>
  </si>
  <si>
    <t>2026-07-16 07:38:06</t>
  </si>
  <si>
    <t>2026-07-16 09:38:06</t>
  </si>
  <si>
    <t>106.5108578</t>
  </si>
  <si>
    <t>10.6229679</t>
  </si>
  <si>
    <t>106.7724256</t>
  </si>
  <si>
    <t>10.9983167</t>
  </si>
  <si>
    <t>Công ty TNHH EUROPEAN SNACK FOOD (VIỆT NAM), Đường Số 6, KCN, Mỹ Yên, Tây Ninh, Việt NamCông ty TNHH EUROPEAN SNACK FOOD (VIỆT NAM)</t>
  </si>
  <si>
    <t>A New Day Glamping Tân Uyên, Đường Thạnh Phước 26, Phường, Tân Khánh, Hồ Chí Minh, Việt NamA New Day Glamping Tân Uyên</t>
  </si>
  <si>
    <t>3540533194115998596</t>
  </si>
  <si>
    <t>2026-07-16 07:30:30</t>
  </si>
  <si>
    <t>2026-07-16 07:40:30</t>
  </si>
  <si>
    <t>2026-07-16 09:40:30</t>
  </si>
  <si>
    <t>106.5144144</t>
  </si>
  <si>
    <t>10.6231774</t>
  </si>
  <si>
    <t>CÔNG TY TNHH SẢN XUẤT NGŨ KIM HUNG HING HONG KONG (VIỆT NAM), Mỹ Yên, Tây Ninh, Việt NamCÔNG TY TNHH SẢN XUẤT NGŨ KIM HUNG HING HONG KONG (VIỆT NAM)</t>
  </si>
  <si>
    <t>3540533661403410555</t>
  </si>
  <si>
    <t>2026-07-16 07:26:37</t>
  </si>
  <si>
    <t>2026-07-16 07:36:37</t>
  </si>
  <si>
    <t>2026-07-16 09:36:37</t>
  </si>
  <si>
    <t>3540533661420184433</t>
  </si>
  <si>
    <t>2026-07-16 07:36:52</t>
  </si>
  <si>
    <t>2026-07-16 07:46:52</t>
  </si>
  <si>
    <t>106.5141744</t>
  </si>
  <si>
    <t>10.6325718</t>
  </si>
  <si>
    <t>106.61220669895019</t>
  </si>
  <si>
    <t>10.72219655850343</t>
  </si>
  <si>
    <t>Công ty TNHH Bao Bì Xuất Khẩu và Thương Mại Vạn Thành, Quốc lộ 1A, Mỹ Yên, Tây Ninh, Việt NamCông ty TNHH Bao Bì Xuất Khẩu và Thương Mại Vạn Thành</t>
  </si>
  <si>
    <t>61a Võ Văn Kiệt, An Lạc, Hồ Chí Minh, Việt Nam61a Võ Văn Kiệt, An Lạc, Hồ Chí Minh, Việt Nam</t>
  </si>
  <si>
    <t>3540534477774344752</t>
  </si>
  <si>
    <t>2026-07-16 07:23:46</t>
  </si>
  <si>
    <t>2026-07-16 08:43:00</t>
  </si>
  <si>
    <t>2026-07-16 10:43:00</t>
  </si>
  <si>
    <t>106.70173758728026</t>
  </si>
  <si>
    <t>10.815584042765186</t>
  </si>
  <si>
    <t>2a Phan Chu Trinh, Bình Thạnh, Hồ Chí Minh, Việt Nam2a Phan Chu Trinh, Bình Thạnh, Hồ Chí Minh, Việt Nam</t>
  </si>
  <si>
    <t>3540534611924967715</t>
  </si>
  <si>
    <t>2026-07-16 07:28:54</t>
  </si>
  <si>
    <t>2026-07-16 07:38:53</t>
  </si>
  <si>
    <t>2026-07-16 09:38:53</t>
  </si>
  <si>
    <t>3540534611941740715</t>
  </si>
  <si>
    <t>2026-07-16 07:34:37</t>
  </si>
  <si>
    <t>2026-07-16 07:44:36</t>
  </si>
  <si>
    <t>2026-07-16 09:45:57</t>
  </si>
  <si>
    <t>106.78776942065429</t>
  </si>
  <si>
    <t>10.845670704651766</t>
  </si>
  <si>
    <t>343 Đ. Lê Văn Việt, Tăng Nhơn Phú, Hồ Chí Minh, Việt Nam343 Đ. Lê Văn Việt, Tăng Nhơn Phú, Hồ Chí Minh, Việt Nam</t>
  </si>
  <si>
    <t>3540538198096835575</t>
  </si>
  <si>
    <t>2026-07-16 07:33:19</t>
  </si>
  <si>
    <t>2026-07-16 07:43:19</t>
  </si>
  <si>
    <t>2026-07-16 08:37:31</t>
  </si>
  <si>
    <t>2026-07-16 08:41:00</t>
  </si>
  <si>
    <t>106.8857365</t>
  </si>
  <si>
    <t>10.937396</t>
  </si>
  <si>
    <t>CÔNG TY TNHH BÌNH TIÊN BIÊN HÒA, Khu Công Nghiệp Amata, Long Bình, Đồng Nai, Việt NamCÔNG TY TNHH BÌNH TIÊN BIÊN HÒA</t>
  </si>
  <si>
    <t>3540538280229687965</t>
  </si>
  <si>
    <t>2026-07-16 07:31:30</t>
  </si>
  <si>
    <t>2026-07-16 07:41:30</t>
  </si>
  <si>
    <t>2026-07-16 09:41:30</t>
  </si>
  <si>
    <t>106.7550816</t>
  </si>
  <si>
    <t>10.9058533</t>
  </si>
  <si>
    <t>Công ty bất động sản Phú Thượng-TP Dĩ An-Bình Dương, Khu Phố Thống Nhất 1, Dĩ An, Hồ Chí Minh, Việt NamCông ty bất động sản Phú Thượng-TP Dĩ An-Bình Dương</t>
  </si>
  <si>
    <t>3540538280254861380</t>
  </si>
  <si>
    <t>2026-07-16 07:33:41</t>
  </si>
  <si>
    <t>2026-07-16 07:43:41</t>
  </si>
  <si>
    <t>2026-07-16 09:43:41</t>
  </si>
  <si>
    <t>106.8639492</t>
  </si>
  <si>
    <t>10.9729363</t>
  </si>
  <si>
    <t>Công ty TNHH XD TM DV Biên Hòa, Trảng Dài, Đồng Nai, Việt NamCông ty TNHH XD TM DV Biên Hòa</t>
  </si>
  <si>
    <t>3540538280254861745</t>
  </si>
  <si>
    <t>2026-07-16 07:35:49</t>
  </si>
  <si>
    <t>2026-07-16 07:45:49</t>
  </si>
  <si>
    <t>2026-07-16 09:45:49</t>
  </si>
  <si>
    <t>3540539682452623835</t>
  </si>
  <si>
    <t>2026-07-16 07:43:35</t>
  </si>
  <si>
    <t>2026-07-16 07:53:35</t>
  </si>
  <si>
    <t>2026-07-16 09:53:35</t>
  </si>
  <si>
    <t>106.5083845</t>
  </si>
  <si>
    <t>10.6428394</t>
  </si>
  <si>
    <t>106.6259675</t>
  </si>
  <si>
    <t>11.0694349</t>
  </si>
  <si>
    <t>CÔNG TY TNHH BIBICA MIỀN TÂY, 9 VL3, KCN Vĩnh Lộc 2, Mỹ Yên, Tây Ninh, Việt NamCÔNG TY TNHH BIBICA MIỀN TÂY</t>
  </si>
  <si>
    <t>Công ty Bến Cát Event, Hòa Lợi, Hồ Chí Minh, Việt NamCông ty Bến Cát Event</t>
  </si>
  <si>
    <t>3540540834367890045</t>
  </si>
  <si>
    <t>2026-07-16 07:35:32</t>
  </si>
  <si>
    <t>2026-07-16 07:45:32</t>
  </si>
  <si>
    <t>2026-07-16 09:45:32</t>
  </si>
  <si>
    <t>3540540834367890189</t>
  </si>
  <si>
    <t>2026-07-16 07:36:29</t>
  </si>
  <si>
    <t>2026-07-16 07:46:29</t>
  </si>
  <si>
    <t>2026-07-16 09:46:29</t>
  </si>
  <si>
    <t>106.64439377462155</t>
  </si>
  <si>
    <t>10.799100694156765</t>
  </si>
  <si>
    <t>2n Bình Giã, Tân Bình, Hồ Chí Minh, Việt Nam2n Bình Giã, Tân Bình, Hồ Chí Minh, Việt Nam</t>
  </si>
  <si>
    <t>3540540834409837351</t>
  </si>
  <si>
    <t>2026-07-16 07:46:55</t>
  </si>
  <si>
    <t>2026-07-16 07:56:55</t>
  </si>
  <si>
    <t>2026-07-16 10:29:19</t>
  </si>
  <si>
    <t>2026-07-16 10:37:23</t>
  </si>
  <si>
    <t>106.5171232</t>
  </si>
  <si>
    <t>10.6425146</t>
  </si>
  <si>
    <t>106.8272646</t>
  </si>
  <si>
    <t>11.0918947</t>
  </si>
  <si>
    <t>CÔNG TY CỔ PHẦN TẬP ĐOÀN KIM ĐỨC, Đường VL1, KCN Vĩnh, Mỹ Yên, Tây Ninh, Việt NamCÔNG TY CỔ PHẦN TẬP ĐOÀN KIM ĐỨC</t>
  </si>
  <si>
    <t>Công ty CP khoáng sản XD Tân Uyên Fico, Bắc Tân Uyên, Hồ Chí Minh, Việt NamCông ty CP khoáng sản XD Tân Uyên Fico</t>
  </si>
  <si>
    <t>3540543764902924318</t>
  </si>
  <si>
    <t>2026-07-16 07:47:47</t>
  </si>
  <si>
    <t>2026-07-16 07:57:47</t>
  </si>
  <si>
    <t>2026-07-16 09:57:47</t>
  </si>
  <si>
    <t>106.5162847</t>
  </si>
  <si>
    <t>10.6451341</t>
  </si>
  <si>
    <t>106.6985062</t>
  </si>
  <si>
    <t>10.9031763</t>
  </si>
  <si>
    <t>CÔNG TY CỔ PHẦN TKMB, Đường VL1, KCN Vĩnh Lộc 2, Mỹ Yên, Tây Ninh, Việt NamCÔNG TY CỔ PHẦN TKMB</t>
  </si>
  <si>
    <t>Công Ty Cổ Phần Thương Mại Tổng Hợp Thuận An, Châu Văn Tiếp, Lái Thiêu, Hồ Chí Minh, Việt NamCông Ty Cổ Phần Thương Mại Tổng Hợp Thuận An</t>
  </si>
  <si>
    <t>3540543764902925117</t>
  </si>
  <si>
    <t>2026-07-16 07:51:32</t>
  </si>
  <si>
    <t>2026-07-16 08:01:32</t>
  </si>
  <si>
    <t>2026-07-16 10:01:32</t>
  </si>
  <si>
    <t>106.5121615</t>
  </si>
  <si>
    <t>10.6382124</t>
  </si>
  <si>
    <t>106.8729589</t>
  </si>
  <si>
    <t>10.9505035</t>
  </si>
  <si>
    <t>Phi Long Food Manufactory Co.,LTD, Đường VL2, KCN, Mỹ Yên, Tây Ninh, Việt NamPhi Long Food Manufactory Co.,LTD</t>
  </si>
  <si>
    <t>Công ty Cổ phần Đô thị Amata Biên Hoà (Amata), Amata, Long Bình, Đồng Nai, Việt NamCông ty Cổ phần Đô thị Amata Biên Hoà (Amata)</t>
  </si>
  <si>
    <t>3540543764902925157</t>
  </si>
  <si>
    <t>2026-07-16 07:51:45</t>
  </si>
  <si>
    <t>2026-07-16 08:01:45</t>
  </si>
  <si>
    <t>2026-07-16 10:01:45</t>
  </si>
  <si>
    <t>3540544193141370938</t>
  </si>
  <si>
    <t>2026-07-16 07:43:21</t>
  </si>
  <si>
    <t>2026-07-16 07:53:21</t>
  </si>
  <si>
    <t>2026-07-16 09:53:21</t>
  </si>
  <si>
    <t>3540544193141371219</t>
  </si>
  <si>
    <t>2026-07-16 07:44:49</t>
  </si>
  <si>
    <t>2026-07-16 07:54:48</t>
  </si>
  <si>
    <t>2026-07-16 09:54:48</t>
  </si>
  <si>
    <t>106.5161509</t>
  </si>
  <si>
    <t>10.6456886</t>
  </si>
  <si>
    <t>106.6189835</t>
  </si>
  <si>
    <t>11.3503227</t>
  </si>
  <si>
    <t>Công ty Cổ Phần In DICA, Đường VL1, KCN Vĩnh Lộc 2, Mỹ Yên, Tây Ninh, Việt NamCông ty Cổ Phần In DICA</t>
  </si>
  <si>
    <t>Công Ty Cổ Phần Nước Thủ Dầu Một(Nhà Máy Nước Thô Bàu Bàng), Trừ Văn Thố, Hồ Chí Minh, Việt NamCông Ty Cổ Phần Nước Thủ Dầu Một(Nhà Máy Nước Thô Bàu Bàng)</t>
  </si>
  <si>
    <t>3540544673850553029</t>
  </si>
  <si>
    <t>2026-07-16 07:47:59</t>
  </si>
  <si>
    <t>2026-07-16 07:57:59</t>
  </si>
  <si>
    <t>2026-07-16 09:57:59</t>
  </si>
  <si>
    <t>3540544673867325629</t>
  </si>
  <si>
    <t>2026-07-16 07:49:54</t>
  </si>
  <si>
    <t>2026-07-16 07:59:53</t>
  </si>
  <si>
    <t>2026-07-16 09:59:53</t>
  </si>
  <si>
    <t>106.5039447</t>
  </si>
  <si>
    <t>10.6433253</t>
  </si>
  <si>
    <t>106.75408381824647</t>
  </si>
  <si>
    <t>10.904557483968697</t>
  </si>
  <si>
    <t>Công Ty Cổ Phần Nosafood - Nhà máy Bến Lức, Đường VL7, KCN Vĩnh Lộc 2 X, Mỹ Yên, Tây Ninh, Việt NamCông Ty Cổ Phần Nosafood - Nhà máy Bến Lức</t>
  </si>
  <si>
    <t>25 Đường số 8 TĐC, Dĩ An, Hồ Chí Minh, Việt Nam25 Đường số 8 TĐC, Dĩ An, Hồ Chí Minh, Việt Nam</t>
  </si>
  <si>
    <t>3540544673867326333</t>
  </si>
  <si>
    <t>2026-07-16 07:53:14</t>
  </si>
  <si>
    <t>2026-07-16 08:03:13</t>
  </si>
  <si>
    <t>2026-07-16 10:03:13</t>
  </si>
  <si>
    <t>106.5093823</t>
  </si>
  <si>
    <t>10.6419116</t>
  </si>
  <si>
    <t>106.9833759</t>
  </si>
  <si>
    <t>10.7944043</t>
  </si>
  <si>
    <t>Công ty TNHH Công Nghiệp Lixeton, nhà xưởng 2, Đường VL3, Khu Công nghiệp, Mỹ Yên, Tây Ninh, Việt NamCông ty TNHH Công Nghiệp Lixeton</t>
  </si>
  <si>
    <t>Cong Ty Changshin Long Thanh, Long Thành, Đồng Nai, Việt NamCong Ty Changshin Long Thanh</t>
  </si>
  <si>
    <t>3540544955909103698</t>
  </si>
  <si>
    <t>2026-07-16 07:45:01</t>
  </si>
  <si>
    <t>2026-07-16 07:55:01</t>
  </si>
  <si>
    <t>2026-07-16 08:31:11</t>
  </si>
  <si>
    <t>2026-07-16 08:36:32</t>
  </si>
  <si>
    <t>3540546260119540274</t>
  </si>
  <si>
    <t>2026-07-16 07:44:13</t>
  </si>
  <si>
    <t>2026-07-16 07:54:12</t>
  </si>
  <si>
    <t>2026-07-16 09:54:12</t>
  </si>
  <si>
    <t>106.6320003</t>
  </si>
  <si>
    <t>11.1229655</t>
  </si>
  <si>
    <t>Công Ty TNHH Yakult Việt Nam Tại Bình Dương - Cửa Hàng Bến Cát, Khu phố 6, Chánh Phú Hòa, Thới Hòa, Hồ Chí Minh, Việt NamCông Ty TNHH Yakult Việt Nam Tại Bình Dương - Cửa Hàng Bến Cát</t>
  </si>
  <si>
    <t>3540546260119540713</t>
  </si>
  <si>
    <t>2026-07-16 07:46:30</t>
  </si>
  <si>
    <t>2026-07-16 07:56:29</t>
  </si>
  <si>
    <t>2026-07-16 09:56:29</t>
  </si>
  <si>
    <t>3540547721792545049</t>
  </si>
  <si>
    <t>2026-07-16 07:52:48</t>
  </si>
  <si>
    <t>2026-07-16 08:02:47</t>
  </si>
  <si>
    <t>2026-07-16 10:02:47</t>
  </si>
  <si>
    <t>3540547721809318425</t>
  </si>
  <si>
    <t>2026-07-16 07:56:08</t>
  </si>
  <si>
    <t>2026-07-16 08:06:07</t>
  </si>
  <si>
    <t>2026-07-16 10:06:07</t>
  </si>
  <si>
    <t>106.5171391</t>
  </si>
  <si>
    <t>10.6461325</t>
  </si>
  <si>
    <t>106.71646801271973</t>
  </si>
  <si>
    <t>10.83851150248838</t>
  </si>
  <si>
    <t>DM TEXTILES COMPANY LTD., VL7 Street Commune, Vinh Loc 2 Industrial Zone, Voi La Hamlet, Mỹ Yên, Tây Ninh, Việt NamDM TEXTILES COMPANY LTD.</t>
  </si>
  <si>
    <t>486 QL13, Hiệp Bình, Hồ Chí Minh, Việt Nam486 QL13, Hiệp Bình, Hồ Chí Minh, Việt Nam</t>
  </si>
  <si>
    <t>3540547721809318541</t>
  </si>
  <si>
    <t>2026-07-16 07:56:36</t>
  </si>
  <si>
    <t>2026-07-16 08:06:36</t>
  </si>
  <si>
    <t>2026-07-16 08:51:01</t>
  </si>
  <si>
    <t>2026-07-16 09:29:16</t>
  </si>
  <si>
    <t>106.5930994</t>
  </si>
  <si>
    <t>10.886455</t>
  </si>
  <si>
    <t>1B 32, Tổ 8, Hóc Môn, Hồ Chí Minh, Việt Nam1B 32, Tổ 8, Hóc Môn, Hồ Chí Minh, Việt Nam</t>
  </si>
  <si>
    <t>3540547721809318952</t>
  </si>
  <si>
    <t>2026-07-16 07:58:15</t>
  </si>
  <si>
    <t>2026-07-16 08:08:14</t>
  </si>
  <si>
    <t>2026-07-16 10:08:14</t>
  </si>
  <si>
    <t>3540547799261336405</t>
  </si>
  <si>
    <t>2026-07-16 07:48:12</t>
  </si>
  <si>
    <t>2026-07-16 07:58:12</t>
  </si>
  <si>
    <t>2026-07-16 09:58:12</t>
  </si>
  <si>
    <t>3540547799261336434</t>
  </si>
  <si>
    <t>2026-07-16 07:48:23</t>
  </si>
  <si>
    <t>2026-07-16 07:58:23</t>
  </si>
  <si>
    <t>2026-07-16 09:00:01</t>
  </si>
  <si>
    <t>2026-07-16 09:15:46</t>
  </si>
  <si>
    <t>3540547799303282871</t>
  </si>
  <si>
    <t>2026-07-16 07:54:31</t>
  </si>
  <si>
    <t>2026-07-16 08:04:30</t>
  </si>
  <si>
    <t>2026-07-16 08:12:18</t>
  </si>
  <si>
    <t>2026-07-16 08:15:24</t>
  </si>
  <si>
    <t>3540549839513408191</t>
  </si>
  <si>
    <t>2026-07-16 07:55:53</t>
  </si>
  <si>
    <t>2026-07-16 08:05:53</t>
  </si>
  <si>
    <t>2026-07-16 10:05:53</t>
  </si>
  <si>
    <t>106.7136356</t>
  </si>
  <si>
    <t>10.838933</t>
  </si>
  <si>
    <t>Thủ Đức Garden Homes, Đường Số 3, Hiệp Bình, Hồ Chí Minh, Việt NamThủ Đức Garden Homes</t>
  </si>
  <si>
    <t>3540552180346089693</t>
  </si>
  <si>
    <t>2026-07-16 07:53:28</t>
  </si>
  <si>
    <t>2026-07-16 08:03:28</t>
  </si>
  <si>
    <t>2026-07-16 10:35:30</t>
  </si>
  <si>
    <t>2026-07-16 11:07:51</t>
  </si>
  <si>
    <t>3540552570198249525</t>
  </si>
  <si>
    <t>2026-07-16 07:53:01</t>
  </si>
  <si>
    <t>2026-07-16 08:03:01</t>
  </si>
  <si>
    <t>2026-07-16 10:03:01</t>
  </si>
  <si>
    <t>3540554217477591139</t>
  </si>
  <si>
    <t>2026-07-16 07:56:23</t>
  </si>
  <si>
    <t>2026-07-16 08:06:23</t>
  </si>
  <si>
    <t>2026-07-16 10:06:23</t>
  </si>
  <si>
    <t>106.5932579952454</t>
  </si>
  <si>
    <t>10.886319649702079</t>
  </si>
  <si>
    <t>3540554217485979732</t>
  </si>
  <si>
    <t>2026-07-16 07:57:08</t>
  </si>
  <si>
    <t>2026-07-16 08:07:08</t>
  </si>
  <si>
    <t>2026-07-16 11:24:04</t>
  </si>
  <si>
    <t>2026-07-16 11:33:43</t>
  </si>
  <si>
    <t>106.67919190080259</t>
  </si>
  <si>
    <t>10.845891906586756</t>
  </si>
  <si>
    <t>Phòng 11, Hẻm/3 Tổ 19, Khu Phố 3, An Nhơn, Hồ Chí Minh, Việt NamPhòng 11, Hẻm/3 Tổ 19, Khu Phố 3, An Nhơn, Hồ Chí Minh, Việt Nam</t>
  </si>
  <si>
    <t>3541246354301083966</t>
  </si>
  <si>
    <t>chị hồng nhung</t>
  </si>
  <si>
    <t>2026-07-17 07:16:24</t>
  </si>
  <si>
    <t>2026-07-17 07:26:23</t>
  </si>
  <si>
    <t>2026-07-17 09:05:27</t>
  </si>
  <si>
    <t>2026-07-27 07:27:23</t>
  </si>
  <si>
    <t>106.4949754</t>
  </si>
  <si>
    <t>10.6041049</t>
  </si>
  <si>
    <t>106.6006234</t>
  </si>
  <si>
    <t>11.1300848</t>
  </si>
  <si>
    <t>Cty TNHH MTV Benkan Việt Nam 1, Đạo mỡ rộng, đường số 01, KCN Thuận, Long Cang, Tây Ninh, Việt NamCty TNHH MTV Benkan Việt Nam 1</t>
  </si>
  <si>
    <t>Tans (Vietnam) Co.,Ltd, Đường D1, Khu công nghiệp Mỹ Phước1, Bến Cát, Hồ Chí Minh, Việt NamTans (Vietnam) Co.,Ltd</t>
  </si>
  <si>
    <t>3541248452216447615</t>
  </si>
  <si>
    <t>2026-07-17 07:16:56</t>
  </si>
  <si>
    <t>2026-07-17 08:50:00</t>
  </si>
  <si>
    <t>2026-07-17 10:49:58</t>
  </si>
  <si>
    <t>3541248452233220912</t>
  </si>
  <si>
    <t>2026-07-17 07:21:49</t>
  </si>
  <si>
    <t>2026-07-17 07:31:48</t>
  </si>
  <si>
    <t>2026-07-17 09:31:48</t>
  </si>
  <si>
    <t>106.4951938</t>
  </si>
  <si>
    <t>10.6017891</t>
  </si>
  <si>
    <t>106.7369988</t>
  </si>
  <si>
    <t>10.9322267</t>
  </si>
  <si>
    <t>Công ty TNHH Quick Pack Việt Nam, Đường Số 13, KCN Thuận Đạo mở rộng, Long Cang, Tây Ninh, Việt NamCông ty TNHH Quick Pack Việt Nam</t>
  </si>
  <si>
    <t>Công ty vinata 19 đường số 10. Kcn vsip1. Thuận an. Bình Dương, Đường số 10, An Phú, Hồ Chí Minh, Việt NamCông ty vinata 19 đường số 10. Kcn vsip1. Thuận an. Bình Dương</t>
  </si>
  <si>
    <t>3541251113972093695</t>
  </si>
  <si>
    <t>2026-07-17 07:18:53</t>
  </si>
  <si>
    <t>2026-07-17 08:49:00</t>
  </si>
  <si>
    <t>2026-07-17 10:53:58</t>
  </si>
  <si>
    <t>106.4943096</t>
  </si>
  <si>
    <t>10.6126435</t>
  </si>
  <si>
    <t>106.8300866</t>
  </si>
  <si>
    <t>11.0830711</t>
  </si>
  <si>
    <t>Công Ty TNHH MTV San-Ei VN (有限会社三栄ベトナム）, Long Cang, Tây Ninh, Việt NamCông Ty TNHH MTV San-Ei VN (有限会社三栄ベトナム）</t>
  </si>
  <si>
    <t>3RMJ+62V, ĐH414, Tân Uyên, Hồ Chí Minh, Việt Nam3RMJ+62V, ĐH414, Tân Uyên, Hồ Chí Minh, Việt Nam</t>
  </si>
  <si>
    <t>3541251113988878350</t>
  </si>
  <si>
    <t>2026-07-17 07:20:43</t>
  </si>
  <si>
    <t>2026-07-17 08:30:00</t>
  </si>
  <si>
    <t>2026-07-17 10:13:19</t>
  </si>
  <si>
    <t>106.61958431481932</t>
  </si>
  <si>
    <t>11.350901244602372</t>
  </si>
  <si>
    <t>9J29+4HH, Trừ Văn Thố, Hồ Chí Minh, Việt Nam9J29+4HH, Trừ Văn Thố, Hồ Chí Minh, Việt Nam</t>
  </si>
  <si>
    <t>3541251137879630537</t>
  </si>
  <si>
    <t>2026-07-17 07:18:39</t>
  </si>
  <si>
    <t>2026-07-17 09:49:00</t>
  </si>
  <si>
    <t>2026-07-17 07:19:01</t>
  </si>
  <si>
    <t>2026-07-17 07:22:59</t>
  </si>
  <si>
    <t>106.8293179790985</t>
  </si>
  <si>
    <t>11.083008418360363</t>
  </si>
  <si>
    <t>3541254792661918348</t>
  </si>
  <si>
    <t>2026-07-17 07:22:48</t>
  </si>
  <si>
    <t>2026-07-17 07:32:47</t>
  </si>
  <si>
    <t>2026-07-17 09:40:09</t>
  </si>
  <si>
    <t>106.713602065841</t>
  </si>
  <si>
    <t>10.928878749697</t>
  </si>
  <si>
    <t>Căn Hộ C2 P09.03 Chung Cư The Canery Heights, Thuận Giao, Hồ Chí Minh, VietnamCăn Hộ C2 P09.03 Chung Cư The Canery Heights</t>
  </si>
  <si>
    <t>3541254792678691084</t>
  </si>
  <si>
    <t>2026-07-17 07:26:45</t>
  </si>
  <si>
    <t>2026-07-17 08:57:00</t>
  </si>
  <si>
    <t>2026-07-17 07:55:13</t>
  </si>
  <si>
    <t>2026-07-17 08:36:08</t>
  </si>
  <si>
    <t>106.496357</t>
  </si>
  <si>
    <t>10.6127034</t>
  </si>
  <si>
    <t>106.85176563306582</t>
  </si>
  <si>
    <t>10.91144023782168</t>
  </si>
  <si>
    <t>Công ty TNHH Công Nghệ CRM ( Việt Nam ) - CRM(越南)化工科技有限公司, đường số 14, Long Cang, Tây Ninh, Việt NamCông ty TNHH Công Nghệ CRM ( Việt Nam ) - CRM(越南)化工科技有限公司</t>
  </si>
  <si>
    <t>7 Đường số 1, Khu Công nghiệp Biên, Trấn Biên, Đồng Nai 810000, Việt Nam7 Đường số 1, Khu Công nghiệp Biên, Trấn Biên, Đồng Nai 810000, Việt Nam</t>
  </si>
  <si>
    <t>3541254792678691556</t>
  </si>
  <si>
    <t>2026-07-17 07:29:38</t>
  </si>
  <si>
    <t>2026-07-17 07:39:38</t>
  </si>
  <si>
    <t>2026-07-17 09:39:38</t>
  </si>
  <si>
    <t>106.4998332</t>
  </si>
  <si>
    <t>10.6088996</t>
  </si>
  <si>
    <t>106.8203904</t>
  </si>
  <si>
    <t>10.8058417</t>
  </si>
  <si>
    <t>CÔNG TY TNHH IN ẤN PHỤ LIỆU MAY MẶC SAMSON (VIỆT NAM), Đường số 15, KCN Thuận Đạo mở rộng, Long Cang, Tây Ninh, Việt NamCÔNG TY TNHH IN ẤN PHỤ LIỆU MAY MẶC SAMSON (VIỆT NAM)</t>
  </si>
  <si>
    <t>Công Ty Cổ Phần Du Lịch Và Truyền Thông Thủ Đức, Đường Nguyễn Duy Trinh, Khu phố 3, Long Trường, Hồ Chí Minh, Việt NamCông Ty Cổ Phần Du Lịch Và Truyền Thông Thủ Đức</t>
  </si>
  <si>
    <t>3541259460309901601</t>
  </si>
  <si>
    <t>2026-07-17 07:28:07</t>
  </si>
  <si>
    <t>2026-07-17 08:59:00</t>
  </si>
  <si>
    <t>2026-07-17 10:59:00</t>
  </si>
  <si>
    <t>106.4979375</t>
  </si>
  <si>
    <t>10.6135625</t>
  </si>
  <si>
    <t>106.9852427</t>
  </si>
  <si>
    <t>10.7944359</t>
  </si>
  <si>
    <t>BW Thuan Dao Logistics Park, Long Cang, Tây Ninh, Việt NamBW Thuan Dao Logistics Park</t>
  </si>
  <si>
    <t>QXVP+Q3 Long Thành, Đồng Nai, Việt NamQXVP+Q3 Long Thành, Đồng Nai, Việt Nam</t>
  </si>
  <si>
    <t>3541259460326674911</t>
  </si>
  <si>
    <t>2026-07-17 07:34:10</t>
  </si>
  <si>
    <t>2026-07-17 09:05:00</t>
  </si>
  <si>
    <t>2026-07-17 11:40:16</t>
  </si>
  <si>
    <t>2026-07-17 11:43:38</t>
  </si>
  <si>
    <t>106.4973945</t>
  </si>
  <si>
    <t>10.6090006</t>
  </si>
  <si>
    <t>106.7011807</t>
  </si>
  <si>
    <t>10.8184353</t>
  </si>
  <si>
    <t>CÔNG TY TNHH KUZCO VIỆT NAM, Long Cang, Tây Ninh, Việt NamCÔNG TY TNHH KUZCO VIỆT NAM</t>
  </si>
  <si>
    <t>372/13 Hẻm 372 Nơ Trang Long, Bình Lợi Trung, Hồ Chí Minh, Việt Nam372/13 Hẻm 372 Nơ Trang Long, Bình Lợi Trung, Hồ Chí Minh, Việt Nam</t>
  </si>
  <si>
    <t>3541259788883288078</t>
  </si>
  <si>
    <t>2026-07-17 07:32:53</t>
  </si>
  <si>
    <t>2026-07-17 07:42:52</t>
  </si>
  <si>
    <t>2026-07-17 09:42:52</t>
  </si>
  <si>
    <t>106.73387493633301</t>
  </si>
  <si>
    <t>10.79443887755176</t>
  </si>
  <si>
    <t>QPWM+3M6, 30 Đ. Số 3, Khu Phố 4, An Khánh, Hồ Chí Minh, Việt NamQPWM+3M6, 30 Đ. Số 3, Khu Phố 4, An Khánh, Hồ Chí Minh, Việt Nam</t>
  </si>
  <si>
    <t>3541260143394255631</t>
  </si>
  <si>
    <t>2026-07-17 07:25:59</t>
  </si>
  <si>
    <t>2026-07-17 07:35:58</t>
  </si>
  <si>
    <t>2026-07-17 10:00:24</t>
  </si>
  <si>
    <t>106.8708835</t>
  </si>
  <si>
    <t>10.9513205</t>
  </si>
  <si>
    <t>Công ty Mesa - Biên Hòa, Đường Đồng Khởi, Tam Hiệp, Đồng Nai, Việt NamCông ty Mesa - Biên Hòa</t>
  </si>
  <si>
    <t>3541260143427801223</t>
  </si>
  <si>
    <t>2026-07-17 07:33:34</t>
  </si>
  <si>
    <t>2026-07-17 07:43:34</t>
  </si>
  <si>
    <t>2026-07-17 09:43:34</t>
  </si>
  <si>
    <t>106.70321123809812</t>
  </si>
  <si>
    <t>10.815397654154268</t>
  </si>
  <si>
    <t>RP83+65F, Bình Thạnh, Hồ Chí Minh, Việt NamRP83+65F, Bình Thạnh, Hồ Chí Minh, Việt Nam</t>
  </si>
  <si>
    <t>3541260143427801309</t>
  </si>
  <si>
    <t>2026-07-17 07:33:58</t>
  </si>
  <si>
    <t>2026-07-17 09:04:00</t>
  </si>
  <si>
    <t>2026-07-17 11:04:00</t>
  </si>
  <si>
    <t>106.70122088623049</t>
  </si>
  <si>
    <t>10.818449967265684</t>
  </si>
  <si>
    <t>3541260143427801702</t>
  </si>
  <si>
    <t>2026-07-17 07:36:13</t>
  </si>
  <si>
    <t>2026-07-17 09:07:00</t>
  </si>
  <si>
    <t>2026-07-17 11:07:00</t>
  </si>
  <si>
    <t>106.4945620872803</t>
  </si>
  <si>
    <t>10.609000600000003</t>
  </si>
  <si>
    <t>106.67773742939148</t>
  </si>
  <si>
    <t>10.833136888599151</t>
  </si>
  <si>
    <t>JF5V+JR Long Cang, Long An, Việt NamJF5V+JR Long Cang, Long An, Việt Nam</t>
  </si>
  <si>
    <t>13 Đ. Lê Thị Hồng, Gò Vấp, Hồ Chí Minh, Việt Nam13 Đ. Lê Thị Hồng, Gò Vấp, Hồ Chí Minh, Việt Nam</t>
  </si>
  <si>
    <t>3541261238191485337</t>
  </si>
  <si>
    <t>2026-07-17 07:25:49</t>
  </si>
  <si>
    <t>2026-07-17 07:35:48</t>
  </si>
  <si>
    <t>2026-07-17 09:35:48</t>
  </si>
  <si>
    <t>3541261238191485458</t>
  </si>
  <si>
    <t>2026-07-17 07:26:30</t>
  </si>
  <si>
    <t>2026-07-17 11:09:16</t>
  </si>
  <si>
    <t>106.8521626</t>
  </si>
  <si>
    <t>10.9102814</t>
  </si>
  <si>
    <t>Công ty Bibica Biên Hoà, Đường số 1, KCN Biên, Trấn Biên, Đồng Nai, Việt NamCông ty Bibica Biên Hoà</t>
  </si>
  <si>
    <t>3541262948821594376</t>
  </si>
  <si>
    <t>2026-07-17 07:27:53</t>
  </si>
  <si>
    <t>2026-07-17 08:58:00</t>
  </si>
  <si>
    <t>2026-07-17 10:52:13</t>
  </si>
  <si>
    <t>106.98524271747435</t>
  </si>
  <si>
    <t>10.794435916983845</t>
  </si>
  <si>
    <t>3541262948821594962</t>
  </si>
  <si>
    <t>2026-07-17 07:31:09</t>
  </si>
  <si>
    <t>2026-07-17 07:41:09</t>
  </si>
  <si>
    <t>2026-07-17 10:17:06</t>
  </si>
  <si>
    <t>106.4992702</t>
  </si>
  <si>
    <t>10.606825</t>
  </si>
  <si>
    <t>106.78829921191715</t>
  </si>
  <si>
    <t>10.845537499845936</t>
  </si>
  <si>
    <t>Cty Phước Hưng LA ( Phân Bón Đầu Bò ), Long Cang, Tây Ninh, Việt NamCty Phước Hưng LA ( Phân Bón Đầu Bò )</t>
  </si>
  <si>
    <t>3A Đ. Lê Văn Việt, Tăng Nhơn Phú, Hồ Chí Minh, Việt Nam3A Đ. Lê Văn Việt, Tăng Nhơn Phú, Hồ Chí Minh, Việt Nam</t>
  </si>
  <si>
    <t>3541262948863529766</t>
  </si>
  <si>
    <t>2026-07-17 07:41:18</t>
  </si>
  <si>
    <t>2026-07-17 07:51:18</t>
  </si>
  <si>
    <t>2026-07-17 09:51:18</t>
  </si>
  <si>
    <t>3541262948863529829</t>
  </si>
  <si>
    <t>2026-07-17 07:41:38</t>
  </si>
  <si>
    <t>2026-07-17 09:12:00</t>
  </si>
  <si>
    <t>2026-07-17 10:28:04</t>
  </si>
  <si>
    <t>2026-07-17 10:33:34</t>
  </si>
  <si>
    <t>106.73876905794982</t>
  </si>
  <si>
    <t>10.931984414881835</t>
  </si>
  <si>
    <t>WPJQ+QG An Phú, Bình Dương, Việt NamWPJQ+QG An Phú, Bình Dương, Việt Nam</t>
  </si>
  <si>
    <t>3541263015066423606</t>
  </si>
  <si>
    <t>2026-07-17 07:33:44</t>
  </si>
  <si>
    <t>2026-07-17 07:43:43</t>
  </si>
  <si>
    <t>2026-07-17 09:43:43</t>
  </si>
  <si>
    <t>106.7029375</t>
  </si>
  <si>
    <t>10.8155625</t>
  </si>
  <si>
    <t>3541264454367007702</t>
  </si>
  <si>
    <t>2026-07-17 07:39:41</t>
  </si>
  <si>
    <t>2026-07-17 07:49:40</t>
  </si>
  <si>
    <t>2026-07-17 07:43:44</t>
  </si>
  <si>
    <t>2026-07-17 07:47:04</t>
  </si>
  <si>
    <t>3541264454383792371</t>
  </si>
  <si>
    <t>2026-07-17 07:40:56</t>
  </si>
  <si>
    <t>2026-07-17 07:50:56</t>
  </si>
  <si>
    <t>2026-07-17 09:50:56</t>
  </si>
  <si>
    <t>3541265388505624803</t>
  </si>
  <si>
    <t>2026-07-17 07:31:59</t>
  </si>
  <si>
    <t>2026-07-17 07:41:58</t>
  </si>
  <si>
    <t>2026-07-17 10:01:06</t>
  </si>
  <si>
    <t>106.8009646296997</t>
  </si>
  <si>
    <t>10.857061675213279</t>
  </si>
  <si>
    <t>130 Đ. Nam Cao, Tăng Nhơn Phú, Hồ Chí Minh, Việt Nam130 Đ. Nam Cao, Tăng Nhơn Phú, Hồ Chí Minh, Việt Nam</t>
  </si>
  <si>
    <t>3541269029094387751</t>
  </si>
  <si>
    <t>2026-07-17 07:37:34</t>
  </si>
  <si>
    <t>2026-07-17 09:08:00</t>
  </si>
  <si>
    <t>2026-07-17 11:01:21</t>
  </si>
  <si>
    <t>2026-07-17 11:07:06</t>
  </si>
  <si>
    <t>106.6453858113922</t>
  </si>
  <si>
    <t>10.799521871718646</t>
  </si>
  <si>
    <t>2/5/12 B Bình Giã, Tân Bình, Hồ Chí Minh, Việt Nam2/5/12 B Bình Giã, Tân Bình, Hồ Chí Minh, Việt Nam</t>
  </si>
  <si>
    <t>3541269029111161303</t>
  </si>
  <si>
    <t>2026-07-17 07:44:38</t>
  </si>
  <si>
    <t>2026-07-17 09:15:00</t>
  </si>
  <si>
    <t>2026-07-17 12:08:46</t>
  </si>
  <si>
    <t>3541269324927029645</t>
  </si>
  <si>
    <t>2026-07-17 07:39:56</t>
  </si>
  <si>
    <t>2026-07-17 07:49:56</t>
  </si>
  <si>
    <t>2026-07-17 12:09:07</t>
  </si>
  <si>
    <t>3541269324943814902</t>
  </si>
  <si>
    <t>2026-07-17 07:44:17</t>
  </si>
  <si>
    <t>2026-07-17 07:54:16</t>
  </si>
  <si>
    <t>2026-07-17 10:14:19</t>
  </si>
  <si>
    <t>3541269324943815306</t>
  </si>
  <si>
    <t>2026-07-17 07:46:15</t>
  </si>
  <si>
    <t>2026-07-17 09:17:00</t>
  </si>
  <si>
    <t>2026-07-17 07:49:47</t>
  </si>
  <si>
    <t>2026-07-17 08:33:06</t>
  </si>
  <si>
    <t>106.9667823</t>
  </si>
  <si>
    <t>10.7928312</t>
  </si>
  <si>
    <t>QXV8+5P2, ĐT769, Long Thành, Đồng Nai, Việt NamQXV8+5P2, ĐT769, Long Thành, Đồng Nai, Việt Nam</t>
  </si>
  <si>
    <t>3541269546637943632</t>
  </si>
  <si>
    <t>2026-07-17 07:47:18</t>
  </si>
  <si>
    <t>2026-07-17 07:57:17</t>
  </si>
  <si>
    <t>2026-07-17 09:57:17</t>
  </si>
  <si>
    <t>106.5139871</t>
  </si>
  <si>
    <t>10.6277752</t>
  </si>
  <si>
    <t>106.8045347</t>
  </si>
  <si>
    <t>10.7835451</t>
  </si>
  <si>
    <t>CÔNG TY TNHH ISHIKAWA KIKOU VIỆT NAM, Đ. Số 13, KCN Phúc Long, Mỹ Yên, Tây Ninh, Việt NamCÔNG TY TNHH ISHIKAWA KIKOU VIỆT NAM</t>
  </si>
  <si>
    <t>Công Ty Thủ Đức Land, Gò Cát, Long Trường, Hồ Chí Minh, Việt NamCông Ty Thủ Đức Land</t>
  </si>
  <si>
    <t>3541269546654716228</t>
  </si>
  <si>
    <t>2026-07-17 07:59:46</t>
  </si>
  <si>
    <t>2026-07-17 10:00:15</t>
  </si>
  <si>
    <t>3541270327416025629</t>
  </si>
  <si>
    <t>2026-07-17 07:42:33</t>
  </si>
  <si>
    <t>2026-07-17 07:52:33</t>
  </si>
  <si>
    <t>2026-07-17 09:58:52</t>
  </si>
  <si>
    <t>3541271770214658203</t>
  </si>
  <si>
    <t>2026-07-17 07:43:13</t>
  </si>
  <si>
    <t>2026-07-17 09:14:00</t>
  </si>
  <si>
    <t>2026-07-24 09:28:09</t>
  </si>
  <si>
    <t>106.76047097224429</t>
  </si>
  <si>
    <t>10.906338418759038</t>
  </si>
  <si>
    <t>WQ46+H69, Dĩ An, Hồ Chí Minh, Việt NamWQ46+H69, Dĩ An, Hồ Chí Minh, Việt Nam</t>
  </si>
  <si>
    <t>3541271770231432145</t>
  </si>
  <si>
    <t>2026-07-17 07:51:41</t>
  </si>
  <si>
    <t>2026-07-17 08:01:40</t>
  </si>
  <si>
    <t>2026-07-17 10:01:40</t>
  </si>
  <si>
    <t>3541271770248205252</t>
  </si>
  <si>
    <t>2026-07-17 07:55:59</t>
  </si>
  <si>
    <t>2026-07-17 08:05:59</t>
  </si>
  <si>
    <t>2026-07-17 08:25:08</t>
  </si>
  <si>
    <t>2026-07-17 08:28:46</t>
  </si>
  <si>
    <t>106.68045741957397</t>
  </si>
  <si>
    <t>10.816831951923314</t>
  </si>
  <si>
    <t>80 - 90Đ Đ. Nguyễn Thái Sơn, Hạnh Thông, Hồ Chí Minh, Việt Nam80 - 90Đ Đ. Nguyễn Thái Sơn, Hạnh Thông, Hồ Chí Minh, Việt Nam</t>
  </si>
  <si>
    <t>3541271881078497920</t>
  </si>
  <si>
    <t>2026-07-17 07:45:41</t>
  </si>
  <si>
    <t>2026-07-17 09:16:00</t>
  </si>
  <si>
    <t>2026-07-17 09:01:57</t>
  </si>
  <si>
    <t>2026-07-17 09:24:17</t>
  </si>
  <si>
    <t>106.9654191</t>
  </si>
  <si>
    <t>10.7938397</t>
  </si>
  <si>
    <t>Công ty TNNHH TMDV LONG THANH FLY, Ấp Bình Lâm, Long Thành, Đồng Nai, Việt NamCông ty TNNHH TMDV LONG THANH FLY</t>
  </si>
  <si>
    <t>3541271881145610595</t>
  </si>
  <si>
    <t>2026-07-17 07:53:03</t>
  </si>
  <si>
    <t>2026-07-17 08:03:02</t>
  </si>
  <si>
    <t>2026-07-17 13:02:01</t>
  </si>
  <si>
    <t>106.68364739262086</t>
  </si>
  <si>
    <t>11.011151688958382</t>
  </si>
  <si>
    <t>43 Đx 2, Bình Dương, Hồ Chí Minh, Việt Nam43 Đx 2, Bình Dương, Hồ Chí Minh, Việt Nam</t>
  </si>
  <si>
    <t>3541273104036881054</t>
  </si>
  <si>
    <t>2026-07-17 07:47:58</t>
  </si>
  <si>
    <t>2026-07-17 09:18:00</t>
  </si>
  <si>
    <t>2026-07-21 11:47:02</t>
  </si>
  <si>
    <t>106.8081819</t>
  </si>
  <si>
    <t>10.7844249</t>
  </si>
  <si>
    <t>QRM5+Q7C, Long Trường, Hồ Chí Minh, Việt NamQRM5+Q7C, Long Trường, Hồ Chí Minh, Việt Nam</t>
  </si>
  <si>
    <t>3541273104036881326</t>
  </si>
  <si>
    <t>2026-07-17 07:49:12</t>
  </si>
  <si>
    <t>2026-07-17 07:59:12</t>
  </si>
  <si>
    <t>2026-07-17 09:59:12</t>
  </si>
  <si>
    <t>3541273104053653930</t>
  </si>
  <si>
    <t>2026-07-17 07:51:08</t>
  </si>
  <si>
    <t>2026-07-17 08:01:07</t>
  </si>
  <si>
    <t>2026-07-17 12:10:07</t>
  </si>
  <si>
    <t>3541273104078827685</t>
  </si>
  <si>
    <t>2026-07-17 07:55:45</t>
  </si>
  <si>
    <t>2026-07-17 08:05:44</t>
  </si>
  <si>
    <t>2026-07-17 12:10:32</t>
  </si>
  <si>
    <t>106.6808222</t>
  </si>
  <si>
    <t>10.8160732</t>
  </si>
  <si>
    <t>Gò Vấp Highschool, Đường Nguyễn Thái Sơn, Hạnh Thông, Hồ Chí Minh, Việt NamGò Vấp Highschool</t>
  </si>
  <si>
    <t>3541273309775884452</t>
  </si>
  <si>
    <t>2026-07-17 07:45:59</t>
  </si>
  <si>
    <t>2026-07-17 11:43:06</t>
  </si>
  <si>
    <t>106.96702842540894</t>
  </si>
  <si>
    <t>10.792163991948781</t>
  </si>
  <si>
    <t>3541273309775884679</t>
  </si>
  <si>
    <t>2026-07-17 07:47:05</t>
  </si>
  <si>
    <t>2026-07-17 07:57:04</t>
  </si>
  <si>
    <t>2026-07-17 09:57:04</t>
  </si>
  <si>
    <t>3541273309801046721</t>
  </si>
  <si>
    <t>2026-07-17 07:52:46</t>
  </si>
  <si>
    <t>2026-07-17 08:02:46</t>
  </si>
  <si>
    <t>2026-07-17 08:35:06</t>
  </si>
  <si>
    <t>2026-07-17 08:39:26</t>
  </si>
  <si>
    <t>3541273309817819399</t>
  </si>
  <si>
    <t>2026-07-17 07:55:12</t>
  </si>
  <si>
    <t>2026-07-17 08:05:12</t>
  </si>
  <si>
    <t>2026-07-17 09:51:56</t>
  </si>
  <si>
    <t>2026-07-17 09:52:14</t>
  </si>
  <si>
    <t>2026-07-17 10:02:09</t>
  </si>
  <si>
    <t>3541273923100565837</t>
  </si>
  <si>
    <t>2026-07-17 07:52:26</t>
  </si>
  <si>
    <t>2026-07-17 08:02:26</t>
  </si>
  <si>
    <t>2026-07-17 10:02:59</t>
  </si>
  <si>
    <t>3541273923117339657</t>
  </si>
  <si>
    <t>2026-07-17 07:59:14</t>
  </si>
  <si>
    <t>2026-07-17 08:09:13</t>
  </si>
  <si>
    <t>2026-07-17 08:02:53</t>
  </si>
  <si>
    <t>2026-07-17 08:05:53</t>
  </si>
  <si>
    <t>3541277198650659096</t>
  </si>
  <si>
    <t>2026-07-17 07:53:24</t>
  </si>
  <si>
    <t>2026-07-17 08:03:24</t>
  </si>
  <si>
    <t>2026-07-17 10:03:24</t>
  </si>
  <si>
    <t>3541278103487865154</t>
  </si>
  <si>
    <t>2026-07-17 07:59:03</t>
  </si>
  <si>
    <t>2026-07-17 08:09:03</t>
  </si>
  <si>
    <t>2026-07-17 10:09:03</t>
  </si>
  <si>
    <t>3555810607947280657</t>
  </si>
  <si>
    <t>2026-08-06 09:06:23</t>
  </si>
  <si>
    <t>2026-08-06 09:16:00</t>
  </si>
  <si>
    <t>2026-08-06 10:18:38</t>
  </si>
  <si>
    <t>106.35876595973969</t>
  </si>
  <si>
    <t>10.47767355394537</t>
  </si>
  <si>
    <t>106.69982861727476</t>
  </si>
  <si>
    <t>10.822285068014995</t>
  </si>
  <si>
    <t>Việt Nam, Tien Giang, Châu Thành District, Tân Hương, IZLOT AIII,1 5 TAN HUONGYMUV CO., LTD</t>
  </si>
  <si>
    <t>420 Cầu Rạch Lăng, Phường 13, Quận Bình Thạnh, Hồ Chí Minh, Việt Nam420 Cầu Rạch Lăng</t>
  </si>
  <si>
    <t>3555811090141245922</t>
  </si>
  <si>
    <t>2026-08-06 09:07:46</t>
  </si>
  <si>
    <t>2026-08-06 09:17:00</t>
  </si>
  <si>
    <t>2026-08-06 09:41:56</t>
  </si>
  <si>
    <t>106.30591973662376</t>
  </si>
  <si>
    <t>10.47547157545982</t>
  </si>
  <si>
    <t>106.66079677641392</t>
  </si>
  <si>
    <t>10.748307649294466</t>
  </si>
  <si>
    <t>Lô 55 , 55B, KCN Long Giang, Tân Lập 1, Tân Phước, Tiền Giang, Việt NamCông Ty Nissei Tiền Giang</t>
  </si>
  <si>
    <t>331 Đ. Bình Đông, Phường Xóm Củi, Quận 8, Thành phố Hồ Chí Minh, Việt Nam331 Đường Bình Đông</t>
  </si>
  <si>
    <t>3555812321018467251</t>
  </si>
  <si>
    <t>2026-08-06 09:11:07</t>
  </si>
  <si>
    <t>2026-08-06 09:21:00</t>
  </si>
  <si>
    <t>2026-08-06 09:41:24</t>
  </si>
  <si>
    <t>106.40396486967802</t>
  </si>
  <si>
    <t>10.540829274870623</t>
  </si>
  <si>
    <t>106.5066804</t>
  </si>
  <si>
    <t>10.9583608</t>
  </si>
  <si>
    <t>Đường Hùng Vương,82111Dịch Vụ Du Lịch MQ</t>
  </si>
  <si>
    <t>Chi Nhánh Củ Chi, Quốc lộ 22, Ấp Thượng, Tân Thông Hội, Củ Chi, Hồ Chí Minh, Việt NamCu Chi Branch</t>
  </si>
  <si>
    <t>3555812321035252098</t>
  </si>
  <si>
    <t>2026-08-06 09:11:56</t>
  </si>
  <si>
    <t>2026-08-06 10:17:22</t>
  </si>
  <si>
    <t>106.36431645601988</t>
  </si>
  <si>
    <t>10.547799633593456</t>
  </si>
  <si>
    <t>106.6745497</t>
  </si>
  <si>
    <t>10.7638036</t>
  </si>
  <si>
    <t>Lô F1, Khu F, Cụm Công Nghiệp Lợi Bình Nhơn, Ấp Rạch Chanh, Xã Lợi Bình Nhơn, Thành Phố Tân An, Tỉnh Long An, Lợi Bình Nhơn, Tân An, Long An, Việt NamCông Ty TNHH TEXRAY</t>
  </si>
  <si>
    <t>Can Đước Long An, Phường 2, Quận 10, Hồ Chí Minh, Việt NamCan Đước Long An</t>
  </si>
  <si>
    <t>3555814273114661912</t>
  </si>
  <si>
    <t>2026-08-06 09:16:57</t>
  </si>
  <si>
    <t>2026-08-06 09:26:00</t>
  </si>
  <si>
    <t>2026-08-06 10:41:53</t>
  </si>
  <si>
    <t>106.3077949360013</t>
  </si>
  <si>
    <t>10.471455619625091</t>
  </si>
  <si>
    <t>106.6079746</t>
  </si>
  <si>
    <t>10.6980736</t>
  </si>
  <si>
    <t>Ebisuya Vietnam co, ltd., Tân Lập 1, Tân Phước, Tiền Giang, Việt NamEbisuya Vietnam co, ltd.</t>
  </si>
  <si>
    <t>Phường 7, Quận 8, Hồ Chí Minh, Việt NamBen Luc KDC</t>
  </si>
  <si>
    <t>3555818294881772340</t>
  </si>
  <si>
    <t>2026-08-06 09:20:41</t>
  </si>
  <si>
    <t>2026-08-06 09:30:00</t>
  </si>
  <si>
    <t>2026-08-06 10:16:59</t>
  </si>
  <si>
    <t>106.37618087232113</t>
  </si>
  <si>
    <t>10.496396497023365</t>
  </si>
  <si>
    <t>106.8426249</t>
  </si>
  <si>
    <t>10.9574859</t>
  </si>
  <si>
    <t>QL1A, Khánh Hậu, Tp. Tân An, Long An, Việt NamCông Ty Tnhh Tiền Vệ</t>
  </si>
  <si>
    <t>Tp. Biên Hòa, Đồng Nai, Việt NamBien Hoa</t>
  </si>
  <si>
    <t>3555819706164404450</t>
  </si>
  <si>
    <t>2026-08-06 09:22:14</t>
  </si>
  <si>
    <t>2026-08-06 09:32:00</t>
  </si>
  <si>
    <t>2026-08-06 09:22:46</t>
  </si>
  <si>
    <t>2026-08-06 09:50:04</t>
  </si>
  <si>
    <t>106.42009936273098</t>
  </si>
  <si>
    <t>10.5610193798503</t>
  </si>
  <si>
    <t>106.3282402</t>
  </si>
  <si>
    <t>10.3435132</t>
  </si>
  <si>
    <t>11 Mai Bá Hương, Phường 5, Tân An, Long An, Việt Nam11 Mai Bá Hương</t>
  </si>
  <si>
    <t>MY THO ASPHALT BERTH, Đường tỉnh 864, Trung An, Đồng Tháp, Việt NamMY THO ASPHALT BERTH</t>
  </si>
  <si>
    <t>3555820977189515536</t>
  </si>
  <si>
    <t>2026-08-06 09:28:21</t>
  </si>
  <si>
    <t>2026-08-06 09:38:00</t>
  </si>
  <si>
    <t>2026-08-06 10:30:04</t>
  </si>
  <si>
    <t>106.35678179562092</t>
  </si>
  <si>
    <t>10.483534320844804</t>
  </si>
  <si>
    <t>106.664118</t>
  </si>
  <si>
    <t>10.812805</t>
  </si>
  <si>
    <t>Đường D5, Tân Hương, Châu Thành, Tiền Giang, Việt NamCông Ty Tnhh Nhựa Việt Hoa</t>
  </si>
  <si>
    <t>Phường Tân, Sơn Hoà, Ho Chi Minh City, VietnamSân Bay Tân Sơn Nhất Nhà Ga T1 - Đón Trả Khách Xe Máy</t>
  </si>
  <si>
    <t>3557214029799977633</t>
  </si>
  <si>
    <t>2026-08-08 07:51:42</t>
  </si>
  <si>
    <t>2026-08-08 08:01:00</t>
  </si>
  <si>
    <t>2026-08-08 08:15:30</t>
  </si>
  <si>
    <t>106.40482183545828</t>
  </si>
  <si>
    <t>10.538932645482333</t>
  </si>
  <si>
    <t>106.4523684</t>
  </si>
  <si>
    <t>10.7917876</t>
  </si>
  <si>
    <t>87 Đường Hùng Vương, Phường 2, Tân An, Long An, Việt Nam87 Đường Hùng Vương</t>
  </si>
  <si>
    <t>Đức Hòa, Long An, Việt NamĐức Hòa</t>
  </si>
  <si>
    <t>3557215953643335911</t>
  </si>
  <si>
    <t>2026-08-08 07:47:36</t>
  </si>
  <si>
    <t>2026-08-08 07:57:00</t>
  </si>
  <si>
    <t>2026-08-08 09:57:00</t>
  </si>
  <si>
    <t>106.30704157054424</t>
  </si>
  <si>
    <t>10.475349261178936</t>
  </si>
  <si>
    <t>106.71518325805664</t>
  </si>
  <si>
    <t>10.965440296106818</t>
  </si>
  <si>
    <t>Xã Tân Lập 1, Huyện Tân Phước, Tiền Giang, Việt NamNissei Electric Mytho</t>
  </si>
  <si>
    <t>B5/14 khu phố Bình Thuận, Số 2, Thuận Giao, Thuận An, Bình Dương, Việt NamTrung Tâm Bán Trú Minh Trí</t>
  </si>
  <si>
    <t>3557219624204595372</t>
  </si>
  <si>
    <t>2026-08-08 07:48:34</t>
  </si>
  <si>
    <t>2026-08-08 07:58:00</t>
  </si>
  <si>
    <t>2026-08-08 09:33:10</t>
  </si>
  <si>
    <t>106.34537369012833</t>
  </si>
  <si>
    <t>10.49104366809813</t>
  </si>
  <si>
    <t>106.5672462</t>
  </si>
  <si>
    <t>10.6630417</t>
  </si>
  <si>
    <t>ĐT.866,84610Công Ty TNHH XD TTNT Thiên Long</t>
  </si>
  <si>
    <t>Bình Chánh, Hồ Chí Minh, Việt NamBình Chánh</t>
  </si>
  <si>
    <t>3557219624229753040</t>
  </si>
  <si>
    <t>2026-08-08 07:57:48</t>
  </si>
  <si>
    <t>2026-08-08 08:07:00</t>
  </si>
  <si>
    <t>2026-08-08 08:24:23</t>
  </si>
  <si>
    <t>106.43740430474281</t>
  </si>
  <si>
    <t>10.598307019578503</t>
  </si>
  <si>
    <t>106.4824395</t>
  </si>
  <si>
    <t>10.9702698</t>
  </si>
  <si>
    <t>Thúy Quyên, Ấp 7, xã Nhị Thành, Huyện Thủ Thừa, Long An, Việt NamThúy Quyên</t>
  </si>
  <si>
    <t>Xuyên Á, TT. Củ Chi, Củ Chi, Hồ Chí Minh, Việt NamChợ Củ Chi</t>
  </si>
  <si>
    <t>3557222551686177388</t>
  </si>
  <si>
    <t>2026-08-08 07:55:38</t>
  </si>
  <si>
    <t>2026-08-08 08:05:00</t>
  </si>
  <si>
    <t>2026-08-08 08:21:48</t>
  </si>
  <si>
    <t>106.40680365264416</t>
  </si>
  <si>
    <t>10.551649134157882</t>
  </si>
  <si>
    <t>106.68053045868874</t>
  </si>
  <si>
    <t>10.7601738352059</t>
  </si>
  <si>
    <t>Đường Nguyễn Thị Hạnh,82110Viet Hoa Co</t>
  </si>
  <si>
    <t>Đường An Dương Vương,72711Cn3 Cong Ty Tnhh Thuong Mai Hung Thinh</t>
  </si>
  <si>
    <t>3558305772486221966</t>
  </si>
  <si>
    <t>2026-08-09 19:53:57</t>
  </si>
  <si>
    <t>2026-08-09 20:03:00</t>
  </si>
  <si>
    <t>2026-08-09 19:55:01</t>
  </si>
  <si>
    <t>2026-08-09 20:03:05</t>
  </si>
  <si>
    <t>106.36265080422163</t>
  </si>
  <si>
    <t>10.483945101157337</t>
  </si>
  <si>
    <t>106.70368563383818</t>
  </si>
  <si>
    <t>10.963277412743315</t>
  </si>
  <si>
    <t>Lồ,KI,1,KCN Tân Hương. Xã,Tân Hương,HChâu Thành, T, Tân Hương, Đồng Tháp, Việt NamQUANG VIET TIEN GIANG</t>
  </si>
  <si>
    <t>10 Dc79, Phường, Thuận An, Bình Dương, Việt Nam10 Dc79</t>
  </si>
  <si>
    <t>3558641441897145039</t>
  </si>
  <si>
    <t>2026-08-10 07:25:19</t>
  </si>
  <si>
    <t>2026-08-10 07:35:19</t>
  </si>
  <si>
    <t>2026-08-10 09:35:19</t>
  </si>
  <si>
    <t>106.7472637</t>
  </si>
  <si>
    <t>10.7915587</t>
  </si>
  <si>
    <t>326C Lương Định Của, An Phú, Thành phố Thủ Đức, Thành phố Hồ Chí Minh, Việt NamCÔNG TY TNHH NBH GROUP</t>
  </si>
  <si>
    <t>3558643822080774599</t>
  </si>
  <si>
    <t>2026-08-10 07:26:05</t>
  </si>
  <si>
    <t>2026-08-10 07:36:04</t>
  </si>
  <si>
    <t>2026-08-10 11:18:39</t>
  </si>
  <si>
    <t>106.5971334</t>
  </si>
  <si>
    <t>10.8195378</t>
  </si>
  <si>
    <t>Đ. Số 4, khu công nghiệp vĩnh lộc, Bình Tân, Hồ Chí Minh 700000, Việt NamCông Ty TNHH Thang Máy Mitsu Nhật Bản</t>
  </si>
  <si>
    <t>3558645237146673873</t>
  </si>
  <si>
    <t>2026-08-10 07:22:56</t>
  </si>
  <si>
    <t>2026-08-10 07:32:56</t>
  </si>
  <si>
    <t>2026-08-10 09:32:56</t>
  </si>
  <si>
    <t>106.4862504</t>
  </si>
  <si>
    <t>10.6070757</t>
  </si>
  <si>
    <t>106.8753459</t>
  </si>
  <si>
    <t>10.9280319</t>
  </si>
  <si>
    <t>Cụm Công Nghiệp Thị Trấn Bến Lức, Thị Trấn Bến Lức, Huyện Bến Lức, Long Cang, Tây Ninh, Việt NamCông Ty TNHH Sản Xuất Khuôn Đúc Chin Chen Fuh Việt Nam</t>
  </si>
  <si>
    <t>14 Đường Số 19A, An Bình, Thành phố Biên Hòa, Đồng Nai, Việt NamCông Ty Cp Scavi Việt Nam</t>
  </si>
  <si>
    <t>3558645337818362360</t>
  </si>
  <si>
    <t>2026-08-10 07:20:59</t>
  </si>
  <si>
    <t>2026-08-10 07:30:59</t>
  </si>
  <si>
    <t>2026-08-10 07:52:49</t>
  </si>
  <si>
    <t>2026-08-10 07:56:10</t>
  </si>
  <si>
    <t>106.7858547</t>
  </si>
  <si>
    <t>11.0982788</t>
  </si>
  <si>
    <t>Phường Uyên Hưng, Thị Xã Tân Uyên, Bình Dương, Việt NamCông Ty Cổ Phần S Furniture</t>
  </si>
  <si>
    <t>3558645337835135228</t>
  </si>
  <si>
    <t>2026-08-10 07:26:45</t>
  </si>
  <si>
    <t>2026-08-10 07:36:45</t>
  </si>
  <si>
    <t>2026-08-10 09:36:45</t>
  </si>
  <si>
    <t>106.4963994</t>
  </si>
  <si>
    <t>10.6121206</t>
  </si>
  <si>
    <t>106.7130717</t>
  </si>
  <si>
    <t>10.8155619</t>
  </si>
  <si>
    <t>Việt Nam, Long An, Cần Đước, Long Định, ROAD 14 LOT D1Công Ty Seapac Việt Nam</t>
  </si>
  <si>
    <t>214 QL13, Phường 26, Bình Thạnh, Hồ Chí Minh, Việt NamCông Ty TNHH Việt Tân Phát</t>
  </si>
  <si>
    <t>3558649849832501932</t>
  </si>
  <si>
    <t>2026-08-10 07:21:20</t>
  </si>
  <si>
    <t>2026-08-10 07:31:20</t>
  </si>
  <si>
    <t>2026-08-10 09:31:20</t>
  </si>
  <si>
    <t>106.7354427</t>
  </si>
  <si>
    <t>10.9375918</t>
  </si>
  <si>
    <t>40Vsip, Vietnam Singapore Industrial Part, Street No 6, An Phú, Thuận An, Bình Dương, Việt NamMidea Consumer Electric (Viet Nam) Co., Ltd</t>
  </si>
  <si>
    <t>3558649849849274490</t>
  </si>
  <si>
    <t>2026-08-10 07:24:13</t>
  </si>
  <si>
    <t>2026-08-10 07:34:13</t>
  </si>
  <si>
    <t>2026-08-10 09:34:13</t>
  </si>
  <si>
    <t>106.9934938</t>
  </si>
  <si>
    <t>10.7903866</t>
  </si>
  <si>
    <t>Long An, Long Thành, Đồng Nai, Việt NamCông ty TNHH Shin Heung Đồng Nai</t>
  </si>
  <si>
    <t>3558649849849274999</t>
  </si>
  <si>
    <t>2026-08-10 07:28:02</t>
  </si>
  <si>
    <t>2026-08-10 07:38:02</t>
  </si>
  <si>
    <t>2026-08-10 11:29:18</t>
  </si>
  <si>
    <t>2026-08-10 11:51:07</t>
  </si>
  <si>
    <t>106.4989894</t>
  </si>
  <si>
    <t>10.6101417</t>
  </si>
  <si>
    <t>106.6019287</t>
  </si>
  <si>
    <t>11.13104801</t>
  </si>
  <si>
    <t>Long Định, Cần Đước, Long An, Việt NamOKIA OPTICAL VIETNAM</t>
  </si>
  <si>
    <t>Đường D1, Mỹ Phước, Bến Cát, Bình Dương, Việt NamCông Ty Yazaki Eds Việt Nam Ltd</t>
  </si>
  <si>
    <t>3558654844485202287</t>
  </si>
  <si>
    <t>2026-08-10 07:40:07</t>
  </si>
  <si>
    <t>2026-08-10 07:50:06</t>
  </si>
  <si>
    <t>2026-08-10 09:50:06</t>
  </si>
  <si>
    <t>3558657311113433351</t>
  </si>
  <si>
    <t>2026-08-10 07:30:00</t>
  </si>
  <si>
    <t>2026-08-10 07:39:59</t>
  </si>
  <si>
    <t>2026-08-10 10:57:57</t>
  </si>
  <si>
    <t>106.4878464</t>
  </si>
  <si>
    <t>10.6193527</t>
  </si>
  <si>
    <t>106.8021378</t>
  </si>
  <si>
    <t>10.8263158</t>
  </si>
  <si>
    <t>Thị trấn, Bến Lức, Long An, Việt NamCÔNG TY TNHH RICHFIELD VN</t>
  </si>
  <si>
    <t>2,1 Đ. D2, Tăng Nhơn Phú B, Quận 9, Hồ Chí Minh, Việt NamCông Ty TNHH MTV Daeyoung Electronics Vina</t>
  </si>
  <si>
    <t>3558657311146991909</t>
  </si>
  <si>
    <t>2026-08-10 07:42:40</t>
  </si>
  <si>
    <t>2026-08-10 07:52:40</t>
  </si>
  <si>
    <t>2026-08-10 11:23:16</t>
  </si>
  <si>
    <t>106.5160984</t>
  </si>
  <si>
    <t>10.6456516</t>
  </si>
  <si>
    <t>Lô B2/1, 6 Đường VL1, KCN Vĩnh Lộc 2, Bến Lức, Long An, Việt NamCông ty Cổ Phần In DICA</t>
  </si>
  <si>
    <t>3558658020554789241</t>
  </si>
  <si>
    <t>2026-08-10 07:31:29</t>
  </si>
  <si>
    <t>2026-08-10 07:41:28</t>
  </si>
  <si>
    <t>2026-08-10 09:41:28</t>
  </si>
  <si>
    <t>106.4888607</t>
  </si>
  <si>
    <t>10.6238328</t>
  </si>
  <si>
    <t>VP-Hiệp hội doanh nghiệp tỉnh Long An, Đường số 1, KCN Thuận Đạo, Bến Lức, Tây Ninh, Việt NamVP-Hiệp hội doanh nghiệp tỉnh Long An</t>
  </si>
  <si>
    <t>3558658020554789496</t>
  </si>
  <si>
    <t>2026-08-10 07:33:10</t>
  </si>
  <si>
    <t>2026-08-10 07:43:09</t>
  </si>
  <si>
    <t>2026-08-10 09:43:09</t>
  </si>
  <si>
    <t>106.5144624</t>
  </si>
  <si>
    <t>10.6231107</t>
  </si>
  <si>
    <t>Lô E3,E4, Đường số 06, KCN Phúc, Bến Lức, Long An, Việt NamCÔNG TY TNHH SẢN XUẤT NGŨ KIM HUNG HING HONG KONG (VIỆT NAM)</t>
  </si>
  <si>
    <t>3558658020554789750</t>
  </si>
  <si>
    <t>2026-08-10 07:34:44</t>
  </si>
  <si>
    <t>2026-08-10 07:44:44</t>
  </si>
  <si>
    <t>2026-08-10 09:44:44</t>
  </si>
  <si>
    <t>106.5138474</t>
  </si>
  <si>
    <t>10.6194076</t>
  </si>
  <si>
    <t>106.6653277</t>
  </si>
  <si>
    <t>10.9741618</t>
  </si>
  <si>
    <t>Lô F1, F2, F3, F4 Và Lô G1, G2 Đ. Số 1, Khu Công Nghiệp, Bến Lức, Long An, Việt NamCông ty TNHH MTV Dệt Công Nghệ Cao Yu Yuang Việt Nam</t>
  </si>
  <si>
    <t>158 Ngô Gia Tự, Chánh Nghĩa, Thủ Dầu Một, Bình Dương 820000, Việt NamCông ty cổ phần Uniland</t>
  </si>
  <si>
    <t>3558658020571574888</t>
  </si>
  <si>
    <t>2026-08-10 07:39:54</t>
  </si>
  <si>
    <t>2026-08-10 07:49:53</t>
  </si>
  <si>
    <t>2026-08-10 09:49:53</t>
  </si>
  <si>
    <t>106.7463687</t>
  </si>
  <si>
    <t>10.8958149</t>
  </si>
  <si>
    <t>7A, Khu Công nghiệp sóng thần, 2 Thống Nhất, Quận, Dĩ An, Bình Dương, Việt NamCông Ty TNHH Eins Vina Co., Ltd</t>
  </si>
  <si>
    <t>3558658020571575077</t>
  </si>
  <si>
    <t>2026-08-10 07:41:02</t>
  </si>
  <si>
    <t>2026-08-10 07:51:00</t>
  </si>
  <si>
    <t>2026-08-10 09:56:10</t>
  </si>
  <si>
    <t>106.58745411783457</t>
  </si>
  <si>
    <t>10.887480290638445</t>
  </si>
  <si>
    <t>47/3 Khu Phố 3, Hóc Môn, Hồ Chí Minh, Việt Nam3 Khu Phố 3</t>
  </si>
  <si>
    <t>3558658020588347614</t>
  </si>
  <si>
    <t>2026-08-10 07:43:08</t>
  </si>
  <si>
    <t>2026-08-10 07:53:00</t>
  </si>
  <si>
    <t>2026-08-10 08:08:52</t>
  </si>
  <si>
    <t>2026-08-10 08:10:27</t>
  </si>
  <si>
    <t>106.30808964371681</t>
  </si>
  <si>
    <t>10.457754294260605</t>
  </si>
  <si>
    <t>106.75888884812593</t>
  </si>
  <si>
    <t>10.89690368200605</t>
  </si>
  <si>
    <t>Xã Tân Lập 1, Huyện Tân Phước, Tiền Giang, Việt NamApache Rubber Room</t>
  </si>
  <si>
    <t>Lô F, đường số 6, KCN Sóng thần 2, Dĩ An, Bình Dương, VietnamNippon Express Vietnam</t>
  </si>
  <si>
    <t>3558658020588348316</t>
  </si>
  <si>
    <t>2026-08-10 07:47:05</t>
  </si>
  <si>
    <t>2026-08-10 07:57:05</t>
  </si>
  <si>
    <t>2026-08-10 09:57:05</t>
  </si>
  <si>
    <t>106.5576111</t>
  </si>
  <si>
    <t>10.6433611</t>
  </si>
  <si>
    <t>Công ty TNHH Manly, Đường tỉnh 835B, Ấp Phú Ân, Phước Lý, Tây Ninh, Việt NamCông ty TNHH Manly</t>
  </si>
  <si>
    <t>3558658020588348464</t>
  </si>
  <si>
    <t>2026-08-10 07:47:54</t>
  </si>
  <si>
    <t>2026-08-10 07:57:54</t>
  </si>
  <si>
    <t>2026-08-10 09:57:54</t>
  </si>
  <si>
    <t>106.55203210524901</t>
  </si>
  <si>
    <t>10.648506653304972</t>
  </si>
  <si>
    <t>106.645950950581</t>
  </si>
  <si>
    <t>10.800682469083</t>
  </si>
  <si>
    <t>JHX2+9WF, Phước Lý, Tây Ninh, Việt NamJHX2+9WF, Phước Lý, Tây Ninh, Việt Nam</t>
  </si>
  <si>
    <t>2/5b Bình Giã, Tân Bình, Hồ Chí Minh, VietnamCông Ty Tnhh Thương Mại &amp; Dịch Vụ</t>
  </si>
  <si>
    <t>3558658787692999179</t>
  </si>
  <si>
    <t>2026-08-10 07:33:37</t>
  </si>
  <si>
    <t>2026-08-10 07:43:36</t>
  </si>
  <si>
    <t>2026-08-10 09:43:36</t>
  </si>
  <si>
    <t>106.6221196</t>
  </si>
  <si>
    <t>10.8241378</t>
  </si>
  <si>
    <t>26b Tân Thới Nhất 17, Tân Thới Nhất, Quận 12, Hồ Chí Minh 700000, Việt NamCông ty TNHH TM DV Trí Lực Việt</t>
  </si>
  <si>
    <t>3558658787692999280</t>
  </si>
  <si>
    <t>2026-08-10 07:34:16</t>
  </si>
  <si>
    <t>2026-08-10 07:44:16</t>
  </si>
  <si>
    <t>2026-08-10 09:44:16</t>
  </si>
  <si>
    <t>3558658787692999554</t>
  </si>
  <si>
    <t>2026-08-10 07:35:57</t>
  </si>
  <si>
    <t>2026-08-10 07:45:56</t>
  </si>
  <si>
    <t>2026-08-10 09:45:56</t>
  </si>
  <si>
    <t>106.5121575</t>
  </si>
  <si>
    <t>10.6216357</t>
  </si>
  <si>
    <t>CÔNG TY TNHH SUNRICH VIỆT NAM, Đường Số 1, kcn Phúc, Long Hiệp, Bến Lức, Long An, Việt NamCÔNG TY TNHH SUNRICH VIỆT NAM</t>
  </si>
  <si>
    <t>3558658787709772399</t>
  </si>
  <si>
    <t>2026-08-10 07:40:19</t>
  </si>
  <si>
    <t>2026-08-10 07:50:19</t>
  </si>
  <si>
    <t>2026-08-10 09:50:19</t>
  </si>
  <si>
    <t>3558659543791792718</t>
  </si>
  <si>
    <t>2026-08-10 07:35:42</t>
  </si>
  <si>
    <t>2026-08-10 07:45:42</t>
  </si>
  <si>
    <t>2026-08-10 09:45:42</t>
  </si>
  <si>
    <t>3558659543833727263</t>
  </si>
  <si>
    <t>lay hang o cong so2</t>
  </si>
  <si>
    <t>2026-08-10 07:45:50</t>
  </si>
  <si>
    <t>2026-08-10 07:55:00</t>
  </si>
  <si>
    <t>2026-08-10 10:14:38</t>
  </si>
  <si>
    <t>106.30853455513716</t>
  </si>
  <si>
    <t>10.459037840403441</t>
  </si>
  <si>
    <t>106.6707927</t>
  </si>
  <si>
    <t>10.6103836</t>
  </si>
  <si>
    <t>Tân Lập 1, Tân Phước, Tiền Giang, Việt NamCông ty TNHH Giay Apache Viet Nam</t>
  </si>
  <si>
    <t>Trương Công Định, TT. Cần Giuộc, Cần Giuộc, Long An, Việt NamChợ Cần Giuộc</t>
  </si>
  <si>
    <t>3558659667188208124</t>
  </si>
  <si>
    <t>2026-08-10 07:34:58</t>
  </si>
  <si>
    <t>2026-08-10 07:44:58</t>
  </si>
  <si>
    <t>2026-08-10 09:44:58</t>
  </si>
  <si>
    <t>3558659667213382048</t>
  </si>
  <si>
    <t>2026-08-10 07:40:48</t>
  </si>
  <si>
    <t>2026-08-10 07:50:47</t>
  </si>
  <si>
    <t>2026-08-10 09:50:47</t>
  </si>
  <si>
    <t>106.5116794</t>
  </si>
  <si>
    <t>10.6375636</t>
  </si>
  <si>
    <t>Lô D1 29,30, Đường VL2/Ấp Voi Lá, KCN Vĩnh Lộc 2, Bến Lức, Long An, Việt NamCÔNG TY TNHH NIPPOVINA</t>
  </si>
  <si>
    <t>3558659667213382297</t>
  </si>
  <si>
    <t>2026-08-10 07:42:12</t>
  </si>
  <si>
    <t>2026-08-10 07:52:12</t>
  </si>
  <si>
    <t>2026-08-10 09:52:12</t>
  </si>
  <si>
    <t>106.5814834</t>
  </si>
  <si>
    <t>10.9037919</t>
  </si>
  <si>
    <t>180/7B ấp Tân Thới 3, Tân Hiệp, Hóc Môn, Hồ Chí Minh, Việt NamThang Máng Cáp Bestray</t>
  </si>
  <si>
    <t>3558659760737973195</t>
  </si>
  <si>
    <t>2026-08-10 07:38:01</t>
  </si>
  <si>
    <t>2026-08-10 07:48:01</t>
  </si>
  <si>
    <t>2026-08-10 09:48:01</t>
  </si>
  <si>
    <t>106.5140175</t>
  </si>
  <si>
    <t>10.6283877</t>
  </si>
  <si>
    <t>Lô B10, KCN Phúc Long, Đ. Số 13, Long Hiệp, Bến Lức, Long An, Việt NamCông ty TNHH Việt Nông Long An</t>
  </si>
  <si>
    <t>3558659760763130605</t>
  </si>
  <si>
    <t>2026-08-10 07:48:23</t>
  </si>
  <si>
    <t>2026-08-10 07:58:22</t>
  </si>
  <si>
    <t>2026-08-10 09:58:22</t>
  </si>
  <si>
    <t>3558661427025896431</t>
  </si>
  <si>
    <t>2026-08-10 07:41:17</t>
  </si>
  <si>
    <t>2026-08-10 07:51:17</t>
  </si>
  <si>
    <t>2026-08-10 09:51:17</t>
  </si>
  <si>
    <t>3558661427042668741</t>
  </si>
  <si>
    <t>2026-08-10 07:42:25</t>
  </si>
  <si>
    <t>2026-08-10 07:52:25</t>
  </si>
  <si>
    <t>2026-08-10 09:52:25</t>
  </si>
  <si>
    <t>3558662565678768832</t>
  </si>
  <si>
    <t>2026-08-10 07:46:53</t>
  </si>
  <si>
    <t>2026-08-10 07:56:52</t>
  </si>
  <si>
    <t>2026-08-10 09:56:52</t>
  </si>
  <si>
    <t>3558666359644840340</t>
  </si>
  <si>
    <t>2026-08-10 07:46:00</t>
  </si>
  <si>
    <t>2026-08-10 07:55:59</t>
  </si>
  <si>
    <t>2026-08-10 07:57:17</t>
  </si>
  <si>
    <t>2026-08-20 07:56:59</t>
  </si>
  <si>
    <t>106.5732964</t>
  </si>
  <si>
    <t>10.6491237</t>
  </si>
  <si>
    <t>CÔNG TY TNHH SX,TM NHỰA CHỢ LỚN, tổ 9, Phước Lý, Hồ Chí Minh, Long An, Việt NamCÔNG TY TNHH SX,TM NHỰA CHỢ LỚN</t>
  </si>
  <si>
    <t>3558666359644840578</t>
  </si>
  <si>
    <t>2026-08-10 07:47:18</t>
  </si>
  <si>
    <t>2026-08-10 09:57:17</t>
  </si>
  <si>
    <t>3558666359678398690</t>
  </si>
  <si>
    <t>2026-08-10 07:55:44</t>
  </si>
  <si>
    <t>2026-08-10 08:05:00</t>
  </si>
  <si>
    <t>2026-08-10 10:23:06</t>
  </si>
  <si>
    <t>106.34451605379581</t>
  </si>
  <si>
    <t>10.490786524264962</t>
  </si>
  <si>
    <t>106.5893895</t>
  </si>
  <si>
    <t>10.8023818</t>
  </si>
  <si>
    <t>Khu Phố 5, Bình Hưng Hòa B, Bình Tân, Hồ Chí Minh, Việt NamBinh Chanh House</t>
  </si>
  <si>
    <t>3558666359678399186</t>
  </si>
  <si>
    <t>2026-08-10 07:58:11</t>
  </si>
  <si>
    <t>2026-08-10 08:08:00</t>
  </si>
  <si>
    <t>2026-08-10 10:08:00</t>
  </si>
  <si>
    <t>106.36059053242207</t>
  </si>
  <si>
    <t>10.549653688812061</t>
  </si>
  <si>
    <t>106.62878762930632</t>
  </si>
  <si>
    <t>10.816572750213687</t>
  </si>
  <si>
    <t>lo P2, Duing KCN Tiền Giang, Đường số 8, Lợi Bình Nhơn, Khánh Hậu, Tây Ninh, Việt NamCty CP Bao Bi Dai Luc, NM Long An</t>
  </si>
  <si>
    <t>Tây Thạnh, Tân Phú, Thành phố Hồ Chí Minh, Việt NamCÔNG TY TNHH AN AN</t>
  </si>
  <si>
    <t>3558666359678399335</t>
  </si>
  <si>
    <t>2026-08-10 07:58:50</t>
  </si>
  <si>
    <t>2026-08-10 08:08:50</t>
  </si>
  <si>
    <t>2026-08-10 10:08:50</t>
  </si>
  <si>
    <t>106.6907746</t>
  </si>
  <si>
    <t>10.7939727</t>
  </si>
  <si>
    <t>27/38 Trần Khắc Chân, Phường Tân Định, Quận 1, Hồ Chí Minh, Việt NamQuận 1</t>
  </si>
  <si>
    <t>3558668081767338489</t>
  </si>
  <si>
    <t>lay hang o cong2</t>
  </si>
  <si>
    <t>2026-08-10 07:49:28</t>
  </si>
  <si>
    <t>2026-08-10 07:59:00</t>
  </si>
  <si>
    <t>2026-08-10 09:59:00</t>
  </si>
  <si>
    <t>106.36383567005396</t>
  </si>
  <si>
    <t>10.54835074237376</t>
  </si>
  <si>
    <t>106.6720897</t>
  </si>
  <si>
    <t>10.7617936</t>
  </si>
  <si>
    <t>301 Hoà Hảo, Phường 2, Quận 10, Hồ Chí Minh, Việt NamCao ốc A , Ngô Gia Tự</t>
  </si>
  <si>
    <t>3558668081767338779</t>
  </si>
  <si>
    <t>2026-08-10 07:51:10</t>
  </si>
  <si>
    <t>2026-08-10 08:01:10</t>
  </si>
  <si>
    <t>2026-08-10 09:09:15</t>
  </si>
  <si>
    <t>106.55306207351073</t>
  </si>
  <si>
    <t>10.647241361366067</t>
  </si>
  <si>
    <t>106.6296397</t>
  </si>
  <si>
    <t>10.8230769</t>
  </si>
  <si>
    <t>quận 7 nhà bè, Phường 15, Tân Bình, Thành phố Hồ Chí Minh, Việt Namquận 7 nhà bè</t>
  </si>
  <si>
    <t>3558668081784123784</t>
  </si>
  <si>
    <t>2026-08-10 07:54:31</t>
  </si>
  <si>
    <t>2026-08-10 08:04:00</t>
  </si>
  <si>
    <t>2026-08-10 07:54:49</t>
  </si>
  <si>
    <t>2026-08-10 07:55:29</t>
  </si>
  <si>
    <t>3558668639257448499</t>
  </si>
  <si>
    <t>2026-08-10 07:48:03</t>
  </si>
  <si>
    <t>2026-08-10 07:58:00</t>
  </si>
  <si>
    <t>2026-08-10 09:42:46</t>
  </si>
  <si>
    <t>106.39084618538618</t>
  </si>
  <si>
    <t>10.526709752538698</t>
  </si>
  <si>
    <t>106.27998244017363</t>
  </si>
  <si>
    <t>11.081107234241985</t>
  </si>
  <si>
    <t>106 QL1A, Phường 4, Tân An, Long An, Việt NamCông Ty May Phương Vinh</t>
  </si>
  <si>
    <t>Ô5, 156A, khu phố Thanh Bình A, Gò Dầu, Tây Ninh, Việt NamÔ5, 156A, khu phố Thanh Bình A, Gò Dầu, Tây Ninh, Việt Nam</t>
  </si>
  <si>
    <t>3558668639257448812</t>
  </si>
  <si>
    <t>2026-08-10 07:49:44</t>
  </si>
  <si>
    <t>2026-08-10 07:59:44</t>
  </si>
  <si>
    <t>2026-08-10 09:10:25</t>
  </si>
  <si>
    <t>2026-08-20 08:00:00</t>
  </si>
  <si>
    <t>106.54825555495604</t>
  </si>
  <si>
    <t>10.643529808042967</t>
  </si>
  <si>
    <t>106.6745926</t>
  </si>
  <si>
    <t>10.7505457</t>
  </si>
  <si>
    <t>JGVX+C8 Phước Lý, Tây Ninh, Việt NamJGVX+C8 Phước Lý, Tây Ninh, Việt Nam</t>
  </si>
  <si>
    <t>65/80 Trần Tuấn Khải, An Đông, Hồ Chí Minh, Việt NamQuận 5</t>
  </si>
  <si>
    <t>3558668639257449017</t>
  </si>
  <si>
    <t>2026-08-10 07:50:52</t>
  </si>
  <si>
    <t>2026-08-10 08:00:51</t>
  </si>
  <si>
    <t>2026-08-10 10:00:51</t>
  </si>
  <si>
    <t>106.6634097</t>
  </si>
  <si>
    <t>10.7477536</t>
  </si>
  <si>
    <t>Quận 8, Việt NamQuận 8, Việt Nam</t>
  </si>
  <si>
    <t>3558668639257449222</t>
  </si>
  <si>
    <t>2026-08-10 07:52:00</t>
  </si>
  <si>
    <t>2026-08-10 08:02:00</t>
  </si>
  <si>
    <t>2026-08-10 10:32:06</t>
  </si>
  <si>
    <t>106.5125499885498</t>
  </si>
  <si>
    <t>10.640999177596937</t>
  </si>
  <si>
    <t>105.8341109</t>
  </si>
  <si>
    <t>21.0277882</t>
  </si>
  <si>
    <t>JGR6+GXV, Mỹ Yên, Tây Ninh, Việt NamJGR6+GXV, Mỹ Yên, Tây Ninh, Việt Nam</t>
  </si>
  <si>
    <t>Phố Cát Linh,11509Hà Nội</t>
  </si>
  <si>
    <t>3558668639282618836</t>
  </si>
  <si>
    <t>2026-08-10 08:00:07</t>
  </si>
  <si>
    <t>2026-08-10 08:10:07</t>
  </si>
  <si>
    <t>2026-08-10 10:10:07</t>
  </si>
  <si>
    <t>106.7012236</t>
  </si>
  <si>
    <t>10.7578147</t>
  </si>
  <si>
    <t>Phường 3, Quận 4, Hồ Chí Minh, Việt NamQuận 4</t>
  </si>
  <si>
    <t>3558668639282618890</t>
  </si>
  <si>
    <t>2026-08-10 08:00:24</t>
  </si>
  <si>
    <t>2026-08-10 08:10:25</t>
  </si>
  <si>
    <t>2026-08-10 10:10:25</t>
  </si>
  <si>
    <t>3558668639282619062</t>
  </si>
  <si>
    <t>2026-08-10 08:01:09</t>
  </si>
  <si>
    <t>2026-08-10 08:11:09</t>
  </si>
  <si>
    <t>2026-08-10 10:11:09</t>
  </si>
  <si>
    <t>106.7076046</t>
  </si>
  <si>
    <t>10.7296276</t>
  </si>
  <si>
    <t>Hưng Phước 4, Tân Phong, Quận 7, Hồ Chí Minh, Việt Namquận 7</t>
  </si>
  <si>
    <t>3558669054149619869</t>
  </si>
  <si>
    <t>2026-08-10 07:49:10</t>
  </si>
  <si>
    <t>2026-08-10 07:59:09</t>
  </si>
  <si>
    <t>2026-08-10 09:59:09</t>
  </si>
  <si>
    <t>106.6834087</t>
  </si>
  <si>
    <t>10.7696757</t>
  </si>
  <si>
    <t>32/21 Cao Thắng, Phường 5, Quận 3, Hồ Chí Minh, Việt NamQuận 3</t>
  </si>
  <si>
    <t>3558669054149620452</t>
  </si>
  <si>
    <t>2026-08-10 08:02:25</t>
  </si>
  <si>
    <t>2026-08-10 10:02:25</t>
  </si>
  <si>
    <t>106.49658548049315</t>
  </si>
  <si>
    <t>10.604049583993943</t>
  </si>
  <si>
    <t>107.0824298</t>
  </si>
  <si>
    <t>10.3310602</t>
  </si>
  <si>
    <t>JF3W+JJ Long Cang, Long An, Việt NamJF3W+JJ Long Cang, Long An, Việt Nam</t>
  </si>
  <si>
    <t>208,210 Phan Chu Trinh, Phường 2, Vũng Tàu, Bà Rịa , Vũng Tàu 79000, Việt NamVung Tau Luxury Hotel</t>
  </si>
  <si>
    <t>3558669054191555282</t>
  </si>
  <si>
    <t>2026-08-10 08:02:07</t>
  </si>
  <si>
    <t>2026-08-10 08:12:00</t>
  </si>
  <si>
    <t>2026-08-10 10:46:42</t>
  </si>
  <si>
    <t>106.36170029640198</t>
  </si>
  <si>
    <t>10.551131651226433</t>
  </si>
  <si>
    <t>106.6704207</t>
  </si>
  <si>
    <t>10.4591874</t>
  </si>
  <si>
    <t>Lô D4, đường số 3, CCN, Lợi Bình Nhơn, Tân An, Long An, Việt NamCÔNG TY TNHH CARMI</t>
  </si>
  <si>
    <t>Cần Đước, Long Hựu Tây, Cần Đước, Long An, Việt NamCần Đước</t>
  </si>
  <si>
    <t>3558669811724809219</t>
  </si>
  <si>
    <t>2026-08-10 07:59:48</t>
  </si>
  <si>
    <t>2026-08-10 08:09:48</t>
  </si>
  <si>
    <t>2026-08-10 10:09:48</t>
  </si>
  <si>
    <t>3558672123818107434</t>
  </si>
  <si>
    <t>2026-08-10 08:01:28</t>
  </si>
  <si>
    <t>2026-08-10 08:11:29</t>
  </si>
  <si>
    <t>2026-08-10 10:11:29</t>
  </si>
  <si>
    <t>3558672123818107487</t>
  </si>
  <si>
    <t>2026-08-10 08:01:47</t>
  </si>
  <si>
    <t>2026-08-10 08:11:47</t>
  </si>
  <si>
    <t>2026-08-10 10:11:47</t>
  </si>
  <si>
    <t>106.8252988</t>
  </si>
  <si>
    <t>10.8010758</t>
  </si>
  <si>
    <t>Quận 9, Long Trường, Thủ Đức, Hồ Chí Minh, Việt NamQuận 9</t>
  </si>
  <si>
    <t>3558675157516247797</t>
  </si>
  <si>
    <t>2026-08-10 08:02:47</t>
  </si>
  <si>
    <t>2026-08-10 08:12:47</t>
  </si>
  <si>
    <t>2026-08-10 10:12:47</t>
  </si>
  <si>
    <t>106.6745986</t>
  </si>
  <si>
    <t>10.8650298</t>
  </si>
  <si>
    <t>Quận 12, Thới An, Thành phố Hồ Chí Minh, Hồ Chí Minh, Việt NamQuận 12</t>
  </si>
  <si>
    <t>3558675157516247968</t>
  </si>
  <si>
    <t>2026-08-10 08:03:28</t>
  </si>
  <si>
    <t>2026-08-10 08:13:28</t>
  </si>
  <si>
    <t>2026-08-10 10:13:28</t>
  </si>
  <si>
    <t>106.4965855</t>
  </si>
  <si>
    <t>10.6040496</t>
  </si>
  <si>
    <t>3558676968146949116</t>
  </si>
  <si>
    <t>2026-08-10 08:06:45</t>
  </si>
  <si>
    <t>2026-08-10 08:16:45</t>
  </si>
  <si>
    <t>2026-08-10 10:16:45</t>
  </si>
  <si>
    <t>3558676968163733622</t>
  </si>
  <si>
    <t>2026-08-10 08:07:12</t>
  </si>
  <si>
    <t>2026-08-10 08:17:12</t>
  </si>
  <si>
    <t>2026-08-10 10:17:12</t>
  </si>
  <si>
    <t>106.6727737</t>
  </si>
  <si>
    <t>10.7605707</t>
  </si>
  <si>
    <t>13 Đ. Nguyễn Chí Thanh, Phường 9, Quận 10, Hồ Chí Minh, Việt NamQuận 10</t>
  </si>
  <si>
    <t>3558677370431041723</t>
  </si>
  <si>
    <t>2026-08-10 08:03:54</t>
  </si>
  <si>
    <t>2026-08-10 08:13:54</t>
  </si>
  <si>
    <t>2026-08-10 10:13:54</t>
  </si>
  <si>
    <t>106.7371867</t>
  </si>
  <si>
    <t>10.7944087</t>
  </si>
  <si>
    <t>Chung cư Bộ Công An, Đ. Số 3, Phường An Khánh, Thủ Đức, Hồ Chí Minh, Việt Namquận 2</t>
  </si>
  <si>
    <t>3558677370447814754</t>
  </si>
  <si>
    <t>2026-08-10 08:07:35</t>
  </si>
  <si>
    <t>2026-08-10 08:17:35</t>
  </si>
  <si>
    <t>2026-08-10 11:09:34</t>
  </si>
  <si>
    <t>106.6482406</t>
  </si>
  <si>
    <t>10.7589787</t>
  </si>
  <si>
    <t>76/7 Đ. Xóm Đất, Phường 8, Quận 11, Hồ Chí Minh, Việt NamQuận 11</t>
  </si>
  <si>
    <t>3558677370447815447</t>
  </si>
  <si>
    <t>2026-08-10 08:10:10</t>
  </si>
  <si>
    <t>2026-08-10 08:20:10</t>
  </si>
  <si>
    <t>2026-08-10 11:17:15</t>
  </si>
  <si>
    <t>106.5124083</t>
  </si>
  <si>
    <t>10.6413532</t>
  </si>
  <si>
    <t>3558677862716494073</t>
  </si>
  <si>
    <t>2026-08-10 08:04:57</t>
  </si>
  <si>
    <t>2026-08-10 08:14:57</t>
  </si>
  <si>
    <t>2026-08-10 10:14:57</t>
  </si>
  <si>
    <t>3558677862733279618</t>
  </si>
  <si>
    <t>2026-08-10 08:09:31</t>
  </si>
  <si>
    <t>2026-08-10 08:19:31</t>
  </si>
  <si>
    <t>2026-08-10 09:12:28</t>
  </si>
  <si>
    <t>3558677953430905547</t>
  </si>
  <si>
    <t>2026-08-10 08:10:56</t>
  </si>
  <si>
    <t>2026-08-10 08:20:57</t>
  </si>
  <si>
    <t>2026-08-10 10:20:57</t>
  </si>
  <si>
    <t>3558677953447678364</t>
  </si>
  <si>
    <t>2026-08-10 08:13:19</t>
  </si>
  <si>
    <t>2026-08-10 08:23:19</t>
  </si>
  <si>
    <t>2026-08-10 10:23:19</t>
  </si>
  <si>
    <t>106.6223047</t>
  </si>
  <si>
    <t>10.8759808</t>
  </si>
  <si>
    <t>To 125 Thới Tam Thôn 17, Tân Chánh Hiệp, Hóc Môn, Thành phố Hồ Chí Minh, Việt NamHoc mon</t>
  </si>
  <si>
    <t>3558678958755238677</t>
  </si>
  <si>
    <t>2026-08-10 08:13:02</t>
  </si>
  <si>
    <t>2026-08-10 08:23:03</t>
  </si>
  <si>
    <t>2026-08-10 10:23:03</t>
  </si>
  <si>
    <t>3558679860136337624</t>
  </si>
  <si>
    <t>2026-08-10 08:12:24</t>
  </si>
  <si>
    <t>2026-08-10 08:22:24</t>
  </si>
  <si>
    <t>2026-08-10 10:22:24</t>
  </si>
  <si>
    <t>3558679860153111355</t>
  </si>
  <si>
    <t>2026-08-10 08:18:05</t>
  </si>
  <si>
    <t>2026-08-10 08:28:00</t>
  </si>
  <si>
    <t>2026-08-10 10:36:22</t>
  </si>
  <si>
    <t>106.31937872618437</t>
  </si>
  <si>
    <t>10.471375174694563</t>
  </si>
  <si>
    <t>106.76236800849438</t>
  </si>
  <si>
    <t>10.83183367574605</t>
  </si>
  <si>
    <t>Xã Tân Lập 1, Huyện Tân Phước, Tiền Giang, Việt NamCông Ty TNHH Công Nghiệp Đồng Jintian Việt Nam</t>
  </si>
  <si>
    <t>7 Đ. Nguyễn Văn Bá, Phước Long A, Thủ Đức, Hồ Chí Minh, Việt Nam7 Đường Nguyễn Văn Bá</t>
  </si>
  <si>
    <t>3558697838047355699</t>
  </si>
  <si>
    <t>2026-08-10 08:48:48</t>
  </si>
  <si>
    <t>2026-08-10 08:58:00</t>
  </si>
  <si>
    <t>2026-08-10 09:06:30</t>
  </si>
  <si>
    <t>2026-08-10 09:07:21</t>
  </si>
  <si>
    <t>106.39659248292446</t>
  </si>
  <si>
    <t>10.55083665260522</t>
  </si>
  <si>
    <t>106.7119017</t>
  </si>
  <si>
    <t>10.9322688</t>
  </si>
  <si>
    <t>Đường D7, Phường 6, Tân An, Long An, Việt NamĐường D7, Phường 6, Tân An, Long An, Việt Nam</t>
  </si>
  <si>
    <t>Thuận Giao, Thuận An, Bình Dương, Việt NamAEON Mall Binh Duong Canary</t>
  </si>
  <si>
    <t>3558698250322269106</t>
  </si>
  <si>
    <t>2026-08-10 08:49:46</t>
  </si>
  <si>
    <t>2026-08-10 08:59:00</t>
  </si>
  <si>
    <t>2026-08-10 08:50:41</t>
  </si>
  <si>
    <t>2026-08-10 08:51:14</t>
  </si>
  <si>
    <t>106.41315344721079</t>
  </si>
  <si>
    <t>10.523511632916716</t>
  </si>
  <si>
    <t>106.74586404114962</t>
  </si>
  <si>
    <t>10.930488917317723</t>
  </si>
  <si>
    <t>Đường số 278, phường 7, Tp. Tân An, Long An, Việt Nam182 Đường số 278</t>
  </si>
  <si>
    <t>CT TNHH TM DV HUỲNH GIA PHÁT, phường Tân Đông Hiệp, Dĩ An, Hồ Chí Minh, Việt NamCT TNHH TM DV HUỲNH GIA PHÁT</t>
  </si>
  <si>
    <t>3558710485274813215</t>
  </si>
  <si>
    <t>2026-08-10 09:07:31</t>
  </si>
  <si>
    <t>2026-08-10 09:17:00</t>
  </si>
  <si>
    <t>2026-08-10 09:54:38</t>
  </si>
  <si>
    <t>3559354929523151609</t>
  </si>
  <si>
    <t>2026-08-11 07:02:20</t>
  </si>
  <si>
    <t>2026-08-11 07:12:19</t>
  </si>
  <si>
    <t>2026-08-11 09:12:19</t>
  </si>
  <si>
    <t>106.6666421</t>
  </si>
  <si>
    <t>10.9691844</t>
  </si>
  <si>
    <t>Công Ty TNHH Hùng Kim Hoa, Khu 3, Thủ Dầu Một, Hồ Chí Minh, Việt NamCông Ty TNHH Hùng Kim Hoa</t>
  </si>
  <si>
    <t>3559354929539936404</t>
  </si>
  <si>
    <t>2026-08-11 07:05:19</t>
  </si>
  <si>
    <t>2026-08-11 07:15:18</t>
  </si>
  <si>
    <t>2026-08-11 09:15:18</t>
  </si>
  <si>
    <t>106.4983642</t>
  </si>
  <si>
    <t>10.6043798</t>
  </si>
  <si>
    <t>106.879925</t>
  </si>
  <si>
    <t>10.9312548</t>
  </si>
  <si>
    <t>CÔNG TY TNHH QUỐC TẾ RYTHERN (VIỆT NAM), đường số 14, Long Cang, Tây Ninh, Việt NamCÔNG TY TNHH QUỐC TẾ RYTHERN (VIỆT NAM)</t>
  </si>
  <si>
    <t>Công Ty Taekwang Vina - Chi Nhánh Long Bình, P, Long Bình, Đồng Nai, Việt NamCông Ty Taekwang Vina - Chi Nhánh Long Bình</t>
  </si>
  <si>
    <t>3559354929539937080</t>
  </si>
  <si>
    <t>2026-08-11 07:11:00</t>
  </si>
  <si>
    <t>2026-08-11 07:20:59</t>
  </si>
  <si>
    <t>2026-08-11 09:20:59</t>
  </si>
  <si>
    <t>106.4989851</t>
  </si>
  <si>
    <t>10.6100853</t>
  </si>
  <si>
    <t>OKIA OPTICAL VIETNAM, Long Cang, Tây Ninh, Việt NamOKIA OPTICAL VIETNAM</t>
  </si>
  <si>
    <t>CÔNG TY CP SX HTD BÌNH TÂN, Hương lộ 2, Bình Trị Đông, Hồ Chí Minh, Việt NamCÔNG TY CP SX HTD BÌNH TÂN</t>
  </si>
  <si>
    <t>3559355211942417114</t>
  </si>
  <si>
    <t>2026-08-11 07:10:05</t>
  </si>
  <si>
    <t>2026-08-11 07:20:05</t>
  </si>
  <si>
    <t>2026-08-11 09:20:05</t>
  </si>
  <si>
    <t>3559355628143206924</t>
  </si>
  <si>
    <t>2026-08-11 07:00:37</t>
  </si>
  <si>
    <t>2026-08-11 07:10:36</t>
  </si>
  <si>
    <t>2026-08-11 07:08:41</t>
  </si>
  <si>
    <t>2026-08-11 07:13:58</t>
  </si>
  <si>
    <t>106.6019001</t>
  </si>
  <si>
    <t>11.1310619</t>
  </si>
  <si>
    <t>Công Ty Yazaki Eds Việt Nam Ltd, Đường D1, Bến Cát, Hồ Chí Minh, Việt NamCông Ty Yazaki Eds Việt Nam Ltd</t>
  </si>
  <si>
    <t>3559355628159980577</t>
  </si>
  <si>
    <t>2026-08-11 07:12:28</t>
  </si>
  <si>
    <t>2026-08-11 07:22:27</t>
  </si>
  <si>
    <t>2026-08-11 09:56:55</t>
  </si>
  <si>
    <t>106.4863479</t>
  </si>
  <si>
    <t>10.6071258</t>
  </si>
  <si>
    <t>106.7195372</t>
  </si>
  <si>
    <t>10.9373357</t>
  </si>
  <si>
    <t>Công Ty TNHH Sản Xuất Khuôn Đúc Chin Chen Fuh Việt Nam, Long Cang, Tây Ninh, Việt NamCông Ty TNHH Sản Xuất Khuôn Đúc Chin Chen Fuh Việt Nam</t>
  </si>
  <si>
    <t>Công Ty TNHH Fujikura Fiber Optics VN, Đường số 6, KCN Việt Nam-Singapore (VSIP1, Thuận Giao, Hồ Chí Minh, Việt NamCông Ty TNHH Fujikura Fiber Optics VN</t>
  </si>
  <si>
    <t>3559359798640332923</t>
  </si>
  <si>
    <t>2026-08-11 07:01:22</t>
  </si>
  <si>
    <t>2026-08-11 07:11:21</t>
  </si>
  <si>
    <t>2026-08-11 09:11:21</t>
  </si>
  <si>
    <t>106.8063506</t>
  </si>
  <si>
    <t>11.0723248</t>
  </si>
  <si>
    <t>C&amp;H Vina Company Limited, Area 5, Ward, Tân Uyên, Hồ Chí Minh, Việt NamC&amp;H Vina Company Limited</t>
  </si>
  <si>
    <t>3559359798657118647</t>
  </si>
  <si>
    <t>2026-08-11 07:12:16</t>
  </si>
  <si>
    <t>2026-08-11 07:22:15</t>
  </si>
  <si>
    <t>2026-08-11 09:22:15</t>
  </si>
  <si>
    <t>3559366256752808248</t>
  </si>
  <si>
    <t>2026-08-11 07:03:26</t>
  </si>
  <si>
    <t>2026-08-11 07:13:25</t>
  </si>
  <si>
    <t>2026-08-11 09:13:25</t>
  </si>
  <si>
    <t>3559366256752808526</t>
  </si>
  <si>
    <t>2026-08-11 07:05:58</t>
  </si>
  <si>
    <t>2026-08-11 07:15:57</t>
  </si>
  <si>
    <t>2026-08-11 09:15:57</t>
  </si>
  <si>
    <t>106.9855473</t>
  </si>
  <si>
    <t>10.7838166</t>
  </si>
  <si>
    <t>Ojitex (Vietnam) Co.,Ltd. - Long Thanh Branch, Khu công nghiệp, Long Thành, Đồng Nai, Việt NamOjitex (Vietnam) Co.,Ltd. - Long Thanh Branch</t>
  </si>
  <si>
    <t>3559366256752808787</t>
  </si>
  <si>
    <t>2026-08-11 07:08:09</t>
  </si>
  <si>
    <t>2026-08-11 07:18:08</t>
  </si>
  <si>
    <t>2026-08-11 09:18:08</t>
  </si>
  <si>
    <t>106.7144591</t>
  </si>
  <si>
    <t>10.804514</t>
  </si>
  <si>
    <t>Win.D Gaming Quận Bình Thạnh, Đường Võ Oanh, Thạnh Mỹ Tây, Hồ Chí Minh, Việt NamWin.D Gaming Quận Bình Thạnh</t>
  </si>
  <si>
    <t>3559366256769593453</t>
  </si>
  <si>
    <t>2026-08-11 07:10:24</t>
  </si>
  <si>
    <t>2026-08-11 07:20:24</t>
  </si>
  <si>
    <t>2026-08-11 09:20:24</t>
  </si>
  <si>
    <t>106.6758781</t>
  </si>
  <si>
    <t>10.8370741</t>
  </si>
  <si>
    <t>Công ty TNHH CNTT Aureole (CN Gò Vấp), Nguyễn Oanh, Gò Vấp, Hồ Chí Minh, Việt NamCông ty TNHH CNTT Aureole (CN Gò Vấp)</t>
  </si>
  <si>
    <t>3559366256769594032</t>
  </si>
  <si>
    <t>2026-08-11 07:14:55</t>
  </si>
  <si>
    <t>2026-08-11 07:24:55</t>
  </si>
  <si>
    <t>2026-08-11 10:47:42</t>
  </si>
  <si>
    <t>106.4991551</t>
  </si>
  <si>
    <t>10.611863</t>
  </si>
  <si>
    <t>AsiaSteel KCN Thuận Đạo, Long Cang, Tây Ninh, Việt NamAsiaSteel KCN Thuận Đạo</t>
  </si>
  <si>
    <t>3559366256786366975</t>
  </si>
  <si>
    <t>2026-08-11 07:20:51</t>
  </si>
  <si>
    <t>2026-08-11 07:30:50</t>
  </si>
  <si>
    <t>2026-08-11 11:05:14</t>
  </si>
  <si>
    <t>106.5136181</t>
  </si>
  <si>
    <t>10.6250338</t>
  </si>
  <si>
    <t>CTY Kim Tiền Hải, Đ. Số 3, KCN Phúc Long, Mỹ Yên, Tây Ninh, Việt NamCTY Kim Tiền Hải</t>
  </si>
  <si>
    <t>3559366256786367433</t>
  </si>
  <si>
    <t>2026-08-11 07:23:49</t>
  </si>
  <si>
    <t>2026-08-11 07:33:48</t>
  </si>
  <si>
    <t>2026-08-11 09:34:37</t>
  </si>
  <si>
    <t>3559366714485601056</t>
  </si>
  <si>
    <t>2026-08-11 07:08:45</t>
  </si>
  <si>
    <t>2026-08-11 07:18:44</t>
  </si>
  <si>
    <t>2026-08-11 09:18:44</t>
  </si>
  <si>
    <t>106.5964657</t>
  </si>
  <si>
    <t>10.8836828</t>
  </si>
  <si>
    <t>CTY TNHH TK-XD-TM QUỐC THẮNG TẠI HÓC MÔN, Ngô Quyền, Hóc Môn, Hồ Chí Minh, Việt NamCTY TNHH TK-XD-TM QUỐC THẮNG TẠI HÓC MÔN</t>
  </si>
  <si>
    <t>3559366714519147490</t>
  </si>
  <si>
    <t>2026-08-11 07:24:16</t>
  </si>
  <si>
    <t>2026-08-11 07:34:15</t>
  </si>
  <si>
    <t>2026-08-11 09:34:15</t>
  </si>
  <si>
    <t>106.5140605</t>
  </si>
  <si>
    <t>10.637042</t>
  </si>
  <si>
    <t>CÔNG TY TNHH THƯƠNG MẠI VÀ DƯỢC PHẨM ANH SANG, Đường VL4, Khu công Nghiệp, Mỹ Yên, Tây Ninh, Việt NamCÔNG TY TNHH THƯƠNG MẠI VÀ DƯỢC PHẨM ANH SANG</t>
  </si>
  <si>
    <t>3559366714519147515</t>
  </si>
  <si>
    <t>2026-08-11 07:24:30</t>
  </si>
  <si>
    <t>2026-08-11 07:34:30</t>
  </si>
  <si>
    <t>2026-08-11 10:09:15</t>
  </si>
  <si>
    <t>3559366714519147554</t>
  </si>
  <si>
    <t>2026-08-11 07:24:43</t>
  </si>
  <si>
    <t>2026-08-11 07:34:42</t>
  </si>
  <si>
    <t>2026-08-11 09:11:42</t>
  </si>
  <si>
    <t>3559367601740276307</t>
  </si>
  <si>
    <t>2026-08-11 07:15:53</t>
  </si>
  <si>
    <t>2026-08-11 07:25:52</t>
  </si>
  <si>
    <t>2026-08-11 09:25:52</t>
  </si>
  <si>
    <t>3559367601740276559</t>
  </si>
  <si>
    <t>2026-08-11 07:17:38</t>
  </si>
  <si>
    <t>2026-08-11 07:27:37</t>
  </si>
  <si>
    <t>2026-08-11 09:27:37</t>
  </si>
  <si>
    <t>106.5117001</t>
  </si>
  <si>
    <t>10.6208058</t>
  </si>
  <si>
    <t>CÔNG TY TNHH MTV KOOKIL DYEING VIỆT NAM, Đường Số 7, KCN Phúc Long, Mỹ Yên, Tây Ninh, Việt NamCÔNG TY TNHH MTV KOOKIL DYEING VIỆT NAM</t>
  </si>
  <si>
    <t>3559367601757049093</t>
  </si>
  <si>
    <t>2026-08-11 07:20:39</t>
  </si>
  <si>
    <t>2026-08-11 07:30:38</t>
  </si>
  <si>
    <t>2026-08-11 09:30:38</t>
  </si>
  <si>
    <t>3559367601757049366</t>
  </si>
  <si>
    <t>2026-08-11 07:22:19</t>
  </si>
  <si>
    <t>2026-08-11 07:32:18</t>
  </si>
  <si>
    <t>2026-08-11 09:32:18</t>
  </si>
  <si>
    <t>106.5136626</t>
  </si>
  <si>
    <t>10.6313041</t>
  </si>
  <si>
    <t>Công Ty TNHH Hạt Nhựa Màu Việt Trung, Quốc lộ 1A Voi Lá, Mỹ Yên, Tây Ninh, Việt NamCông Ty TNHH Hạt Nhựa Màu Việt Trung</t>
  </si>
  <si>
    <t>3559370197502742769</t>
  </si>
  <si>
    <t>2026-08-11 07:16:48</t>
  </si>
  <si>
    <t>2026-08-11 07:26:47</t>
  </si>
  <si>
    <t>2026-08-11 10:30:59</t>
  </si>
  <si>
    <t>3559370197502743437</t>
  </si>
  <si>
    <t>2026-08-11 07:21:18</t>
  </si>
  <si>
    <t>2026-08-11 07:31:17</t>
  </si>
  <si>
    <t>2026-08-11 09:31:17</t>
  </si>
  <si>
    <t>106.5118905</t>
  </si>
  <si>
    <t>10.6287954</t>
  </si>
  <si>
    <t>Climaveneta Vietnam, KCN Phúc Long, Mỹ Yên, Tây Ninh, Việt NamClimaveneta Vietnam</t>
  </si>
  <si>
    <t>3559370197519528050</t>
  </si>
  <si>
    <t>2026-08-11 07:22:43</t>
  </si>
  <si>
    <t>2026-08-11 07:32:42</t>
  </si>
  <si>
    <t>2026-08-11 09:32:42</t>
  </si>
  <si>
    <t>106.7890328</t>
  </si>
  <si>
    <t>10.8303277</t>
  </si>
  <si>
    <t>Công Ty TNHH Techtronic Tools (TTi Quận 9), TP, Đường D14A Công Nghệ Cao, Tăng Nhơn Phú, Hồ Chí Minh, Việt NamCông Ty TNHH Techtronic Tools (TTi Quận 9)</t>
  </si>
  <si>
    <t>3559370197519528192</t>
  </si>
  <si>
    <t>2026-08-11 07:23:37</t>
  </si>
  <si>
    <t>2026-08-11 07:33:37</t>
  </si>
  <si>
    <t>2026-08-11 09:33:37</t>
  </si>
  <si>
    <t>3559372206062661820</t>
  </si>
  <si>
    <t>2026-08-11 07:12:05</t>
  </si>
  <si>
    <t>2026-08-11 07:22:04</t>
  </si>
  <si>
    <t>2026-08-11 09:22:04</t>
  </si>
  <si>
    <t>3559372206079434846</t>
  </si>
  <si>
    <t>2026-08-11 07:18:03</t>
  </si>
  <si>
    <t>2026-08-11 07:28:02</t>
  </si>
  <si>
    <t>2026-08-11 09:28:02</t>
  </si>
  <si>
    <t>106.749202</t>
  </si>
  <si>
    <t>10.8387417</t>
  </si>
  <si>
    <t>Công Ty Tnhh Tm Eurochem, Đường Số 2, Thủ Đức, Hồ Chí Minh, Việt NamCông Ty Tnhh Tm Eurochem</t>
  </si>
  <si>
    <t>3559372206079435534</t>
  </si>
  <si>
    <t>2026-08-11 07:22:32</t>
  </si>
  <si>
    <t>2026-08-11 07:32:31</t>
  </si>
  <si>
    <t>2026-08-11 09:32:31</t>
  </si>
  <si>
    <t>3559372206096207932</t>
  </si>
  <si>
    <t>2026-08-11 07:24:56</t>
  </si>
  <si>
    <t>2026-08-11 07:34:55</t>
  </si>
  <si>
    <t>2026-08-11 09:34:55</t>
  </si>
  <si>
    <t>3559372206096208200</t>
  </si>
  <si>
    <t>2026-08-11 07:26:39</t>
  </si>
  <si>
    <t>2026-08-11 07:36:39</t>
  </si>
  <si>
    <t>2026-08-11 09:36:39</t>
  </si>
  <si>
    <t>3559372206096208326</t>
  </si>
  <si>
    <t>2026-08-11 07:27:28</t>
  </si>
  <si>
    <t>2026-08-11 07:37:27</t>
  </si>
  <si>
    <t>2026-08-11 09:37:27</t>
  </si>
  <si>
    <t>3559373672080957763</t>
  </si>
  <si>
    <t>2026-08-11 07:14:32</t>
  </si>
  <si>
    <t>2026-08-11 07:24:31</t>
  </si>
  <si>
    <t>2026-08-11 09:24:31</t>
  </si>
  <si>
    <t>3559373672114516919</t>
  </si>
  <si>
    <t>2026-08-11 07:32:04</t>
  </si>
  <si>
    <t>2026-08-11 07:42:04</t>
  </si>
  <si>
    <t>2026-08-11 07:35:20</t>
  </si>
  <si>
    <t>106.5662616</t>
  </si>
  <si>
    <t>10.6461536</t>
  </si>
  <si>
    <t>Công ty TNHH Vy Kỳ, Đ. Sân Banh, Phước Lý, Tây Ninh, Việt NamCông ty TNHH Vy Kỳ</t>
  </si>
  <si>
    <t>3559373747586822190</t>
  </si>
  <si>
    <t>2026-08-11 07:12:53</t>
  </si>
  <si>
    <t>2026-08-11 07:22:52</t>
  </si>
  <si>
    <t>2026-08-11 09:22:52</t>
  </si>
  <si>
    <t>106.4941308</t>
  </si>
  <si>
    <t>10.6096558</t>
  </si>
  <si>
    <t>106.7523077</t>
  </si>
  <si>
    <t>10.8971338</t>
  </si>
  <si>
    <t>Công ty TNHH Sản xuất và Thương mại Khải Tín Huy, đường số 1, KCN Thuận Đạo (mở rộng, Long Cang, Tây Ninh, Việt NamCông ty TNHH Sản xuất và Thương mại Khải Tín Huy</t>
  </si>
  <si>
    <t>Công Ty TNHH Quốc Tế Chutex, Thống Nhất, KCN Sóng Thần2, Dĩ An, Hồ Chí Minh, Việt NamCông Ty TNHH Quốc Tế Chutex</t>
  </si>
  <si>
    <t>3559373747586822528</t>
  </si>
  <si>
    <t>2026-08-11 07:15:25</t>
  </si>
  <si>
    <t>2026-08-11 07:25:24</t>
  </si>
  <si>
    <t>2026-08-11 09:25:24</t>
  </si>
  <si>
    <t>3559373747586822540</t>
  </si>
  <si>
    <t>2026-08-11 07:15:37</t>
  </si>
  <si>
    <t>2026-08-11 07:25:36</t>
  </si>
  <si>
    <t>2026-08-11 11:34:54</t>
  </si>
  <si>
    <t>3559373747603595743</t>
  </si>
  <si>
    <t>2026-08-11 07:22:56</t>
  </si>
  <si>
    <t>2026-08-11 07:32:55</t>
  </si>
  <si>
    <t>2026-08-11 09:32:55</t>
  </si>
  <si>
    <t>106.7342105</t>
  </si>
  <si>
    <t>10.7977695</t>
  </si>
  <si>
    <t>Công Ty CP Thực Phẩm Siam Quận 2, Đường số 19, An Khánh, Hồ Chí Minh, Việt NamCông Ty CP Thực Phẩm Siam Quận 2</t>
  </si>
  <si>
    <t>3559373882819571944</t>
  </si>
  <si>
    <t>2026-08-11 07:14:09</t>
  </si>
  <si>
    <t>2026-08-11 07:24:08</t>
  </si>
  <si>
    <t>2026-08-11 09:24:08</t>
  </si>
  <si>
    <t>3559376255554114047</t>
  </si>
  <si>
    <t>2026-08-11 07:26:51</t>
  </si>
  <si>
    <t>2026-08-11 07:36:51</t>
  </si>
  <si>
    <t>2026-08-11 09:36:51</t>
  </si>
  <si>
    <t>3559376255570899865</t>
  </si>
  <si>
    <t>2026-08-11 07:35:04</t>
  </si>
  <si>
    <t>2026-08-11 07:45:04</t>
  </si>
  <si>
    <t>2026-08-11 09:45:04</t>
  </si>
  <si>
    <t>106.55417576335448</t>
  </si>
  <si>
    <t>10.643974397573698</t>
  </si>
  <si>
    <t>JHV3+6RF, Phước Lý, Tây Ninh, Việt NamJHV3+6RF, Phước Lý, Tây Ninh, Việt Nam</t>
  </si>
  <si>
    <t>3559380688119746882</t>
  </si>
  <si>
    <t>2026-08-11 07:25:47</t>
  </si>
  <si>
    <t>2026-08-11 07:35:46</t>
  </si>
  <si>
    <t>2026-08-11 09:35:46</t>
  </si>
  <si>
    <t>106.5170719</t>
  </si>
  <si>
    <t>10.6408032</t>
  </si>
  <si>
    <t>Cty Cp Nhua Doan Minh Long, Đường Vĩnh Lộc KCN Vĩnh Lộc 2, Mỹ Yên, Tây Ninh, Việt NamCty Cp Nhua Doan Minh Long</t>
  </si>
  <si>
    <t>3559380688136532237</t>
  </si>
  <si>
    <t>2026-08-11 07:31:25</t>
  </si>
  <si>
    <t>2026-08-11 07:41:24</t>
  </si>
  <si>
    <t>2026-08-11 08:49:46</t>
  </si>
  <si>
    <t>106.5558973</t>
  </si>
  <si>
    <t>10.6424013</t>
  </si>
  <si>
    <t>CÔNG TY TNHH SX TM DV XNK NHỰA CHÂU HƯNG, Đường tỉnh 835B, Ấp Phú Thành, Phước Lý, Tây Ninh, Việt NamCÔNG TY TNHH SX TM DV XNK NHỰA CHÂU HƯNG</t>
  </si>
  <si>
    <t>3559380848543495158</t>
  </si>
  <si>
    <t>2026-08-11 07:30:47</t>
  </si>
  <si>
    <t>2026-08-11 07:40:47</t>
  </si>
  <si>
    <t>2026-08-11 09:26:09</t>
  </si>
  <si>
    <t>2026-08-16 11:05:19</t>
  </si>
  <si>
    <t>2026-08-17 04:06:42</t>
  </si>
  <si>
    <t>3559380848560268180</t>
  </si>
  <si>
    <t>2026-08-11 07:36:11</t>
  </si>
  <si>
    <t>2026-08-11 07:46:10</t>
  </si>
  <si>
    <t>2026-08-11 09:57:34</t>
  </si>
  <si>
    <t>2026-08-11 10:27:07</t>
  </si>
  <si>
    <t>2026-08-21 07:47:10</t>
  </si>
  <si>
    <t>106.56138554118651</t>
  </si>
  <si>
    <t>10.644311812887473</t>
  </si>
  <si>
    <t>JHV6+HH3, Phước Lý, Tây Ninh, Việt NamJHV6+HH3, Phước Lý, Tây Ninh, Việt Nam</t>
  </si>
  <si>
    <t>3559380848577040893</t>
  </si>
  <si>
    <t>2026-08-11 07:39:15</t>
  </si>
  <si>
    <t>2026-08-11 07:49:14</t>
  </si>
  <si>
    <t>2026-08-11 09:49:14</t>
  </si>
  <si>
    <t>106.51121750377196</t>
  </si>
  <si>
    <t>10.632132992473089</t>
  </si>
  <si>
    <t>106.9198241</t>
  </si>
  <si>
    <t>10.3874169</t>
  </si>
  <si>
    <t>400 QL1A, KP9, Mỹ Yên, Tây Ninh, Việt Nam400 QL1A, KP9, Mỹ Yên, Tây Ninh, Việt Nam</t>
  </si>
  <si>
    <t>Can Gio Resort, Thạnh Thới, Cần Giờ, Hồ Chí Minh, Việt NamCan Gio Resort</t>
  </si>
  <si>
    <t>3559381311804371250</t>
  </si>
  <si>
    <t>2026-08-11 07:27:15</t>
  </si>
  <si>
    <t>2026-08-11 07:37:15</t>
  </si>
  <si>
    <t>2026-08-11 09:37:15</t>
  </si>
  <si>
    <t>3559381311804371597</t>
  </si>
  <si>
    <t>2026-08-11 07:29:16</t>
  </si>
  <si>
    <t>2026-08-11 07:39:16</t>
  </si>
  <si>
    <t>2026-08-11 10:26:21</t>
  </si>
  <si>
    <t>2026-08-11 10:41:00</t>
  </si>
  <si>
    <t>3559383005564981370</t>
  </si>
  <si>
    <t>2026-08-11 07:34:20</t>
  </si>
  <si>
    <t>2026-08-11 07:44:20</t>
  </si>
  <si>
    <t>2026-08-11 08:58:27</t>
  </si>
  <si>
    <t>2026-08-11 09:00:19</t>
  </si>
  <si>
    <t>3559384394525536682</t>
  </si>
  <si>
    <t>2026-08-11 07:32:50</t>
  </si>
  <si>
    <t>2026-08-11 07:42:49</t>
  </si>
  <si>
    <t>2026-08-11 20:30:45</t>
  </si>
  <si>
    <t>2026-08-11 20:36:39</t>
  </si>
  <si>
    <t>106.5724577</t>
  </si>
  <si>
    <t>10.6514818</t>
  </si>
  <si>
    <t>CTY mỹ phẩm trị liệu, Ba Trung, Phước Lý, Tây Ninh, Việt NamCTY mỹ phẩm trị liệu</t>
  </si>
  <si>
    <t>3559384394525537046</t>
  </si>
  <si>
    <t>2026-08-11 07:34:50</t>
  </si>
  <si>
    <t>2026-08-11 07:44:50</t>
  </si>
  <si>
    <t>2026-08-11 09:21:34</t>
  </si>
  <si>
    <t>2026-08-16 11:02:39</t>
  </si>
  <si>
    <t>2026-08-17 05:11:03</t>
  </si>
  <si>
    <t>106.6989609</t>
  </si>
  <si>
    <t>10.7469416</t>
  </si>
  <si>
    <t>Quận 4 TP HCM, Tân Hưng, Hồ Chí Minh, Việt NamQuận 4 TP HCM</t>
  </si>
  <si>
    <t>3559384394525537183</t>
  </si>
  <si>
    <t>2026-08-11 07:35:41</t>
  </si>
  <si>
    <t>2026-08-11 07:45:41</t>
  </si>
  <si>
    <t>2026-08-11 09:45:41</t>
  </si>
  <si>
    <t>3559385331910537473</t>
  </si>
  <si>
    <t>2026-08-11 07:33:02</t>
  </si>
  <si>
    <t>2026-08-11 07:43:01</t>
  </si>
  <si>
    <t>2026-08-11 09:18:07</t>
  </si>
  <si>
    <t>3559385331910537506</t>
  </si>
  <si>
    <t>2026-08-11 07:33:16</t>
  </si>
  <si>
    <t>2026-08-11 07:43:15</t>
  </si>
  <si>
    <t>2026-08-11 07:34:22</t>
  </si>
  <si>
    <t>2026-08-11 07:41:53</t>
  </si>
  <si>
    <t>3559385417516273770</t>
  </si>
  <si>
    <t>2026-08-11 07:38:32</t>
  </si>
  <si>
    <t>2026-08-11 07:48:32</t>
  </si>
  <si>
    <t>2026-08-11 08:40:46</t>
  </si>
  <si>
    <t>105.7468535</t>
  </si>
  <si>
    <t>10.0451618</t>
  </si>
  <si>
    <t>Cần Thơ, Ninh Kiều, Cần Thơ, Việt NamCần Thơ</t>
  </si>
  <si>
    <t>3559385427305788049</t>
  </si>
  <si>
    <t>2026-08-11 07:35:27</t>
  </si>
  <si>
    <t>2026-08-11 07:45:26</t>
  </si>
  <si>
    <t>2026-08-11 09:40:56</t>
  </si>
  <si>
    <t>3559387159771439180</t>
  </si>
  <si>
    <t>2026-08-11 07:35:56</t>
  </si>
  <si>
    <t>2026-08-11 07:45:55</t>
  </si>
  <si>
    <t>2026-08-11 09:30:18</t>
  </si>
  <si>
    <t>3559390640297173261</t>
  </si>
  <si>
    <t>2026-08-11 07:48:05</t>
  </si>
  <si>
    <t>2026-08-11 07:58:06</t>
  </si>
  <si>
    <t>2026-08-11 09:58:06</t>
  </si>
  <si>
    <t>106.7293479</t>
  </si>
  <si>
    <t>10.7869031</t>
  </si>
  <si>
    <t>Công Ty Tnhh, Trần Não, Quận 2, An Khánh, Hồ Chí Minh, Việt NamCông Ty Tnhh</t>
  </si>
  <si>
    <t>3559390640297173893</t>
  </si>
  <si>
    <t>2026-08-11 07:50:54</t>
  </si>
  <si>
    <t>2026-08-11 08:00:55</t>
  </si>
  <si>
    <t>2026-08-11 10:00:55</t>
  </si>
  <si>
    <t>106.7905535</t>
  </si>
  <si>
    <t>10.8080538</t>
  </si>
  <si>
    <t>Công ty TNHH TV-TK-XD Phát Minh - Văn phòng Quận 9, Đường 18 tổ 8, Khu Phố 6, Phước Long, Hồ Chí Minh, Việt NamCông ty TNHH TV-TK-XD Phát Minh - Văn phòng Quận 9</t>
  </si>
  <si>
    <t>3559390640313946612</t>
  </si>
  <si>
    <t>2026-08-11 07:53:31</t>
  </si>
  <si>
    <t>2026-08-11 08:03:32</t>
  </si>
  <si>
    <t>2026-08-11 10:03:32</t>
  </si>
  <si>
    <t>3559390817439404693</t>
  </si>
  <si>
    <t>2026-08-11 07:54:15</t>
  </si>
  <si>
    <t>2026-08-11 08:04:16</t>
  </si>
  <si>
    <t>2026-08-11 10:04:16</t>
  </si>
  <si>
    <t>3559392135541379384</t>
  </si>
  <si>
    <t>2026-08-11 07:50:33</t>
  </si>
  <si>
    <t>2026-08-11 08:00:34</t>
  </si>
  <si>
    <t>2026-08-11 10:00:34</t>
  </si>
  <si>
    <t>106.6710302</t>
  </si>
  <si>
    <t>10.7434097</t>
  </si>
  <si>
    <t>Chung Cư Phạm Thế Hiển Quận 8, Bưu Điện Chánh Hưng, Đường Phạm Thế Hiển, Chánh Hưng, Hồ Chí Minh, Việt NamChung Cư Phạm Thế Hiển Quận 8</t>
  </si>
  <si>
    <t>3559392135558164579</t>
  </si>
  <si>
    <t>2026-08-11 07:54:00</t>
  </si>
  <si>
    <t>2026-08-11 08:04:02</t>
  </si>
  <si>
    <t>2026-08-11 10:04:02</t>
  </si>
  <si>
    <t>3559393368792584660</t>
  </si>
  <si>
    <t>2026-08-11 07:57:26</t>
  </si>
  <si>
    <t>2026-08-11 08:07:28</t>
  </si>
  <si>
    <t>2026-08-11 10:07:28</t>
  </si>
  <si>
    <t>106.5109355</t>
  </si>
  <si>
    <t>10.6319986</t>
  </si>
  <si>
    <t>3559393972277440732</t>
  </si>
  <si>
    <t>2026-08-11 07:48:35</t>
  </si>
  <si>
    <t>2026-08-11 07:58:36</t>
  </si>
  <si>
    <t>2026-08-11 09:58:36</t>
  </si>
  <si>
    <t>106.6823683</t>
  </si>
  <si>
    <t>10.7801292</t>
  </si>
  <si>
    <t>CÔNG TY CỔ PHẦN THƯƠNG MẠI DỊCH VỤ QUẬN 3, Lý Chính Thắng, Nhiêu Lộc, Hồ Chí Minh, Việt NamCÔNG TY CỔ PHẦN THƯƠNG MẠI DỊCH VỤ QUẬN 3</t>
  </si>
  <si>
    <t>3559393972277440892</t>
  </si>
  <si>
    <t>2026-08-11 07:49:20</t>
  </si>
  <si>
    <t>2026-08-11 07:59:21</t>
  </si>
  <si>
    <t>2026-08-11 09:59:21</t>
  </si>
  <si>
    <t>106.6776275</t>
  </si>
  <si>
    <t>10.7577667</t>
  </si>
  <si>
    <t>Công Ty Tnhh Mtv Dịch Vụ Công Ích Quận 5, Đường Lê Hồng Phong, Chợ Quán, Hồ Chí Minh, Việt NamCông Ty Tnhh Mtv Dịch Vụ Công Ích Quận 5</t>
  </si>
  <si>
    <t>3559393972294213984</t>
  </si>
  <si>
    <t>2026-08-11 07:53:46</t>
  </si>
  <si>
    <t>2026-08-11 08:03:47</t>
  </si>
  <si>
    <t>2026-08-11 10:03:47</t>
  </si>
  <si>
    <t>3559394092712678185</t>
  </si>
  <si>
    <t>2026-08-11 07:56:22</t>
  </si>
  <si>
    <t>2026-08-11 08:06:23</t>
  </si>
  <si>
    <t>2026-08-11 10:06:23</t>
  </si>
  <si>
    <t>3559395496890163373</t>
  </si>
  <si>
    <t>2026-08-11 07:51:19</t>
  </si>
  <si>
    <t>2026-08-11 08:01:21</t>
  </si>
  <si>
    <t>2026-08-11 10:01:21</t>
  </si>
  <si>
    <t>106.6707851</t>
  </si>
  <si>
    <t>10.7627387</t>
  </si>
  <si>
    <t>Công Ty Cp Dược Phẩm Quận 10, Đường Ngô Gia Tự, Vườn Lài, Hồ Chí Minh, Việt NamCông Ty Cp Dược Phẩm Quận 10</t>
  </si>
  <si>
    <t>3559395496890163674</t>
  </si>
  <si>
    <t>2026-08-11 07:52:42</t>
  </si>
  <si>
    <t>2026-08-11 08:02:43</t>
  </si>
  <si>
    <t>2026-08-11 10:02:43</t>
  </si>
  <si>
    <t>3559395496890164163</t>
  </si>
  <si>
    <t>2026-08-11 07:54:45</t>
  </si>
  <si>
    <t>2026-08-11 08:04:46</t>
  </si>
  <si>
    <t>2026-08-11 10:04:46</t>
  </si>
  <si>
    <t>3559395496890164214</t>
  </si>
  <si>
    <t>2026-08-11 07:54:59</t>
  </si>
  <si>
    <t>2026-08-11 08:05:00</t>
  </si>
  <si>
    <t>2026-08-11 10:05:00</t>
  </si>
  <si>
    <t>3559395496906936789</t>
  </si>
  <si>
    <t>2026-08-11 07:56:38</t>
  </si>
  <si>
    <t>2026-08-11 08:06:39</t>
  </si>
  <si>
    <t>2026-08-11 10:06:39</t>
  </si>
  <si>
    <t>3559395496906937344</t>
  </si>
  <si>
    <t>2026-08-11 07:58:51</t>
  </si>
  <si>
    <t>2026-08-11 08:08:52</t>
  </si>
  <si>
    <t>2026-08-11 10:08:52</t>
  </si>
  <si>
    <t>106.6565005</t>
  </si>
  <si>
    <t>10.7722764</t>
  </si>
  <si>
    <t>Công Ty Dv Công Ích Quận 11, Đường Số 2, Phú Thọ, Hồ Chí Minh, Việt NamCông Ty Dv Công Ích Quận 11</t>
  </si>
  <si>
    <t>3559398050927694644</t>
  </si>
  <si>
    <t>2026-08-11 07:58:15</t>
  </si>
  <si>
    <t>2026-08-11 08:08:16</t>
  </si>
  <si>
    <t>2026-08-11 10:08:16</t>
  </si>
  <si>
    <t>3561920186636530252</t>
  </si>
  <si>
    <t>ywja</t>
  </si>
  <si>
    <t>2026-08-14 19:32:27</t>
  </si>
  <si>
    <t>2026-08-14 19:42:00</t>
  </si>
  <si>
    <t>2026-08-14 21:48:26</t>
  </si>
  <si>
    <t>106.30594320595264</t>
  </si>
  <si>
    <t>10.45837183459061</t>
  </si>
  <si>
    <t>106.5937658</t>
  </si>
  <si>
    <t>10.5012534</t>
  </si>
  <si>
    <t>Knitpassion Vietnam Co, Xã Tân Lập 1, Huyện Tân Phước, Tiền Giang, Việt NamKnitpassion Vietnam Co</t>
  </si>
  <si>
    <t>Cần Đước, Long An, Việt NamCần Đước</t>
  </si>
  <si>
    <t>3561923766441435556</t>
  </si>
  <si>
    <t>2026-08-14 19:44:01</t>
  </si>
  <si>
    <t>2026-08-14 19:54:00</t>
  </si>
  <si>
    <t>2026-08-14 19:45:03</t>
  </si>
  <si>
    <t>2026-08-14 21:05:50</t>
  </si>
  <si>
    <t>106.35938990861177</t>
  </si>
  <si>
    <t>10.489669264795767</t>
  </si>
  <si>
    <t>106.68592505156994</t>
  </si>
  <si>
    <t>10.79494458581097</t>
  </si>
  <si>
    <t>Cty TNHH Hansae TG, Xã Tân Hương, Huyện Châu Thành, Tiền Giang, Việt NamCty TNHH Hansae TG</t>
  </si>
  <si>
    <t>104 Hẻm 212/170 Nguyễn Văn Nguyễn, Phường Tân Định, Quận 1, Hồ Chí Minh, Việt Nam104 Hẻm 212/170 Nguyễn Văn Nguyễn, Phường Tân Định, Quận 1, Hồ Chí Minh, Việt Nam</t>
  </si>
  <si>
    <t>3562273011589673699</t>
  </si>
  <si>
    <t>2026-08-15 07:24:14</t>
  </si>
  <si>
    <t>2026-08-15 07:34:00</t>
  </si>
  <si>
    <t>2026-08-15 10:43:24</t>
  </si>
  <si>
    <t>106.36431310325861</t>
  </si>
  <si>
    <t>10.54819615514206</t>
  </si>
  <si>
    <t>106.76386803388596</t>
  </si>
  <si>
    <t>10.914634533481776</t>
  </si>
  <si>
    <t>Công Ty TNHH Texray, Đường Số 1, Xã Lợi Bình Nhơn, Tân An, Long An, Việt NamCông Ty TNHH Texray</t>
  </si>
  <si>
    <t>56 Đường Phan Bội Châu, Phường Dĩ An, Dĩ An, Bình Dương, Việt Nam56 Đường Phan Bội Châu, Phường Dĩ An, Dĩ An, Bình Dương, Việt Nam</t>
  </si>
  <si>
    <t>3562276841307988143</t>
  </si>
  <si>
    <t>2026-08-15 07:32:11</t>
  </si>
  <si>
    <t>2026-08-15 07:42:00</t>
  </si>
  <si>
    <t>2026-08-15 09:42:00</t>
  </si>
  <si>
    <t>106.77358232438564</t>
  </si>
  <si>
    <t>10.924670364618509</t>
  </si>
  <si>
    <t>Cắt Tóc Nam Nữ Chánh, Phường Tân Đông Hiệp, Dĩ An, Bình Dương, Việt NamCắt Tóc Nam Nữ Chánh</t>
  </si>
  <si>
    <t>3562277943554306276</t>
  </si>
  <si>
    <t>2026-08-15 07:22:16</t>
  </si>
  <si>
    <t>2026-08-15 07:32:00</t>
  </si>
  <si>
    <t>2026-08-15 17:58:39</t>
  </si>
  <si>
    <t>106.30649473518133</t>
  </si>
  <si>
    <t>10.458625378556127</t>
  </si>
  <si>
    <t>106.64608620107174</t>
  </si>
  <si>
    <t>10.7971995889172</t>
  </si>
  <si>
    <t>212 Hẻm 230 Trường Chinh, Phường 13, Quận Tân Bình, Hồ Chí Minh, Việt Nam212 Hẻm 230 Trường Chinh, Phường 13, Quận Tân Bình, Hồ Chí Minh, Việt Nam</t>
  </si>
  <si>
    <t>3562285304331325536</t>
  </si>
  <si>
    <t>2026-08-15 07:39:23</t>
  </si>
  <si>
    <t>2026-08-15 07:49:00</t>
  </si>
  <si>
    <t>2026-08-15 09:49:00</t>
  </si>
  <si>
    <t>106.37610241770744</t>
  </si>
  <si>
    <t>10.496419903289969</t>
  </si>
  <si>
    <t>106.4523662</t>
  </si>
  <si>
    <t>10.791816</t>
  </si>
  <si>
    <t>1005 QL.1A, Phường Khánh Hậu, Tân An, Long An, Việt Nam1005 QL.1A, Phường Khánh Hậu, Tân An, Long An, Việt Nam</t>
  </si>
  <si>
    <t>3562678701625926335</t>
  </si>
  <si>
    <t>2026-08-15 20:54:35</t>
  </si>
  <si>
    <t>2026-08-15 21:04:00</t>
  </si>
  <si>
    <t>2026-08-15 22:53:10</t>
  </si>
  <si>
    <t>106.7629936337471</t>
  </si>
  <si>
    <t>10.924764844999173</t>
  </si>
  <si>
    <t>168 Đường Lê Văn Tiên, Phường Tân Đông Hiệp, Dĩ An, Bình Dương, Việt Nam168 Đường Lê Văn Tiên, Phường Tân Đông Hiệp, Dĩ An, Bình Dương, Việt Nam</t>
  </si>
  <si>
    <t>3562688512539185977</t>
  </si>
  <si>
    <t>2026-08-15 21:02:18</t>
  </si>
  <si>
    <t>2026-08-15 21:12:00</t>
  </si>
  <si>
    <t>2026-08-15 21:51:50</t>
  </si>
  <si>
    <t>2026-08-15 22:18:11</t>
  </si>
  <si>
    <t>2026-08-16 09:03:36</t>
  </si>
  <si>
    <t>106.48996688425541</t>
  </si>
  <si>
    <t>10.6381814250823</t>
  </si>
  <si>
    <t>106.68602831661701</t>
  </si>
  <si>
    <t>10.855332109375638</t>
  </si>
  <si>
    <t>21 Đường Lê Văn Vịnh, Thị Trấn Bến Lức, Huyện Bến Lức, Long An, Việt Nam21 Đường Lê Văn Vịnh, Thị Trấn Bến Lức, Huyện Bến Lức, Long An, Việt Nam</t>
  </si>
  <si>
    <t>1G1 Hẻm 97, Phường An Phú Đông, Quận 12, Hồ Chí Minh, Việt Nam1G1 Hẻm 97, Phường An Phú Đông, Quận 12, Hồ Chí Minh, Việt Nam</t>
  </si>
  <si>
    <t>3562708834688655567</t>
  </si>
  <si>
    <t>2026-08-15 22:02:54</t>
  </si>
  <si>
    <t>2026-08-15 22:12:00</t>
  </si>
  <si>
    <t>2026-08-15 22:03:43</t>
  </si>
  <si>
    <t>2026-08-15 22:56:04</t>
  </si>
  <si>
    <t>106.3474764</t>
  </si>
  <si>
    <t>10.3654162</t>
  </si>
  <si>
    <t>106.73642802983522</t>
  </si>
  <si>
    <t>10.870597313534493</t>
  </si>
  <si>
    <t>100 Đ. Đoàn Thị Nghiệp, khu phố 10, Đạo Thạnh, Đồng Tháp, Việt Nam100 Đường Đoàn Thị Nghiệp</t>
  </si>
  <si>
    <t>54 Đường Lô C, Phường Tam Bình, Thủ Đức, Hồ Chí Minh, Việt Nam54 Đường Lô C, Phường Tam Bình, Thủ Đức, Hồ Chí Minh, Việt Nam</t>
  </si>
  <si>
    <t>3563006762670060461</t>
  </si>
  <si>
    <t>2026-08-16 07:55:05</t>
  </si>
  <si>
    <t>2026-08-16 08:05:00</t>
  </si>
  <si>
    <t>2026-08-26 01:50:46</t>
  </si>
  <si>
    <t>3563018386403455524</t>
  </si>
  <si>
    <t>2026-08-16 07:56:23</t>
  </si>
  <si>
    <t>2026-08-16 08:06:00</t>
  </si>
  <si>
    <t>2026-08-16 11:14:53</t>
  </si>
  <si>
    <t>106.3097720593214</t>
  </si>
  <si>
    <t>10.45730556290307</t>
  </si>
  <si>
    <t>Apache Rubber Room, Xã Tân Lập 1, Huyện Tân Phước, Tiền Giang, Việt NamApache Rubber Room</t>
  </si>
  <si>
    <t>3563018386445390540</t>
  </si>
  <si>
    <t>6bao đồ mổi bảo 25kg hổ trợ 15k 1bao</t>
  </si>
  <si>
    <t>2026-08-16 08:10:04</t>
  </si>
  <si>
    <t>2026-08-16 08:20:00</t>
  </si>
  <si>
    <t>2026-08-16 10:21:51</t>
  </si>
  <si>
    <t>106.48744158446789</t>
  </si>
  <si>
    <t>10.645348590832828</t>
  </si>
  <si>
    <t>23 Đường Nguyễn Văn Nhân, Xã Thanh Phú, Huyện Bến Lức, Long An, Việt Nam23 Đường Nguyễn Văn Nhân, Xã Thanh Phú, Huyện Bến Lức, Long An, Việt Nam</t>
  </si>
  <si>
    <t>3563023352216113974</t>
  </si>
  <si>
    <t>1kg gao mẩu</t>
  </si>
  <si>
    <t>2026-08-16 08:17:57</t>
  </si>
  <si>
    <t>2026-08-16 08:27:00</t>
  </si>
  <si>
    <t>2026-08-16 10:23:12</t>
  </si>
  <si>
    <t>106.50839600712061</t>
  </si>
  <si>
    <t>10.640835974965634</t>
  </si>
  <si>
    <t>106.85414616018534</t>
  </si>
  <si>
    <t>10.89442917348108</t>
  </si>
  <si>
    <t>Công Ty Thuốc Thú Y Apa, Xã Long Hiệp, Huyện Bến Lức, Long An, Việt NamCông Ty Thuốc Thú Y Apa</t>
  </si>
  <si>
    <t>57 Hẻm 96 Nguyễn Văn Tỏ, Phường Long Bình Tân, Biên Hòa, Đồng Nai, Việt Nam57 Hẻm 96 Nguyễn Văn Tỏ, Phường Long Bình Tân, Biên Hòa, Đồng Nai, Việt Nam</t>
  </si>
  <si>
    <t>3563029253476020616</t>
  </si>
  <si>
    <t>2026-08-16 08:19:33</t>
  </si>
  <si>
    <t>2026-08-16 08:29:00</t>
  </si>
  <si>
    <t>2026-08-16 11:15:48</t>
  </si>
  <si>
    <t>106.35857049375772</t>
  </si>
  <si>
    <t>10.47756607639484</t>
  </si>
  <si>
    <t>Ymuv Dormitory Gate, Xã Tân Hương, Huyện Châu Thành, Tiền Giang, Việt NamYmuv Dormitory Gate</t>
  </si>
  <si>
    <t>3563062527401350095</t>
  </si>
  <si>
    <t>2026-08-16 09:26:20</t>
  </si>
  <si>
    <t>2026-08-16 09:36:00</t>
  </si>
  <si>
    <t>2026-08-16 10:38:00</t>
  </si>
  <si>
    <t>106.41735311597586</t>
  </si>
  <si>
    <t>10.550649105848658</t>
  </si>
  <si>
    <t>106.89710844308138</t>
  </si>
  <si>
    <t>10.92239755922144</t>
  </si>
  <si>
    <t>2A Đường Nguyễn Văn Tiếp, Phường 5, Tân An, Long An, Việt Nam2A Đường Nguyễn Văn Tiếp, Phường 5, Tân An, Long An, Việt Nam</t>
  </si>
  <si>
    <t>Đường Số 4, Phường Long Bình, Biên Hòa, Đồng Nai, Việt NamĐường Số 4, Phường Long Bình, Biên Hòa, Đồng Nai, Việt Nam</t>
  </si>
  <si>
    <t>3563068230312616410</t>
  </si>
  <si>
    <t>4 thùng sơn 80k</t>
  </si>
  <si>
    <t>2026-08-16 09:27:22</t>
  </si>
  <si>
    <t>2026-08-16 09:37:00</t>
  </si>
  <si>
    <t>2026-08-16 10:43:13</t>
  </si>
  <si>
    <t>106.39977928251028</t>
  </si>
  <si>
    <t>10.549092034864124</t>
  </si>
  <si>
    <t>106.85188841074705</t>
  </si>
  <si>
    <t>11.161107974819203</t>
  </si>
  <si>
    <t>Đường Số 22, Phường 6, Tân An, Long An, Việt NamĐường Số 22, Phường 6, Tân An, Long An, Việt Nam</t>
  </si>
  <si>
    <t>121 TL.746, Xã Tân Định, Huyện Bắc Tân Uyên, Bình Dương, Việt Nam121 TL.746, Xã Tân Định, Huyện Bắc Tân Uyên, Bình Dương, Việt Nam</t>
  </si>
  <si>
    <t>3563118313137729791</t>
  </si>
  <si>
    <t>2026-08-16 11:08:16</t>
  </si>
  <si>
    <t>2026-08-16 11:18:00</t>
  </si>
  <si>
    <t>2026-08-16 11:43:12</t>
  </si>
  <si>
    <t>106.41617193818092</t>
  </si>
  <si>
    <t>10.536621998484346</t>
  </si>
  <si>
    <t>106.54912635684013</t>
  </si>
  <si>
    <t>10.940108783852295</t>
  </si>
  <si>
    <t>73 Đường Nguyễn Đình Chiểu, Phường 1, Tân An, Long An, Việt Nam73 Đường Nguyễn Đình Chiểu, Phường 1, Tân An, Long An, Việt Nam</t>
  </si>
  <si>
    <t>39A Đường Ấp Chợ Xóm Đồng, Xã Tân Phú Trung, Huyện Củ Chi, Hồ Chí Minh, Việt Nam39A Đường Ấp Chợ Xóm Đồng, Xã Tân Phú Trung, Huyện Củ Chi, Hồ Chí Minh, Việt Nam</t>
  </si>
  <si>
    <t>3563118313162892152</t>
  </si>
  <si>
    <t>2026-08-16 11:13:22</t>
  </si>
  <si>
    <t>2026-08-16 11:23:00</t>
  </si>
  <si>
    <t>2026-08-16 15:13:29</t>
  </si>
  <si>
    <t>106.34507395327091</t>
  </si>
  <si>
    <t>10.490837953048691</t>
  </si>
  <si>
    <t>106.60369925200939</t>
  </si>
  <si>
    <t>10.70460213912853</t>
  </si>
  <si>
    <t>ĐT.866, Xã Tân Lý Đông, Huyện Châu Thành, Tiền Giang, Việt NamĐT.866, Xã Tân Lý Đông, Huyện Châu Thành, Tiền Giang, Việt Nam</t>
  </si>
  <si>
    <t>Đường Huỳnh Bá Chánh, Xã Tân Kiên, Huyện Bình Chánh, Hồ Chí Minh, Việt NamĐường Huỳnh Bá Chánh, Xã Tân Kiên, Huyện Bình Chánh, Hồ Chí Minh, Việt Nam</t>
  </si>
  <si>
    <t>3563118394674999552</t>
  </si>
  <si>
    <t>2026-08-16 11:11:27</t>
  </si>
  <si>
    <t>2026-08-16 11:21:00</t>
  </si>
  <si>
    <t>2026-08-16 12:10:42</t>
  </si>
  <si>
    <t>2026-08-16 12:23:01</t>
  </si>
  <si>
    <t>106.41615718603134</t>
  </si>
  <si>
    <t>10.535941656321897</t>
  </si>
  <si>
    <t>106.69598668813705</t>
  </si>
  <si>
    <t>10.72801464951694</t>
  </si>
  <si>
    <t>16-18 Hẻm 76 Nguyễn Đình Chiểu, Phường 1, Tân An, Long An, Việt Nam16-18 Hẻm 76 Nguyễn Đình Chiểu, Phường 1, Tân An, Long An, Việt Nam</t>
  </si>
  <si>
    <t>Đường Nguyễn Văn Linh, Phường Tân Phong, Quận 7, Hồ Chí Minh, Việt NamĐường Nguyễn Văn Linh, Phường Tân Phong, Quận 7, Hồ Chí Minh, Việt Nam</t>
  </si>
  <si>
    <t>3563120422637761027</t>
  </si>
  <si>
    <t>hỗ trợ 30k</t>
  </si>
  <si>
    <t>2026-08-16 11:10:14</t>
  </si>
  <si>
    <t>2026-08-16 11:20:00</t>
  </si>
  <si>
    <t>2026-08-16 12:07:42</t>
  </si>
  <si>
    <t>106.38835743069649</t>
  </si>
  <si>
    <t>10.544821585518092</t>
  </si>
  <si>
    <t>106.44868534058332</t>
  </si>
  <si>
    <t>10.70063563617507</t>
  </si>
  <si>
    <t>460B Đường Quốc Lộ 62, Phường 6, Tân An, Long An, Việt Nam460B Đường Quốc Lộ 62, Phường 6, Tân An, Long An, Việt Nam</t>
  </si>
  <si>
    <t>Price List Of Vietuc Varea Ben Luc Project, Xã Lương Hòa, Huyện Bến Lức, Long An, Việt NamPrice List Of Vietuc Varea Ben Luc Project</t>
  </si>
  <si>
    <t>3563122922057068732</t>
  </si>
  <si>
    <t>2026-08-16 11:17:14</t>
  </si>
  <si>
    <t>2026-08-16 11:27:00</t>
  </si>
  <si>
    <t>2026-08-16 16:40:36</t>
  </si>
  <si>
    <t>106.34644623845816</t>
  </si>
  <si>
    <t>10.4946822304285</t>
  </si>
  <si>
    <t>106.60013493150473</t>
  </si>
  <si>
    <t>10.706891749680025</t>
  </si>
  <si>
    <t>45 Đường Số 6A, Xã Tân Kiên, Huyện Bình Chánh, Hồ Chí Minh, Việt Nam45 Đường Số 6A, Xã Tân Kiên, Huyện Bình Chánh, Hồ Chí Minh, Việt Nam</t>
  </si>
  <si>
    <t>3563122922073842068</t>
  </si>
  <si>
    <t>2026-08-16 11:20:50</t>
  </si>
  <si>
    <t>2026-08-16 11:30:00</t>
  </si>
  <si>
    <t>2026-08-16 16:42:32</t>
  </si>
  <si>
    <t>106.59374188631773</t>
  </si>
  <si>
    <t>10.686749172721388</t>
  </si>
  <si>
    <t>37515 QL. 1, Xã An Phú Tây, Huyện Bình Chánh, Hồ Chí Minh, Việt Nam37515 QL. 1, Xã An Phú Tây, Huyện Bình Chánh, Hồ Chí Minh, Việt Nam</t>
  </si>
  <si>
    <t>3563202265764549630</t>
  </si>
  <si>
    <t>2026-08-16 13:55:03</t>
  </si>
  <si>
    <t>2026-08-16 14:05:00</t>
  </si>
  <si>
    <t>2026-08-16 15:07:43</t>
  </si>
  <si>
    <t>106.42356410622597</t>
  </si>
  <si>
    <t>10.556478493395348</t>
  </si>
  <si>
    <t>106.12943775951862</t>
  </si>
  <si>
    <t>11.295969140307129</t>
  </si>
  <si>
    <t>104 ĐT.833, Phường 5, Tân An, Long An, Việt Nam104 ĐT.833, Phường 5, Tân An, Long An, Việt Nam</t>
  </si>
  <si>
    <t>Hẻm 15 Nguyễn Huệ, Phường Long Hoa, Thị Xã Hòa Thành, Tây Ninh, Việt NamHẻm 15 Nguyễn Huệ, Phường Long Hoa, Thị Xã Hòa Thành, Tây Ninh, Việt Nam</t>
  </si>
  <si>
    <t>3563265967100481661</t>
  </si>
  <si>
    <t>2026-08-16 16:01:53</t>
  </si>
  <si>
    <t>2026-08-16 16:11:00</t>
  </si>
  <si>
    <t>2026-08-16 18:19:24</t>
  </si>
  <si>
    <t>106.42178613692522</t>
  </si>
  <si>
    <t>10.560153198659238</t>
  </si>
  <si>
    <t>106.55733525753021</t>
  </si>
  <si>
    <t>10.841292411571454</t>
  </si>
  <si>
    <t>109 ĐT.833, Phường 5, Tân An, Long An, Việt Nam109 ĐT.833, Phường 5, Tân An, Long An, Việt Nam</t>
  </si>
  <si>
    <t>Đường Nữ Dân Công, Xã Vĩnh Lộc A, Huyện Bình Chánh, Hồ Chí Minh, Việt NamĐường Nữ Dân Công, Xã Vĩnh Lộc A, Huyện Bình Chánh, Hồ Chí Minh, Việt Nam</t>
  </si>
  <si>
    <t>3563401358981947801</t>
  </si>
  <si>
    <t>hỗ trợ 50k không gep don</t>
  </si>
  <si>
    <t>2026-08-16 20:50:10</t>
  </si>
  <si>
    <t>2026-08-16 21:00:00</t>
  </si>
  <si>
    <t>2026-08-17 12:05:14</t>
  </si>
  <si>
    <t>106.7115867510438</t>
  </si>
  <si>
    <t>10.757968291598493</t>
  </si>
  <si>
    <t>106.59150626510382</t>
  </si>
  <si>
    <t>10.884325155899912</t>
  </si>
  <si>
    <t>22 Hẻm 2A Đường Đoàn Văn Bơ, Phường 16, Quận 4, Hồ Chí Minh, Việt Nam22 Hẻm 2A Đường Đoàn Văn Bơ, Phường 16, Quận 4, Hồ Chí Minh, Việt Nam</t>
  </si>
  <si>
    <t>4D Đường Khu Phố 2-04, Thị Trấn Hóc Môn, Huyện Hóc Môn, Hồ Chí Minh, Việt Nam4D Đường Khu Phố 2-04, Thị Trấn Hóc Môn, Huyện Hóc Môn, Hồ Chí Minh, Việt Nam</t>
  </si>
  <si>
    <t>3563404410287780056</t>
  </si>
  <si>
    <t>2026-08-16 20:39:55</t>
  </si>
  <si>
    <t>2026-08-16 20:49:00</t>
  </si>
  <si>
    <t>2026-08-16 23:28:35</t>
  </si>
  <si>
    <t>106.49412229657173</t>
  </si>
  <si>
    <t>10.625396359704476</t>
  </si>
  <si>
    <t>106.58841133117676</t>
  </si>
  <si>
    <t>10.880058443986005</t>
  </si>
  <si>
    <t>178 Đường Nguyễn Trung Trực, Thị Trấn Bến Lức, Huyện Bến Lức, Long An, Việt Nam178 Đường Nguyễn Trung Trực, Thị Trấn Bến Lức, Huyện Bến Lức, Long An, Việt Nam</t>
  </si>
  <si>
    <t>Quốc Lộ 22, Xã Xuân Thới Sơn, Huyện Hóc Môn, Hồ Chí Minh, Việt NamQuốc Lộ 22, Xã Xuân Thới Sơn, Huyện Hóc Môn, Hồ Chí Minh, Việt Nam</t>
  </si>
  <si>
    <t>3563404410287780631</t>
  </si>
  <si>
    <t>hỗ trợ 50k giao nhanh không hẹp don</t>
  </si>
  <si>
    <t>2026-08-16 20:44:05</t>
  </si>
  <si>
    <t>2026-08-16 20:54:00</t>
  </si>
  <si>
    <t>2026-08-16 23:13:50</t>
  </si>
  <si>
    <t>2026-08-16 23:21:34</t>
  </si>
  <si>
    <t>106.6249218955636</t>
  </si>
  <si>
    <t>10.755550936669465</t>
  </si>
  <si>
    <t>279A Đường Bà Hom, Phường 13, Quận 6, Hồ Chí Minh, Việt Nam279A Đường Bà Hom, Phường 13, Quận 6, Hồ Chí Minh, Việt Nam</t>
  </si>
  <si>
    <t>3563415295077085458</t>
  </si>
  <si>
    <t>Van (t)</t>
  </si>
  <si>
    <t>2026-08-16 21:03:48</t>
  </si>
  <si>
    <t>2026-08-16 21:13:00</t>
  </si>
  <si>
    <t>2026-08-16 21:54:36</t>
  </si>
  <si>
    <t>3563726397124076005</t>
  </si>
  <si>
    <t>2026-08-17 07:38:05</t>
  </si>
  <si>
    <t>2026-08-17 07:48:00</t>
  </si>
  <si>
    <t>2026-08-17 09:54:18</t>
  </si>
  <si>
    <t>106.31501745432615</t>
  </si>
  <si>
    <t>10.468963135852336</t>
  </si>
  <si>
    <t>106.73940896987915</t>
  </si>
  <si>
    <t>10.636805373250674</t>
  </si>
  <si>
    <t>Apache Footwear Vietnam HQ, Xã Tân Lập 1, Huyện Tân Phước, Tiền Giang, Việt NamApache Footwear Vietnam HQ</t>
  </si>
  <si>
    <t>14 Hẻm 60/13 Phan Văn Bảy, Xã Hiệp Phước, Huyện Nhà Bè, Hồ Chí Minh, Việt Nam14 Hẻm 60/13 Phan Văn Bảy, Xã Hiệp Phước, Huyện Nhà Bè, Hồ Chí Minh, Việt Nam</t>
  </si>
  <si>
    <t>3563726397124076186</t>
  </si>
  <si>
    <t>2026-08-17 07:39:09</t>
  </si>
  <si>
    <t>2026-08-17 07:49:00</t>
  </si>
  <si>
    <t>2026-08-17 08:27:14</t>
  </si>
  <si>
    <t>106.3634554669261</t>
  </si>
  <si>
    <t>10.548699469788232</t>
  </si>
  <si>
    <t>106.72331470996141</t>
  </si>
  <si>
    <t>10.72568468020896</t>
  </si>
  <si>
    <t>Đường Số 3, Xã Lợi Bình Nhơn, Tân An, Long An, Việt NamĐường Số 3, Xã Lợi Bình Nhơn, Tân An, Long An, Việt Nam</t>
  </si>
  <si>
    <t>Phong Nhã Coffee &amp; Restaurant, Đường Nguyễn Lương Bằng, Phường Tân Phú, Quận 7, Hồ Chí Minh, Việt NamPhong Nhã Coffee &amp; Restaurant</t>
  </si>
  <si>
    <t>3563728886560940727</t>
  </si>
  <si>
    <t>2026-08-17 07:42:34</t>
  </si>
  <si>
    <t>2026-08-17 07:52:00</t>
  </si>
  <si>
    <t>2026-08-17 09:52:00</t>
  </si>
  <si>
    <t>106.3580471277237</t>
  </si>
  <si>
    <t>10.47727990899262</t>
  </si>
  <si>
    <t>106.76466632634401</t>
  </si>
  <si>
    <t>11.058047577127791</t>
  </si>
  <si>
    <t>Đường N2, Phường Khánh Bình, Thị Xã Tân Uyên, Bình Dương, Việt NamĐường N2, Phường Khánh Bình, Thị Xã Tân Uyên, Bình Dương, Việt Nam</t>
  </si>
  <si>
    <t>3563733086585967100</t>
  </si>
  <si>
    <t>2026-08-17 07:34:55</t>
  </si>
  <si>
    <t>2026-08-17 07:44:00</t>
  </si>
  <si>
    <t>2026-08-17 09:44:00</t>
  </si>
  <si>
    <t>106.3473555073142</t>
  </si>
  <si>
    <t>10.493854104392911</t>
  </si>
  <si>
    <t>106.56541742384434</t>
  </si>
  <si>
    <t>10.863988337538341</t>
  </si>
  <si>
    <t>Moka, Xã Xuân Thới Thượng, Huyện Hóc Môn, Hồ Chí Minh, Việt NamMoka</t>
  </si>
  <si>
    <t>3563734210558775755</t>
  </si>
  <si>
    <t>2026-08-17 07:36:35</t>
  </si>
  <si>
    <t>2026-08-17 07:46:00</t>
  </si>
  <si>
    <t>2026-08-17 09:46:00</t>
  </si>
  <si>
    <t>106.30464769899845</t>
  </si>
  <si>
    <t>10.458158844311246</t>
  </si>
  <si>
    <t>106.4610181376338</t>
  </si>
  <si>
    <t>10.79480461500048</t>
  </si>
  <si>
    <t>Đường Tân Đức, Xã Đức Hòa Hạ, Huyện Đức Hòa, Long An, Việt NamĐường Tân Đức, Xã Đức Hòa Hạ, Huyện Đức Hòa, Long An, Việt Nam</t>
  </si>
  <si>
    <t>3563743211551945634</t>
  </si>
  <si>
    <t>2026-08-17 07:58:39</t>
  </si>
  <si>
    <t>2026-08-17 08:08:00</t>
  </si>
  <si>
    <t>2026-08-17 12:15:29</t>
  </si>
  <si>
    <t>106.34609084576368</t>
  </si>
  <si>
    <t>10.491827955469319</t>
  </si>
  <si>
    <t>106.58301439136267</t>
  </si>
  <si>
    <t>10.672223878312755</t>
  </si>
  <si>
    <t>10/16G Đường Đoàn Nguyễn Tuân, Xã Bình Chánh, Huyện Bình Chánh, Hồ Chí Minh, Việt Nam10/16G Đường Đoàn Nguyễn Tuân, Xã Bình Chánh, Huyện Bình Chánh, Hồ Chí Minh, Việt Nam</t>
  </si>
  <si>
    <t>3563743984461501070</t>
  </si>
  <si>
    <t>2026-08-17 07:54:08</t>
  </si>
  <si>
    <t>2026-08-17 08:04:00</t>
  </si>
  <si>
    <t>2026-08-17 10:16:54</t>
  </si>
  <si>
    <t>106.35093290358782</t>
  </si>
  <si>
    <t>10.46065372282405</t>
  </si>
  <si>
    <t>106.67647261172533</t>
  </si>
  <si>
    <t>10.60121336525499</t>
  </si>
  <si>
    <t>Ngọc Trâm, QL.1A, Xã Tân Lý Tây, Huyện Châu Thành, Tiền Giang, Việt NamNgọc Trâm</t>
  </si>
  <si>
    <t>Nhà Nghỉ Jumaily Tran, Xã Trường Bình, Huyện Cần Giuộc, Long An, Việt NamNhà Nghỉ Jumaily Tran</t>
  </si>
  <si>
    <t>3563746637635604943</t>
  </si>
  <si>
    <t>thùng giày 40kg yêu cầu baga</t>
  </si>
  <si>
    <t>2026-08-17 07:57:49</t>
  </si>
  <si>
    <t>2026-08-17 08:07:00</t>
  </si>
  <si>
    <t>2026-08-17 09:29:29</t>
  </si>
  <si>
    <t>106.3586750999093</t>
  </si>
  <si>
    <t>10.488978599282188</t>
  </si>
  <si>
    <t>106.59385487437248</t>
  </si>
  <si>
    <t>10.960412086352244</t>
  </si>
  <si>
    <t>Hẻm 186 Nguyễn Kim Cương, Xã Tân Thạnh Đông, Huyện Củ Chi, Hồ Chí Minh, Việt NamHẻm 186 Nguyễn Kim Cương, Xã Tân Thạnh Đông, Huyện Củ Chi, Hồ Chí Minh, Việt Nam</t>
  </si>
  <si>
    <t>3563747188121231851</t>
  </si>
  <si>
    <t>2026-08-17 08:07:10</t>
  </si>
  <si>
    <t>2026-08-17 08:17:00</t>
  </si>
  <si>
    <t>2026-08-17 12:15:49</t>
  </si>
  <si>
    <t>106.30766116082668</t>
  </si>
  <si>
    <t>10.47602512115704</t>
  </si>
  <si>
    <t>106.66682537645102</t>
  </si>
  <si>
    <t>10.816148586682113</t>
  </si>
  <si>
    <t>Công Ty TNHH Công Nghiệp Chính Xác JL, Xã Tân Lập 1, Huyện Tân Phước, Tiền Giang, Việt NamCông Ty TNHH Công Nghiệp Chính Xác JL</t>
  </si>
  <si>
    <t>Đường Trường Sơn, Phường 2, Quận Tân Bình, Hồ Chí Minh, Việt NamĐường Trường Sơn, Phường 2, Quận Tân Bình, Hồ Chí Minh, Việt Nam</t>
  </si>
  <si>
    <t>3563753141625385088</t>
  </si>
  <si>
    <t>2026-08-17 08:07:53</t>
  </si>
  <si>
    <t>2026-08-17 10:17:00</t>
  </si>
  <si>
    <t>106.30096737295389</t>
  </si>
  <si>
    <t>10.457440413173483</t>
  </si>
  <si>
    <t>106.65368355810642</t>
  </si>
  <si>
    <t>10.801184582960168</t>
  </si>
  <si>
    <t>18A Đường Cộng Hòa, Phường 12, Quận Tân Bình, Hồ Chí Minh, Việt Nam18A Đường Cộng Hòa, Phường 12, Quận Tân Bình, Hồ Chí Minh, Việt Nam</t>
  </si>
  <si>
    <t>3564421299260575918</t>
  </si>
  <si>
    <t>2026-08-18 06:59:02</t>
  </si>
  <si>
    <t>2026-08-18 07:09:00</t>
  </si>
  <si>
    <t>2026-08-18 09:15:04</t>
  </si>
  <si>
    <t>106.4903045</t>
  </si>
  <si>
    <t>10.6014387</t>
  </si>
  <si>
    <t>Long Định, Cần Đước, Long An, Việt NamVietNam SST , Dinco E&amp;C.</t>
  </si>
  <si>
    <t>3564426202250965800</t>
  </si>
  <si>
    <t>2026-08-18 07:09:24</t>
  </si>
  <si>
    <t>2026-08-18 07:19:24</t>
  </si>
  <si>
    <t>2026-08-18 09:19:24</t>
  </si>
  <si>
    <t>106.4943924</t>
  </si>
  <si>
    <t>10.6125726</t>
  </si>
  <si>
    <t>10.8958148</t>
  </si>
  <si>
    <t>Lô H5,2, Đường số 9, KCN Thuận Đạo Mở Rộng, Xã, Long Định, Cần Đước, Long An, Việt NamCông Ty TNHH MTV San,Ei VN (有限会社三栄ベトナム）</t>
  </si>
  <si>
    <t>3564426202250965885</t>
  </si>
  <si>
    <t>2026-08-18 07:09:54</t>
  </si>
  <si>
    <t>2026-08-18 07:19:00</t>
  </si>
  <si>
    <t>2026-08-18 07:54:24</t>
  </si>
  <si>
    <t>106.40874825417995</t>
  </si>
  <si>
    <t>10.541394569691281</t>
  </si>
  <si>
    <t>106.7852407</t>
  </si>
  <si>
    <t>10.7677679</t>
  </si>
  <si>
    <t>36 Hẻm 56 Quốc Lộ 1a, Phường 2, Tân An, Long An, Việt Nam36 Hẻm 56 Quốc Lộ 1a</t>
  </si>
  <si>
    <t>Cát Lái, Hồ Chí Minh, Việt NamCát Lái</t>
  </si>
  <si>
    <t>3564427104999404269</t>
  </si>
  <si>
    <t>2026-08-18 07:00:35</t>
  </si>
  <si>
    <t>2026-08-18 07:10:33</t>
  </si>
  <si>
    <t>2026-08-18 09:15:50</t>
  </si>
  <si>
    <t>106.4919555</t>
  </si>
  <si>
    <t>10.6046886</t>
  </si>
  <si>
    <t>106.6982937</t>
  </si>
  <si>
    <t>11.0383172</t>
  </si>
  <si>
    <t>Cty TNHH TM,DV Bao Bì Lâm Hưng, Long Định, Cần Đước, Long An, Việt NamCty TNHH TM,DV Bao Bì Lâm Hưng</t>
  </si>
  <si>
    <t>Công ty TNHH Dệt Liên Châu, Đường N4, KCN Sóng Thần 3, Phường Phú Tân, Thủ Dầu Một, Bình Dương, Việt NamCông ty TNHH Dệt Liên Châu</t>
  </si>
  <si>
    <t>3564427104999404497</t>
  </si>
  <si>
    <t>2026-08-18 07:02:31</t>
  </si>
  <si>
    <t>2026-08-18 07:12:29</t>
  </si>
  <si>
    <t>2026-08-18 09:12:29</t>
  </si>
  <si>
    <t>106.4983104</t>
  </si>
  <si>
    <t>10.6044346</t>
  </si>
  <si>
    <t>106.9419328</t>
  </si>
  <si>
    <t>10.8218078</t>
  </si>
  <si>
    <t>Long Định, Cần Đước, Long An, Việt NamCÔNG TY TNHH QUỐC TẾ RYTHERN (VIỆT NAM)</t>
  </si>
  <si>
    <t>QL51, Long Đức, Long Thành, Đồng Nai, Việt NamCông Ty TNHH Cự Thành</t>
  </si>
  <si>
    <t>3564427105016177182</t>
  </si>
  <si>
    <t>2026-08-18 07:07:43</t>
  </si>
  <si>
    <t>2026-08-18 07:17:43</t>
  </si>
  <si>
    <t>2026-08-18 09:17:43</t>
  </si>
  <si>
    <t>106.4962905</t>
  </si>
  <si>
    <t>10.6126266</t>
  </si>
  <si>
    <t>106.6544367</t>
  </si>
  <si>
    <t>10.8441568</t>
  </si>
  <si>
    <t>khu công nghiệp Thuận Đạo Mở Rộng, D1,1 đường số 14, Long Định, Cần Đước, Long An, Việt NamCông ty TNHH Công Nghệ CRM ( Việt Nam ) , CRM(越南)化工科技有限公司</t>
  </si>
  <si>
    <t>162/59 Đ. Nguyễn Văn Khối, Phường 9, Gò Vấp, Thành phố Hồ Chí Minh, Việt Namcông ty TNHH TM DV Hoàng Tân Khang</t>
  </si>
  <si>
    <t>3564429282765926725</t>
  </si>
  <si>
    <t>2026-08-18 06:59:37</t>
  </si>
  <si>
    <t>2026-08-18 07:09:35</t>
  </si>
  <si>
    <t>2026-08-18 09:09:35</t>
  </si>
  <si>
    <t>3564429421077291100</t>
  </si>
  <si>
    <t>2026-08-18 07:06:47</t>
  </si>
  <si>
    <t>2026-08-18 07:16:00</t>
  </si>
  <si>
    <t>2026-08-18 09:47:18</t>
  </si>
  <si>
    <t>106.3630698993802</t>
  </si>
  <si>
    <t>10.551684731677849</t>
  </si>
  <si>
    <t>106.59254293888807</t>
  </si>
  <si>
    <t>10.888392616494114</t>
  </si>
  <si>
    <t>Đường Số 2,82112Tan An Foods Processing Export Co</t>
  </si>
  <si>
    <t>7A 24, Tổ 26, Hóc Môn, Hồ Chí Minh, Việt Nam7A Hẻm 24</t>
  </si>
  <si>
    <t>3564429421077291781</t>
  </si>
  <si>
    <t>2026-08-18 07:11:50</t>
  </si>
  <si>
    <t>2026-08-18 07:21:50</t>
  </si>
  <si>
    <t>2026-08-18 09:49:18</t>
  </si>
  <si>
    <t>3564429421085675717</t>
  </si>
  <si>
    <t>2026-08-18 07:14:39</t>
  </si>
  <si>
    <t>2026-08-18 07:24:38</t>
  </si>
  <si>
    <t>2026-08-18 09:24:38</t>
  </si>
  <si>
    <t>106.5111785</t>
  </si>
  <si>
    <t>10.6209376</t>
  </si>
  <si>
    <t>Công ty Tnhh Korviet Vina, Đường Số 7, KCN Phúc Long, Long Hiệp, Bến Lức, Long An, Việt NamCông ty Tnhh Korviet Vina</t>
  </si>
  <si>
    <t>3564431552119263847</t>
  </si>
  <si>
    <t>2026-08-18 07:04:10</t>
  </si>
  <si>
    <t>2026-08-18 07:14:00</t>
  </si>
  <si>
    <t>2026-08-18 09:54:40</t>
  </si>
  <si>
    <t>106.66578635573387</t>
  </si>
  <si>
    <t>10.835928853737508</t>
  </si>
  <si>
    <t>37 Hẻm 710 Phan Văn Trị, Phường 10, Gò Vấp, Hồ Chí Minh, Việt Nam37 Hẻm 710 Phan Văn Trị, Phường 10, Gò Vấp, Hồ Chí Minh, Việt Nam</t>
  </si>
  <si>
    <t>3564431552119264083</t>
  </si>
  <si>
    <t>2026-08-18 07:06:06</t>
  </si>
  <si>
    <t>2026-08-18 08:50:02</t>
  </si>
  <si>
    <t>106.41566567122936</t>
  </si>
  <si>
    <t>10.526324410878455</t>
  </si>
  <si>
    <t>106.56899180263281</t>
  </si>
  <si>
    <t>10.86687797159301</t>
  </si>
  <si>
    <t>185 Đường Châu Thị Kim, Phường 7, Tân An, Long An, Việt Nam185 Đường Châu Thị Kim, Phường 7, Tân An, Long An, Việt Nam</t>
  </si>
  <si>
    <t>Tổ 10, 140/5A ấp 5, Bà Điểm, Hồ Chí Minh, Việt Nam5A Tổ 10 Hẻm 140</t>
  </si>
  <si>
    <t>3564431552119264092</t>
  </si>
  <si>
    <t>2026-08-18 07:06:10</t>
  </si>
  <si>
    <t>2026-08-18 07:16:08</t>
  </si>
  <si>
    <t>2026-08-18 09:16:08</t>
  </si>
  <si>
    <t>106.4989895</t>
  </si>
  <si>
    <t>3564431552136049266</t>
  </si>
  <si>
    <t>2026-08-18 07:12:33</t>
  </si>
  <si>
    <t>2026-08-18 07:22:33</t>
  </si>
  <si>
    <t>2026-08-18 07:39:32</t>
  </si>
  <si>
    <t>2026-08-18 07:39:56</t>
  </si>
  <si>
    <t>2026-08-18 07:43:39</t>
  </si>
  <si>
    <t>106.5113165</t>
  </si>
  <si>
    <t>10.6194117</t>
  </si>
  <si>
    <t>106.6341817</t>
  </si>
  <si>
    <t>10.8065459</t>
  </si>
  <si>
    <t>Lô H4b, KCN, Phúc Long, Long Hiệp, Bến Lức, Long An, Việt NamCty SEJIN VINA</t>
  </si>
  <si>
    <t>Công Ty Tnhh Eb Tân Phú, Đường Trường Chinh, Tây Thạnh, Hồ Chí Minh, Việt NamCông Ty Tnhh Eb Tân Phú</t>
  </si>
  <si>
    <t>3564435434216055462</t>
  </si>
  <si>
    <t>2026-08-18 07:01:09</t>
  </si>
  <si>
    <t>2026-08-18 07:11:07</t>
  </si>
  <si>
    <t>2026-08-18 09:11:07</t>
  </si>
  <si>
    <t>3564435434216055521</t>
  </si>
  <si>
    <t>2026-08-18 07:01:33</t>
  </si>
  <si>
    <t>2026-08-18 07:11:31</t>
  </si>
  <si>
    <t>2026-08-18 09:49:58</t>
  </si>
  <si>
    <t>106.8753458</t>
  </si>
  <si>
    <t>10.9280318</t>
  </si>
  <si>
    <t>3564435434216055571</t>
  </si>
  <si>
    <t>2026-08-18 07:02:04</t>
  </si>
  <si>
    <t>2026-08-18 07:12:00</t>
  </si>
  <si>
    <t>2026-08-18 09:51:38</t>
  </si>
  <si>
    <t>106.77278570830822</t>
  </si>
  <si>
    <t>10.900864959899485</t>
  </si>
  <si>
    <t>99 Đường Đông Minh, Đông Hoà, Bình Dương, 75000, Việt NamNội Thất Thông Minh Hữu An Bàn ghế xếp</t>
  </si>
  <si>
    <t>3564435434232828713</t>
  </si>
  <si>
    <t>2026-08-18 07:10:16</t>
  </si>
  <si>
    <t>2026-08-18 07:20:16</t>
  </si>
  <si>
    <t>2026-08-18 09:58:09</t>
  </si>
  <si>
    <t>10.6118376</t>
  </si>
  <si>
    <t>106.7573106</t>
  </si>
  <si>
    <t>10.8246728</t>
  </si>
  <si>
    <t>200 Đ. Nguyễn Văn Bá, Phước Long A, Thủ Đức, Hồ Chí Minh, Việt NamCÔNG TY TNHH JM (JMGROUP)</t>
  </si>
  <si>
    <t>3564436867929830122</t>
  </si>
  <si>
    <t>2026-08-18 07:04:15</t>
  </si>
  <si>
    <t>2026-08-18 07:14:14</t>
  </si>
  <si>
    <t>2026-08-18 09:23:01</t>
  </si>
  <si>
    <t>3564436867929830187</t>
  </si>
  <si>
    <t>2026-08-18 07:04:50</t>
  </si>
  <si>
    <t>2026-08-18 07:14:48</t>
  </si>
  <si>
    <t>2026-08-18 09:14:48</t>
  </si>
  <si>
    <t>3564436867963376414</t>
  </si>
  <si>
    <t>2026-08-18 07:18:48</t>
  </si>
  <si>
    <t>2026-08-18 07:28:48</t>
  </si>
  <si>
    <t>2026-08-18 09:28:48</t>
  </si>
  <si>
    <t>106.5112025</t>
  </si>
  <si>
    <t>10.6359696</t>
  </si>
  <si>
    <t>Long Hiệp, Bến Lức, Long An, Việt NamCông Ty Cổ Phần Thiêt Kê Nôi Thât Trung Nam</t>
  </si>
  <si>
    <t>3564437193189716133</t>
  </si>
  <si>
    <t>2026-08-18 07:07:17</t>
  </si>
  <si>
    <t>2026-08-18 07:17:16</t>
  </si>
  <si>
    <t>2026-08-18 09:17:16</t>
  </si>
  <si>
    <t>106.5814835</t>
  </si>
  <si>
    <t>10.9037918</t>
  </si>
  <si>
    <t>3564437193189716361</t>
  </si>
  <si>
    <t>2026-08-18 07:08:58</t>
  </si>
  <si>
    <t>2026-08-18 07:18:58</t>
  </si>
  <si>
    <t>2026-08-18 11:31:55</t>
  </si>
  <si>
    <t>2026-08-18 19:32:17</t>
  </si>
  <si>
    <t>106.4954223</t>
  </si>
  <si>
    <t>10.6130342</t>
  </si>
  <si>
    <t>Công Ty TNHH in phun sơn phụ liệu giày Long Thuận, Long Cang, Tây Ninh, Việt NamCông Ty TNHH in phun sơn phụ liệu giày Long Thuận</t>
  </si>
  <si>
    <t>3564437193206489723</t>
  </si>
  <si>
    <t>2026-08-18 07:17:51</t>
  </si>
  <si>
    <t>2026-08-18 07:27:50</t>
  </si>
  <si>
    <t>2026-08-18 09:27:50</t>
  </si>
  <si>
    <t>106.5131465</t>
  </si>
  <si>
    <t>10.6293136</t>
  </si>
  <si>
    <t>Lô M3, Đ. Số 4 Phúc Long, KCN, Bến Lức, Long An, Việt NamCông ty TNHH Ushiwaka MG Việt Nam</t>
  </si>
  <si>
    <t>3564443170223911093</t>
  </si>
  <si>
    <t>2026-08-18 07:07:30</t>
  </si>
  <si>
    <t>2026-08-18 07:17:00</t>
  </si>
  <si>
    <t>2026-08-18 09:17:01</t>
  </si>
  <si>
    <t>106.34647775441408</t>
  </si>
  <si>
    <t>10.495939250305092</t>
  </si>
  <si>
    <t>ĐT866, Tân Hương, Tiền Giang, Việt NamĐường tỉnh 866</t>
  </si>
  <si>
    <t>3564443170223911867</t>
  </si>
  <si>
    <t>2026-08-18 07:13:22</t>
  </si>
  <si>
    <t>2026-08-18 07:23:22</t>
  </si>
  <si>
    <t>2026-08-18 12:03:36</t>
  </si>
  <si>
    <t>106.512463</t>
  </si>
  <si>
    <t>10.6195398</t>
  </si>
  <si>
    <t>106.6010596</t>
  </si>
  <si>
    <t>11.1300481</t>
  </si>
  <si>
    <t>CÔNG TY TNHH VẬT LIỆU CÔNG NGHỆ CAO LONGDA WEIFANG VIỆT NAM, Đ. Số 1, Khu công nghiệp Phúc Long, Mỹ Yên, Tây Ninh, Việt NamCÔNG TY TNHH VẬT LIỆU CÔNG NGHỆ CAO LONGDA WEIFANG VIỆT NAM</t>
  </si>
  <si>
    <t>Công Ty Yazaki Eds Việt Nam Ltd, Đường D1, Thị Xã Bến Cát, Bình DươngCông Ty Yazaki Eds Việt Nam Ltd, Đường D1</t>
  </si>
  <si>
    <t>3564443170240684408</t>
  </si>
  <si>
    <t>2026-08-18 07:16:31</t>
  </si>
  <si>
    <t>2026-08-18 07:26:31</t>
  </si>
  <si>
    <t>2026-08-18 08:34:18</t>
  </si>
  <si>
    <t>2026-08-28 07:27:31</t>
  </si>
  <si>
    <t>106.5136917</t>
  </si>
  <si>
    <t>10.62873</t>
  </si>
  <si>
    <t>106.728420780112</t>
  </si>
  <si>
    <t>10.792584679465</t>
  </si>
  <si>
    <t>Công ty TNHH XIANGYE, Đường Số 13, KCN PHÚC LONG, Mỹ Yên, Tây Ninh, Việt NamCông ty TNHH XIANGYE</t>
  </si>
  <si>
    <t>45 Đường Số 29, Khu Phố 1, An Khánh, Hồ Chí Minh 70000, Việt NamCông Ty Tnhh Nbh Group</t>
  </si>
  <si>
    <t>3564446193176240964</t>
  </si>
  <si>
    <t>2026-08-18 07:16:18</t>
  </si>
  <si>
    <t>2026-08-18 07:26:17</t>
  </si>
  <si>
    <t>2026-08-18 10:31:48</t>
  </si>
  <si>
    <t>3564446193209798835</t>
  </si>
  <si>
    <t>2026-08-18 07:36:17</t>
  </si>
  <si>
    <t>2026-08-18 09:36:00</t>
  </si>
  <si>
    <t>106.5662555</t>
  </si>
  <si>
    <t>10.6461676</t>
  </si>
  <si>
    <t>8 Đ. Sân Banh, Phước Lý, Tây Ninh, Việt NamCông ty TNHH Vy Kỳ</t>
  </si>
  <si>
    <t>3564446489671594658</t>
  </si>
  <si>
    <t>2026-08-18 07:22:39</t>
  </si>
  <si>
    <t>2026-08-18 07:32:39</t>
  </si>
  <si>
    <t>2026-08-18 09:32:39</t>
  </si>
  <si>
    <t>106.5084135</t>
  </si>
  <si>
    <t>10.6373406</t>
  </si>
  <si>
    <t>CTY CP NÔNG NGHIỆP VIỆT NAM SYMBIO, Đường VL2, Mỹ Yên, Tây Ninh, Việt NamCTY CP NÔNG NGHIỆP VIỆT NAM SYMBIO</t>
  </si>
  <si>
    <t>3564447767113986134</t>
  </si>
  <si>
    <t>2026-08-18 07:20:41</t>
  </si>
  <si>
    <t>2026-08-18 07:30:41</t>
  </si>
  <si>
    <t>2026-08-18 09:30:41</t>
  </si>
  <si>
    <t>106.5116795</t>
  </si>
  <si>
    <t>3564447767113986343</t>
  </si>
  <si>
    <t>2026-08-18 07:21:55</t>
  </si>
  <si>
    <t>2026-08-18 07:31:55</t>
  </si>
  <si>
    <t>2026-08-18 09:31:55</t>
  </si>
  <si>
    <t>106.5101865</t>
  </si>
  <si>
    <t>10.6381416</t>
  </si>
  <si>
    <t>Lô A1,17, Khu Công nghiệp Vĩnh Lộc 2, Đường Vĩnh Lộc 2, Ấp Voi Lá, Xã Long, Hiệp, Long Hiệp, Bến Lức, Long An 850000, Việt NamKhông Gian Công Nghiệp LEADPARK BUSINESS HUB</t>
  </si>
  <si>
    <t>3564448938541142760</t>
  </si>
  <si>
    <t>2026-08-18 07:36:31</t>
  </si>
  <si>
    <t>2026-08-18 09:16:58</t>
  </si>
  <si>
    <t>3564451336240193804</t>
  </si>
  <si>
    <t>2026-08-18 07:20:53</t>
  </si>
  <si>
    <t>2026-08-18 07:30:53</t>
  </si>
  <si>
    <t>2026-08-18 09:30:53</t>
  </si>
  <si>
    <t>3564452041051037844</t>
  </si>
  <si>
    <t>2026-08-18 07:27:13</t>
  </si>
  <si>
    <t>2026-08-18 07:37:12</t>
  </si>
  <si>
    <t>2026-08-18 09:16:07</t>
  </si>
  <si>
    <t>2026-08-18 09:37:43</t>
  </si>
  <si>
    <t>106.5672684</t>
  </si>
  <si>
    <t>10.6412427</t>
  </si>
  <si>
    <t>35B, Ấp, Cần Giuộc, Long An, Việt NamCông Ty TNHH Triệu Tín</t>
  </si>
  <si>
    <t>3564452245967958197</t>
  </si>
  <si>
    <t>2026-08-18 07:21:42</t>
  </si>
  <si>
    <t>2026-08-18 07:31:41</t>
  </si>
  <si>
    <t>2026-08-18 09:31:41</t>
  </si>
  <si>
    <t>3564452246001504651</t>
  </si>
  <si>
    <t>2026-08-18 07:34:31</t>
  </si>
  <si>
    <t>2026-08-18 07:44:31</t>
  </si>
  <si>
    <t>2026-08-18 09:10:35</t>
  </si>
  <si>
    <t>106.5459684</t>
  </si>
  <si>
    <t>10.6372356</t>
  </si>
  <si>
    <t>106.7215829</t>
  </si>
  <si>
    <t>10.7919587</t>
  </si>
  <si>
    <t>CTY TNHH Thương mại Kỹ Thuật Xuất Nhập Khẩu NAM HẢI, Lộ Đình, Phước Lý, Cần Giuộc, Long An, Việt NamCTY TNHH Thương mại Kỹ Thuật Xuất Nhập Khẩu NAM HẢI</t>
  </si>
  <si>
    <t>Công ty TNHH DY PLUS, Vinhomes Tân Cảng, Thạnh Mỹ Tây, Hồ Chí Minh, Việt NamCông ty TNHH DY PLUS</t>
  </si>
  <si>
    <t>3564452246001504965</t>
  </si>
  <si>
    <t>2026-08-18 07:46:17</t>
  </si>
  <si>
    <t>2026-08-18 10:00:38</t>
  </si>
  <si>
    <t>106.56425033664553</t>
  </si>
  <si>
    <t>10.646767649553297</t>
  </si>
  <si>
    <t>106.6407927</t>
  </si>
  <si>
    <t>10.7472177</t>
  </si>
  <si>
    <t>JHW8+92, Phước Lý, Tây Ninh, Việt NamJHW8+92, Phước Lý, Tây Ninh, Việt Nam</t>
  </si>
  <si>
    <t>221/2h Đ. Phan Văn Khỏe, Phường 2, Quận 6, Hồ Chí Minh, Việt NamQuận 6</t>
  </si>
  <si>
    <t>3564452278196986294</t>
  </si>
  <si>
    <t>2026-08-18 07:35:10</t>
  </si>
  <si>
    <t>2026-08-18 07:45:10</t>
  </si>
  <si>
    <t>2026-08-18 09:45:10</t>
  </si>
  <si>
    <t>106.5500882730469</t>
  </si>
  <si>
    <t>10.646683296439477</t>
  </si>
  <si>
    <t>106.7308176</t>
  </si>
  <si>
    <t>10.7935216</t>
  </si>
  <si>
    <t>JHW2+M2 Phước Lý, Tây Ninh, Việt NamJHW2+M2 Phước Lý, Tây Ninh, Việt Nam</t>
  </si>
  <si>
    <t>Quận 2, An Khánh, Thủ Đức, Hồ Chí Minh, Việt NamQuận 2</t>
  </si>
  <si>
    <t>3564455904055354246</t>
  </si>
  <si>
    <t>2026-08-18 07:37:39</t>
  </si>
  <si>
    <t>2026-08-18 07:47:39</t>
  </si>
  <si>
    <t>2026-08-18 09:47:39</t>
  </si>
  <si>
    <t>106.57008682346193</t>
  </si>
  <si>
    <t>10.647442473623395</t>
  </si>
  <si>
    <t>106.6393828</t>
  </si>
  <si>
    <t>10.7697352</t>
  </si>
  <si>
    <t>14 ĐT835B, Phước Lý, Tây Ninh 853000, Việt Nam14 ĐT835B, Phước Lý, Tây Ninh 853000, Việt Nam</t>
  </si>
  <si>
    <t>Quận 11, Đường Hòa Bình, Hòa Bình, Hồ Chí Minh, Việt NamQuận 11</t>
  </si>
  <si>
    <t>3564457677952340055</t>
  </si>
  <si>
    <t>2026-08-18 07:35:52</t>
  </si>
  <si>
    <t>2026-08-18 07:45:52</t>
  </si>
  <si>
    <t>2026-08-18 08:58:50</t>
  </si>
  <si>
    <t>2026-08-28 07:46:52</t>
  </si>
  <si>
    <t>10.7505456</t>
  </si>
  <si>
    <t>3564458158451814535</t>
  </si>
  <si>
    <t>2026-08-18 07:37:01</t>
  </si>
  <si>
    <t>2026-08-18 07:47:01</t>
  </si>
  <si>
    <t>2026-08-18 08:43:34</t>
  </si>
  <si>
    <t>106.7867536</t>
  </si>
  <si>
    <t>10.8451108</t>
  </si>
  <si>
    <t>Quận 9, Tăng Nhơn Phú A, Thủ Đức, Hồ Chí Minh, Việt NamQuận 9, Tăng Nhơn Phú A, Thủ Đức, Hồ Chí Minh, Việt Nam</t>
  </si>
  <si>
    <t>3564458863908573816</t>
  </si>
  <si>
    <t>2026-08-18 07:35:37</t>
  </si>
  <si>
    <t>2026-08-18 07:45:37</t>
  </si>
  <si>
    <t>2026-08-18 09:45:37</t>
  </si>
  <si>
    <t>10.7578146</t>
  </si>
  <si>
    <t>3564458863908573957</t>
  </si>
  <si>
    <t>2026-08-18 07:46:31</t>
  </si>
  <si>
    <t>2026-08-18 09:46:31</t>
  </si>
  <si>
    <t>3564459735954710864</t>
  </si>
  <si>
    <t>2026-08-18 07:35:24</t>
  </si>
  <si>
    <t>2026-08-18 07:45:23</t>
  </si>
  <si>
    <t>2026-08-18 09:45:23</t>
  </si>
  <si>
    <t>3564459735988269795</t>
  </si>
  <si>
    <t>2026-08-18 07:47:19</t>
  </si>
  <si>
    <t>2026-08-18 07:57:18</t>
  </si>
  <si>
    <t>2026-08-18 09:57:18</t>
  </si>
  <si>
    <t>3564462047704076799</t>
  </si>
  <si>
    <t>2026-08-18 07:49:45</t>
  </si>
  <si>
    <t>2026-08-18 07:59:45</t>
  </si>
  <si>
    <t>2026-08-18 09:59:45</t>
  </si>
  <si>
    <t>106.6716906</t>
  </si>
  <si>
    <t>10.7436706</t>
  </si>
  <si>
    <t>907 Đường Phạm Thế Hiển, Phường 4, Quận 8, Hồ Chí Minh, Việt NamCông Ty TNHH MTV Dịch Vụ Công Ích Quận 8</t>
  </si>
  <si>
    <t>3564462195922400296</t>
  </si>
  <si>
    <t>2026-08-18 07:47:45</t>
  </si>
  <si>
    <t>2026-08-18 07:57:44</t>
  </si>
  <si>
    <t>2026-08-18 09:57:44</t>
  </si>
  <si>
    <t>106.6993326</t>
  </si>
  <si>
    <t>10.7601306</t>
  </si>
  <si>
    <t>301 Đ. Hoàng Diệu, Phường 9, Quận 4, Hồ Chí Minh, Việt NamCông ty TNHH MTV Dịch Vụ Công Ích Quận 4</t>
  </si>
  <si>
    <t>3564465085487477793</t>
  </si>
  <si>
    <t>2026-08-18 07:48:05</t>
  </si>
  <si>
    <t>2026-08-18 07:58:05</t>
  </si>
  <si>
    <t>2026-08-18 09:58:05</t>
  </si>
  <si>
    <t>106.6699926</t>
  </si>
  <si>
    <t>10.7578137</t>
  </si>
  <si>
    <t>Công Ty THIET THACH , Quận 5, Đường Hùng Vương, Phường 9 (Quận 5), Quận 5, Thành phố Hồ Chí Minh, Việt NamCông Ty THIET THACH , Quận 5</t>
  </si>
  <si>
    <t>3564466833195233649</t>
  </si>
  <si>
    <t>2026-08-18 07:52:35</t>
  </si>
  <si>
    <t>2026-08-18 08:02:34</t>
  </si>
  <si>
    <t>2026-08-18 10:02:34</t>
  </si>
  <si>
    <t>106.6916526</t>
  </si>
  <si>
    <t>10.7678847</t>
  </si>
  <si>
    <t>275G Phạm Ngũ Lão, Phường Phạm Ngũ Lão, Quận 1, Thành phố Hồ Chí Minh, Việt NamCông Ty Cổ Phần Ngọc Trang Tiêu Cục , Chi Nhánh Quận 1</t>
  </si>
  <si>
    <t>3564466833195234000</t>
  </si>
  <si>
    <t>2026-08-18 07:54:04</t>
  </si>
  <si>
    <t>2026-08-18 08:04:03</t>
  </si>
  <si>
    <t>2026-08-18 10:04:03</t>
  </si>
  <si>
    <t>106.6335597</t>
  </si>
  <si>
    <t>10.7464146</t>
  </si>
  <si>
    <t>42,44 Đ. Chợ Lớn, Phường 11, Quận 6, Thành phố Hồ Chí Minh, Việt NamCông Ty Tnhh Một Thành Viên Dịch Vụ Công Ích Quận 6</t>
  </si>
  <si>
    <t>3564466833212006824</t>
  </si>
  <si>
    <t>2026-08-18 07:56:44</t>
  </si>
  <si>
    <t>2026-08-18 08:06:43</t>
  </si>
  <si>
    <t>2026-08-18 10:06:43</t>
  </si>
  <si>
    <t>106.7548426</t>
  </si>
  <si>
    <t>10.8103058</t>
  </si>
  <si>
    <t>Hẻm 10 Đường Số 2,71106Công Ty TNHH Nhi Khoa Healthcare City Quận 2</t>
  </si>
  <si>
    <t>3564466833212007083</t>
  </si>
  <si>
    <t>2026-08-18 07:57:49</t>
  </si>
  <si>
    <t>2026-08-18 08:07:48</t>
  </si>
  <si>
    <t>2026-08-18 10:07:48</t>
  </si>
  <si>
    <t>3564469481277448953</t>
  </si>
  <si>
    <t>2026-08-18 07:54:22</t>
  </si>
  <si>
    <t>2026-08-18 08:04:21</t>
  </si>
  <si>
    <t>2026-08-18 10:04:21</t>
  </si>
  <si>
    <t>106.7028406</t>
  </si>
  <si>
    <t>10.7399106</t>
  </si>
  <si>
    <t>Đường Nguyễn Thị Thập,72912Công Ty TNHH MTV Sơn Quận 7</t>
  </si>
  <si>
    <t>3564469980147970710</t>
  </si>
  <si>
    <t>2026-08-18 07:58:47</t>
  </si>
  <si>
    <t>2026-08-18 08:08:46</t>
  </si>
  <si>
    <t>2026-08-18 12:18:07</t>
  </si>
  <si>
    <t>106.6641396</t>
  </si>
  <si>
    <t>10.7830677</t>
  </si>
  <si>
    <t>16 Lô C Đ. Trường Sơn, Cư xá Bắc Hải, Quận 10, Hồ Chí Minh 700000, Việt NamCông ty Cắt Khắc Laser PHAN LONG Quận 10 Tphcm Sài Gòn</t>
  </si>
  <si>
    <t>3564469980147970758</t>
  </si>
  <si>
    <t>2026-08-18 07:59:00</t>
  </si>
  <si>
    <t>2026-08-18 08:09:00</t>
  </si>
  <si>
    <t>2026-08-18 10:38:48</t>
  </si>
  <si>
    <t>106.6430116</t>
  </si>
  <si>
    <t>10.7636706</t>
  </si>
  <si>
    <t>270, 272 Đ. Bình Thới, Phường 10, Quận 11, Hồ Chí Minh, Việt NamCông an Quận 11</t>
  </si>
  <si>
    <t>3564470051769906177</t>
  </si>
  <si>
    <t>2026-08-18 07:56:29</t>
  </si>
  <si>
    <t>2026-08-18 08:06:29</t>
  </si>
  <si>
    <t>2026-08-18 10:06:29</t>
  </si>
  <si>
    <t>3564470051786678514</t>
  </si>
  <si>
    <t>2026-08-18 07:57:19</t>
  </si>
  <si>
    <t>2026-08-18 08:07:19</t>
  </si>
  <si>
    <t>2026-08-18 10:07:19</t>
  </si>
  <si>
    <t>3564470051786678776</t>
  </si>
  <si>
    <t>2026-08-18 07:58:17</t>
  </si>
  <si>
    <t>2026-08-18 08:08:17</t>
  </si>
  <si>
    <t>2026-08-18 10:08:17</t>
  </si>
  <si>
    <t>3564472459887603930</t>
  </si>
  <si>
    <t>2026-08-18 07:57:34</t>
  </si>
  <si>
    <t>2026-08-18 08:07:33</t>
  </si>
  <si>
    <t>2026-08-18 10:07:33</t>
  </si>
  <si>
    <t>3564472459887604191</t>
  </si>
  <si>
    <t>2026-08-18 07:58:32</t>
  </si>
  <si>
    <t>2026-08-18 08:08:31</t>
  </si>
  <si>
    <t>2026-08-18 10:08:31</t>
  </si>
  <si>
    <t>106.7890347</t>
  </si>
  <si>
    <t>10.8302578</t>
  </si>
  <si>
    <t>Khu, TP, 14.5 Đường D14A Công Nghệ Cao, Tăng Nhơn Phú B, Thủ Đức, Hồ Chí Minh, Việt NamCông Ty TNHH Techtronic Tools (TTi Quận 9)</t>
  </si>
  <si>
    <t>3564493317406417067</t>
  </si>
  <si>
    <t xml:space="preserve">lấy hàng cho cty màng cua gia Thiên </t>
  </si>
  <si>
    <t>2026-08-18 08:36:01</t>
  </si>
  <si>
    <t>2026-08-18 08:46:00</t>
  </si>
  <si>
    <t>2026-08-18 08:36:19</t>
  </si>
  <si>
    <t>2026-08-18 08:36:40</t>
  </si>
  <si>
    <t>106.48017782717943</t>
  </si>
  <si>
    <t>10.842323094076812</t>
  </si>
  <si>
    <t>Đường Chưa Đặt Tên, Mỹ Hạnh, Tây Ninh, Việt NamĐường Chưa Đặt Tên</t>
  </si>
  <si>
    <t>3564494314811908550</t>
  </si>
  <si>
    <t xml:space="preserve">lấy cc di giao </t>
  </si>
  <si>
    <t>2026-08-18 08:40:49</t>
  </si>
  <si>
    <t>2026-08-18 08:50:00</t>
  </si>
  <si>
    <t>2026-08-18 08:41:35</t>
  </si>
  <si>
    <t>2026-08-18 08:41:59</t>
  </si>
  <si>
    <t>Quận 9, Tăng Nhơn Phú, Thành phố Hồ Chí Minh, Hồ Chí Minh, Việt NamQuận 9</t>
  </si>
  <si>
    <t>3564496291453162109</t>
  </si>
  <si>
    <t xml:space="preserve">lấy con cac nè auto
</t>
  </si>
  <si>
    <t>2026-08-18 08:42:45</t>
  </si>
  <si>
    <t>2026-08-18 08:52:00</t>
  </si>
  <si>
    <t>2026-08-18 08:43:35</t>
  </si>
  <si>
    <t>2026-08-18 08:44:07</t>
  </si>
  <si>
    <t>3564895892861579697</t>
  </si>
  <si>
    <t>2026-08-18 22:34:07</t>
  </si>
  <si>
    <t>2026-08-18 22:44:00</t>
  </si>
  <si>
    <t>2026-08-18 23:11:17</t>
  </si>
  <si>
    <t>106.65141642093658</t>
  </si>
  <si>
    <t>10.78002925907841</t>
  </si>
  <si>
    <t>106.72899931669235</t>
  </si>
  <si>
    <t>10.933678127098917</t>
  </si>
  <si>
    <t>373/172/29 Đường Lý Thường Kiệt, phường 8, Tân Bình, Hồ Chí Minh, Việt Nam373/172/29 Đường Lý Thường Kiệt</t>
  </si>
  <si>
    <t>Siemens Việt Nam , VSIP 1, Đường số 9, An Phú, Thuận An, Bình Dương, Việt NamSiemens Việt Nam , VSIP 1</t>
  </si>
  <si>
    <t>3565154974541504721</t>
  </si>
  <si>
    <t>2026-08-19 07:13:24</t>
  </si>
  <si>
    <t>2026-08-19 07:23:23</t>
  </si>
  <si>
    <t>2026-08-19 07:14:32</t>
  </si>
  <si>
    <t>2026-08-19 07:17:46</t>
  </si>
  <si>
    <t>106.490165</t>
  </si>
  <si>
    <t>10.6014965</t>
  </si>
  <si>
    <t>106.6089756</t>
  </si>
  <si>
    <t>11.0996528</t>
  </si>
  <si>
    <t>Công ty TNHH Supply Solutions &amp; Trading - Chi nhánh Long An, Long Cang, Tây Ninh, Việt NamCông ty TNHH Supply Solutions &amp; Trading - Chi nhánh Long An</t>
  </si>
  <si>
    <t>Đường ĐH603, Thới Hoà, Bến Cát, Bình Dương 75000, Việt NamChi Nhánh Công ty TNHH TM DV HC VT</t>
  </si>
  <si>
    <t>3565155220361273978</t>
  </si>
  <si>
    <t>2026-08-19 07:17:01</t>
  </si>
  <si>
    <t>2026-08-19 07:26:59</t>
  </si>
  <si>
    <t>2026-08-19 09:26:59</t>
  </si>
  <si>
    <t>3565165824476144368</t>
  </si>
  <si>
    <t>2026-08-19 07:27:29</t>
  </si>
  <si>
    <t>2026-08-19 07:37:27</t>
  </si>
  <si>
    <t>2026-08-19 11:00:10</t>
  </si>
  <si>
    <t>106.6055686</t>
  </si>
  <si>
    <t>10.8324438</t>
  </si>
  <si>
    <t>54/6E Ấp Tiền Lân, Bà Điểm, Hóc Môn, Hồ Chí Minh 71000, Việt NamCông Ty TNHH VN Đại Phong</t>
  </si>
  <si>
    <t>3565166102793379889</t>
  </si>
  <si>
    <t>2026-08-19 07:23:19</t>
  </si>
  <si>
    <t>2026-08-19 07:33:17</t>
  </si>
  <si>
    <t>2026-08-19 09:33:17</t>
  </si>
  <si>
    <t>106.4938575</t>
  </si>
  <si>
    <t>10.6061586</t>
  </si>
  <si>
    <t>106.82731582117921</t>
  </si>
  <si>
    <t>10.800685865585185</t>
  </si>
  <si>
    <t>Khu A và Khu B, Đường số 10, Khu công nghiệp Thuận Đạomở rộng, Cần Đước, Long An, Việt NamSHUNDAO (VIETNAM) INDUSTRIAL COMPANY LIMITED</t>
  </si>
  <si>
    <t>RR2G+7W Long Trường, Hồ Chí Minh, Việt NamRR2G+7W Long Trường, Hồ Chí Minh, Việt Nam</t>
  </si>
  <si>
    <t>3565170333092892937</t>
  </si>
  <si>
    <t>2026-08-19 07:28:39</t>
  </si>
  <si>
    <t>2026-08-19 07:38:37</t>
  </si>
  <si>
    <t>2026-08-19 09:38:37</t>
  </si>
  <si>
    <t>106.4909375</t>
  </si>
  <si>
    <t>10.6204446</t>
  </si>
  <si>
    <t>106.7610327</t>
  </si>
  <si>
    <t>10.8282188</t>
  </si>
  <si>
    <t>Thuan Dao Industrial Park, TT. Bến Lức, Bến Lức, Long An, Việt NamCông ty Ching Luh</t>
  </si>
  <si>
    <t>9 Đ. Nguyễn Văn Bá, Phước Long A, Thủ Đức, Thành phố Hồ Chí Minh, Việt NamCông Ty Cơ Điện Thủ Đức</t>
  </si>
  <si>
    <t>3565170333092893054</t>
  </si>
  <si>
    <t>2026-08-19 07:29:34</t>
  </si>
  <si>
    <t>2026-08-19 07:39:33</t>
  </si>
  <si>
    <t>2026-08-19 09:39:33</t>
  </si>
  <si>
    <t>106.7157858</t>
  </si>
  <si>
    <t>10.7940779</t>
  </si>
  <si>
    <t>135, 37/41 Hẻm 117 Nguyễn Hữu Cảnh, Thạnh Mỹ Tây, Hồ Chí Minh, Việt Nam135, 37/41 Hẻm 117 Nguyễn Hữu Cảnh, Thạnh Mỹ Tây, Hồ Chí Minh, Việt Nam</t>
  </si>
  <si>
    <t>3565170333092893533</t>
  </si>
  <si>
    <t>2026-08-19 07:32:36</t>
  </si>
  <si>
    <t>2026-08-19 07:42:35</t>
  </si>
  <si>
    <t>2026-08-19 09:42:35</t>
  </si>
  <si>
    <t>10.6216356</t>
  </si>
  <si>
    <t>106.6361766</t>
  </si>
  <si>
    <t>10.8328608</t>
  </si>
  <si>
    <t>Công Ty Tnhh Công Nghệ Quang Lâm, Phan Huy Ích, phường 12, Gò Vấp, Hồ Chí Minh, Việt NamCông Ty Tnhh Công Nghệ Quang Lâm</t>
  </si>
  <si>
    <t>3565170417692005154</t>
  </si>
  <si>
    <t>2026-08-19 07:18:28</t>
  </si>
  <si>
    <t>2026-08-19 07:28:26</t>
  </si>
  <si>
    <t>2026-08-19 09:28:26</t>
  </si>
  <si>
    <t>106.8791878</t>
  </si>
  <si>
    <t>10.9339678</t>
  </si>
  <si>
    <t>C90 Tổ 1, Khu Phố 3, Biên Hòa, Đồng Nai, Việt NamCổng 2 Công ty Cổ Phần Taekwang Vina , Chi nhánh Long Bình</t>
  </si>
  <si>
    <t>3565170417708790489</t>
  </si>
  <si>
    <t>2026-08-19 07:25:39</t>
  </si>
  <si>
    <t>2026-08-19 07:35:37</t>
  </si>
  <si>
    <t>2026-08-19 09:35:37</t>
  </si>
  <si>
    <t>106.7817456</t>
  </si>
  <si>
    <t>11.0981928</t>
  </si>
  <si>
    <t>Hội Nghĩa, Tân Uyên, Bình Dương, Việt NamCông ty TNHH XinHui</t>
  </si>
  <si>
    <t>3565170844269498449</t>
  </si>
  <si>
    <t>2026-08-19 07:21:10</t>
  </si>
  <si>
    <t>2026-08-19 07:31:09</t>
  </si>
  <si>
    <t>2026-08-19 09:31:09</t>
  </si>
  <si>
    <t>106.4929205</t>
  </si>
  <si>
    <t>10.6035447</t>
  </si>
  <si>
    <t>106.6303036</t>
  </si>
  <si>
    <t>10.8228268</t>
  </si>
  <si>
    <t>Synergy In Motion Viet Nam, Long Định, Cần Đước, Long An, Việt NamSynergy In Motion Viet Nam</t>
  </si>
  <si>
    <t>944 Đ. Trường Chinh, Phường 15, Tân Bình, Hồ Chí Minh, Việt NamCông Ty Trần Công Danh</t>
  </si>
  <si>
    <t>3565170844269498543</t>
  </si>
  <si>
    <t>2026-08-19 07:21:47</t>
  </si>
  <si>
    <t>2026-08-19 07:31:45</t>
  </si>
  <si>
    <t>2026-08-19 09:31:45</t>
  </si>
  <si>
    <t>106.592079643777</t>
  </si>
  <si>
    <t>10.795802362629</t>
  </si>
  <si>
    <t>Đường Số 6, Khu Phố 5, Bình Tân, Hồ Chí Minh, VietnamCông Ty Vinh Phát</t>
  </si>
  <si>
    <t>3565170844269499198</t>
  </si>
  <si>
    <t>2026-08-19 07:26:41</t>
  </si>
  <si>
    <t>2026-08-19 07:36:39</t>
  </si>
  <si>
    <t>2026-08-19 09:36:39</t>
  </si>
  <si>
    <t>3565170844286284399</t>
  </si>
  <si>
    <t>2026-08-19 07:32:12</t>
  </si>
  <si>
    <t>2026-08-19 07:42:11</t>
  </si>
  <si>
    <t>2026-08-19 09:42:11</t>
  </si>
  <si>
    <t>106.9904758</t>
  </si>
  <si>
    <t>10.7919807</t>
  </si>
  <si>
    <t>Lô D KCN Lộc An Bình Sơn, Long An, Long Thành, Đồng Nai, Việt NamCÔNG TY TNHH TOPBAND SMART ĐỒNG NAI VIỆT NAM</t>
  </si>
  <si>
    <t>3565171320901825055</t>
  </si>
  <si>
    <t>2026-08-19 07:25:27</t>
  </si>
  <si>
    <t>2026-08-19 07:35:25</t>
  </si>
  <si>
    <t>2026-08-19 09:35:25</t>
  </si>
  <si>
    <t>3565171320901825171</t>
  </si>
  <si>
    <t>2026-08-19 07:26:14</t>
  </si>
  <si>
    <t>2026-08-19 07:36:12</t>
  </si>
  <si>
    <t>2026-08-19 09:36:12</t>
  </si>
  <si>
    <t>3565175340068458585</t>
  </si>
  <si>
    <t>2026-08-19 07:20:01</t>
  </si>
  <si>
    <t>2026-08-19 07:29:59</t>
  </si>
  <si>
    <t>2026-08-19 10:58:25</t>
  </si>
  <si>
    <t>3565175340068458689</t>
  </si>
  <si>
    <t>2026-08-19 07:20:45</t>
  </si>
  <si>
    <t>2026-08-19 07:30:44</t>
  </si>
  <si>
    <t>2026-08-19 09:30:44</t>
  </si>
  <si>
    <t>3565175340093633078</t>
  </si>
  <si>
    <t>2026-08-19 07:30:32</t>
  </si>
  <si>
    <t>2026-08-19 07:40:30</t>
  </si>
  <si>
    <t>2026-08-19 09:40:30</t>
  </si>
  <si>
    <t>106.5116244</t>
  </si>
  <si>
    <t>10.6191207</t>
  </si>
  <si>
    <t>Công Ty TNHH Hitisa, Khu Công Nghiệp Phúc Long, Đường Số 8, Long Hiệp, Bến Lức, Long An, Việt NamCông Ty TNHH Hitisa</t>
  </si>
  <si>
    <t>3565175340110405773</t>
  </si>
  <si>
    <t>2026-08-19 07:34:17</t>
  </si>
  <si>
    <t>2026-08-19 07:44:16</t>
  </si>
  <si>
    <t>2026-08-19 09:44:16</t>
  </si>
  <si>
    <t>106.5129545</t>
  </si>
  <si>
    <t>10.6290657</t>
  </si>
  <si>
    <t>106.7255805</t>
  </si>
  <si>
    <t>10.7864198</t>
  </si>
  <si>
    <t>Lô B4ab, đường số 04, KCN, Phúc Long, Long Hiệp, Bến Lức, Long An, Việt NamCÔNG TY TNHH YUTIAN VIỆT NAM</t>
  </si>
  <si>
    <t>QPPG+H68, An Khánh, Hồ Chí Minh, Việt NamQPPG+H68, An Khánh, Hồ Chí Minh, Việt Nam</t>
  </si>
  <si>
    <t>3565175340110406202</t>
  </si>
  <si>
    <t>2026-08-19 07:36:59</t>
  </si>
  <si>
    <t>2026-08-19 07:46:58</t>
  </si>
  <si>
    <t>2026-08-19 09:46:58</t>
  </si>
  <si>
    <t>3565177072114692713</t>
  </si>
  <si>
    <t>2026-08-19 07:33:02</t>
  </si>
  <si>
    <t>2026-08-19 07:43:01</t>
  </si>
  <si>
    <t>2026-08-19 09:43:01</t>
  </si>
  <si>
    <t>106.5108825</t>
  </si>
  <si>
    <t>10.6230516</t>
  </si>
  <si>
    <t>Lô N 6, Đ. Số 6, KCN Phúc Long, Bến Lức, Long An, Việt NamCông ty TNHH EUROPEAN SNACK FOOD (VIỆT NAM)</t>
  </si>
  <si>
    <t>3565177072114692742</t>
  </si>
  <si>
    <t>2026-08-19 07:33:15</t>
  </si>
  <si>
    <t>2026-08-19 07:43:14</t>
  </si>
  <si>
    <t>2026-08-19 09:43:14</t>
  </si>
  <si>
    <t>3565181220155514972</t>
  </si>
  <si>
    <t>2026-08-19 07:41:42</t>
  </si>
  <si>
    <t>2026-08-19 07:51:41</t>
  </si>
  <si>
    <t>2026-08-19 09:51:41</t>
  </si>
  <si>
    <t>3565181558837179340</t>
  </si>
  <si>
    <t>2026-08-19 07:41:31</t>
  </si>
  <si>
    <t>2026-08-19 07:51:29</t>
  </si>
  <si>
    <t>2026-08-19 12:00:39</t>
  </si>
  <si>
    <t>106.6593646</t>
  </si>
  <si>
    <t>10.9803798</t>
  </si>
  <si>
    <t>10/16 Đ. Chùa Hội Khánh, Phú Cường, Thủ Dầu Một, Bình Dương, Việt NamCông ty TNHH MTV Nhựa Ngọc Thắng</t>
  </si>
  <si>
    <t>3565183833223684676</t>
  </si>
  <si>
    <t>2026-08-19 07:42:56</t>
  </si>
  <si>
    <t>2026-08-19 07:52:54</t>
  </si>
  <si>
    <t>2026-08-19 09:06:16</t>
  </si>
  <si>
    <t>106.5679794</t>
  </si>
  <si>
    <t>10.6378026</t>
  </si>
  <si>
    <t>Công ty TNHH SX,TM Tân Kim Phụng, Phước Lý, Cần Giuộc, Long An, Việt NamCông ty TNHH SX,TM Tân Kim Phụng</t>
  </si>
  <si>
    <t>3565183833223684937</t>
  </si>
  <si>
    <t>2026-08-19 07:44:18</t>
  </si>
  <si>
    <t>2026-08-19 07:54:17</t>
  </si>
  <si>
    <t>2026-08-19 09:54:17</t>
  </si>
  <si>
    <t>3565183833240457271</t>
  </si>
  <si>
    <t>2026-08-19 07:45:36</t>
  </si>
  <si>
    <t>2026-08-19 07:55:35</t>
  </si>
  <si>
    <t>2026-08-19 09:47:38</t>
  </si>
  <si>
    <t>106.55000244235842</t>
  </si>
  <si>
    <t>10.646767649553311</t>
  </si>
  <si>
    <t>JHW2+P2 Phước Lý, Tây Ninh, Việt NamJHW2+P2 Phước Lý, Tây Ninh, Việt Nam</t>
  </si>
  <si>
    <t>3565183833240457451</t>
  </si>
  <si>
    <t>2026-08-19 07:46:28</t>
  </si>
  <si>
    <t>2026-08-19 07:56:26</t>
  </si>
  <si>
    <t>2026-08-19 09:08:04</t>
  </si>
  <si>
    <t>10.646936355710915</t>
  </si>
  <si>
    <t>106.6536826</t>
  </si>
  <si>
    <t>10.7295586</t>
  </si>
  <si>
    <t>Quận 8, Đường số 18, Ấp 2, Bình Hưng, Bình Chánh, Thành phố Hồ Chí Minh, Việt NamQuận 8</t>
  </si>
  <si>
    <t>3565183950362211121</t>
  </si>
  <si>
    <t>2026-08-19 07:44:31</t>
  </si>
  <si>
    <t>2026-08-19 07:54:29</t>
  </si>
  <si>
    <t>2026-08-19 09:54:29</t>
  </si>
  <si>
    <t>106.8239468</t>
  </si>
  <si>
    <t>10.8043179</t>
  </si>
  <si>
    <t>1502/8/27, Nguyễn Duy Trinh, Long Trường, Hồ Chí Minh, Việt Nam1502/8/27, Nguyễn Duy Trinh, Long Trường, Hồ Chí Minh, Việt Nam</t>
  </si>
  <si>
    <t>3565184305233879597</t>
  </si>
  <si>
    <t>2026-08-19 07:37:43</t>
  </si>
  <si>
    <t>2026-08-19 07:47:41</t>
  </si>
  <si>
    <t>2026-08-19 09:47:41</t>
  </si>
  <si>
    <t>3565184305233879835</t>
  </si>
  <si>
    <t>2026-08-19 07:39:02</t>
  </si>
  <si>
    <t>2026-08-19 07:49:00</t>
  </si>
  <si>
    <t>2026-08-19 09:54:10</t>
  </si>
  <si>
    <t>106.5083765</t>
  </si>
  <si>
    <t>3565184533680845554</t>
  </si>
  <si>
    <t>2026-08-19 07:44:54</t>
  </si>
  <si>
    <t>2026-08-19 07:54:52</t>
  </si>
  <si>
    <t>2026-08-19 09:54:52</t>
  </si>
  <si>
    <t>3565187227858465387</t>
  </si>
  <si>
    <t>2026-08-19 07:48:10</t>
  </si>
  <si>
    <t>2026-08-19 07:58:00</t>
  </si>
  <si>
    <t>2026-08-19 09:53:42</t>
  </si>
  <si>
    <t>106.73140458762646</t>
  </si>
  <si>
    <t>10.938461877469251</t>
  </si>
  <si>
    <t>D6 khu phố 4, Khu Dân Cư Viet Sing, Thuận An, Bình Dương, Việt NamD6 khu phố 4, Khu Dân Cư Viet Sing, Thuận An, Bình Dương, Việt Nam</t>
  </si>
  <si>
    <t>3565187227875238945</t>
  </si>
  <si>
    <t>2026-08-19 07:55:19</t>
  </si>
  <si>
    <t>2026-08-19 08:05:18</t>
  </si>
  <si>
    <t>2026-08-19 10:05:18</t>
  </si>
  <si>
    <t>106.6445037</t>
  </si>
  <si>
    <t>10.7432457</t>
  </si>
  <si>
    <t>108, 110 Đ. Phạm Phú Thứ, Phường 3, Quận 6, Hồ Chí Minh 700000, Việt NamCông Ty TNHH Phương Diêm Thuận</t>
  </si>
  <si>
    <t>3565187234451902776</t>
  </si>
  <si>
    <t>2026-08-19 07:41:18</t>
  </si>
  <si>
    <t>2026-08-19 07:51:16</t>
  </si>
  <si>
    <t>2026-08-19 10:46:28</t>
  </si>
  <si>
    <t>3565187234451903187</t>
  </si>
  <si>
    <t>2026-08-19 07:43:35</t>
  </si>
  <si>
    <t>2026-08-19 07:53:33</t>
  </si>
  <si>
    <t>2026-08-19 09:53:33</t>
  </si>
  <si>
    <t>3565191374842319456</t>
  </si>
  <si>
    <t>2026-08-19 07:49:54</t>
  </si>
  <si>
    <t>2026-08-19 07:59:00</t>
  </si>
  <si>
    <t>2026-08-19 08:50:18</t>
  </si>
  <si>
    <t>2026-08-19 08:59:41</t>
  </si>
  <si>
    <t>106.3633069396019</t>
  </si>
  <si>
    <t>10.548076176938537</t>
  </si>
  <si>
    <t>106.78730919957161</t>
  </si>
  <si>
    <t>10.911900422637133</t>
  </si>
  <si>
    <t>Công ty TNHH PRINCE VN, Đường Sô 1, Cụm CN Lợi, Khánh Hậu, Tây Ninh, Việt NamCông ty TNHH PRINCE VN</t>
  </si>
  <si>
    <t>102 Đường Tân An, Tân Đông Hiệp, Dĩ An, Bình Dương, Việt Nam102 Đường Tân An, Tân Đông Hiệp, Dĩ An, Bình Dương, Việt Nam</t>
  </si>
  <si>
    <t>3565191374859104707</t>
  </si>
  <si>
    <t>2026-08-19 07:54:10</t>
  </si>
  <si>
    <t>2026-08-19 08:04:09</t>
  </si>
  <si>
    <t>2026-08-19 10:04:09</t>
  </si>
  <si>
    <t>3565191374875877672</t>
  </si>
  <si>
    <t>2026-08-19 07:58:02</t>
  </si>
  <si>
    <t>2026-08-19 08:08:02</t>
  </si>
  <si>
    <t>2026-08-19 10:08:02</t>
  </si>
  <si>
    <t>3565191517993922889</t>
  </si>
  <si>
    <t>2026-08-19 07:53:56</t>
  </si>
  <si>
    <t>2026-08-19 08:03:00</t>
  </si>
  <si>
    <t>2026-08-19 10:24:52</t>
  </si>
  <si>
    <t>106.39862693846226</t>
  </si>
  <si>
    <t>10.54389174302159</t>
  </si>
  <si>
    <t>106.86443276703358</t>
  </si>
  <si>
    <t>10.968211107287365</t>
  </si>
  <si>
    <t>306, Tp. Tân An, Long An, Việt NamHẻm 306</t>
  </si>
  <si>
    <t>19 Hẻm 805/2 Nguyễn Ái Quốc, Phường Tân Hiệp, Biên Hòa, Đồng Nai, Việt Nam19 Hẻm 805/2 Nguyễn Ái Quốc</t>
  </si>
  <si>
    <t>3565191518010696303</t>
  </si>
  <si>
    <t>2026-08-19 07:59:37</t>
  </si>
  <si>
    <t>2026-08-19 08:09:37</t>
  </si>
  <si>
    <t>2026-08-19 10:09:37</t>
  </si>
  <si>
    <t>106.6187517</t>
  </si>
  <si>
    <t>10.7128806</t>
  </si>
  <si>
    <t>23 Đ. An Dương Vương, Phường 16, Quận 8, Hồ Chí Minh, Việt NamCông Ty Tnhh Trần Tỷ</t>
  </si>
  <si>
    <t>3565193403316789420</t>
  </si>
  <si>
    <t>2026-08-19 07:56:07</t>
  </si>
  <si>
    <t>2026-08-19 08:06:06</t>
  </si>
  <si>
    <t>2026-08-19 10:06:06</t>
  </si>
  <si>
    <t>3565193403316790287</t>
  </si>
  <si>
    <t>Completed Unexpectedly</t>
  </si>
  <si>
    <t>2026-08-19 07:59:50</t>
  </si>
  <si>
    <t>2026-08-19 08:09:50</t>
  </si>
  <si>
    <t>2026-08-19 10:40:25</t>
  </si>
  <si>
    <t>2026-08-19 10:45:48</t>
  </si>
  <si>
    <t>2026-08-19 10:52:35</t>
  </si>
  <si>
    <t>3565193606933475875</t>
  </si>
  <si>
    <t>2026-08-19 07:58:30</t>
  </si>
  <si>
    <t>2026-08-19 08:08:29</t>
  </si>
  <si>
    <t>2026-08-19 10:08:29</t>
  </si>
  <si>
    <t>3565193668950455139</t>
  </si>
  <si>
    <t>2026-08-19 08:03:45</t>
  </si>
  <si>
    <t>2026-08-19 08:13:45</t>
  </si>
  <si>
    <t>2026-08-19 10:13:45</t>
  </si>
  <si>
    <t>106.5099105</t>
  </si>
  <si>
    <t>10.6322967</t>
  </si>
  <si>
    <t>400 QL1A, Bến Lức, Tây Ninh, Việt Nam400 Quốc lộ 1A</t>
  </si>
  <si>
    <t>3565193970890003250</t>
  </si>
  <si>
    <t>2026-08-19 07:55:42</t>
  </si>
  <si>
    <t>2026-08-19 08:05:41</t>
  </si>
  <si>
    <t>2026-08-19 10:05:41</t>
  </si>
  <si>
    <t>106.7088457</t>
  </si>
  <si>
    <t>10.7467813</t>
  </si>
  <si>
    <t>BIA HƠI QUẬN 7 | KIÊN BÉO, Đường số 9, Tân Hưng, Hồ Chí Minh, Việt NamBIA HƠI QUẬN 7 | KIÊN BÉO</t>
  </si>
  <si>
    <t>3565193970906788042</t>
  </si>
  <si>
    <t>2026-08-19 07:57:26</t>
  </si>
  <si>
    <t>2026-08-19 08:07:26</t>
  </si>
  <si>
    <t>2026-08-19 10:07:26</t>
  </si>
  <si>
    <t>106.6471137</t>
  </si>
  <si>
    <t>10.8930888</t>
  </si>
  <si>
    <t>CÔNG TY CỔ PHẦN BA THANH QUẬN 12, Lê Văn Khương, Thới An, Quận 12, Thành phố Hồ Chí Minh, Việt NamCÔNG TY CỔ PHẦN BA THANH QUẬN 12</t>
  </si>
  <si>
    <t>3565193970931949698</t>
  </si>
  <si>
    <t>2026-08-19 08:01:14</t>
  </si>
  <si>
    <t>2026-08-19 08:11:14</t>
  </si>
  <si>
    <t>2026-08-19 08:58:27</t>
  </si>
  <si>
    <t>3565193970931950102</t>
  </si>
  <si>
    <t>2026-08-19 08:02:55</t>
  </si>
  <si>
    <t>2026-08-19 08:12:54</t>
  </si>
  <si>
    <t>2026-08-19 10:12:54</t>
  </si>
  <si>
    <t>3565195935585882379</t>
  </si>
  <si>
    <t>2026-08-19 08:06:25</t>
  </si>
  <si>
    <t>2026-08-19 10:06:25</t>
  </si>
  <si>
    <t>3565195935585882446</t>
  </si>
  <si>
    <t>2026-08-19 07:56:45</t>
  </si>
  <si>
    <t>2026-08-19 08:06:45</t>
  </si>
  <si>
    <t>2026-08-19 11:57:02</t>
  </si>
  <si>
    <t>3565195935602668048</t>
  </si>
  <si>
    <t>2026-08-19 08:01:54</t>
  </si>
  <si>
    <t>2026-08-19 08:11:53</t>
  </si>
  <si>
    <t>2026-08-19 10:11:53</t>
  </si>
  <si>
    <t>3565195961221468357</t>
  </si>
  <si>
    <t>2026-08-19 07:59:24</t>
  </si>
  <si>
    <t>2026-08-19 08:09:24</t>
  </si>
  <si>
    <t>2026-08-19 10:09:24</t>
  </si>
  <si>
    <t>3565195961246638303</t>
  </si>
  <si>
    <t>2026-08-19 08:04:21</t>
  </si>
  <si>
    <t>2026-08-19 08:14:20</t>
  </si>
  <si>
    <t>2026-08-19 10:14:20</t>
  </si>
  <si>
    <t>3565196888607249333</t>
  </si>
  <si>
    <t>2026-08-19 08:00:29</t>
  </si>
  <si>
    <t>2026-08-19 08:10:28</t>
  </si>
  <si>
    <t>2026-08-19 10:51:25</t>
  </si>
  <si>
    <t>3565199298687881663</t>
  </si>
  <si>
    <t>2026-08-19 08:02:41</t>
  </si>
  <si>
    <t>2026-08-19 08:12:41</t>
  </si>
  <si>
    <t>2026-08-19 10:12:41</t>
  </si>
  <si>
    <t>3565199410709352749</t>
  </si>
  <si>
    <t>2026-08-19 08:02:28</t>
  </si>
  <si>
    <t>2026-08-19 08:12:27</t>
  </si>
  <si>
    <t>2026-08-19 10:12:27</t>
  </si>
  <si>
    <t>106.6592056</t>
  </si>
  <si>
    <t>10.7557306</t>
  </si>
  <si>
    <t>45 Phạm Hữu Chí, Phường 12, Quận 5, Hồ Chí Minh, Việt NamCông Ty Tnhh Quốc Hoàng</t>
  </si>
  <si>
    <t>3565200936085450792</t>
  </si>
  <si>
    <t>2026-08-19 08:03:59</t>
  </si>
  <si>
    <t>2026-08-19 08:13:58</t>
  </si>
  <si>
    <t>2026-08-19 10:13:58</t>
  </si>
  <si>
    <t>3565201185210327527</t>
  </si>
  <si>
    <t>2026-08-19 08:13:12</t>
  </si>
  <si>
    <t>2026-08-19 08:23:00</t>
  </si>
  <si>
    <t>2026-08-19 11:07:33</t>
  </si>
  <si>
    <t>106.30598343908787</t>
  </si>
  <si>
    <t>10.458343150149723</t>
  </si>
  <si>
    <t>106.647212728858</t>
  </si>
  <si>
    <t>10.803703335394124</t>
  </si>
  <si>
    <t>CÔNG TY TNHH BESTWAY, Khu Công Nghiệp, Tân Lập 1, Tân Phước, Tiền Giang, Việt NamCÔNG TY TNHH BESTWAY</t>
  </si>
  <si>
    <t>205 Hoàng Hoa Thám, Phường 13, Tân Bình, Thành phố Hồ Chí Minh, Việt Nam205 Hoàng Hoa Thám</t>
  </si>
  <si>
    <t>3565205623731872275</t>
  </si>
  <si>
    <t>hang 80kg nha tx</t>
  </si>
  <si>
    <t>2026-08-19 08:20:33</t>
  </si>
  <si>
    <t>2026-08-19 08:30:00</t>
  </si>
  <si>
    <t>2026-08-19 08:20:43</t>
  </si>
  <si>
    <t>2026-08-19 08:20:54</t>
  </si>
  <si>
    <t>107.4262813</t>
  </si>
  <si>
    <t>10.5585237</t>
  </si>
  <si>
    <t>Xuyên Mộc, Bà Rịa - Vũng Tàu, Việt NamXuyên Mộc</t>
  </si>
  <si>
    <t>3565206689244471454</t>
  </si>
  <si>
    <t>2026-08-19 08:18:03</t>
  </si>
  <si>
    <t>2026-08-19 08:28:00</t>
  </si>
  <si>
    <t>2026-08-19 08:18:07</t>
  </si>
  <si>
    <t>2026-08-19 08:18:25</t>
  </si>
  <si>
    <t>11.5099618</t>
  </si>
  <si>
    <t>Bình Phước, Đồng Nai, Việt NamBình Phước</t>
  </si>
  <si>
    <t>3565208488777044384</t>
  </si>
  <si>
    <t>2026-08-19 08:18:56</t>
  </si>
  <si>
    <t>2026-08-19 08:19:00</t>
  </si>
  <si>
    <t>2026-08-19 08:19:09</t>
  </si>
  <si>
    <t>3565208891564446032</t>
  </si>
  <si>
    <t>2026-08-19 08:19:37</t>
  </si>
  <si>
    <t>2026-08-19 08:29:00</t>
  </si>
  <si>
    <t>2026-08-19 08:19:41</t>
  </si>
  <si>
    <t>2026-08-19 08:19:49</t>
  </si>
  <si>
    <t>106.4994889</t>
  </si>
  <si>
    <t>10.5280095</t>
  </si>
  <si>
    <t>Tân Trụ, Long An, Việt NamTân Trụ</t>
  </si>
  <si>
    <t>3565208891606393024</t>
  </si>
  <si>
    <t>2026-08-19 08:25:09</t>
  </si>
  <si>
    <t>2026-08-19 08:35:00</t>
  </si>
  <si>
    <t>2026-08-19 08:42:23</t>
  </si>
  <si>
    <t>106.31478141993284</t>
  </si>
  <si>
    <t>10.461936927273232</t>
  </si>
  <si>
    <t>106.68829511851072</t>
  </si>
  <si>
    <t>10.822805382110527</t>
  </si>
  <si>
    <t>Trạm Gas South , Yongjin, Tân Lập 1, Tân Phước, Tiền Giang, Việt NamTrạm Gas South , Yongjin</t>
  </si>
  <si>
    <t>4 Đường Nguyễn Văn Nghi, Phường 5, Quận Gò Vấp, Hồ Chí Minh, Việt Nam4 Đường Nguyễn Văn Nghi</t>
  </si>
  <si>
    <t>3565210567876759759</t>
  </si>
  <si>
    <t>2026-08-19 08:22:22</t>
  </si>
  <si>
    <t>2026-08-19 08:32:00</t>
  </si>
  <si>
    <t>2026-08-19 09:07:03</t>
  </si>
  <si>
    <t>2026-08-19 09:08:00</t>
  </si>
  <si>
    <t>106.65973596274853</t>
  </si>
  <si>
    <t>10.803249842955015</t>
  </si>
  <si>
    <t>23 Đường Ba Vì, Phường 4, Quận Tân Bình, Hồ Chí Minh, Việt NamCông Ty CP Đầu Tư Thiết Bị Việt Long</t>
  </si>
  <si>
    <t>3565215198405153736</t>
  </si>
  <si>
    <t xml:space="preserve">50kg không xin thêm </t>
  </si>
  <si>
    <t>2026-08-19 08:32:49</t>
  </si>
  <si>
    <t>2026-08-19 08:42:00</t>
  </si>
  <si>
    <t>2026-08-19 08:33:04</t>
  </si>
  <si>
    <t>2026-08-19 08:33:22</t>
  </si>
  <si>
    <t>106.47655986249447</t>
  </si>
  <si>
    <t>10.808381150612496</t>
  </si>
  <si>
    <t>105.8799598</t>
  </si>
  <si>
    <t>10.3196309</t>
  </si>
  <si>
    <t>hai, Đ.Cây Đ./469 Ấp Bình Tiền 2, Đức Hòa Hạ, Đức Hòa, Long An, Việt Nam469 Dường Cây Dương</t>
  </si>
  <si>
    <t>8V9H+RXM, QL30, Thanh Hưng, Đồng Tháp, Việt NamTiền Giang</t>
  </si>
  <si>
    <t>3565215345482620961</t>
  </si>
  <si>
    <t>2026-08-19 08:36:09</t>
  </si>
  <si>
    <t>2026-08-19 08:46:00</t>
  </si>
  <si>
    <t>2026-08-19 08:36:20</t>
  </si>
  <si>
    <t>2026-08-19 08:36:50</t>
  </si>
  <si>
    <t>3565216449247273481</t>
  </si>
  <si>
    <t>2026-08-19 08:39:07</t>
  </si>
  <si>
    <t>2026-08-19 08:49:00</t>
  </si>
  <si>
    <t>2026-08-19 08:39:20</t>
  </si>
  <si>
    <t>2026-08-19 08:39:55</t>
  </si>
  <si>
    <t>3565216449247273490</t>
  </si>
  <si>
    <t>2026-08-19 08:39:08</t>
  </si>
  <si>
    <t>2026-08-19 08:46:33</t>
  </si>
  <si>
    <t>2026-08-19 08:54:50</t>
  </si>
  <si>
    <t>106.49800982326269</t>
  </si>
  <si>
    <t>10.631614148667111</t>
  </si>
  <si>
    <t>106.670245192945</t>
  </si>
  <si>
    <t>10.792942503003369</t>
  </si>
  <si>
    <t>Thị Trấn Bến Lức, Huyện Bến Lức, Long An, Việt NamQuán Ăn Đồng Quê 1</t>
  </si>
  <si>
    <t>Đường Lê Văn Sỹ 184, 72220 Hồ Chí Minh, Việt NamHana Lady</t>
  </si>
  <si>
    <t>3565216470705332790</t>
  </si>
  <si>
    <t xml:space="preserve">đến ve lấy </t>
  </si>
  <si>
    <t>2026-08-19 08:34:08</t>
  </si>
  <si>
    <t>2026-08-19 08:44:00</t>
  </si>
  <si>
    <t>2026-08-19 08:34:22</t>
  </si>
  <si>
    <t>2026-08-19 08:34:44</t>
  </si>
  <si>
    <t>106.6880841</t>
  </si>
  <si>
    <t>10.6048346</t>
  </si>
  <si>
    <t>Cần Giuộc, Long An, Việt NamCần Giuộc</t>
  </si>
  <si>
    <t>3565217649438970834</t>
  </si>
  <si>
    <t xml:space="preserve">đến lấy hàng </t>
  </si>
  <si>
    <t>2026-08-19 08:37:31</t>
  </si>
  <si>
    <t>2026-08-19 08:47:00</t>
  </si>
  <si>
    <t>2026-08-19 08:37:43</t>
  </si>
  <si>
    <t>2026-08-19 08:38:14</t>
  </si>
  <si>
    <t>221/2h Đ. Phan Văn Khỏe, Bình Tây, Hồ Chí Minh, Việt NamQuận 6</t>
  </si>
  <si>
    <t>3565217961788789392</t>
  </si>
  <si>
    <t>2026-08-19 08:37:19</t>
  </si>
  <si>
    <t>2026-08-19 08:37:36</t>
  </si>
  <si>
    <t>2026-08-19 09:02:37</t>
  </si>
  <si>
    <t>106.41913678497076</t>
  </si>
  <si>
    <t>10.561482462780845</t>
  </si>
  <si>
    <t>QL.1A,82107Quán Ăn Hương Quê</t>
  </si>
  <si>
    <t>3565219340313915588</t>
  </si>
  <si>
    <t>2026-08-19 08:41:27</t>
  </si>
  <si>
    <t>2026-08-19 08:51:00</t>
  </si>
  <si>
    <t>2026-08-19 08:41:34</t>
  </si>
  <si>
    <t>2026-08-19 08:51:35</t>
  </si>
  <si>
    <t>106.48545406758785</t>
  </si>
  <si>
    <t>10.640324573905097</t>
  </si>
  <si>
    <t>164 Đường Võ Công Tồn, Thị Trấn Bến Lức, Huyện Bến Lức, Long An, Việt NamTiệm Bánh Sầu Riêng Bé Te</t>
  </si>
  <si>
    <t>3565219479464137289</t>
  </si>
  <si>
    <t>2026-08-19 08:40:05</t>
  </si>
  <si>
    <t>2026-08-19 08:50:00</t>
  </si>
  <si>
    <t>2026-08-19 08:40:17</t>
  </si>
  <si>
    <t>2026-08-19 08:40:44</t>
  </si>
  <si>
    <t>3565220503620903352</t>
  </si>
  <si>
    <t>2026-08-19 08:41:35</t>
  </si>
  <si>
    <t>2026-08-19 08:41:49</t>
  </si>
  <si>
    <t>2026-08-19 08:42:07</t>
  </si>
  <si>
    <t>3565221530948555174</t>
  </si>
  <si>
    <t xml:space="preserve">gần cây xăng </t>
  </si>
  <si>
    <t>2026-08-19 08:43:35</t>
  </si>
  <si>
    <t>2026-08-19 08:53:00</t>
  </si>
  <si>
    <t>2026-08-19 08:43:46</t>
  </si>
  <si>
    <t>2026-08-19 08:44:05</t>
  </si>
  <si>
    <t>106.4111425</t>
  </si>
  <si>
    <t>10.516389</t>
  </si>
  <si>
    <t>Tân An, Tây Ninh, Việt NamTân An</t>
  </si>
  <si>
    <t>3565232375153779504</t>
  </si>
  <si>
    <t xml:space="preserve">nhận đi mấy anh ơi, sao không ai vậy </t>
  </si>
  <si>
    <t>2026-08-19 09:09:00</t>
  </si>
  <si>
    <t>2026-08-19 09:19:00</t>
  </si>
  <si>
    <t>2026-08-19 12:20:35</t>
  </si>
  <si>
    <t>3565367936552236001</t>
  </si>
  <si>
    <t>2026-08-19 13:33:24</t>
  </si>
  <si>
    <t>2026-08-19 13:43:00</t>
  </si>
  <si>
    <t>2026-08-19 14:31:16</t>
  </si>
  <si>
    <t>106.399390026927</t>
  </si>
  <si>
    <t>10.548015198987503</t>
  </si>
  <si>
    <t>106.7529514</t>
  </si>
  <si>
    <t>10.9006383</t>
  </si>
  <si>
    <t>Đường Hùng Vương Nối Dài,82110MV Beauty</t>
  </si>
  <si>
    <t>Dĩ An, Thành phố Hồ Chí Minh, Bình Dương, Việt NamDĩ An</t>
  </si>
  <si>
    <t>3565368578725343955</t>
  </si>
  <si>
    <t>2026-08-19 13:35:54</t>
  </si>
  <si>
    <t>2026-08-19 13:45:00</t>
  </si>
  <si>
    <t>2026-08-19 16:02:10</t>
  </si>
  <si>
    <t>106.34515173733234</t>
  </si>
  <si>
    <t>10.486100864664726</t>
  </si>
  <si>
    <t>106.75996609032154</t>
  </si>
  <si>
    <t>10.900702322034773</t>
  </si>
  <si>
    <t>77 ĐT866, Tân Hương, Đồng Tháp, Việt Nam77 Đường tỉnh 866</t>
  </si>
  <si>
    <t>81 Đường số 21, Dĩ An, Bình Dương 75000, Việt Nam81 Đường số 21</t>
  </si>
  <si>
    <t>3565369247289012658</t>
  </si>
  <si>
    <t>2026-08-19 13:36:44</t>
  </si>
  <si>
    <t>2026-08-19 13:46:00</t>
  </si>
  <si>
    <t>2026-08-19 14:54:52</t>
  </si>
  <si>
    <t>106.39836207032204</t>
  </si>
  <si>
    <t>10.550741725614438</t>
  </si>
  <si>
    <t>106.7719005793333</t>
  </si>
  <si>
    <t>10.910786689119115</t>
  </si>
  <si>
    <t>84 Tuyến tránh QL 1, Long An, Tây Ninh, Việt Nam84 Tuyến tránh QL 1</t>
  </si>
  <si>
    <t>Bánh Kem Rau Câu Trường An, Đông Tác, P, phường Tân Đông Hiệp, Dĩ An, Bình Dương, Việt NamBánh Kem Rau Câu Trường An</t>
  </si>
  <si>
    <t>3565877103104840670</t>
  </si>
  <si>
    <t>2026-08-20 07:03:37</t>
  </si>
  <si>
    <t>2026-08-20 07:13:00</t>
  </si>
  <si>
    <t>2026-08-20 09:13:00</t>
  </si>
  <si>
    <t>106.30635123699903</t>
  </si>
  <si>
    <t>10.458177307870674</t>
  </si>
  <si>
    <t>106.65078945457935</t>
  </si>
  <si>
    <t>10.800583214519094</t>
  </si>
  <si>
    <t>120 Đường A4, Phường 12, Tân Bình, Hồ Chí Minh, Việt Nam120 Đường A4</t>
  </si>
  <si>
    <t>3565877103121625644</t>
  </si>
  <si>
    <t>2026-08-20 07:08:05</t>
  </si>
  <si>
    <t>2026-08-20 07:18:03</t>
  </si>
  <si>
    <t>2026-08-20 09:26:21</t>
  </si>
  <si>
    <t>106.6535879</t>
  </si>
  <si>
    <t>11.1186527</t>
  </si>
  <si>
    <t>CTY TNHH CHERVON VIỆT NAM - Xưởng 1, DE5, P, Thới Hòa, Hồ Chí Minh, Việt NamCTY TNHH CHERVON VIỆT NAM - Xưởng 1</t>
  </si>
  <si>
    <t>3565882913029575366</t>
  </si>
  <si>
    <t>2026-08-20 06:58:25</t>
  </si>
  <si>
    <t>2026-08-20 07:08:00</t>
  </si>
  <si>
    <t>2026-08-20 09:11:33</t>
  </si>
  <si>
    <t>106.36606357991695</t>
  </si>
  <si>
    <t>10.55088213844459</t>
  </si>
  <si>
    <t>106.77031103521585</t>
  </si>
  <si>
    <t>10.90962521501621</t>
  </si>
  <si>
    <t>Lô C1 Đường Sô 1, Cụm CN, Khánh Hậu, Tây Ninh, Việt NamLô C1 Đường Sô 1</t>
  </si>
  <si>
    <t>350 Đường Nguyễn An Ninh, Phường Dĩ An, Dĩ An, Bình Dương, Việt Nam350 Đường Nguyễn An Ninh</t>
  </si>
  <si>
    <t>3565883754859950851</t>
  </si>
  <si>
    <t>2026-08-20 06:59:59</t>
  </si>
  <si>
    <t>2026-08-20 07:09:00</t>
  </si>
  <si>
    <t>2026-08-20 09:11:50</t>
  </si>
  <si>
    <t>106.36153802275658</t>
  </si>
  <si>
    <t>10.547229076752894</t>
  </si>
  <si>
    <t>106.62206768989563</t>
  </si>
  <si>
    <t>10.758129689452552</t>
  </si>
  <si>
    <t>20 Đường số 6, Lợi Bình Nhơn, Tân An, Long An, Việt NamBao Bì Đại Lục CN Long An Kho Mới</t>
  </si>
  <si>
    <t>398/TL10/24 24, Khu Phố 15, Bình Tân, Hồ Chí Minh, Việt Nam24,Tỉnh lộ 10</t>
  </si>
  <si>
    <t>3565883754876723776</t>
  </si>
  <si>
    <t>2026-08-20 07:06:30</t>
  </si>
  <si>
    <t>2026-08-20 07:16:00</t>
  </si>
  <si>
    <t>2026-08-20 09:44:51</t>
  </si>
  <si>
    <t>106.35246008634567</t>
  </si>
  <si>
    <t>10.495822218772497</t>
  </si>
  <si>
    <t>106.4460913091898</t>
  </si>
  <si>
    <t>10.809646756491128</t>
  </si>
  <si>
    <t>Đ. Số 1, Tân Hương, Đồng Tháp, Việt NamĐ. Số 1</t>
  </si>
  <si>
    <t>ĐT824, Hựu Thạnh, Đức Hòa, Long An, Việt NamNhà Nghỉ Yến Anh</t>
  </si>
  <si>
    <t>3565883754876724211</t>
  </si>
  <si>
    <t>2026-08-20 07:09:56</t>
  </si>
  <si>
    <t>2026-08-20 07:19:55</t>
  </si>
  <si>
    <t>2026-08-20 09:19:55</t>
  </si>
  <si>
    <t>106.6579677</t>
  </si>
  <si>
    <t>10.9748155</t>
  </si>
  <si>
    <t>Công Ty Bảo Việt Bình Dương, Lý Thường Kiệt, phường, Thủ Dầu Một, Hồ Chí Minh, Việt NamCông Ty Bảo Việt Bình Dương</t>
  </si>
  <si>
    <t>3565883796215784352</t>
  </si>
  <si>
    <t>2026-08-20 07:01:12</t>
  </si>
  <si>
    <t>2026-08-20 07:11:00</t>
  </si>
  <si>
    <t>2026-08-20 09:11:00</t>
  </si>
  <si>
    <t>106.34603183716536</t>
  </si>
  <si>
    <t>10.492009603921154</t>
  </si>
  <si>
    <t>106.66133355349302</t>
  </si>
  <si>
    <t>10.783610361900754</t>
  </si>
  <si>
    <t>ĐT.866,84610Xã Tân Lý Đông</t>
  </si>
  <si>
    <t>Đường Bắc Hải 276, 72117 Hồ Chí Minh, Việt NamNha Khoa Hồng Ngọc Nha Khoa Uy Tín Tân Bình Nha Khoa Thẩm Mỹ Quận 10</t>
  </si>
  <si>
    <t>3565883796249342655</t>
  </si>
  <si>
    <t>2026-08-20 07:15:11</t>
  </si>
  <si>
    <t>2026-08-20 07:25:09</t>
  </si>
  <si>
    <t>2026-08-20 09:25:09</t>
  </si>
  <si>
    <t>106.4950478</t>
  </si>
  <si>
    <t>10.6029568</t>
  </si>
  <si>
    <t>106.57682970487976</t>
  </si>
  <si>
    <t>10.910251766486613</t>
  </si>
  <si>
    <t>CÔNG TY TNHH ADVANCE KNITTING VIỆT NAM, COMMUNE, Long Cang, Tây Ninh, Việt NamCÔNG TY TNHH ADVANCE KNITTING VIỆT NAM</t>
  </si>
  <si>
    <t>WH6G+4P Hóc Môn, Hồ Chí Minh, Việt NamWH6G+4P Hóc Môn, Hồ Chí Minh, Việt Nam</t>
  </si>
  <si>
    <t>3565886202177614674</t>
  </si>
  <si>
    <t>2026-08-20 07:18:28</t>
  </si>
  <si>
    <t>2026-08-20 07:28:26</t>
  </si>
  <si>
    <t>2026-08-20 09:28:26</t>
  </si>
  <si>
    <t>106.59979903578188</t>
  </si>
  <si>
    <t>10.794935147822118</t>
  </si>
  <si>
    <t>QHVX+XW Bình Hưng Hòa, Hồ Chí Minh, Việt NamQHVX+XW Bình Hưng Hòa, Hồ Chí Minh, Việt Nam</t>
  </si>
  <si>
    <t>3565887361944605445</t>
  </si>
  <si>
    <t xml:space="preserve">quần áo tranh mắc mưa </t>
  </si>
  <si>
    <t>2026-08-20 07:04:58</t>
  </si>
  <si>
    <t>2026-08-20 07:14:00</t>
  </si>
  <si>
    <t>2026-08-20 10:14:15</t>
  </si>
  <si>
    <t>2026-08-20 10:23:32</t>
  </si>
  <si>
    <t>106.36051509529352</t>
  </si>
  <si>
    <t>10.488522330622468</t>
  </si>
  <si>
    <t>106.77281353622675</t>
  </si>
  <si>
    <t>10.91040479904185</t>
  </si>
  <si>
    <t>Đ. D3, Tân Hương, Châu Thành, Tiền Giang, Việt NamCTY TNHH HANSAE TG</t>
  </si>
  <si>
    <t>237 Đường Trần Quang Khải, Tân Đông Hiệp, Dĩ An, Bình Dương, Việt Nam237 Đường Trần Quang Khải</t>
  </si>
  <si>
    <t>3565887361978163686</t>
  </si>
  <si>
    <t>2026-08-20 07:17:41</t>
  </si>
  <si>
    <t>2026-08-20 07:27:39</t>
  </si>
  <si>
    <t>2026-08-20 09:27:39</t>
  </si>
  <si>
    <t>106.6445654359985</t>
  </si>
  <si>
    <t>10.804507065505675</t>
  </si>
  <si>
    <t>36/1 Số 1, Tân Bình, Hồ Chí Minh, Việt Nam36/1 Số 1, Tân Bình, Hồ Chí Minh, Việt Nam</t>
  </si>
  <si>
    <t>3565891542793277789</t>
  </si>
  <si>
    <t>2026-08-20 07:07:24</t>
  </si>
  <si>
    <t>2026-08-20 07:17:00</t>
  </si>
  <si>
    <t>2026-08-20 09:22:48</t>
  </si>
  <si>
    <t>106.37551803141832</t>
  </si>
  <si>
    <t>10.49532409251444</t>
  </si>
  <si>
    <t>106.87920805066824</t>
  </si>
  <si>
    <t>10.923486888313173</t>
  </si>
  <si>
    <t>1193 QL1A, Khánh Hậu, Tân An, Long An, Việt Nam1193 Quốc lộ 1A</t>
  </si>
  <si>
    <t>suối Bà Lúa, Tp. Biên Hòa, Đồng Nai, Việt Namsuối Bà Lúa</t>
  </si>
  <si>
    <t>3565895135717970721</t>
  </si>
  <si>
    <t>2026-08-20 07:22:00</t>
  </si>
  <si>
    <t>2026-08-20 07:31:59</t>
  </si>
  <si>
    <t>2026-08-20 09:31:59</t>
  </si>
  <si>
    <t>106.7509567</t>
  </si>
  <si>
    <t>10.8856414</t>
  </si>
  <si>
    <t>Công ty Bao Bì NgaiMee, Đường Số 6, Dĩ An, Hồ Chí Minh, Việt NamCông ty Bao Bì NgaiMee</t>
  </si>
  <si>
    <t>3565895135734756076</t>
  </si>
  <si>
    <t>2026-08-20 07:27:33</t>
  </si>
  <si>
    <t>2026-08-20 07:37:31</t>
  </si>
  <si>
    <t>2026-08-20 09:37:31</t>
  </si>
  <si>
    <t>106.510864</t>
  </si>
  <si>
    <t>10.6190588</t>
  </si>
  <si>
    <t>Công ty cổ phần Sơn và Chống thấm Việt Nhật, Đường Số 8, Khu công nghiệp Phúc Long, Mỹ Yên, Tây Ninh, Việt NamCông ty cổ phần Sơn và Chống thấm Việt Nhật</t>
  </si>
  <si>
    <t>3565895135734756258</t>
  </si>
  <si>
    <t>2026-08-20 07:28:31</t>
  </si>
  <si>
    <t>2026-08-20 07:38:29</t>
  </si>
  <si>
    <t>2026-08-20 07:54:12</t>
  </si>
  <si>
    <t>2026-08-20 07:57:46</t>
  </si>
  <si>
    <t>106.5343575</t>
  </si>
  <si>
    <t>10.6390083</t>
  </si>
  <si>
    <t>106.9428916</t>
  </si>
  <si>
    <t>10.8195426</t>
  </si>
  <si>
    <t>Công Ty Tnhh Hitisa Vina, Đường tỉnh 835, Mỹ Yên, Tây Ninh, Việt NamCông Ty Tnhh Hitisa Vina</t>
  </si>
  <si>
    <t>Chi Nhánh Công ty TNHH TFV Industries tại Long Thành, Đ. Song Hành Quốc lộ 51, Bình An, Đồng Nai, Việt NamChi Nhánh Công ty TNHH TFV Industries tại Long Thành</t>
  </si>
  <si>
    <t>3565896277147472173</t>
  </si>
  <si>
    <t>2026-08-20 07:20:06</t>
  </si>
  <si>
    <t>2026-08-20 07:30:05</t>
  </si>
  <si>
    <t>2026-08-20 09:30:05</t>
  </si>
  <si>
    <t>106.7877331</t>
  </si>
  <si>
    <t>10.8233057</t>
  </si>
  <si>
    <t>CÔNG TY TNHH SAMIL PHARMACEUTICAL, Đường D15, Tăng Nhơn Phú, Hồ Chí Minh, Việt NamCÔNG TY TNHH SAMIL PHARMACEUTICAL</t>
  </si>
  <si>
    <t>3565896277164257451</t>
  </si>
  <si>
    <t>2026-08-20 07:25:46</t>
  </si>
  <si>
    <t>2026-08-20 07:35:45</t>
  </si>
  <si>
    <t>2026-08-20 09:35:45</t>
  </si>
  <si>
    <t>106.4879115</t>
  </si>
  <si>
    <t>10.6193971</t>
  </si>
  <si>
    <t>CÔNG TY TNHH RICHFIELD VN, Bến Lức, Tây Ninh, Việt NamCÔNG TY TNHH RICHFIELD VN</t>
  </si>
  <si>
    <t>3565896277164257627</t>
  </si>
  <si>
    <t>2026-08-20 07:26:57</t>
  </si>
  <si>
    <t>2026-08-20 07:36:55</t>
  </si>
  <si>
    <t>2026-08-20 07:58:58</t>
  </si>
  <si>
    <t>106.4929442</t>
  </si>
  <si>
    <t>10.6307586</t>
  </si>
  <si>
    <t>Bình Quốc Tế Bến Lức, Đường Phan Văn Mãng, Bến Lức, Tây Ninh, Việt NamBình Quốc Tế Bến Lức</t>
  </si>
  <si>
    <t>3565899298975731713</t>
  </si>
  <si>
    <t>2026-08-20 07:29:02</t>
  </si>
  <si>
    <t>2026-08-20 07:39:00</t>
  </si>
  <si>
    <t>2026-08-20 09:39:00</t>
  </si>
  <si>
    <t>106.5111476</t>
  </si>
  <si>
    <t>10.6208376</t>
  </si>
  <si>
    <t>106.8484686</t>
  </si>
  <si>
    <t>11.0058459</t>
  </si>
  <si>
    <t>Công ty Tnhh Korviet Vina, Đường Số 7, KCN Phúc Long, Mỹ Yên, Tây Ninh, Việt NamCông ty Tnhh Korviet Vina</t>
  </si>
  <si>
    <t>Công Ty Chang Shin VN, Thạnh Phú, KCN, Tân Triều, Đồng Nai, Việt NamCông Ty Chang Shin VN</t>
  </si>
  <si>
    <t>3565899298975732091</t>
  </si>
  <si>
    <t>2026-08-20 07:31:03</t>
  </si>
  <si>
    <t>2026-08-20 07:41:02</t>
  </si>
  <si>
    <t>2026-08-20 09:41:02</t>
  </si>
  <si>
    <t>106.5123659</t>
  </si>
  <si>
    <t>10.6252885</t>
  </si>
  <si>
    <t>106.60064408947143</t>
  </si>
  <si>
    <t>10.794628971020579</t>
  </si>
  <si>
    <t>CÔNG TY TNHH QUỐC TẾ FANSKI, Đ. Số 1, khu công nghiệp Phúc Long, Mỹ Yên, Tây Ninh, Việt NamCÔNG TY TNHH QUỐC TẾ FANSKI</t>
  </si>
  <si>
    <t>QJV2+V7 Bình Hưng Hòa, Hồ Chí Minh, Việt NamQJV2+V7 Bình Hưng Hòa, Hồ Chí Minh, Việt Nam</t>
  </si>
  <si>
    <t>3565899926670111630</t>
  </si>
  <si>
    <t>2026-08-20 07:23:19</t>
  </si>
  <si>
    <t>2026-08-20 07:33:18</t>
  </si>
  <si>
    <t>2026-08-20 09:33:18</t>
  </si>
  <si>
    <t>106.5768297</t>
  </si>
  <si>
    <t>10.9102518</t>
  </si>
  <si>
    <t>3565899926695272613</t>
  </si>
  <si>
    <t>2026-08-20 07:24:34</t>
  </si>
  <si>
    <t>2026-08-20 07:34:00</t>
  </si>
  <si>
    <t>2026-08-20 07:28:48</t>
  </si>
  <si>
    <t>2026-08-20 08:01:13</t>
  </si>
  <si>
    <t>106.37712333351374</t>
  </si>
  <si>
    <t>10.545146255136155</t>
  </si>
  <si>
    <t>106.67779225856066</t>
  </si>
  <si>
    <t>10.757727841574068</t>
  </si>
  <si>
    <t>522 Đ. Số 2, Khu đô thị, Khánh Hậu, Tây Ninh, Việt Nam522 Đường Số 2</t>
  </si>
  <si>
    <t>149 Đ. Lê Hồng Phong, Phường 2, Quận 5, Hồ Chí Minh, Việt Nam149 Lê Hồng Phong</t>
  </si>
  <si>
    <t>3565899926695272620</t>
  </si>
  <si>
    <t>2026-08-20 07:24:36</t>
  </si>
  <si>
    <t>2026-08-20 07:34:34</t>
  </si>
  <si>
    <t>2026-08-20 09:34:37</t>
  </si>
  <si>
    <t>106.4881433</t>
  </si>
  <si>
    <t>10.6174177</t>
  </si>
  <si>
    <t>106.63236022689208</t>
  </si>
  <si>
    <t>10.814051079447625</t>
  </si>
  <si>
    <t>Công ty CARGILL Long An, Bến Lức, Tây Ninh, Việt NamCông ty CARGILL Long An</t>
  </si>
  <si>
    <t>27/29A Trường Chinh, Tây Thạnh, Hồ Chí Minh, Việt Nam27/29A Trường Chinh, Tây Thạnh, Hồ Chí Minh, Việt Nam</t>
  </si>
  <si>
    <t>3565899926712046257</t>
  </si>
  <si>
    <t>2026-08-20 07:33:42</t>
  </si>
  <si>
    <t>2026-08-20 07:43:40</t>
  </si>
  <si>
    <t>2026-08-20 09:10:57</t>
  </si>
  <si>
    <t>106.5138828</t>
  </si>
  <si>
    <t>10.6294804</t>
  </si>
  <si>
    <t>Công Ty TNHH MAY MẶC IZ DIRECT VN, Đường Số 4 Phúc Long, KCN, Mỹ Yên, Tây Ninh, Việt NamCông Ty TNHH MAY MẶC IZ DIRECT VN</t>
  </si>
  <si>
    <t>3565899980600467983</t>
  </si>
  <si>
    <t>2026-08-20 07:20:39</t>
  </si>
  <si>
    <t>2026-08-20 07:30:37</t>
  </si>
  <si>
    <t>2026-08-20 09:30:37</t>
  </si>
  <si>
    <t>106.7434187</t>
  </si>
  <si>
    <t>10.7934933</t>
  </si>
  <si>
    <t>Công ty TNHH iWater (Quận 2), Đường Số 31D, Khu đô thị An Phú An Khánh, Bình Trưng, Hồ Chí Minh, Việt NamCông ty TNHH iWater (Quận 2)</t>
  </si>
  <si>
    <t>3565899980600468474</t>
  </si>
  <si>
    <t>2026-08-20 07:23:41</t>
  </si>
  <si>
    <t>2026-08-20 07:33:40</t>
  </si>
  <si>
    <t>2026-08-20 09:33:40</t>
  </si>
  <si>
    <t>106.64513132368161</t>
  </si>
  <si>
    <t>10.880604102913596</t>
  </si>
  <si>
    <t>244/31/1, 244/31/11 Đường HT 17 Nối Dài, Tân Thới Hiệp, Hồ Chí Minh 700000, Việt Nam244/31/1, 244/31/11 Đường HT 17 Nối Dài, Tân Thới Hiệp, Hồ Chí Minh 700000, Việt Nam</t>
  </si>
  <si>
    <t>3565899980617241067</t>
  </si>
  <si>
    <t>2026-08-20 07:26:44</t>
  </si>
  <si>
    <t>2026-08-20 07:36:42</t>
  </si>
  <si>
    <t>2026-08-20 09:24:27</t>
  </si>
  <si>
    <t>106.73622375267027</t>
  </si>
  <si>
    <t>10.794985490139972</t>
  </si>
  <si>
    <t>09, B.06.09 B.06.09, Khu phố 2, An Khánh, Hồ Chí Minh, Việt Nam09, B.06.09 B.06.09, Khu phố 2, An Khánh, Hồ Chí Minh, Việt Nam</t>
  </si>
  <si>
    <t>3565899980625629343</t>
  </si>
  <si>
    <t>2026-08-20 07:29:17</t>
  </si>
  <si>
    <t>2026-08-20 07:39:15</t>
  </si>
  <si>
    <t>2026-08-20 09:39:15</t>
  </si>
  <si>
    <t>106.58354595137331</t>
  </si>
  <si>
    <t>10.912253426326128</t>
  </si>
  <si>
    <t>35/3A Đường Huỳnh Thị Mài, Hóc Môn, Hồ Chí Minh, Việt Nam35/3A Đường Huỳnh Thị Mài, Hóc Môn, Hồ Chí Minh, Việt Nam</t>
  </si>
  <si>
    <t>3565901290305446500</t>
  </si>
  <si>
    <t>2026-08-20 07:23:20</t>
  </si>
  <si>
    <t>2026-08-20 07:33:00</t>
  </si>
  <si>
    <t>2026-08-20 09:18:29</t>
  </si>
  <si>
    <t>106.41055572777987</t>
  </si>
  <si>
    <t>10.538471506331904</t>
  </si>
  <si>
    <t>106.74617450684309</t>
  </si>
  <si>
    <t>10.79861344450753</t>
  </si>
  <si>
    <t>Đường Nguyễn Trung Trực,82111Hung Phu Fitness And Sports Store</t>
  </si>
  <si>
    <t>Affina Việt Nam, Nguyễn Hoàng, An Phú, Thủ Đức, Thành phố Hồ Chí Minh, Việt NamAffina Việt Nam</t>
  </si>
  <si>
    <t>3565902069053477650</t>
  </si>
  <si>
    <t>2026-08-20 07:25:34</t>
  </si>
  <si>
    <t>2026-08-20 07:35:33</t>
  </si>
  <si>
    <t>2026-08-20 09:35:33</t>
  </si>
  <si>
    <t>106.75653187780149</t>
  </si>
  <si>
    <t>10.853536928933167</t>
  </si>
  <si>
    <t>13/22/19 Đ. 12, Khu Phố 2, Thủ Đức, Hồ Chí Minh, Việt Nam13/22/19 Đ. 12, Khu Phố 2, Thủ Đức, Hồ Chí Minh, Việt Nam</t>
  </si>
  <si>
    <t>3565902069078651091</t>
  </si>
  <si>
    <t>2026-08-20 07:31:46</t>
  </si>
  <si>
    <t>2026-08-20 07:41:45</t>
  </si>
  <si>
    <t>2026-08-20 09:41:45</t>
  </si>
  <si>
    <t>CÔNG TY TNHH ISHIKAWA KIKOU VIỆT NAM, Đường Số 13, KCN Phúc Long, Mỹ Yên, Tây Ninh, Việt NamCÔNG TY TNHH ISHIKAWA KIKOU VIỆT NAM</t>
  </si>
  <si>
    <t>3565902069095424582</t>
  </si>
  <si>
    <t>2026-08-20 07:35:23</t>
  </si>
  <si>
    <t>2026-08-20 07:45:21</t>
  </si>
  <si>
    <t>2026-08-20 09:45:21</t>
  </si>
  <si>
    <t>106.58726976193238</t>
  </si>
  <si>
    <t>10.913493273685066</t>
  </si>
  <si>
    <t>6/2E Đường Huỳnh Thị Mài, Hóc Môn, Hồ Chí Minh, Việt Nam6/2E Đường Huỳnh Thị Mài, Hóc Môn, Hồ Chí Minh, Việt Nam</t>
  </si>
  <si>
    <t>3565906986371601315</t>
  </si>
  <si>
    <t>2026-08-20 07:39:14</t>
  </si>
  <si>
    <t>2026-08-20 07:49:12</t>
  </si>
  <si>
    <t>2026-08-20 09:49:12</t>
  </si>
  <si>
    <t>106.7593602</t>
  </si>
  <si>
    <t>10.8544461</t>
  </si>
  <si>
    <t>Chương Dương/6B Hẻm 56, Khu phố 1, Thủ Đức, Hồ Chí Minh, Việt NamChương Dương/6B Hẻm 56, Khu phố 1, Thủ Đức, Hồ Chí Minh, Việt Nam</t>
  </si>
  <si>
    <t>3565906986388386049</t>
  </si>
  <si>
    <t>2026-08-20 07:40:56</t>
  </si>
  <si>
    <t>2026-08-20 07:50:55</t>
  </si>
  <si>
    <t>2026-08-20 09:10:01</t>
  </si>
  <si>
    <t>3565907640624308580</t>
  </si>
  <si>
    <t>2026-08-20 07:32:31</t>
  </si>
  <si>
    <t>2026-08-20 07:42:29</t>
  </si>
  <si>
    <t>2026-08-20 09:42:29</t>
  </si>
  <si>
    <t>106.5138326</t>
  </si>
  <si>
    <t>10.6292451</t>
  </si>
  <si>
    <t>106.73866564393312</t>
  </si>
  <si>
    <t>10.796531215085151</t>
  </si>
  <si>
    <t>Công Ty TNHH MTV Cellutane Việt Nam, Đường Số 4 Phúc Long, KCN, Mỹ Yên, Tây Ninh, Việt NamCông Ty TNHH MTV Cellutane Việt Nam</t>
  </si>
  <si>
    <t>92-94 Nguyễn Quý Đức, Khu đô thị An Phú An Khánh, Bình Trưng, Hồ Chí Minh, Việt Nam92-94 Nguyễn Quý Đức, Khu đô thị An Phú An Khánh, Bình Trưng, Hồ Chí Minh, Việt Nam</t>
  </si>
  <si>
    <t>3565907640641081473</t>
  </si>
  <si>
    <t>2026-08-20 07:36:19</t>
  </si>
  <si>
    <t>2026-08-20 07:46:17</t>
  </si>
  <si>
    <t>2026-08-20 09:46:17</t>
  </si>
  <si>
    <t>106.66944023686217</t>
  </si>
  <si>
    <t>10.846987333258832</t>
  </si>
  <si>
    <t>577 Đ. Lê Đức Thọ, An Hội Đông, Hồ Chí Minh 700000, Việt Nam577 Đ. Lê Đức Thọ, An Hội Đông, Hồ Chí Minh 700000, Việt Nam</t>
  </si>
  <si>
    <t>3565907640657867604</t>
  </si>
  <si>
    <t>2026-08-20 07:45:10</t>
  </si>
  <si>
    <t>2026-08-20 07:55:09</t>
  </si>
  <si>
    <t>2026-08-20 09:55:09</t>
  </si>
  <si>
    <t>106.56415629521484</t>
  </si>
  <si>
    <t>10.646509141632096</t>
  </si>
  <si>
    <t>3565909787579478459</t>
  </si>
  <si>
    <t>2026-08-20 07:41:55</t>
  </si>
  <si>
    <t>2026-08-20 07:51:53</t>
  </si>
  <si>
    <t>2026-08-20 08:18:26</t>
  </si>
  <si>
    <t>3565909787596251984</t>
  </si>
  <si>
    <t>2026-08-20 07:48:05</t>
  </si>
  <si>
    <t>2026-08-20 07:58:04</t>
  </si>
  <si>
    <t>2026-08-20 09:58:04</t>
  </si>
  <si>
    <t>106.4954532</t>
  </si>
  <si>
    <t>10.6028295</t>
  </si>
  <si>
    <t>Petfood Evolution Co., Ltd, đường số 1, khu công nghiệp Thuận Đạo Mở Rộng, Long Cang, Tây Ninh, Việt NamPetfood Evolution Co., Ltd</t>
  </si>
  <si>
    <t>3565910214811283861</t>
  </si>
  <si>
    <t>2026-08-20 07:37:15</t>
  </si>
  <si>
    <t>2026-08-20 07:47:13</t>
  </si>
  <si>
    <t>2026-08-20 12:30:08</t>
  </si>
  <si>
    <t>106.6006441</t>
  </si>
  <si>
    <t>10.794629</t>
  </si>
  <si>
    <t>3565910214836446200</t>
  </si>
  <si>
    <t>2026-08-20 07:44:52</t>
  </si>
  <si>
    <t>2026-08-20 07:54:50</t>
  </si>
  <si>
    <t>2026-08-20 09:09:03</t>
  </si>
  <si>
    <t>3565910259447062803</t>
  </si>
  <si>
    <t>2026-08-20 07:36:34</t>
  </si>
  <si>
    <t>2026-08-20 07:46:33</t>
  </si>
  <si>
    <t>2026-08-20 09:46:33</t>
  </si>
  <si>
    <t>106.63209812198183</t>
  </si>
  <si>
    <t>10.81384099643381</t>
  </si>
  <si>
    <t>28/02 Trường Chinh, Tây Thạnh, Hồ Chí Minh, Việt Nam28/02 Trường Chinh, Tây Thạnh, Hồ Chí Minh, Việt Nam</t>
  </si>
  <si>
    <t>3565911328088613727</t>
  </si>
  <si>
    <t>2026-08-20 07:41:23</t>
  </si>
  <si>
    <t>2026-08-20 07:51:21</t>
  </si>
  <si>
    <t>2026-08-20 10:10:41</t>
  </si>
  <si>
    <t>3565911328105386462</t>
  </si>
  <si>
    <t>2026-08-20 07:44:15</t>
  </si>
  <si>
    <t>2026-08-20 07:54:14</t>
  </si>
  <si>
    <t>2026-08-20 09:32:40</t>
  </si>
  <si>
    <t>106.55402827397461</t>
  </si>
  <si>
    <t>10.644653366161537</t>
  </si>
  <si>
    <t>JHV3+QCP, Phước Lý, Tây Ninh, Việt NamJHV3+QCP, Phước Lý, Tây Ninh, Việt Nam</t>
  </si>
  <si>
    <t>3565911328122171539</t>
  </si>
  <si>
    <t>2026-08-20 07:47:37</t>
  </si>
  <si>
    <t>2026-08-20 07:57:35</t>
  </si>
  <si>
    <t>2026-08-20 11:03:02</t>
  </si>
  <si>
    <t>3565911328122172172</t>
  </si>
  <si>
    <t>2026-08-20 07:50:25</t>
  </si>
  <si>
    <t>2026-08-20 08:00:23</t>
  </si>
  <si>
    <t>2026-08-20 10:00:23</t>
  </si>
  <si>
    <t>106.5142456</t>
  </si>
  <si>
    <t>10.6372476</t>
  </si>
  <si>
    <t>Kho công ty TNHH Daiichi Sankyo Việt Nam, Đường VL1 khu công nghiệp, vĩnh lộc 2, Mỹ Yên, Tây Ninh, Việt NamKho công ty TNHH Daiichi Sankyo Việt Nam</t>
  </si>
  <si>
    <t>3565911764380115353</t>
  </si>
  <si>
    <t>2026-08-20 07:49:19</t>
  </si>
  <si>
    <t>2026-08-20 07:59:18</t>
  </si>
  <si>
    <t>2026-08-20 10:26:29</t>
  </si>
  <si>
    <t>3565911764380115381</t>
  </si>
  <si>
    <t>2026-08-20 07:49:32</t>
  </si>
  <si>
    <t>2026-08-20 07:59:30</t>
  </si>
  <si>
    <t>2026-08-20 09:59:30</t>
  </si>
  <si>
    <t>3565911764380115543</t>
  </si>
  <si>
    <t>2026-08-20 07:50:11</t>
  </si>
  <si>
    <t>2026-08-20 08:00:09</t>
  </si>
  <si>
    <t>2026-08-20 10:00:09</t>
  </si>
  <si>
    <t>3565913825695977895</t>
  </si>
  <si>
    <t>2026-08-20 07:43:29</t>
  </si>
  <si>
    <t>2026-08-20 07:53:27</t>
  </si>
  <si>
    <t>2026-08-20 10:02:20</t>
  </si>
  <si>
    <t>3565913825712763264</t>
  </si>
  <si>
    <t>2026-08-20 07:47:52</t>
  </si>
  <si>
    <t>2026-08-20 07:57:51</t>
  </si>
  <si>
    <t>2026-08-20 09:57:51</t>
  </si>
  <si>
    <t>3565915417887330680</t>
  </si>
  <si>
    <t>2026-08-20 07:50:38</t>
  </si>
  <si>
    <t>2026-08-20 08:00:37</t>
  </si>
  <si>
    <t>2026-08-20 10:00:37</t>
  </si>
  <si>
    <t>3566607746499563923</t>
  </si>
  <si>
    <t>2026-08-21 07:17:45</t>
  </si>
  <si>
    <t>2026-08-21 07:27:43</t>
  </si>
  <si>
    <t>2026-08-21 09:27:43</t>
  </si>
  <si>
    <t>106.4924797</t>
  </si>
  <si>
    <t>10.6034783</t>
  </si>
  <si>
    <t>106.6623424</t>
  </si>
  <si>
    <t>10.9861726</t>
  </si>
  <si>
    <t>OMV Company Limited, Long Cang, Tây Ninh, Việt NamOMV Company Limited</t>
  </si>
  <si>
    <t>P&amp;C GARMENT Co.,Ltd, Yersin, Thị Xã, Thủ Dầu Một, Hồ Chí Minh, Việt NamP&amp;C GARMENT Co.,Ltd</t>
  </si>
  <si>
    <t>3566611398974984450</t>
  </si>
  <si>
    <t>2026-08-21 07:16:59</t>
  </si>
  <si>
    <t>2026-08-21 07:26:58</t>
  </si>
  <si>
    <t>2026-08-21 07:18:11</t>
  </si>
  <si>
    <t>2026-08-21 07:21:23</t>
  </si>
  <si>
    <t>3566612699293110497</t>
  </si>
  <si>
    <t>2026-08-21 07:18:08</t>
  </si>
  <si>
    <t>2026-08-21 07:28:07</t>
  </si>
  <si>
    <t>2026-08-21 09:28:07</t>
  </si>
  <si>
    <t>106.7258219</t>
  </si>
  <si>
    <t>10.9593159</t>
  </si>
  <si>
    <t>CÔNG TY TNHH TM - DV MPC LOGISTICS, Thuận An Hòa, khu phố bình thuận 2, Thuận Giao, Hồ Chí Minh, Việt NamCÔNG TY TNHH TM - DV MPC LOGISTICS</t>
  </si>
  <si>
    <t>3566612699293111053</t>
  </si>
  <si>
    <t>2026-08-21 07:22:10</t>
  </si>
  <si>
    <t>2026-08-21 07:32:09</t>
  </si>
  <si>
    <t>2026-08-21 07:25:52</t>
  </si>
  <si>
    <t>2026-08-21 07:28:05</t>
  </si>
  <si>
    <t>106.8582511</t>
  </si>
  <si>
    <t>10.9835759</t>
  </si>
  <si>
    <t>Công Ty TNHH MJ Apparel, KP3, Phường, Trảng Dài, Đồng Nai, Việt NamCông Ty TNHH MJ Apparel</t>
  </si>
  <si>
    <t>3566614771296063535</t>
  </si>
  <si>
    <t>2026-08-21 07:18:49</t>
  </si>
  <si>
    <t>2026-08-21 07:28:48</t>
  </si>
  <si>
    <t>2026-08-21 09:28:48</t>
  </si>
  <si>
    <t>3566614771296063630</t>
  </si>
  <si>
    <t>2026-08-21 07:19:35</t>
  </si>
  <si>
    <t>2026-08-21 07:29:34</t>
  </si>
  <si>
    <t>2026-08-21 09:29:34</t>
  </si>
  <si>
    <t>106.9335037</t>
  </si>
  <si>
    <t>10.9455416</t>
  </si>
  <si>
    <t>CÔNG TY TNHH OKURA, Đường số 2, Khu Công Nghiệp, Hố Nai, Đồng Nai, Việt NamCÔNG TY TNHH OKURA</t>
  </si>
  <si>
    <t>3566617534671311867</t>
  </si>
  <si>
    <t>2026-08-21 07:29:04</t>
  </si>
  <si>
    <t>2026-08-21 07:39:03</t>
  </si>
  <si>
    <t>2026-08-21 09:39:03</t>
  </si>
  <si>
    <t>106.4942645</t>
  </si>
  <si>
    <t>10.6027099</t>
  </si>
  <si>
    <t>106.6325789129364</t>
  </si>
  <si>
    <t>10.872893833587009</t>
  </si>
  <si>
    <t>Công ty TNHH INTEC VIỆT NAM HOLDINGS ( Xưởng gia công), Đường số 1, kcn Thuận Đạo mở rộng, Long Cang, Tây Ninh, Việt NamCông ty TNHH INTEC VIỆT NAM HOLDINGS ( Xưởng gia công)</t>
  </si>
  <si>
    <t>81 Nguyễn Thị Búp, Trung Mỹ Tây, Hồ Chí Minh, Việt Nam81 Nguyễn Thị Búp, Trung Mỹ Tây, Hồ Chí Minh, Việt Nam</t>
  </si>
  <si>
    <t>3566624478484193469</t>
  </si>
  <si>
    <t>2026-08-21 07:26:07</t>
  </si>
  <si>
    <t>2026-08-21 07:36:06</t>
  </si>
  <si>
    <t>2026-08-21 09:36:06</t>
  </si>
  <si>
    <t>106.4990706</t>
  </si>
  <si>
    <t>10.6113348</t>
  </si>
  <si>
    <t>106.7572747</t>
  </si>
  <si>
    <t>10.8246347</t>
  </si>
  <si>
    <t>CÔNG TY TNHH QUANG HỌC SUN TAT VIỆT NAM, Đường số 15, Khu công nghiệp Thuận Đạo mở rộng, Long Cang, Tây Ninh, Việt NamCÔNG TY TNHH QUANG HỌC SUN TAT VIỆT NAM</t>
  </si>
  <si>
    <t>CÔNG TY TNHH JM (JMGROUP), Đường Nguyễn Văn Bá, Thủ Đức, Hồ Chí Minh, Việt NamCÔNG TY TNHH JM (JMGROUP)</t>
  </si>
  <si>
    <t>3566625112209977925</t>
  </si>
  <si>
    <t>2026-08-21 07:23:17</t>
  </si>
  <si>
    <t>2026-08-21 07:33:16</t>
  </si>
  <si>
    <t>2026-08-21 09:33:16</t>
  </si>
  <si>
    <t>106.59586510240787</t>
  </si>
  <si>
    <t>44 Bà Triệu, Hóc Môn, Hồ Chí Minh, Việt Nam44 Bà Triệu, Hóc Môn, Hồ Chí Minh, Việt Nam</t>
  </si>
  <si>
    <t>3566625112243523816</t>
  </si>
  <si>
    <t>2026-08-21 07:33:58</t>
  </si>
  <si>
    <t>2026-08-21 07:43:57</t>
  </si>
  <si>
    <t>2026-08-21 09:43:57</t>
  </si>
  <si>
    <t>106.5114111</t>
  </si>
  <si>
    <t>10.6193946</t>
  </si>
  <si>
    <t>106.63598869870302</t>
  </si>
  <si>
    <t>10.874582864909797</t>
  </si>
  <si>
    <t>Cty SEJIN VINA, Phúc Long, Mỹ Yên, Tây Ninh, Việt NamCty SEJIN VINA</t>
  </si>
  <si>
    <t>10a Trần Thị Bảy, Tân Thới Hiệp, Hồ Chí Minh, Việt Nam10a Trần Thị Bảy, Tân Thới Hiệp, Hồ Chí Minh, Việt Nam</t>
  </si>
  <si>
    <t>3566625112243524012</t>
  </si>
  <si>
    <t>2026-08-21 07:35:02</t>
  </si>
  <si>
    <t>2026-08-21 07:45:01</t>
  </si>
  <si>
    <t>2026-08-21 09:45:01</t>
  </si>
  <si>
    <t>106.511192</t>
  </si>
  <si>
    <t>10.6227633</t>
  </si>
  <si>
    <t>106.59078650632935</t>
  </si>
  <si>
    <t>10.794560976215262</t>
  </si>
  <si>
    <t>CÔNG TY TNHH KEUM WOO, Đ. Số 1, khu công nghiệp, Mỹ Yên, Tây Ninh, Việt NamCÔNG TY TNHH KEUM WOO</t>
  </si>
  <si>
    <t>118/22/11 Đường Số 6, Bình Tân, Hồ Chí Minh, Việt Nam118/22/11 Đường Số 6, Bình Tân, Hồ Chí Minh, Việt Nam</t>
  </si>
  <si>
    <t>3566626914519183493</t>
  </si>
  <si>
    <t>2026-08-21 07:22:35</t>
  </si>
  <si>
    <t>2026-08-21 07:32:34</t>
  </si>
  <si>
    <t>2026-08-21 09:32:34</t>
  </si>
  <si>
    <t>106.73304881595642</t>
  </si>
  <si>
    <t>10.794101629555987</t>
  </si>
  <si>
    <t>32/2 Đ. Số 8, Khu Phố 4, An Khánh, Hồ Chí Minh 700000, Việt Nam32/2 Đ. Số 8, Khu Phố 4, An Khánh, Hồ Chí Minh 700000, Việt Nam</t>
  </si>
  <si>
    <t>3566626914519184180</t>
  </si>
  <si>
    <t>2026-08-21 07:27:16</t>
  </si>
  <si>
    <t>2026-08-21 07:37:15</t>
  </si>
  <si>
    <t>2026-08-21 07:27:39</t>
  </si>
  <si>
    <t>2026-08-21 07:32:16</t>
  </si>
  <si>
    <t>3566627510403953629</t>
  </si>
  <si>
    <t>2026-08-21 07:29:20</t>
  </si>
  <si>
    <t>2026-08-21 07:39:19</t>
  </si>
  <si>
    <t>2026-08-21 09:39:19</t>
  </si>
  <si>
    <t>106.67422232855832</t>
  </si>
  <si>
    <t>10.83205352759634</t>
  </si>
  <si>
    <t>Du Miên Garden - 7 Phan Văn Trị, Gò Vấp, Thành phố Hồ Chí Minh, Hồ Chí Minh, Việt NamDu Miên Garden - 7 Phan Văn Trị, Gò Vấp, Thành phố Hồ Chí Minh, Hồ Chí Minh, Việt Nam</t>
  </si>
  <si>
    <t>3566627510403953708</t>
  </si>
  <si>
    <t>2026-08-21 07:29:57</t>
  </si>
  <si>
    <t>2026-08-21 07:39:56</t>
  </si>
  <si>
    <t>2026-08-21 09:39:56</t>
  </si>
  <si>
    <t>106.5934258</t>
  </si>
  <si>
    <t>10.7918946</t>
  </si>
  <si>
    <t>56 Đường số 10, Bình Tân, Hồ Chí Minh, Việt Nam56 Đường số 10, Bình Tân, Hồ Chí Minh, Việt Nam</t>
  </si>
  <si>
    <t>3566627510420725981</t>
  </si>
  <si>
    <t>2026-08-21 07:31:05</t>
  </si>
  <si>
    <t>2026-08-21 07:41:04</t>
  </si>
  <si>
    <t>2026-08-21 09:41:04</t>
  </si>
  <si>
    <t>106.986139</t>
  </si>
  <si>
    <t>10.7867221</t>
  </si>
  <si>
    <t>KAWAJUN VIETNAM INDUSTRY Co., Ltd, Road N 4, Loc An Industrial Park, Long Thành, Đồng Nai, Việt NamKAWAJUN VIETNAM INDUSTRY Co., Ltd</t>
  </si>
  <si>
    <t>3566627777203630697</t>
  </si>
  <si>
    <t>2026-08-21 07:27:35</t>
  </si>
  <si>
    <t>2026-08-21 07:37:34</t>
  </si>
  <si>
    <t>2026-08-21 07:31:23</t>
  </si>
  <si>
    <t>2026-08-31 07:38:34</t>
  </si>
  <si>
    <t>106.74603133210758</t>
  </si>
  <si>
    <t>10.803222289523852</t>
  </si>
  <si>
    <t>1p Lê Thước, An Khánh, Hồ Chí Minh, Việt Nam1p Lê Thước, An Khánh, Hồ Chí Minh, Việt Nam</t>
  </si>
  <si>
    <t>3566627777228792117</t>
  </si>
  <si>
    <t>2026-08-21 07:42:08</t>
  </si>
  <si>
    <t>2026-08-21 08:42:52</t>
  </si>
  <si>
    <t>107.0360858</t>
  </si>
  <si>
    <t>10.9457592</t>
  </si>
  <si>
    <t>Cty Pou Phong Vietnam CO.,LTD, KCN BÀU XÉO, An Viễn, Đồng Nai, Việt NamCty Pou Phong Vietnam CO.,LTD</t>
  </si>
  <si>
    <t>3566627777228792221</t>
  </si>
  <si>
    <t>2026-08-21 07:32:49</t>
  </si>
  <si>
    <t>2026-08-21 07:42:48</t>
  </si>
  <si>
    <t>2026-08-21 09:42:48</t>
  </si>
  <si>
    <t>106.4899714365234</t>
  </si>
  <si>
    <t>10.626483313911612</t>
  </si>
  <si>
    <t>106.7484745341461</t>
  </si>
  <si>
    <t>10.801176674864642</t>
  </si>
  <si>
    <t>JFGR+G2H, Bến Lức, Tây Ninh, Việt NamJFGR+G2H, Bến Lức, Tây Ninh, Việt Nam</t>
  </si>
  <si>
    <t>88 Đ. Số 24, Bình Trưng, Hồ Chí Minh 70000, Việt Nam88 Đ. Số 24, Bình Trưng, Hồ Chí Minh 70000, Việt Nam</t>
  </si>
  <si>
    <t>3566628863561920958</t>
  </si>
  <si>
    <t>2026-08-21 07:28:24</t>
  </si>
  <si>
    <t>2026-08-21 07:38:23</t>
  </si>
  <si>
    <t>2026-08-21 09:38:23</t>
  </si>
  <si>
    <t>106.7062312526703</t>
  </si>
  <si>
    <t>10.815467655713105</t>
  </si>
  <si>
    <t>201/14 Đ. Nguyễn Xí, Bình Thạnh, Hồ Chí Minh, Việt Nam201/14 Đ. Nguyễn Xí, Bình Thạnh, Hồ Chí Minh, Việt Nam</t>
  </si>
  <si>
    <t>3566629677147844946</t>
  </si>
  <si>
    <t>2026-08-21 07:28:45</t>
  </si>
  <si>
    <t>2026-08-21 07:38:44</t>
  </si>
  <si>
    <t>2026-08-21 10:39:29</t>
  </si>
  <si>
    <t>106.5959475</t>
  </si>
  <si>
    <t>10.8862756</t>
  </si>
  <si>
    <t>3566629677147845386</t>
  </si>
  <si>
    <t>2026-08-21 07:31:32</t>
  </si>
  <si>
    <t>2026-08-21 07:41:31</t>
  </si>
  <si>
    <t>2026-08-21 10:00:16</t>
  </si>
  <si>
    <t>3566629677164618117</t>
  </si>
  <si>
    <t>2026-08-21 07:35:45</t>
  </si>
  <si>
    <t>2026-08-21 07:45:44</t>
  </si>
  <si>
    <t>2026-08-21 09:45:44</t>
  </si>
  <si>
    <t>106.5112188</t>
  </si>
  <si>
    <t>10.6230088</t>
  </si>
  <si>
    <t>CHANG MAO VIETNAM CO., LTD, Nhà Xưởng N 5, Đ. Số 1, Mỹ Yên, Tây Ninh, Việt NamCHANG MAO VIETNAM CO., LTD</t>
  </si>
  <si>
    <t>3566630819156160703</t>
  </si>
  <si>
    <t>2026-08-21 07:30:10</t>
  </si>
  <si>
    <t>2026-08-21 07:40:09</t>
  </si>
  <si>
    <t>2026-08-21 09:40:09</t>
  </si>
  <si>
    <t>3566630819156160811</t>
  </si>
  <si>
    <t>2026-08-21 07:30:51</t>
  </si>
  <si>
    <t>2026-08-21 07:40:50</t>
  </si>
  <si>
    <t>2026-08-21 09:40:50</t>
  </si>
  <si>
    <t>3566630819156161365</t>
  </si>
  <si>
    <t>2026-08-21 07:34:16</t>
  </si>
  <si>
    <t>2026-08-21 07:44:15</t>
  </si>
  <si>
    <t>2026-08-21 09:44:15</t>
  </si>
  <si>
    <t>106.67151187564085</t>
  </si>
  <si>
    <t>10.829459635742715</t>
  </si>
  <si>
    <t>325 Quang Trung, Gò Vấp, Hồ Chí Minh 727010, Việt Nam325 Quang Trung, Gò Vấp, Hồ Chí Minh 727010, Việt Nam</t>
  </si>
  <si>
    <t>3566630819156161549</t>
  </si>
  <si>
    <t>2026-08-21 07:35:13</t>
  </si>
  <si>
    <t>2026-08-21 07:45:12</t>
  </si>
  <si>
    <t>2026-08-21 09:45:12</t>
  </si>
  <si>
    <t>3566630819172934403</t>
  </si>
  <si>
    <t>2026-08-21 07:39:11</t>
  </si>
  <si>
    <t>2026-08-21 07:49:10</t>
  </si>
  <si>
    <t>2026-08-21 11:17:09</t>
  </si>
  <si>
    <t>2026-08-21 11:18:10</t>
  </si>
  <si>
    <t>106.5111467</t>
  </si>
  <si>
    <t>10.6321096</t>
  </si>
  <si>
    <t>106.67182842275393</t>
  </si>
  <si>
    <t>10.830947323124132</t>
  </si>
  <si>
    <t>CÔNG TY TNHH SOLVAY PEROXIDES VIỆT NAM, Đ. Số 1, Khu Công Nghiệp, Mỹ Yên, Tây Ninh, Việt NamCÔNG TY TNHH SOLVAY PEROXIDES VIỆT NAM</t>
  </si>
  <si>
    <t>214/21 Đ. Số 7, Gò Vấp, Hồ Chí Minh, Việt Nam214/21 Đ. Số 7, Gò Vấp, Hồ Chí Minh, Việt Nam</t>
  </si>
  <si>
    <t>3566630819172934719</t>
  </si>
  <si>
    <t>2026-08-21 07:40:58</t>
  </si>
  <si>
    <t>2026-08-21 07:50:57</t>
  </si>
  <si>
    <t>2026-08-21 10:11:42</t>
  </si>
  <si>
    <t>3566635598414573675</t>
  </si>
  <si>
    <t>2026-08-21 07:37:56</t>
  </si>
  <si>
    <t>2026-08-21 07:47:55</t>
  </si>
  <si>
    <t>2026-08-21 09:47:55</t>
  </si>
  <si>
    <t>106.7049546</t>
  </si>
  <si>
    <t>10.820836</t>
  </si>
  <si>
    <t>427 Nơ Trang Long, Bình Lợi Trung, Hồ Chí Minh, Việt Nam427 Nơ Trang Long, Bình Lợi Trung, Hồ Chí Minh, Việt Nam</t>
  </si>
  <si>
    <t>3566635598414574259</t>
  </si>
  <si>
    <t>2026-08-21 07:41:10</t>
  </si>
  <si>
    <t>2026-08-21 07:51:10</t>
  </si>
  <si>
    <t>2026-08-21 11:57:56</t>
  </si>
  <si>
    <t>2026-08-21 11:58:40</t>
  </si>
  <si>
    <t>3566635598414574295</t>
  </si>
  <si>
    <t>2026-08-21 07:41:23</t>
  </si>
  <si>
    <t>2026-08-21 07:51:22</t>
  </si>
  <si>
    <t>2026-08-21 09:51:22</t>
  </si>
  <si>
    <t>106.8021041</t>
  </si>
  <si>
    <t>10.8263777</t>
  </si>
  <si>
    <t>Công Ty TNHH MTV Daeyoung Electronics Vina, Đường D2, Tăng Nhơn Phú, Hồ Chí Minh, Việt NamCông Ty TNHH MTV Daeyoung Electronics Vina</t>
  </si>
  <si>
    <t>3566635598431347104</t>
  </si>
  <si>
    <t>2026-08-21 07:44:45</t>
  </si>
  <si>
    <t>2026-08-21 07:54:44</t>
  </si>
  <si>
    <t>2026-08-21 09:54:44</t>
  </si>
  <si>
    <t>106.50137753115236</t>
  </si>
  <si>
    <t>10.63451774619226</t>
  </si>
  <si>
    <t>JGM2+QJ6, Bến Lức, Tây Ninh, Việt NamJGM2+QJ6, Bến Lức, Tây Ninh, Việt Nam</t>
  </si>
  <si>
    <t>3566635598448120605</t>
  </si>
  <si>
    <t>2026-08-21 07:52:05</t>
  </si>
  <si>
    <t>2026-08-21 08:02:04</t>
  </si>
  <si>
    <t>2026-08-21 10:02:04</t>
  </si>
  <si>
    <t>3566635769349239154</t>
  </si>
  <si>
    <t>2026-08-21 07:39:27</t>
  </si>
  <si>
    <t>2026-08-21 07:49:26</t>
  </si>
  <si>
    <t>2026-08-21 09:43:11</t>
  </si>
  <si>
    <t>106.65199134526065</t>
  </si>
  <si>
    <t>10.800998077528455</t>
  </si>
  <si>
    <t>2 Quách Văn Tuấn, Bảy Hiền, Hồ Chí Minh, Việt Nam2 Quách Văn Tuấn, Bảy Hiền, Hồ Chí Minh, Việt Nam</t>
  </si>
  <si>
    <t>3566635769349239635</t>
  </si>
  <si>
    <t>2026-08-21 07:42:12</t>
  </si>
  <si>
    <t>2026-08-21 07:52:11</t>
  </si>
  <si>
    <t>2026-08-21 09:52:11</t>
  </si>
  <si>
    <t>106.7482328</t>
  </si>
  <si>
    <t>10.8008839</t>
  </si>
  <si>
    <t>3566635769366012092</t>
  </si>
  <si>
    <t>2026-08-21 07:43:54</t>
  </si>
  <si>
    <t>2026-08-21 07:53:54</t>
  </si>
  <si>
    <t>2026-08-21 09:53:54</t>
  </si>
  <si>
    <t>106.5099606</t>
  </si>
  <si>
    <t>10.6414349</t>
  </si>
  <si>
    <t>106.6519609</t>
  </si>
  <si>
    <t>10.8009677</t>
  </si>
  <si>
    <t>Công ty Thuốc Thú Y APA, Đường VL3, Mỹ Yên, Tây Ninh, Việt NamCông ty Thuốc Thú Y APA</t>
  </si>
  <si>
    <t>3566635769366012389</t>
  </si>
  <si>
    <t>2026-08-21 07:45:21</t>
  </si>
  <si>
    <t>2026-08-21 07:55:20</t>
  </si>
  <si>
    <t>2026-08-21 09:55:20</t>
  </si>
  <si>
    <t>3566635769382785990</t>
  </si>
  <si>
    <t>2026-08-21 07:52:35</t>
  </si>
  <si>
    <t>2026-08-21 08:02:34</t>
  </si>
  <si>
    <t>2026-08-21 10:02:34</t>
  </si>
  <si>
    <t>3566636218525643224</t>
  </si>
  <si>
    <t>2026-08-21 07:40:33</t>
  </si>
  <si>
    <t>2026-08-21 07:50:32</t>
  </si>
  <si>
    <t>2026-08-21 09:50:32</t>
  </si>
  <si>
    <t>3566636218567577695</t>
  </si>
  <si>
    <t>2026-08-21 07:49:20</t>
  </si>
  <si>
    <t>2026-08-21 07:59:19</t>
  </si>
  <si>
    <t>2026-08-21 09:52:08</t>
  </si>
  <si>
    <t>2026-08-21 10:56:51</t>
  </si>
  <si>
    <t>106.574113</t>
  </si>
  <si>
    <t>10.646726</t>
  </si>
  <si>
    <t>Kho Công ty TNHH G&amp;F Việt Nam, Ba Trung, Phước Lý, Tây Ninh, Việt NamKho Công ty TNHH G&amp;F Việt Nam</t>
  </si>
  <si>
    <t>3566637518785048800</t>
  </si>
  <si>
    <t>2026-08-21 07:41:47</t>
  </si>
  <si>
    <t>2026-08-21 07:51:46</t>
  </si>
  <si>
    <t>2026-08-21 10:01:46</t>
  </si>
  <si>
    <t>3566637518785048845</t>
  </si>
  <si>
    <t>2026-08-21 07:42:00</t>
  </si>
  <si>
    <t>2026-08-21 07:51:59</t>
  </si>
  <si>
    <t>2026-08-21 09:51:59</t>
  </si>
  <si>
    <t>3566637518785048988</t>
  </si>
  <si>
    <t>2026-08-21 07:42:51</t>
  </si>
  <si>
    <t>2026-08-21 07:52:50</t>
  </si>
  <si>
    <t>2026-08-21 09:52:50</t>
  </si>
  <si>
    <t>106.5956222338379</t>
  </si>
  <si>
    <t>10.886631064055171</t>
  </si>
  <si>
    <t>VHPW+M63, Hóc Môn, Hồ Chí Minh, Việt NamVHPW+M63, Hóc Môn, Hồ Chí Minh, Việt Nam</t>
  </si>
  <si>
    <t>3566637518801822260</t>
  </si>
  <si>
    <t>2026-08-21 07:49:05</t>
  </si>
  <si>
    <t>2026-08-21 07:59:04</t>
  </si>
  <si>
    <t>2026-08-21 09:54:05</t>
  </si>
  <si>
    <t>2026-08-21 10:15:05</t>
  </si>
  <si>
    <t>3566637518818595327</t>
  </si>
  <si>
    <t>2026-08-21 07:53:28</t>
  </si>
  <si>
    <t>2026-08-21 08:03:27</t>
  </si>
  <si>
    <t>2026-08-21 10:03:27</t>
  </si>
  <si>
    <t>106.5094209</t>
  </si>
  <si>
    <t>10.64068</t>
  </si>
  <si>
    <t>TLT Electronics Vietnam, Đường Vĩnh Lộc 3 Voi Lá, KCN Vĩnh Lộc 2, Mỹ Yên, Tây Ninh, Việt NamTLT Electronics Vietnam</t>
  </si>
  <si>
    <t>3566637518818595567</t>
  </si>
  <si>
    <t>2026-08-21 07:54:36</t>
  </si>
  <si>
    <t>2026-08-21 08:04:35</t>
  </si>
  <si>
    <t>2026-08-21 09:31:29</t>
  </si>
  <si>
    <t>3566638017756230645</t>
  </si>
  <si>
    <t>2026-08-21 07:46:52</t>
  </si>
  <si>
    <t>2026-08-21 07:56:51</t>
  </si>
  <si>
    <t>2026-08-21 09:56:51</t>
  </si>
  <si>
    <t>106.55364842043458</t>
  </si>
  <si>
    <t>10.643670288115208</t>
  </si>
  <si>
    <t>106.5955846</t>
  </si>
  <si>
    <t>10.8866588</t>
  </si>
  <si>
    <t>3566638017781392022</t>
  </si>
  <si>
    <t>2026-08-21 07:50:02</t>
  </si>
  <si>
    <t>2026-08-21 08:00:02</t>
  </si>
  <si>
    <t>2026-08-21 10:07:02</t>
  </si>
  <si>
    <t>2026-08-21 10:13:19</t>
  </si>
  <si>
    <t>3566638312892625502</t>
  </si>
  <si>
    <t>2026-08-21 07:44:57</t>
  </si>
  <si>
    <t>2026-08-21 07:54:56</t>
  </si>
  <si>
    <t>2026-08-21 10:43:41</t>
  </si>
  <si>
    <t>3566638312892625755</t>
  </si>
  <si>
    <t>2026-08-21 07:46:13</t>
  </si>
  <si>
    <t>2026-08-21 07:56:12</t>
  </si>
  <si>
    <t>2026-08-21 09:56:12</t>
  </si>
  <si>
    <t>3566639032500973607</t>
  </si>
  <si>
    <t>2026-08-21 07:43:39</t>
  </si>
  <si>
    <t>2026-08-21 07:53:38</t>
  </si>
  <si>
    <t>2026-08-21 09:53:38</t>
  </si>
  <si>
    <t>106.67386064208067</t>
  </si>
  <si>
    <t>10.830120662259644</t>
  </si>
  <si>
    <t>02 Đ. Số 7, Gò Vấp, Hồ Chí Minh, Việt Nam02 Đ. Số 7, Gò Vấp, Hồ Chí Minh, Việt Nam</t>
  </si>
  <si>
    <t>3566639032500973879</t>
  </si>
  <si>
    <t>2026-08-21 07:45:09</t>
  </si>
  <si>
    <t>2026-08-21 07:55:08</t>
  </si>
  <si>
    <t>2026-08-21 09:55:08</t>
  </si>
  <si>
    <t>3566639032500974053</t>
  </si>
  <si>
    <t>2026-08-21 07:46:01</t>
  </si>
  <si>
    <t>2026-08-21 07:56:00</t>
  </si>
  <si>
    <t>2026-08-21 09:47:51</t>
  </si>
  <si>
    <t>3566639032542908468</t>
  </si>
  <si>
    <t>2026-08-21 07:53:43</t>
  </si>
  <si>
    <t>2026-08-21 08:03:42</t>
  </si>
  <si>
    <t>2026-08-21 10:03:42</t>
  </si>
  <si>
    <t>3566639032542908595</t>
  </si>
  <si>
    <t>2026-08-21 07:54:23</t>
  </si>
  <si>
    <t>2026-08-21 08:04:23</t>
  </si>
  <si>
    <t>2026-08-21 10:04:23</t>
  </si>
  <si>
    <t>3566639686820786829</t>
  </si>
  <si>
    <t>2026-08-21 07:48:04</t>
  </si>
  <si>
    <t>2026-08-21 07:58:03</t>
  </si>
  <si>
    <t>2026-08-21 09:28:41</t>
  </si>
  <si>
    <t>3566639686837559662</t>
  </si>
  <si>
    <t>2026-08-21 07:51:27</t>
  </si>
  <si>
    <t>2026-08-21 08:01:26</t>
  </si>
  <si>
    <t>2026-08-21 10:01:26</t>
  </si>
  <si>
    <t>3566639686837559849</t>
  </si>
  <si>
    <t>2026-08-21 07:52:19</t>
  </si>
  <si>
    <t>2026-08-21 08:02:18</t>
  </si>
  <si>
    <t>2026-08-21 10:02:18</t>
  </si>
  <si>
    <t>3566640593377652868</t>
  </si>
  <si>
    <t>2026-08-21 07:46:38</t>
  </si>
  <si>
    <t>2026-08-21 07:56:37</t>
  </si>
  <si>
    <t>2026-08-21 09:54:24</t>
  </si>
  <si>
    <t>3567347751169774237</t>
  </si>
  <si>
    <t>2026-08-22 07:35:05</t>
  </si>
  <si>
    <t>2026-08-22 07:45:05</t>
  </si>
  <si>
    <t>2026-08-22 09:46:55</t>
  </si>
  <si>
    <t>3567350015657730328</t>
  </si>
  <si>
    <t>2026-08-22 07:37:09</t>
  </si>
  <si>
    <t>2026-08-22 07:47:08</t>
  </si>
  <si>
    <t>2026-08-22 11:32:11</t>
  </si>
  <si>
    <t>3567356205947114515</t>
  </si>
  <si>
    <t>2026-08-22 07:43:15</t>
  </si>
  <si>
    <t>2026-08-22 07:53:14</t>
  </si>
  <si>
    <t>2026-08-22 11:26:47</t>
  </si>
  <si>
    <t>106.4929753</t>
  </si>
  <si>
    <t>10.6058762</t>
  </si>
  <si>
    <t>SHUNDAO (VIETNAM) INDUSTRIAL COMPANY LIMITED, Đường số 10, Khu công nghiệp Thuận Đạomở rộng, Long Cang, Tây Ninh, Việt NamSHUNDAO (VIETNAM) INDUSTRIAL COMPANY LIMITED</t>
  </si>
  <si>
    <t>3567356205963899612</t>
  </si>
  <si>
    <t>2026-08-22 07:47:05</t>
  </si>
  <si>
    <t>2026-08-22 07:57:05</t>
  </si>
  <si>
    <t>2026-08-22 10:03:10</t>
  </si>
  <si>
    <t>3567357702399283779</t>
  </si>
  <si>
    <t>2026-08-22 07:42:39</t>
  </si>
  <si>
    <t>2026-08-22 07:52:39</t>
  </si>
  <si>
    <t>2026-08-22 11:03:47</t>
  </si>
  <si>
    <t>3567357702416068700</t>
  </si>
  <si>
    <t>2026-08-22 07:45:27</t>
  </si>
  <si>
    <t>2026-08-22 07:55:27</t>
  </si>
  <si>
    <t>2026-08-22 09:55:27</t>
  </si>
  <si>
    <t>106.7325363</t>
  </si>
  <si>
    <t>10.7939132</t>
  </si>
  <si>
    <t>Đ. 9/15 Hẻm 41, Khu Phố 4, An Khánh, Hồ Chí Minh, Việt NamĐ. 9/15 Hẻm 41, Khu Phố 4, An Khánh, Hồ Chí Minh, Việt Nam</t>
  </si>
  <si>
    <t>3567357702416068812</t>
  </si>
  <si>
    <t>2026-08-22 07:46:01</t>
  </si>
  <si>
    <t>2026-08-22 07:56:01</t>
  </si>
  <si>
    <t>2026-08-22 09:56:01</t>
  </si>
  <si>
    <t>3567357702416069126</t>
  </si>
  <si>
    <t>2026-08-22 07:47:46</t>
  </si>
  <si>
    <t>2026-08-22 07:57:46</t>
  </si>
  <si>
    <t>2026-08-22 09:57:46</t>
  </si>
  <si>
    <t>3567357702416069544</t>
  </si>
  <si>
    <t>2026-08-22 07:50:06</t>
  </si>
  <si>
    <t>2026-08-22 08:00:06</t>
  </si>
  <si>
    <t>2026-08-22 09:15:43</t>
  </si>
  <si>
    <t>2026-08-22 09:39:10</t>
  </si>
  <si>
    <t>106.55910915958249</t>
  </si>
  <si>
    <t>10.645055948837653</t>
  </si>
  <si>
    <t>JHV5+W9X, ĐT835B, Phước Lý, Tây Ninh 82511, Việt NamJHV5+W9X, ĐT835B, Phước Lý, Tây Ninh 82511, Việt Nam</t>
  </si>
  <si>
    <t>3567359768848982659</t>
  </si>
  <si>
    <t>2026-08-22 07:40:25</t>
  </si>
  <si>
    <t>2026-08-22 07:50:24</t>
  </si>
  <si>
    <t>2026-08-22 09:50:24</t>
  </si>
  <si>
    <t>106.73251237415344</t>
  </si>
  <si>
    <t>10.793848693310798</t>
  </si>
  <si>
    <t>3567360007630704802</t>
  </si>
  <si>
    <t>2026-08-22 07:49:14</t>
  </si>
  <si>
    <t>2026-08-22 07:59:13</t>
  </si>
  <si>
    <t>2026-08-22 07:51:29</t>
  </si>
  <si>
    <t>2026-08-22 07:59:46</t>
  </si>
  <si>
    <t>106.55292935001218</t>
  </si>
  <si>
    <t>10.644634180666616</t>
  </si>
  <si>
    <t>3567360087775470253</t>
  </si>
  <si>
    <t>2026-08-22 07:41:27</t>
  </si>
  <si>
    <t>2026-08-22 07:51:27</t>
  </si>
  <si>
    <t>2026-08-22 09:51:27</t>
  </si>
  <si>
    <t>3567360087800639650</t>
  </si>
  <si>
    <t>2026-08-22 07:49:52</t>
  </si>
  <si>
    <t>2026-08-22 07:59:52</t>
  </si>
  <si>
    <t>2026-08-22 12:01:38</t>
  </si>
  <si>
    <t>3567361691375325926</t>
  </si>
  <si>
    <t>2026-08-22 07:44:12</t>
  </si>
  <si>
    <t>2026-08-22 07:54:12</t>
  </si>
  <si>
    <t>2026-08-22 07:45:56</t>
  </si>
  <si>
    <t>2026-08-22 07:59:29</t>
  </si>
  <si>
    <t>106.5126803</t>
  </si>
  <si>
    <t>10.6193428</t>
  </si>
  <si>
    <t>TQT TEXTILE J.S.C, Đ. Số 1, KCN Phúc Long, Mỹ Yên, Tây Ninh, Việt NamTQT TEXTILE J.S.C</t>
  </si>
  <si>
    <t>3567361691400499398</t>
  </si>
  <si>
    <t>2026-08-22 07:48:37</t>
  </si>
  <si>
    <t>2026-08-22 07:58:36</t>
  </si>
  <si>
    <t>2026-08-22 09:05:49</t>
  </si>
  <si>
    <t>2026-08-22 09:14:37</t>
  </si>
  <si>
    <t>106.6752891</t>
  </si>
  <si>
    <t>10.9807104</t>
  </si>
  <si>
    <t>Thu Dau Mot University, Trần Văn Ơn, Phú Lợi, Hồ Chí Minh, Việt NamThu Dau Mot University</t>
  </si>
  <si>
    <t>3567362746242786250</t>
  </si>
  <si>
    <t>2026-08-22 07:47:18</t>
  </si>
  <si>
    <t>2026-08-22 07:57:18</t>
  </si>
  <si>
    <t>2026-08-22 09:57:18</t>
  </si>
  <si>
    <t>106.6393683</t>
  </si>
  <si>
    <t>10.807649</t>
  </si>
  <si>
    <t>119 C12, Tân Sơn, Hồ Chí Minh, Việt Nam119 C12, Tân Sơn, Hồ Chí Minh, Việt Nam</t>
  </si>
  <si>
    <t>3567362746259558848</t>
  </si>
  <si>
    <t>2026-08-22 07:49:36</t>
  </si>
  <si>
    <t>2026-08-22 07:59:36</t>
  </si>
  <si>
    <t>2026-08-22 07:52:14</t>
  </si>
  <si>
    <t>2026-08-22 07:59:53</t>
  </si>
  <si>
    <t>106.8557943</t>
  </si>
  <si>
    <t>10.899171</t>
  </si>
  <si>
    <t>Công Ty Tnhh Một Thành Viên Long Thành Tuấn, Quốc lộ 51, Ấp 2, Long Hưng, Đồng Nai, Việt NamCông Ty Tnhh Một Thành Viên Long Thành Tuấn</t>
  </si>
  <si>
    <t>3567378991855924062</t>
  </si>
  <si>
    <t>2026-08-22 08:20:57</t>
  </si>
  <si>
    <t>2026-08-22 08:30:56</t>
  </si>
  <si>
    <t>2026-08-22 10:30:56</t>
  </si>
  <si>
    <t>3567381519200908134</t>
  </si>
  <si>
    <t>2026-08-22 08:25:17</t>
  </si>
  <si>
    <t>2026-08-22 08:35:16</t>
  </si>
  <si>
    <t>2026-08-22 11:19:50</t>
  </si>
  <si>
    <t>106.6077078</t>
  </si>
  <si>
    <t>10.8554599</t>
  </si>
  <si>
    <t>Trung Tâm Văn Hoá Quận 12, Quốc lộ 22, Trung Mỹ Tây, Hồ Chí Minh, Việt NamTrung Tâm Văn Hoá Quận 12</t>
  </si>
  <si>
    <t>3567382784798585341</t>
  </si>
  <si>
    <t>2026-08-22 08:19:34</t>
  </si>
  <si>
    <t>2026-08-22 08:29:32</t>
  </si>
  <si>
    <t>2026-08-22 10:29:32</t>
  </si>
  <si>
    <t>106.7040212</t>
  </si>
  <si>
    <t>10.7733574</t>
  </si>
  <si>
    <t>The Gangs Central, Nguyễn Huệ, Sài Gòn, Quận 1, Hồ Chí Minh, Việt NamThe Gangs Central</t>
  </si>
  <si>
    <t>3567382784815358268</t>
  </si>
  <si>
    <t>2026-08-22 08:22:28</t>
  </si>
  <si>
    <t>2026-08-22 08:32:26</t>
  </si>
  <si>
    <t>2026-08-22 10:32:26</t>
  </si>
  <si>
    <t>106.6619867</t>
  </si>
  <si>
    <t>10.7397192</t>
  </si>
  <si>
    <t>Quận 8, Bình Đông, Hồ Chí Minh, Việt NamQuận 8</t>
  </si>
  <si>
    <t>3567382784815358684</t>
  </si>
  <si>
    <t>2026-08-22 08:23:47</t>
  </si>
  <si>
    <t>2026-08-22 08:33:46</t>
  </si>
  <si>
    <t>2026-08-22 10:50:03</t>
  </si>
  <si>
    <t>2026-08-22 10:57:50</t>
  </si>
  <si>
    <t>3567383536384303335</t>
  </si>
  <si>
    <t>2026-08-22 08:26:52</t>
  </si>
  <si>
    <t>2026-08-22 08:36:50</t>
  </si>
  <si>
    <t>2026-08-22 11:37:07</t>
  </si>
  <si>
    <t>2026-08-22 11:46:49</t>
  </si>
  <si>
    <t>3567383720388423992</t>
  </si>
  <si>
    <t>2026-08-22 08:24:11</t>
  </si>
  <si>
    <t>2026-08-22 08:34:10</t>
  </si>
  <si>
    <t>2026-08-22 10:34:10</t>
  </si>
  <si>
    <t>3567384295536546831</t>
  </si>
  <si>
    <t>2026-08-22 08:27:27</t>
  </si>
  <si>
    <t>2026-08-22 08:37:26</t>
  </si>
  <si>
    <t>2026-08-22 10:19:06</t>
  </si>
  <si>
    <t>3534003311185458062</t>
  </si>
  <si>
    <t>2026-07-07 07:28:44</t>
  </si>
  <si>
    <t>2026-07-07 07:38:45</t>
  </si>
  <si>
    <t>2026-07-07 09:38:45</t>
  </si>
  <si>
    <t>3534007535487119526</t>
  </si>
  <si>
    <t>2026-07-07 07:29:03</t>
  </si>
  <si>
    <t>2026-07-07 07:39:04</t>
  </si>
  <si>
    <t>2026-07-07 09:39:04</t>
  </si>
  <si>
    <t>3534007535487119816</t>
  </si>
  <si>
    <t>2026-07-07 07:30:47</t>
  </si>
  <si>
    <t>2026-07-07 07:40:48</t>
  </si>
  <si>
    <t>2026-07-07 09:40:48</t>
  </si>
  <si>
    <t>3534010161784120064</t>
  </si>
  <si>
    <t>2026-07-07 07:36:13</t>
  </si>
  <si>
    <t>2026-07-07 07:46:14</t>
  </si>
  <si>
    <t>2026-07-07 09:46:14</t>
  </si>
  <si>
    <t>3534010775092032368</t>
  </si>
  <si>
    <t>2026-07-07 07:31:48</t>
  </si>
  <si>
    <t>2026-07-07 07:41:49</t>
  </si>
  <si>
    <t>2026-07-07 09:41:49</t>
  </si>
  <si>
    <t>3534011301603008845</t>
  </si>
  <si>
    <t>2026-07-07 07:29:22</t>
  </si>
  <si>
    <t>2026-07-07 07:39:23</t>
  </si>
  <si>
    <t>2026-07-07 09:39:23</t>
  </si>
  <si>
    <t>3534012472199697446</t>
  </si>
  <si>
    <t>2026-07-07 07:35:13</t>
  </si>
  <si>
    <t>2026-07-07 07:45:14</t>
  </si>
  <si>
    <t>2026-07-07 09:45:14</t>
  </si>
  <si>
    <t>3534013427578261846</t>
  </si>
  <si>
    <t>2026-07-07 07:32:09</t>
  </si>
  <si>
    <t>2026-07-07 07:42:10</t>
  </si>
  <si>
    <t>2026-07-07 09:42:10</t>
  </si>
  <si>
    <t>3534019252409553072</t>
  </si>
  <si>
    <t>2026-07-07 07:35:35</t>
  </si>
  <si>
    <t>2026-07-07 07:45:36</t>
  </si>
  <si>
    <t>2026-07-07 09:45:36</t>
  </si>
  <si>
    <t>3534745951573069919</t>
  </si>
  <si>
    <t>2026-07-08 07:48:14</t>
  </si>
  <si>
    <t>2026-07-08 07:58:14</t>
  </si>
  <si>
    <t>2026-07-08 09:58:14</t>
  </si>
  <si>
    <t>3534749721749053645</t>
  </si>
  <si>
    <t>2026-07-08 07:50:27</t>
  </si>
  <si>
    <t>2026-07-08 08:00:27</t>
  </si>
  <si>
    <t>2026-07-08 07:51:00</t>
  </si>
  <si>
    <t>3534749721765826906</t>
  </si>
  <si>
    <t>2026-07-08 07:55:38</t>
  </si>
  <si>
    <t>2026-07-08 08:05:39</t>
  </si>
  <si>
    <t>2026-07-08 10:05:39</t>
  </si>
  <si>
    <t>3534750002893255639</t>
  </si>
  <si>
    <t>2026-07-08 07:49:49</t>
  </si>
  <si>
    <t>2026-07-08 07:59:49</t>
  </si>
  <si>
    <t>2026-07-08 07:51:11</t>
  </si>
  <si>
    <t>3534750176998814492</t>
  </si>
  <si>
    <t>2026-07-08 07:49:13</t>
  </si>
  <si>
    <t>2026-07-08 07:59:14</t>
  </si>
  <si>
    <t>2026-07-08 09:59:14</t>
  </si>
  <si>
    <t>3534750177023975971</t>
  </si>
  <si>
    <t>2026-07-08 07:52:56</t>
  </si>
  <si>
    <t>2026-07-08 08:02:57</t>
  </si>
  <si>
    <t>2026-07-08 08:29:36</t>
  </si>
  <si>
    <t>2026-07-08 08:51:52</t>
  </si>
  <si>
    <t>3534750177040748644</t>
  </si>
  <si>
    <t>2026-07-08 07:55:23</t>
  </si>
  <si>
    <t>2026-07-08 08:05:24</t>
  </si>
  <si>
    <t>2026-07-08 10:05:24</t>
  </si>
  <si>
    <t>3534750781481906904</t>
  </si>
  <si>
    <t>2026-07-08 07:50:09</t>
  </si>
  <si>
    <t>2026-07-08 08:00:10</t>
  </si>
  <si>
    <t>2026-07-08 07:50:51</t>
  </si>
  <si>
    <t>3534752158857786418</t>
  </si>
  <si>
    <t>2026-07-08 07:53:47</t>
  </si>
  <si>
    <t>2026-07-08 08:03:48</t>
  </si>
  <si>
    <t>2026-07-08 10:58:28</t>
  </si>
  <si>
    <t>2026-07-08 11:13:10</t>
  </si>
  <si>
    <t>3534752199055995239</t>
  </si>
  <si>
    <t>2026-07-08 07:50:48</t>
  </si>
  <si>
    <t>2026-07-08 08:00:49</t>
  </si>
  <si>
    <t>2026-07-08 10:00:49</t>
  </si>
  <si>
    <t>3534752199081156868</t>
  </si>
  <si>
    <t>2026-07-08 07:54:43</t>
  </si>
  <si>
    <t>2026-07-08 08:04:44</t>
  </si>
  <si>
    <t>2026-07-08 10:04:44</t>
  </si>
  <si>
    <t>3534752291414569563</t>
  </si>
  <si>
    <t>2026-07-08 07:51:56</t>
  </si>
  <si>
    <t>2026-07-08 08:01:57</t>
  </si>
  <si>
    <t>2026-07-08 10:01:57</t>
  </si>
  <si>
    <t>3534754181980319927</t>
  </si>
  <si>
    <t>2026-07-08 07:53:13</t>
  </si>
  <si>
    <t>2026-07-08 08:03:13</t>
  </si>
  <si>
    <t>2026-07-08 10:03:13</t>
  </si>
  <si>
    <t>3535857530565775556</t>
  </si>
  <si>
    <t>Long mộng gà nè con</t>
  </si>
  <si>
    <t>2026-07-09 20:42:12</t>
  </si>
  <si>
    <t>2026-07-09 20:52:11</t>
  </si>
  <si>
    <t>2026-07-09 23:15:03</t>
  </si>
  <si>
    <t>106.6049649</t>
  </si>
  <si>
    <t>10.6838283</t>
  </si>
  <si>
    <t>106.6081537</t>
  </si>
  <si>
    <t>10.6579453</t>
  </si>
  <si>
    <t>An Phú Tây - Hưng Long, Bình Chánh, Hồ Chí Minh, Việt NamAn Phú Tây - Hưng Long</t>
  </si>
  <si>
    <t>Chợ Hưng Long, Đoàn Nguyễn Tuấn, Hưng Long, Hồ Chí Minh, Việt NamChợ Hưng Long</t>
  </si>
  <si>
    <t>3536894397914505944</t>
  </si>
  <si>
    <t>2026-07-11 07:14:02</t>
  </si>
  <si>
    <t>2026-07-11 07:24:00</t>
  </si>
  <si>
    <t>2026-07-11 09:24:00</t>
  </si>
  <si>
    <t>106.75653297409671</t>
  </si>
  <si>
    <t>10.910298446228467</t>
  </si>
  <si>
    <t>813 ĐT743B, Dĩ An, Hồ Chí Minh, Việt Nam813 ĐT743B, Dĩ An, Hồ Chí Minh, Việt Nam</t>
  </si>
  <si>
    <t>3536894397931278626</t>
  </si>
  <si>
    <t>2026-07-11 07:18:21</t>
  </si>
  <si>
    <t>2026-07-11 07:28:21</t>
  </si>
  <si>
    <t>2026-07-11 09:28:21</t>
  </si>
  <si>
    <t>3536894397931278948</t>
  </si>
  <si>
    <t>2026-07-11 07:20:45</t>
  </si>
  <si>
    <t>2026-07-11 07:30:45</t>
  </si>
  <si>
    <t>2026-07-11 09:30:45</t>
  </si>
  <si>
    <t>106.59339392065432</t>
  </si>
  <si>
    <t>10.79252171250129</t>
  </si>
  <si>
    <t>61/7/43 Đường số 8, Bình Tân, Hồ Chí Minh, Việt Nam61/7/43 Đường số 8, Bình Tân, Hồ Chí Minh, Việt Nam</t>
  </si>
  <si>
    <t>3536894397931279163</t>
  </si>
  <si>
    <t>2026-07-11 07:22:31</t>
  </si>
  <si>
    <t>2026-07-11 07:32:30</t>
  </si>
  <si>
    <t>2026-07-11 09:32:30</t>
  </si>
  <si>
    <t>106.59133753359073</t>
  </si>
  <si>
    <t>10.885371429959608</t>
  </si>
  <si>
    <t>3536894397931279362</t>
  </si>
  <si>
    <t>2026-07-11 07:23:53</t>
  </si>
  <si>
    <t>2026-07-11 07:33:52</t>
  </si>
  <si>
    <t>2026-07-11 10:09:38</t>
  </si>
  <si>
    <t>106.6743767</t>
  </si>
  <si>
    <t>10.8323108</t>
  </si>
  <si>
    <t>3536895895817905132</t>
  </si>
  <si>
    <t>2026-07-11 07:17:37</t>
  </si>
  <si>
    <t>2026-07-11 07:27:37</t>
  </si>
  <si>
    <t>2026-07-11 08:19:22</t>
  </si>
  <si>
    <t>2026-07-11 08:21:09</t>
  </si>
  <si>
    <t>107.0319636</t>
  </si>
  <si>
    <t>10.7914234</t>
  </si>
  <si>
    <t>3536895895834677362</t>
  </si>
  <si>
    <t>2026-07-11 07:17:59</t>
  </si>
  <si>
    <t>2026-07-11 07:27:59</t>
  </si>
  <si>
    <t>2026-07-11 09:27:59</t>
  </si>
  <si>
    <t>3536895895834677388</t>
  </si>
  <si>
    <t>2026-07-11 07:18:08</t>
  </si>
  <si>
    <t>2026-07-11 07:28:07</t>
  </si>
  <si>
    <t>2026-07-11 09:28:07</t>
  </si>
  <si>
    <t>3536895895834677634</t>
  </si>
  <si>
    <t>2026-07-11 07:20:10</t>
  </si>
  <si>
    <t>2026-07-11 07:30:09</t>
  </si>
  <si>
    <t>2026-07-11 10:15:15</t>
  </si>
  <si>
    <t>106.70549648017881</t>
  </si>
  <si>
    <t>10.81323730343783</t>
  </si>
  <si>
    <t>10, 10 Đ. Số 10, Bình Thạnh, Hồ Chí Minh, Việt Nam10, 10 Đ. Số 10, Bình Thạnh, Hồ Chí Minh, Việt Nam</t>
  </si>
  <si>
    <t>3536896082598650356</t>
  </si>
  <si>
    <t>2026-07-11 07:22:20</t>
  </si>
  <si>
    <t>2026-07-11 07:32:20</t>
  </si>
  <si>
    <t>2026-07-11 09:32:20</t>
  </si>
  <si>
    <t>3536898880157479422</t>
  </si>
  <si>
    <t>2026-07-11 07:17:13</t>
  </si>
  <si>
    <t>2026-07-11 07:27:12</t>
  </si>
  <si>
    <t>2026-07-11 10:18:53</t>
  </si>
  <si>
    <t>3536898880174252825</t>
  </si>
  <si>
    <t>2026-07-11 07:27:09</t>
  </si>
  <si>
    <t>2026-07-11 07:37:09</t>
  </si>
  <si>
    <t>2026-07-11 07:42:54</t>
  </si>
  <si>
    <t>2026-07-11 07:45:59</t>
  </si>
  <si>
    <t>3536900571829334408</t>
  </si>
  <si>
    <t>2026-07-11 07:17:49</t>
  </si>
  <si>
    <t>2026-07-11 07:27:48</t>
  </si>
  <si>
    <t>2026-07-11 09:53:43</t>
  </si>
  <si>
    <t>3536901666257465978</t>
  </si>
  <si>
    <t>2026-07-11 07:13:48</t>
  </si>
  <si>
    <t>2026-07-11 07:23:47</t>
  </si>
  <si>
    <t>2026-07-11 09:23:47</t>
  </si>
  <si>
    <t>3536901666257466136</t>
  </si>
  <si>
    <t>2026-07-11 07:15:13</t>
  </si>
  <si>
    <t>2026-07-11 07:25:12</t>
  </si>
  <si>
    <t>2026-07-11 09:25:12</t>
  </si>
  <si>
    <t>3536904641201787038</t>
  </si>
  <si>
    <t>2026-07-11 07:14:15</t>
  </si>
  <si>
    <t>2026-07-11 07:24:14</t>
  </si>
  <si>
    <t>2026-07-11 10:55:30</t>
  </si>
  <si>
    <t>2026-07-11 11:11:50</t>
  </si>
  <si>
    <t>106.7567051</t>
  </si>
  <si>
    <t>10.9105455</t>
  </si>
  <si>
    <t>3536908458765013069</t>
  </si>
  <si>
    <t>2026-07-11 07:19:22</t>
  </si>
  <si>
    <t>2026-07-11 07:29:22</t>
  </si>
  <si>
    <t>2026-07-11 11:52:34</t>
  </si>
  <si>
    <t>3536908458790187231</t>
  </si>
  <si>
    <t>2026-07-11 07:27:56</t>
  </si>
  <si>
    <t>2026-07-11 07:28:34</t>
  </si>
  <si>
    <t>2026-07-11 07:31:50</t>
  </si>
  <si>
    <t>3536910680043246558</t>
  </si>
  <si>
    <t>2026-07-11 07:29:11</t>
  </si>
  <si>
    <t>2026-07-11 10:49:47</t>
  </si>
  <si>
    <t>2026-07-11 10:57:51</t>
  </si>
  <si>
    <t>3536910680068419880</t>
  </si>
  <si>
    <t>2026-07-11 07:32:40</t>
  </si>
  <si>
    <t>2026-07-11 07:37:50</t>
  </si>
  <si>
    <t>2026-07-11 07:40:37</t>
  </si>
  <si>
    <t>3536910680085192922</t>
  </si>
  <si>
    <t>2026-07-11 07:38:13</t>
  </si>
  <si>
    <t>2026-07-11 07:48:12</t>
  </si>
  <si>
    <t>2026-07-11 09:48:12</t>
  </si>
  <si>
    <t>3536911608066569047</t>
  </si>
  <si>
    <t>2026-07-11 07:29:31</t>
  </si>
  <si>
    <t>2026-07-11 15:08:00</t>
  </si>
  <si>
    <t>2026-07-11 15:21:20</t>
  </si>
  <si>
    <t>3536911608108503965</t>
  </si>
  <si>
    <t>2026-07-11 07:42:35</t>
  </si>
  <si>
    <t>2026-07-11 07:52:34</t>
  </si>
  <si>
    <t>2026-07-11 09:52:34</t>
  </si>
  <si>
    <t>3536912397006758944</t>
  </si>
  <si>
    <t>2026-07-11 07:38:24</t>
  </si>
  <si>
    <t>2026-07-11 07:48:24</t>
  </si>
  <si>
    <t>2026-07-11 09:48:24</t>
  </si>
  <si>
    <t>3536912397023531212</t>
  </si>
  <si>
    <t>2026-07-11 07:39:31</t>
  </si>
  <si>
    <t>2026-07-11 07:49:30</t>
  </si>
  <si>
    <t>2026-07-11 09:49:30</t>
  </si>
  <si>
    <t>106.62164709999999</t>
  </si>
  <si>
    <t>10.875077599999996</t>
  </si>
  <si>
    <t>178 Thới Tam Thôn 17, Đông Thạnh, Hồ Chí Minh, Việt Nam178 Thới Tam Thôn 17, Đông Thạnh, Hồ Chí Minh, Việt Nam</t>
  </si>
  <si>
    <t>3536912397023531267</t>
  </si>
  <si>
    <t>2026-07-11 07:39:46</t>
  </si>
  <si>
    <t>2026-07-11 07:49:46</t>
  </si>
  <si>
    <t>2026-07-11 09:49:46</t>
  </si>
  <si>
    <t>3536912397023531455</t>
  </si>
  <si>
    <t>2026-07-11 07:40:54</t>
  </si>
  <si>
    <t>2026-07-11 07:50:53</t>
  </si>
  <si>
    <t>2026-07-11 09:50:53</t>
  </si>
  <si>
    <t>106.8041452</t>
  </si>
  <si>
    <t>10.9378372</t>
  </si>
  <si>
    <t>3536912397023531501</t>
  </si>
  <si>
    <t>2026-07-11 07:41:11</t>
  </si>
  <si>
    <t>2026-07-11 07:51:11</t>
  </si>
  <si>
    <t>2026-07-11 09:51:11</t>
  </si>
  <si>
    <t>3536912774259233119</t>
  </si>
  <si>
    <t>2026-07-11 07:28:24</t>
  </si>
  <si>
    <t>2026-07-11 11:46:20</t>
  </si>
  <si>
    <t>2026-07-11 11:53:46</t>
  </si>
  <si>
    <t>3536912774276019196</t>
  </si>
  <si>
    <t>2026-07-11 07:38:41</t>
  </si>
  <si>
    <t>2026-07-11 07:48:41</t>
  </si>
  <si>
    <t>2026-07-11 09:48:41</t>
  </si>
  <si>
    <t>3536912774301180779</t>
  </si>
  <si>
    <t>2026-07-11 07:43:55</t>
  </si>
  <si>
    <t>2026-07-11 07:53:55</t>
  </si>
  <si>
    <t>2026-07-11 09:53:55</t>
  </si>
  <si>
    <t>3536914235596689699</t>
  </si>
  <si>
    <t>2026-07-11 07:30:08</t>
  </si>
  <si>
    <t>2026-07-11 12:01:01</t>
  </si>
  <si>
    <t>3536914235638636972</t>
  </si>
  <si>
    <t>2026-07-11 07:43:21</t>
  </si>
  <si>
    <t>2026-07-11 07:53:21</t>
  </si>
  <si>
    <t>2026-07-11 09:53:21</t>
  </si>
  <si>
    <t>3536915386337546505</t>
  </si>
  <si>
    <t>2026-07-11 07:31:52</t>
  </si>
  <si>
    <t>2026-07-11 11:48:16</t>
  </si>
  <si>
    <t>3536915386337546566</t>
  </si>
  <si>
    <t>2026-07-11 07:32:13</t>
  </si>
  <si>
    <t>2026-07-11 11:48:14</t>
  </si>
  <si>
    <t>2026-07-11 12:07:47</t>
  </si>
  <si>
    <t>3536915386337547003</t>
  </si>
  <si>
    <t>2026-07-11 07:35:11</t>
  </si>
  <si>
    <t>2026-07-11 07:45:10</t>
  </si>
  <si>
    <t>2026-07-11 07:37:31</t>
  </si>
  <si>
    <t>2026-07-11 07:39:16</t>
  </si>
  <si>
    <t>3536915386354331661</t>
  </si>
  <si>
    <t>2026-07-11 07:36:58</t>
  </si>
  <si>
    <t>2026-07-11 07:46:57</t>
  </si>
  <si>
    <t>2026-07-11 09:46:57</t>
  </si>
  <si>
    <t>3536916284623249633</t>
  </si>
  <si>
    <t>2026-07-11 07:39:13</t>
  </si>
  <si>
    <t>2026-07-11 07:49:13</t>
  </si>
  <si>
    <t>2026-07-11 09:49:13</t>
  </si>
  <si>
    <t>3536916284623250047</t>
  </si>
  <si>
    <t>2026-07-11 07:41:27</t>
  </si>
  <si>
    <t>2026-07-11 07:51:26</t>
  </si>
  <si>
    <t>2026-07-11 09:51:26</t>
  </si>
  <si>
    <t>3536920659970184122</t>
  </si>
  <si>
    <t>2026-07-11 07:45:00</t>
  </si>
  <si>
    <t>2026-07-11 07:54:59</t>
  </si>
  <si>
    <t>2026-07-11 09:58:47</t>
  </si>
  <si>
    <t>3536920660003742020</t>
  </si>
  <si>
    <t>2026-07-11 07:52:33</t>
  </si>
  <si>
    <t>2026-07-11 08:02:32</t>
  </si>
  <si>
    <t>2026-07-11 10:46:15</t>
  </si>
  <si>
    <t>2026-07-11 10:55:40</t>
  </si>
  <si>
    <t>3536922118665228481</t>
  </si>
  <si>
    <t>2026-07-11 07:43:07</t>
  </si>
  <si>
    <t>2026-07-11 07:53:06</t>
  </si>
  <si>
    <t>2026-07-11 09:53:06</t>
  </si>
  <si>
    <t>3536922118665228766</t>
  </si>
  <si>
    <t>2026-07-11 07:44:44</t>
  </si>
  <si>
    <t>2026-07-11 07:54:44</t>
  </si>
  <si>
    <t>2026-07-11 07:49:51</t>
  </si>
  <si>
    <t>2026-07-11 07:52:46</t>
  </si>
  <si>
    <t>3536922118665229092</t>
  </si>
  <si>
    <t>2026-07-11 07:56:42</t>
  </si>
  <si>
    <t>2026-07-11 09:56:42</t>
  </si>
  <si>
    <t>3536922118690402438</t>
  </si>
  <si>
    <t>2026-07-11 07:48:03</t>
  </si>
  <si>
    <t>2026-07-11 09:58:03</t>
  </si>
  <si>
    <t>3536922118690403192</t>
  </si>
  <si>
    <t>2026-07-11 07:52:17</t>
  </si>
  <si>
    <t>2026-07-11 08:02:17</t>
  </si>
  <si>
    <t>2026-07-11 10:06:04</t>
  </si>
  <si>
    <t>3536922842828599846</t>
  </si>
  <si>
    <t>2026-07-11 07:46:23</t>
  </si>
  <si>
    <t>2026-07-11 07:56:23</t>
  </si>
  <si>
    <t>2026-07-11 09:56:23</t>
  </si>
  <si>
    <t>3536922842845372723</t>
  </si>
  <si>
    <t>2026-07-11 07:50:37</t>
  </si>
  <si>
    <t>2026-07-11 08:00:36</t>
  </si>
  <si>
    <t>2026-07-11 09:10:30</t>
  </si>
  <si>
    <t>106.62632368465576</t>
  </si>
  <si>
    <t>11.08900772040042</t>
  </si>
  <si>
    <t>3536922842845372914</t>
  </si>
  <si>
    <t>2026-07-11 07:51:31</t>
  </si>
  <si>
    <t>2026-07-11 08:01:31</t>
  </si>
  <si>
    <t>2026-07-11 07:54:07</t>
  </si>
  <si>
    <t>2026-07-11 07:56:53</t>
  </si>
  <si>
    <t>106.8059236</t>
  </si>
  <si>
    <t>11.0772496</t>
  </si>
  <si>
    <t>3RG4+V8G, Tân Uyên, Hồ Chí Minh, Việt Nam3RG4+V8G, Tân Uyên, Hồ Chí Minh, Việt Nam</t>
  </si>
  <si>
    <t>3536922842862146288</t>
  </si>
  <si>
    <t>2026-07-11 07:57:50</t>
  </si>
  <si>
    <t>2026-07-11 08:07:49</t>
  </si>
  <si>
    <t>2026-07-11 11:11:30</t>
  </si>
  <si>
    <t>3536923446607049190</t>
  </si>
  <si>
    <t>2026-07-11 07:47:01</t>
  </si>
  <si>
    <t>2026-07-11 07:57:00</t>
  </si>
  <si>
    <t>2026-07-11 09:56:52</t>
  </si>
  <si>
    <t>3536923446648984400</t>
  </si>
  <si>
    <t>2026-07-11 07:59:29</t>
  </si>
  <si>
    <t>2026-07-11 08:09:28</t>
  </si>
  <si>
    <t>2026-07-11 10:46:25</t>
  </si>
  <si>
    <t>3536923602349937126</t>
  </si>
  <si>
    <t>2026-07-11 07:47:13</t>
  </si>
  <si>
    <t>2026-07-11 07:57:13</t>
  </si>
  <si>
    <t>2026-07-11 09:57:13</t>
  </si>
  <si>
    <t>3536923602391883940</t>
  </si>
  <si>
    <t>2026-07-11 07:56:04</t>
  </si>
  <si>
    <t>2026-07-11 08:06:03</t>
  </si>
  <si>
    <t>2026-07-11 10:06:03</t>
  </si>
  <si>
    <t>3536923602391884011</t>
  </si>
  <si>
    <t>2026-07-11 07:56:30</t>
  </si>
  <si>
    <t>2026-07-11 08:06:30</t>
  </si>
  <si>
    <t>2026-07-11 10:06:30</t>
  </si>
  <si>
    <t>3536924744995787486</t>
  </si>
  <si>
    <t>2026-07-11 07:50:24</t>
  </si>
  <si>
    <t>2026-07-11 08:00:23</t>
  </si>
  <si>
    <t>2026-07-11 11:40:36</t>
  </si>
  <si>
    <t>3536925697044075438</t>
  </si>
  <si>
    <t>2026-07-11 07:53:28</t>
  </si>
  <si>
    <t>2026-07-11 08:03:27</t>
  </si>
  <si>
    <t>2026-07-11 10:03:27</t>
  </si>
  <si>
    <t>106.7566263</t>
  </si>
  <si>
    <t>10.8973532</t>
  </si>
  <si>
    <t>3536925697044075485</t>
  </si>
  <si>
    <t>2026-07-11 07:53:46</t>
  </si>
  <si>
    <t>2026-07-11 08:03:45</t>
  </si>
  <si>
    <t>2026-07-11 10:03:45</t>
  </si>
  <si>
    <t>3536926221197865294</t>
  </si>
  <si>
    <t>2026-07-11 07:51:16</t>
  </si>
  <si>
    <t>2026-07-11 08:01:16</t>
  </si>
  <si>
    <t>2026-07-11 09:00:37</t>
  </si>
  <si>
    <t>2026-07-11 09:04:32</t>
  </si>
  <si>
    <t>106.80595531775208</t>
  </si>
  <si>
    <t>11.077485446418878</t>
  </si>
  <si>
    <t>3536926221197865386</t>
  </si>
  <si>
    <t>2026-07-11 07:51:47</t>
  </si>
  <si>
    <t>2026-07-11 08:01:47</t>
  </si>
  <si>
    <t>2026-07-11 09:07:14</t>
  </si>
  <si>
    <t>3536926221197865569</t>
  </si>
  <si>
    <t>2026-07-11 08:02:45</t>
  </si>
  <si>
    <t>2026-07-11 10:02:45</t>
  </si>
  <si>
    <t>3536926221197865674</t>
  </si>
  <si>
    <t>2026-07-11 07:53:15</t>
  </si>
  <si>
    <t>2026-07-11 08:03:14</t>
  </si>
  <si>
    <t>2026-07-16 17:32:34</t>
  </si>
  <si>
    <t>3536930997570588811</t>
  </si>
  <si>
    <t>2026-07-11 07:58:44</t>
  </si>
  <si>
    <t>2026-07-11 08:08:44</t>
  </si>
  <si>
    <t>2026-07-11 09:13:19</t>
  </si>
  <si>
    <t>3536930997570589255</t>
  </si>
  <si>
    <t>2026-07-11 08:00:46</t>
  </si>
  <si>
    <t>2026-07-11 08:10:45</t>
  </si>
  <si>
    <t>2026-07-11 10:47:23</t>
  </si>
  <si>
    <t>106.7316218807605</t>
  </si>
  <si>
    <t>10.793406054369443</t>
  </si>
  <si>
    <t>97/6 Trần Não, Bình Khánh, An Khánh, Hồ Chí Minh, Việt Nam97/6 Trần Não, Bình Khánh, An Khánh, Hồ Chí Minh, Việt Nam</t>
  </si>
  <si>
    <t>3539497936373371498</t>
  </si>
  <si>
    <t>2026-07-14 21:26:15</t>
  </si>
  <si>
    <t>2026-07-15 01:10:24</t>
  </si>
  <si>
    <t>2026-07-25 08:56:00</t>
  </si>
  <si>
    <t>3539501606087381259</t>
  </si>
  <si>
    <t>2026-07-14 21:31:33</t>
  </si>
  <si>
    <t>3539502139183424224</t>
  </si>
  <si>
    <t>2026-07-14 21:28:03</t>
  </si>
  <si>
    <t>3539502139183424264</t>
  </si>
  <si>
    <t>2026-07-14 21:28:24</t>
  </si>
  <si>
    <t>3539504510122811873</t>
  </si>
  <si>
    <t>2026-07-14 21:30:07</t>
  </si>
  <si>
    <t>2026-07-15 11:00:00</t>
  </si>
  <si>
    <t>3539504510139585317</t>
  </si>
  <si>
    <t>2026-07-14 21:44:10</t>
  </si>
  <si>
    <t>2026-07-15 10:15:00</t>
  </si>
  <si>
    <t>2026-07-17 10:09:11</t>
  </si>
  <si>
    <t>106.64545592939145</t>
  </si>
  <si>
    <t>10.800196730521773</t>
  </si>
  <si>
    <t>31/19G Đồng Xoài, Tân Bình, Hồ Chí Minh, Việt Nam31/19G Đồng Xoài, Tân Bình, Hồ Chí Minh, Việt Nam</t>
  </si>
  <si>
    <t>3539505256725700784</t>
  </si>
  <si>
    <t>2026-07-14 21:33:15</t>
  </si>
  <si>
    <t>3539505256742473972</t>
  </si>
  <si>
    <t>2026-07-14 21:39:34</t>
  </si>
  <si>
    <t>2026-07-15 11:10:00</t>
  </si>
  <si>
    <t>106.59561756801453</t>
  </si>
  <si>
    <t>10.886808822666506</t>
  </si>
  <si>
    <t>5A 61, Tổ 12, Hóc Môn, Hồ Chí Minh, Việt Nam5A 61, Tổ 12, Hóc Môn, Hồ Chí Minh, Việt Nam</t>
  </si>
  <si>
    <t>3539507869248610704</t>
  </si>
  <si>
    <t>2026-07-14 21:37:34</t>
  </si>
  <si>
    <t>3539507869265384003</t>
  </si>
  <si>
    <t>2026-07-14 21:50:45</t>
  </si>
  <si>
    <t>3539508123314381139</t>
  </si>
  <si>
    <t>2026-07-14 21:27:37</t>
  </si>
  <si>
    <t>2026-07-15 08:58:00</t>
  </si>
  <si>
    <t>2026-07-15 10:58:00</t>
  </si>
  <si>
    <t>106.80444469629516</t>
  </si>
  <si>
    <t>10.938369012361246</t>
  </si>
  <si>
    <t>3539508123339543321</t>
  </si>
  <si>
    <t>2026-07-14 21:43:32</t>
  </si>
  <si>
    <t>2026-07-15 10:14:00</t>
  </si>
  <si>
    <t>2026-07-15 12:14:00</t>
  </si>
  <si>
    <t>3539508123339543523</t>
  </si>
  <si>
    <t>2026-07-14 21:45:36</t>
  </si>
  <si>
    <t>3539510635736035379</t>
  </si>
  <si>
    <t>2026-07-14 21:30:27</t>
  </si>
  <si>
    <t>3539510635761197609</t>
  </si>
  <si>
    <t>2026-07-14 21:46:13</t>
  </si>
  <si>
    <t>2026-07-15 09:17:00</t>
  </si>
  <si>
    <t>2026-07-15 10:01:55</t>
  </si>
  <si>
    <t>3539510635761197748</t>
  </si>
  <si>
    <t>2026-07-14 21:47:43</t>
  </si>
  <si>
    <t>2026-07-15 09:18:00</t>
  </si>
  <si>
    <t>2026-07-15 11:18:00</t>
  </si>
  <si>
    <t>106.70409129126278</t>
  </si>
  <si>
    <t>10.815242021806473</t>
  </si>
  <si>
    <t>79/H52B Đ. Nguyễn Xí, Bình Thạnh, Hồ Chí Minh 70000, Việt Nam79/H52B Đ. Nguyễn Xí, Bình Thạnh, Hồ Chí Minh 70000, Việt Nam</t>
  </si>
  <si>
    <t>3539510635786359029</t>
  </si>
  <si>
    <t>2026-07-14 21:54:34</t>
  </si>
  <si>
    <t>3539512161028239519</t>
  </si>
  <si>
    <t>2026-07-14 21:34:44</t>
  </si>
  <si>
    <t>3539512161028239958</t>
  </si>
  <si>
    <t>2026-07-14 21:39:15</t>
  </si>
  <si>
    <t>2026-07-15 10:10:00</t>
  </si>
  <si>
    <t>2026-07-15 12:10:00</t>
  </si>
  <si>
    <t>106.59229240000003</t>
  </si>
  <si>
    <t>10.886393400000001</t>
  </si>
  <si>
    <t>85/3 Đ Lê Lợi, Hóc Môn, Hồ Chí Minh, Việt Nam85/3 Đ Lê Lợi, Hóc Môn, Hồ Chí Minh, Việt Nam</t>
  </si>
  <si>
    <t>3539512161028240028</t>
  </si>
  <si>
    <t>2026-07-14 21:39:55</t>
  </si>
  <si>
    <t>106.59596119391782</t>
  </si>
  <si>
    <t>10.888313192704077</t>
  </si>
  <si>
    <t>6 Đ. Quang Trung, Hóc Môn, Hồ Chí Minh, Việt Nam6 Đ. Quang Trung, Hóc Môn, Hồ Chí Minh, Việt Nam</t>
  </si>
  <si>
    <t>3539512161053401583</t>
  </si>
  <si>
    <t>2026-07-14 21:48:04</t>
  </si>
  <si>
    <t>106.70194171241151</t>
  </si>
  <si>
    <t>10.81218778002013</t>
  </si>
  <si>
    <t>3539512161053401725</t>
  </si>
  <si>
    <t>2026-07-14 21:50:07</t>
  </si>
  <si>
    <t>2026-07-15 09:20:00</t>
  </si>
  <si>
    <t>2026-07-15 11:20:00</t>
  </si>
  <si>
    <t>106.71394254445802</t>
  </si>
  <si>
    <t>10.830077941554423</t>
  </si>
  <si>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</si>
  <si>
    <t>3539512161053401982</t>
  </si>
  <si>
    <t>2026-07-14 21:53:18</t>
  </si>
  <si>
    <t>2026-07-15 08:24:00</t>
  </si>
  <si>
    <t>2026-07-15 10:24:00</t>
  </si>
  <si>
    <t>3539512161070174570</t>
  </si>
  <si>
    <t>2026-07-14 22:00:19</t>
  </si>
  <si>
    <t>2026-07-15 09:31:00</t>
  </si>
  <si>
    <t>2026-07-15 11:31:00</t>
  </si>
  <si>
    <t>3539512161070175028</t>
  </si>
  <si>
    <t>2026-07-14 22:06:51</t>
  </si>
  <si>
    <t>3539514814059734049</t>
  </si>
  <si>
    <t>2026-07-14 22:03:07</t>
  </si>
  <si>
    <t>3539514814076506214</t>
  </si>
  <si>
    <t>2026-07-14 22:04:41</t>
  </si>
  <si>
    <t>106.6013147</t>
  </si>
  <si>
    <t>10.8600854</t>
  </si>
  <si>
    <t>Hoc Mon Agricultural Products Wholesale Market, Nguyễn Thị Sóc, Xuân Thới Sơn, Hồ Chí Minh, Việt NamHoc Mon Agricultural Products Wholesale Market</t>
  </si>
  <si>
    <t>3539515745212002574</t>
  </si>
  <si>
    <t>2026-07-14 21:43:53</t>
  </si>
  <si>
    <t>2026-07-15 09:14:00</t>
  </si>
  <si>
    <t>2026-07-15 11:14:00</t>
  </si>
  <si>
    <t>3539515745237164709</t>
  </si>
  <si>
    <t>2026-07-14 22:01:16</t>
  </si>
  <si>
    <t>2026-07-15 09:32:00</t>
  </si>
  <si>
    <t>2026-07-23 08:53:54</t>
  </si>
  <si>
    <t>3539518415339475466</t>
  </si>
  <si>
    <t>2026-07-14 22:21:29</t>
  </si>
  <si>
    <t>2026-07-15 08:52:00</t>
  </si>
  <si>
    <t>2026-07-15 09:32:57</t>
  </si>
  <si>
    <t>2026-07-15 09:37:21</t>
  </si>
  <si>
    <t>3539519200362193919</t>
  </si>
  <si>
    <t>2026-07-14 22:16:04</t>
  </si>
  <si>
    <t>3539519200362193943</t>
  </si>
  <si>
    <t>2026-07-14 22:16:29</t>
  </si>
  <si>
    <t>2026-07-15 08:47:00</t>
  </si>
  <si>
    <t>2026-07-15 10:47:00</t>
  </si>
  <si>
    <t>3539519200378966159</t>
  </si>
  <si>
    <t>2026-07-14 22:17:22</t>
  </si>
  <si>
    <t>3539519200378966385</t>
  </si>
  <si>
    <t>2026-07-14 22:20:21</t>
  </si>
  <si>
    <t>3539519200378966494</t>
  </si>
  <si>
    <t>2026-07-14 22:22:20</t>
  </si>
  <si>
    <t>2026-07-15 08:53:00</t>
  </si>
  <si>
    <t>2026-07-15 12:12:49</t>
  </si>
  <si>
    <t>2026-07-15 12:29:53</t>
  </si>
  <si>
    <t>3539521895865209869</t>
  </si>
  <si>
    <t>2026-07-14 22:23:20</t>
  </si>
  <si>
    <t>3539522561417372480</t>
  </si>
  <si>
    <t>2026-07-14 22:22:44</t>
  </si>
  <si>
    <t>2026-07-15 10:53:00</t>
  </si>
  <si>
    <t>3539522864564887926</t>
  </si>
  <si>
    <t>2026-07-14 22:02:51</t>
  </si>
  <si>
    <t>2026-07-15 09:33:00</t>
  </si>
  <si>
    <t>2026-07-15 11:33:00</t>
  </si>
  <si>
    <t>3539522864564888078</t>
  </si>
  <si>
    <t>2026-07-14 22:05:01</t>
  </si>
  <si>
    <t>106.60382524763796</t>
  </si>
  <si>
    <t>10.86129711629571</t>
  </si>
  <si>
    <t>1B 46, Trung Chánh, Bà Điểm, Hồ Chí Minh, Việt Nam1B 46, Trung Chánh, Bà Điểm, Hồ Chí Minh, Việt Nam</t>
  </si>
  <si>
    <t>3539522864564888169</t>
  </si>
  <si>
    <t>2026-07-14 22:06:28</t>
  </si>
  <si>
    <t>2026-07-15 10:52:00</t>
  </si>
  <si>
    <t>3539525944719143881</t>
  </si>
  <si>
    <t>2026-07-14 22:18:16</t>
  </si>
  <si>
    <t>3539527374221832277</t>
  </si>
  <si>
    <t>2026-07-14 22:09:28</t>
  </si>
  <si>
    <t>2026-07-15 09:40:00</t>
  </si>
  <si>
    <t>2026-07-16 09:26:17</t>
  </si>
  <si>
    <t>3539527374221832333</t>
  </si>
  <si>
    <t>2026-07-14 22:10:07</t>
  </si>
  <si>
    <t>2026-07-15 10:40:00</t>
  </si>
  <si>
    <t>3539527374221833088</t>
  </si>
  <si>
    <t>2026-07-14 22:21:08</t>
  </si>
  <si>
    <t>3539599007557046845</t>
  </si>
  <si>
    <t>2026-07-15 05:32:37</t>
  </si>
  <si>
    <t>2026-07-15 10:03:00</t>
  </si>
  <si>
    <t>2026-07-15 11:14:57</t>
  </si>
  <si>
    <t>2026-07-15 11:27:01</t>
  </si>
  <si>
    <t>3539599007557047288</t>
  </si>
  <si>
    <t>2026-07-15 05:46:08</t>
  </si>
  <si>
    <t>2026-07-15 09:57:00</t>
  </si>
  <si>
    <t>2026-07-15 06:45:28</t>
  </si>
  <si>
    <t>2026-07-15 07:23:37</t>
  </si>
  <si>
    <t>3539601279234036062</t>
  </si>
  <si>
    <t>2026-07-15 05:29:11</t>
  </si>
  <si>
    <t>2026-07-15 08:59:00</t>
  </si>
  <si>
    <t>2026-07-15 10:59:00</t>
  </si>
  <si>
    <t>3539618904664138600</t>
  </si>
  <si>
    <t>2026-07-15 05:32:02</t>
  </si>
  <si>
    <t>2026-07-15 10:07:59</t>
  </si>
  <si>
    <t>3539618904664138661</t>
  </si>
  <si>
    <t>2026-07-15 05:34:41</t>
  </si>
  <si>
    <t>3539618904680910889</t>
  </si>
  <si>
    <t>2026-07-15 05:40:10</t>
  </si>
  <si>
    <t>2026-07-15 10:21:00</t>
  </si>
  <si>
    <t>2026-07-15 11:07:06</t>
  </si>
  <si>
    <t>2026-07-15 11:44:34</t>
  </si>
  <si>
    <t>3539626075632132684</t>
  </si>
  <si>
    <t>2026-07-15 05:30:52</t>
  </si>
  <si>
    <t>3539626075632132750</t>
  </si>
  <si>
    <t>2026-07-15 05:33:14</t>
  </si>
  <si>
    <t>2026-07-15 10:00:16</t>
  </si>
  <si>
    <t>2026-07-15 10:08:55</t>
  </si>
  <si>
    <t>3539626075632132936</t>
  </si>
  <si>
    <t>2026-07-15 05:39:43</t>
  </si>
  <si>
    <t>3539626075648905416</t>
  </si>
  <si>
    <t>2026-07-15 05:49:52</t>
  </si>
  <si>
    <t>106.8532381</t>
  </si>
  <si>
    <t>11.16239</t>
  </si>
  <si>
    <t>Bắc Tân Uyên, Hồ Chí Minh, Việt NamBắc Tân Uyên</t>
  </si>
  <si>
    <t>3539646846639231232</t>
  </si>
  <si>
    <t>2026-07-15 05:34:17</t>
  </si>
  <si>
    <t>3539653594284515793</t>
  </si>
  <si>
    <t>2026-07-15 05:43:48</t>
  </si>
  <si>
    <t>2026-07-15 15:23:08</t>
  </si>
  <si>
    <t>2026-07-15 15:27:55</t>
  </si>
  <si>
    <t>3539653594284516068</t>
  </si>
  <si>
    <t>2026-07-15 05:51:06</t>
  </si>
  <si>
    <t>2026-07-15 06:31:41</t>
  </si>
  <si>
    <t>2026-07-15 07:16:54</t>
  </si>
  <si>
    <t>3539663435061219936</t>
  </si>
  <si>
    <t>2026-07-15 05:54:47</t>
  </si>
  <si>
    <t>2026-07-15 10:28:21</t>
  </si>
  <si>
    <t>3539708641471066410</t>
  </si>
  <si>
    <t>2026-07-15 05:41:15</t>
  </si>
  <si>
    <t>3539741623321849897</t>
  </si>
  <si>
    <t>2026-07-15 05:51:39</t>
  </si>
  <si>
    <t>2026-07-15 06:31:51</t>
  </si>
  <si>
    <t>2026-07-15 07:21:29</t>
  </si>
  <si>
    <t>3539777959827296923</t>
  </si>
  <si>
    <t>2026-07-15 07:02:30</t>
  </si>
  <si>
    <t>2026-07-15 07:12:29</t>
  </si>
  <si>
    <t>2026-07-15 07:59:02</t>
  </si>
  <si>
    <t>2026-07-15 08:04:40</t>
  </si>
  <si>
    <t>3539784141207983077</t>
  </si>
  <si>
    <t>2026-07-15 07:11:23</t>
  </si>
  <si>
    <t>2026-07-15 07:21:22</t>
  </si>
  <si>
    <t>2026-07-15 09:21:22</t>
  </si>
  <si>
    <t>3539785046523335129</t>
  </si>
  <si>
    <t>2026-07-15 07:07:42</t>
  </si>
  <si>
    <t>2026-07-15 07:17:41</t>
  </si>
  <si>
    <t>2026-07-15 09:17:41</t>
  </si>
  <si>
    <t>106.7167900283417</t>
  </si>
  <si>
    <t>10.845021984429108</t>
  </si>
  <si>
    <t>3539785046523335526</t>
  </si>
  <si>
    <t>2026-07-15 07:11:09</t>
  </si>
  <si>
    <t>2026-07-15 07:21:09</t>
  </si>
  <si>
    <t>2026-07-15 09:21:09</t>
  </si>
  <si>
    <t>3539789726980723383</t>
  </si>
  <si>
    <t>2026-07-15 07:14:29</t>
  </si>
  <si>
    <t>2026-07-15 07:24:28</t>
  </si>
  <si>
    <t>2026-07-15 09:58:04</t>
  </si>
  <si>
    <t>3539791382648676763</t>
  </si>
  <si>
    <t>2026-07-15 07:05:29</t>
  </si>
  <si>
    <t>2026-07-15 07:15:28</t>
  </si>
  <si>
    <t>2026-07-15 08:04:03</t>
  </si>
  <si>
    <t>3539791382648677042</t>
  </si>
  <si>
    <t>2026-07-15 07:08:11</t>
  </si>
  <si>
    <t>2026-07-15 07:18:10</t>
  </si>
  <si>
    <t>2026-07-15 09:18:10</t>
  </si>
  <si>
    <t>3539791382673839020</t>
  </si>
  <si>
    <t>2026-07-15 07:17:16</t>
  </si>
  <si>
    <t>2026-07-15 07:27:15</t>
  </si>
  <si>
    <t>2026-07-15 08:48:52</t>
  </si>
  <si>
    <t>2026-07-15 09:00:46</t>
  </si>
  <si>
    <t>2026-07-15 09:34:54</t>
  </si>
  <si>
    <t>3539794729166397599</t>
  </si>
  <si>
    <t>2026-07-15 07:07:09</t>
  </si>
  <si>
    <t>2026-07-15 07:17:08</t>
  </si>
  <si>
    <t>2026-07-15 09:17:09</t>
  </si>
  <si>
    <t>3539794729166398243</t>
  </si>
  <si>
    <t>2026-07-15 07:12:35</t>
  </si>
  <si>
    <t>2026-07-15 07:22:34</t>
  </si>
  <si>
    <t>2026-07-15 09:22:34</t>
  </si>
  <si>
    <t>3539794729183171244</t>
  </si>
  <si>
    <t>2026-07-15 07:19:39</t>
  </si>
  <si>
    <t>2026-07-15 07:29:39</t>
  </si>
  <si>
    <t>2026-07-15 09:29:39</t>
  </si>
  <si>
    <t>106.5226015</t>
  </si>
  <si>
    <t>10.6434243</t>
  </si>
  <si>
    <t>CÔNG TY CỔ PHẦN SX TM KHANG VIỆT, Ấp Voi Lá, Mỹ Yên, Tây Ninh, Việt NamCÔNG TY CỔ PHẦN SX TM KHANG VIỆT</t>
  </si>
  <si>
    <t>3539796042218430890</t>
  </si>
  <si>
    <t>2026-07-15 07:03:12</t>
  </si>
  <si>
    <t>2026-07-15 07:11:43</t>
  </si>
  <si>
    <t>2026-07-15 07:18:34</t>
  </si>
  <si>
    <t>3539796042260377707</t>
  </si>
  <si>
    <t>2026-07-15 07:17:04</t>
  </si>
  <si>
    <t>2026-07-15 07:27:04</t>
  </si>
  <si>
    <t>2026-07-15 09:27:04</t>
  </si>
  <si>
    <t>3539797911108022354</t>
  </si>
  <si>
    <t>2026-07-15 07:02:47</t>
  </si>
  <si>
    <t>2026-07-15 07:12:46</t>
  </si>
  <si>
    <t>2026-07-15 09:07:18</t>
  </si>
  <si>
    <t>2026-07-15 09:10:49</t>
  </si>
  <si>
    <t>3539797911149958067</t>
  </si>
  <si>
    <t>2026-07-15 07:24:27</t>
  </si>
  <si>
    <t>2026-07-15 07:34:26</t>
  </si>
  <si>
    <t>2026-07-15 10:43:45</t>
  </si>
  <si>
    <t>3539800216431718495</t>
  </si>
  <si>
    <t>2026-07-15 07:06:08</t>
  </si>
  <si>
    <t>2026-07-15 07:16:07</t>
  </si>
  <si>
    <t>2026-07-15 09:16:07</t>
  </si>
  <si>
    <t>3539800216448492493</t>
  </si>
  <si>
    <t>2026-07-15 07:21:00</t>
  </si>
  <si>
    <t>2026-07-15 07:30:59</t>
  </si>
  <si>
    <t>2026-07-15 09:30:59</t>
  </si>
  <si>
    <t>3539800216473653674</t>
  </si>
  <si>
    <t>2026-07-15 07:24:11</t>
  </si>
  <si>
    <t>2026-07-15 07:34:10</t>
  </si>
  <si>
    <t>2026-07-15 08:48:44</t>
  </si>
  <si>
    <t>3539803592536055996</t>
  </si>
  <si>
    <t>2026-07-15 07:19:52</t>
  </si>
  <si>
    <t>2026-07-15 07:29:51</t>
  </si>
  <si>
    <t>2026-07-15 10:35:24</t>
  </si>
  <si>
    <t>3539803592544444605</t>
  </si>
  <si>
    <t>2026-07-15 07:24:56</t>
  </si>
  <si>
    <t>2026-07-15 07:34:56</t>
  </si>
  <si>
    <t>2026-07-15 09:34:56</t>
  </si>
  <si>
    <t>3539803592561217808</t>
  </si>
  <si>
    <t>2026-07-15 07:27:17</t>
  </si>
  <si>
    <t>2026-07-15 07:37:18</t>
  </si>
  <si>
    <t>2026-07-15 09:55:27</t>
  </si>
  <si>
    <t>3539807011749458096</t>
  </si>
  <si>
    <t>2026-07-15 07:18:11</t>
  </si>
  <si>
    <t>2026-07-15 07:28:10</t>
  </si>
  <si>
    <t>2026-07-15 09:33:04</t>
  </si>
  <si>
    <t>3539807011749458522</t>
  </si>
  <si>
    <t>2026-07-15 07:21:14</t>
  </si>
  <si>
    <t>2026-07-15 07:31:13</t>
  </si>
  <si>
    <t>2026-07-15 10:00:14</t>
  </si>
  <si>
    <t>3539807011749458753</t>
  </si>
  <si>
    <t>2026-07-15 07:22:47</t>
  </si>
  <si>
    <t>2026-07-15 07:32:46</t>
  </si>
  <si>
    <t>2026-07-15 09:32:46</t>
  </si>
  <si>
    <t>3539807011766231304</t>
  </si>
  <si>
    <t>2026-07-15 07:25:12</t>
  </si>
  <si>
    <t>2026-07-15 07:35:11</t>
  </si>
  <si>
    <t>2026-07-15 09:35:11</t>
  </si>
  <si>
    <t>3539807985817841805</t>
  </si>
  <si>
    <t>2026-07-15 07:18:53</t>
  </si>
  <si>
    <t>2026-07-15 07:28:53</t>
  </si>
  <si>
    <t>2026-07-15 09:28:53</t>
  </si>
  <si>
    <t>3539807985817842637</t>
  </si>
  <si>
    <t>2026-07-15 07:24:30</t>
  </si>
  <si>
    <t>2026-07-15 07:34:31</t>
  </si>
  <si>
    <t>2026-07-15 09:34:31</t>
  </si>
  <si>
    <t>3539807985834615616</t>
  </si>
  <si>
    <t>2026-07-15 07:30:17</t>
  </si>
  <si>
    <t>2026-07-15 07:40:17</t>
  </si>
  <si>
    <t>2026-07-15 09:40:17</t>
  </si>
  <si>
    <t>3539807985851388103</t>
  </si>
  <si>
    <t>2026-07-15 07:32:26</t>
  </si>
  <si>
    <t>2026-07-15 07:42:27</t>
  </si>
  <si>
    <t>2026-07-15 09:42:27</t>
  </si>
  <si>
    <t>3539809918158856838</t>
  </si>
  <si>
    <t>2026-07-15 07:25:37</t>
  </si>
  <si>
    <t>2026-07-15 07:35:38</t>
  </si>
  <si>
    <t>2026-07-15 09:35:38</t>
  </si>
  <si>
    <t>3539809918175629370</t>
  </si>
  <si>
    <t>2026-07-15 07:28:14</t>
  </si>
  <si>
    <t>2026-07-15 07:38:15</t>
  </si>
  <si>
    <t>2026-07-15 09:38:15</t>
  </si>
  <si>
    <t>3539809918175629403</t>
  </si>
  <si>
    <t>2026-07-15 07:28:31</t>
  </si>
  <si>
    <t>2026-07-15 07:38:32</t>
  </si>
  <si>
    <t>2026-07-15 10:44:43</t>
  </si>
  <si>
    <t>3539810167610896445</t>
  </si>
  <si>
    <t>2026-07-15 07:22:20</t>
  </si>
  <si>
    <t>2026-07-15 07:32:19</t>
  </si>
  <si>
    <t>2026-07-15 09:32:19</t>
  </si>
  <si>
    <t>3539810167644442782</t>
  </si>
  <si>
    <t>2026-07-15 07:35:14</t>
  </si>
  <si>
    <t>2026-07-15 07:45:15</t>
  </si>
  <si>
    <t>2026-07-15 09:45:15</t>
  </si>
  <si>
    <t>3539810942617608446</t>
  </si>
  <si>
    <t>2026-07-15 07:24:42</t>
  </si>
  <si>
    <t>2026-07-15 07:34:41</t>
  </si>
  <si>
    <t>2026-07-15 09:34:41</t>
  </si>
  <si>
    <t>3539812096017657979</t>
  </si>
  <si>
    <t>2026-07-15 07:25:27</t>
  </si>
  <si>
    <t>2026-07-15 07:35:27</t>
  </si>
  <si>
    <t>2026-07-15 09:35:27</t>
  </si>
  <si>
    <t>3539812096034431870</t>
  </si>
  <si>
    <t>2026-07-15 07:36:38</t>
  </si>
  <si>
    <t>2026-07-15 07:46:39</t>
  </si>
  <si>
    <t>2026-07-15 09:46:39</t>
  </si>
  <si>
    <t>3539816012381909363</t>
  </si>
  <si>
    <t>2026-07-15 07:34:14</t>
  </si>
  <si>
    <t>2026-07-15 07:44:14</t>
  </si>
  <si>
    <t>2026-07-15 09:42:17</t>
  </si>
  <si>
    <t>3539816376120340866</t>
  </si>
  <si>
    <t>2026-07-15 07:34:55</t>
  </si>
  <si>
    <t>2026-07-15 07:44:55</t>
  </si>
  <si>
    <t>2026-07-15 07:59:17</t>
  </si>
  <si>
    <t>2026-07-15 08:24:33</t>
  </si>
  <si>
    <t>3539816376120341122</t>
  </si>
  <si>
    <t>2026-07-15 07:36:21</t>
  </si>
  <si>
    <t>2026-07-15 07:46:22</t>
  </si>
  <si>
    <t>2026-07-15 08:06:28</t>
  </si>
  <si>
    <t>2026-07-15 08:23:07</t>
  </si>
  <si>
    <t>106.6394461</t>
  </si>
  <si>
    <t>10.777513</t>
  </si>
  <si>
    <t>Tân Phú, Hồ Chí Minh, Việt NamTân Phú</t>
  </si>
  <si>
    <t>3539818364371431654</t>
  </si>
  <si>
    <t>2026-07-15 07:37:02</t>
  </si>
  <si>
    <t>2026-07-15 07:47:03</t>
  </si>
  <si>
    <t>2026-07-15 09:47:03</t>
  </si>
  <si>
    <t>3539818910914408870</t>
  </si>
  <si>
    <t>2026-07-15 07:38:53</t>
  </si>
  <si>
    <t>2026-07-15 07:48:54</t>
  </si>
  <si>
    <t>2026-07-15 10:59:23</t>
  </si>
  <si>
    <t>3540492280450470233</t>
  </si>
  <si>
    <t>2026-07-16 06:49:48</t>
  </si>
  <si>
    <t>2026-07-16 08:20:00</t>
  </si>
  <si>
    <t>2026-07-16 10:38:16</t>
  </si>
  <si>
    <t>2026-07-16 11:15:36</t>
  </si>
  <si>
    <t>3540492280450470481</t>
  </si>
  <si>
    <t>2026-07-16 06:52:41</t>
  </si>
  <si>
    <t>2026-07-16 09:23:00</t>
  </si>
  <si>
    <t>2026-07-16 12:08:06</t>
  </si>
  <si>
    <t>3540503167873806804</t>
  </si>
  <si>
    <t>2026-07-16 06:50:15</t>
  </si>
  <si>
    <t>2026-07-16 09:00:00</t>
  </si>
  <si>
    <t>2026-07-16 09:07:57</t>
  </si>
  <si>
    <t>2026-07-16 10:42:33</t>
  </si>
  <si>
    <t>3540503167890579975</t>
  </si>
  <si>
    <t>2026-07-16 07:01:40</t>
  </si>
  <si>
    <t>2026-07-16 09:12:00</t>
  </si>
  <si>
    <t>2026-07-16 08:09:25</t>
  </si>
  <si>
    <t>2026-07-16 08:51:27</t>
  </si>
  <si>
    <t>2026-07-16 09:27:39</t>
  </si>
  <si>
    <t>106.86754336007995</t>
  </si>
  <si>
    <t>10.973431335682811</t>
  </si>
  <si>
    <t>44 Đ. Nguyễn Phúc Chu, Trảng Dài, Đồng Nai, Việt Nam44 Đ. Nguyễn Phúc Chu, Trảng Dài, Đồng Nai, Việt Nam</t>
  </si>
  <si>
    <t>3540503349772378798</t>
  </si>
  <si>
    <t>2026-07-16 06:52:02</t>
  </si>
  <si>
    <t>2026-07-16 12:16:33</t>
  </si>
  <si>
    <t>2026-07-16 12:38:15</t>
  </si>
  <si>
    <t>3540503349789151784</t>
  </si>
  <si>
    <t>2026-07-16 07:01:18</t>
  </si>
  <si>
    <t>2026-07-16 10:36:06</t>
  </si>
  <si>
    <t>3540507204035760417</t>
  </si>
  <si>
    <t>2026-07-16 07:03:01</t>
  </si>
  <si>
    <t>Chi Nhánh Công ty TNHH TFV Industries tại Long Thành, Đường Song Hành Quốc lộ 51, Bình An, Đồng Nai, Việt NamChi Nhánh Công ty TNHH TFV Industries tại Long Thành</t>
  </si>
  <si>
    <t>3540510486238024075</t>
  </si>
  <si>
    <t>2026-07-16 06:58:24</t>
  </si>
  <si>
    <t>2026-07-16 09:29:00</t>
  </si>
  <si>
    <t>2026-07-16 11:28:08</t>
  </si>
  <si>
    <t>3540510486238024226</t>
  </si>
  <si>
    <t>2026-07-16 06:59:57</t>
  </si>
  <si>
    <t>2026-07-16 08:30:00</t>
  </si>
  <si>
    <t>2026-07-16 10:30:00</t>
  </si>
  <si>
    <t>3540516693782778153</t>
  </si>
  <si>
    <t>2026-07-16 07:13:17</t>
  </si>
  <si>
    <t>2026-07-16 08:32:00</t>
  </si>
  <si>
    <t>2026-07-16 12:20:01</t>
  </si>
  <si>
    <t>106.652884</t>
  </si>
  <si>
    <t>10.810889</t>
  </si>
  <si>
    <t>Tân Bình, Ho Chi Minh City, VietnamSân Bay Tân Sơn Nhất Nhà Ga T3</t>
  </si>
  <si>
    <t>3540517716857410451</t>
  </si>
  <si>
    <t>2026-07-16 07:03:23</t>
  </si>
  <si>
    <t>2026-07-16 10:34:00</t>
  </si>
  <si>
    <t>106.96623754726565</t>
  </si>
  <si>
    <t>10.806053512599432</t>
  </si>
  <si>
    <t>RX48+CF Bình An, Đồng Nai, Việt NamRX48+CF Bình An, Đồng Nai, Việt Nam</t>
  </si>
  <si>
    <t>3540517716874194984</t>
  </si>
  <si>
    <t>2026-07-16 07:04:12</t>
  </si>
  <si>
    <t>2026-07-16 09:54:33</t>
  </si>
  <si>
    <t>3540517716874195284</t>
  </si>
  <si>
    <t>2026-07-16 07:06:55</t>
  </si>
  <si>
    <t>2026-07-16 08:37:00</t>
  </si>
  <si>
    <t>2026-07-16 10:37:00</t>
  </si>
  <si>
    <t>106.5933176756714</t>
  </si>
  <si>
    <t>10.880825297929633</t>
  </si>
  <si>
    <t>Tổ 1, 1/4C2 Ấp Đình, Hóc Môn, Hồ Chí Minh, Việt NamTổ 1, 1/4C2 Ấp Đình, Hóc Môn, Hồ Chí Minh, Việt Nam</t>
  </si>
  <si>
    <t>3540519004617789570</t>
  </si>
  <si>
    <t>2026-07-16 06:57:29</t>
  </si>
  <si>
    <t>3540519004634574961</t>
  </si>
  <si>
    <t>2026-07-16 07:06:34</t>
  </si>
  <si>
    <t>3540519004634575416</t>
  </si>
  <si>
    <t>2026-07-16 07:10:23</t>
  </si>
  <si>
    <t>2026-07-16 10:41:01</t>
  </si>
  <si>
    <t>106.49699275396726</t>
  </si>
  <si>
    <t>10.637410402918151</t>
  </si>
  <si>
    <t>106.6875265</t>
  </si>
  <si>
    <t>10.8311481</t>
  </si>
  <si>
    <t>JFPW+RJH, Bến Lức, Tây Ninh, Việt NamJFPW+RJH, Bến Lức, Tây Ninh, Việt Nam</t>
  </si>
  <si>
    <t>Công Ty Tnhh Mtv Dịch Vụ Công Ích Quận Gò Vấp, Dương Quảng Hàm, An Nhơn, Hồ Chí Minh, Việt NamCông Ty Tnhh Mtv Dịch Vụ Công Ích Quận Gò Vấp</t>
  </si>
  <si>
    <t>3540519004634575621</t>
  </si>
  <si>
    <t>2026-07-16 07:12:00</t>
  </si>
  <si>
    <t>2026-07-16 11:30:00</t>
  </si>
  <si>
    <t>3540519004651348199</t>
  </si>
  <si>
    <t>2026-07-16 07:15:12</t>
  </si>
  <si>
    <t>2026-07-16 11:38:00</t>
  </si>
  <si>
    <t>3540519004651348454</t>
  </si>
  <si>
    <t>2026-07-16 07:16:59</t>
  </si>
  <si>
    <t>2026-07-16 08:47:00</t>
  </si>
  <si>
    <t>2026-07-16 11:16:46</t>
  </si>
  <si>
    <t>2026-07-16 11:21:51</t>
  </si>
  <si>
    <t>106.6251124</t>
  </si>
  <si>
    <t>10.8162555</t>
  </si>
  <si>
    <t>Công ty TNHH Bao Bì Tân Thành, Tây Thạnh, Hồ Chí Minh, Việt NamCông ty TNHH Bao Bì Tân Thành</t>
  </si>
  <si>
    <t>3540522106565652662</t>
  </si>
  <si>
    <t>2026-07-16 07:10:41</t>
  </si>
  <si>
    <t>2026-07-16 09:41:00</t>
  </si>
  <si>
    <t>2026-07-16 09:27:11</t>
  </si>
  <si>
    <t>2026-07-16 09:35:05</t>
  </si>
  <si>
    <t>2026-07-16 09:48:29</t>
  </si>
  <si>
    <t>3540522106582426496</t>
  </si>
  <si>
    <t>2026-07-16 07:22:57</t>
  </si>
  <si>
    <t>2026-07-16 08:49:00</t>
  </si>
  <si>
    <t>2026-07-16 08:16:35</t>
  </si>
  <si>
    <t>2026-07-16 08:32:56</t>
  </si>
  <si>
    <t>106.7336248</t>
  </si>
  <si>
    <t>10.7941473</t>
  </si>
  <si>
    <t>3540524843994927525</t>
  </si>
  <si>
    <t>2026-07-16 07:09:25</t>
  </si>
  <si>
    <t>2026-07-16 08:39:00</t>
  </si>
  <si>
    <t>2026-07-16 10:39:00</t>
  </si>
  <si>
    <t>106.6622332</t>
  </si>
  <si>
    <t>10.8316454</t>
  </si>
  <si>
    <t>Công ty sàn gỗ Gia Hoàng - Gò Vấp, Đường Số 17, Thông Tây Hội, Hồ Chí Minh, Việt NamCông ty sàn gỗ Gia Hoàng - Gò Vấp</t>
  </si>
  <si>
    <t>3540524844011712964</t>
  </si>
  <si>
    <t>2026-07-16 07:16:40</t>
  </si>
  <si>
    <t>2026-07-16 10:47:00</t>
  </si>
  <si>
    <t>3540524943517381065</t>
  </si>
  <si>
    <t>2026-07-16 07:09:51</t>
  </si>
  <si>
    <t>2026-07-16 09:40:00</t>
  </si>
  <si>
    <t>2026-07-16 07:19:46</t>
  </si>
  <si>
    <t>2026-07-16 09:22:23</t>
  </si>
  <si>
    <t>2026-07-16 10:46:19</t>
  </si>
  <si>
    <t>106.6657844447357</t>
  </si>
  <si>
    <t>10.830054205050612</t>
  </si>
  <si>
    <t>407/91/50, 51/5/9G Đường số 7, Gò Vấp, Hồ Chí Minh, Việt Nam407/91/50, 51/5/9G Đường số 7, Gò Vấp, Hồ Chí Minh, Việt Nam</t>
  </si>
  <si>
    <t>3540524943534154327</t>
  </si>
  <si>
    <t>2026-07-16 07:18:06</t>
  </si>
  <si>
    <t>2026-07-16 08:40:00</t>
  </si>
  <si>
    <t>2026-07-16 10:40:43</t>
  </si>
  <si>
    <t>3540527214993040110</t>
  </si>
  <si>
    <t>2026-07-16 07:21:37</t>
  </si>
  <si>
    <t>2026-07-16 08:52:00</t>
  </si>
  <si>
    <t>2026-07-16 10:52:00</t>
  </si>
  <si>
    <t>106.7831922859528</t>
  </si>
  <si>
    <t>10.847550097841195</t>
  </si>
  <si>
    <t>Đ. Trương Văn Thành/Hẻm 50 Phòng 10, Khu Phố 4, Tăng Nhơn Phú, Hồ Chí Minh, Việt NamĐ. Trương Văn Thành/Hẻm 50 Phòng 10, Khu Phố 4, Tăng Nhơn Phú, Hồ Chí Minh, Việt Nam</t>
  </si>
  <si>
    <t>3540527215018202002</t>
  </si>
  <si>
    <t>2026-07-16 07:29:07</t>
  </si>
  <si>
    <t>2026-07-16 07:39:06</t>
  </si>
  <si>
    <t>2026-07-16 09:39:06</t>
  </si>
  <si>
    <t>3540527215018202047</t>
  </si>
  <si>
    <t>2026-07-16 07:29:22</t>
  </si>
  <si>
    <t>2026-07-16 07:39:22</t>
  </si>
  <si>
    <t>2026-07-16 09:54:00</t>
  </si>
  <si>
    <t>3540529294847725833</t>
  </si>
  <si>
    <t>2026-07-16 07:21:18</t>
  </si>
  <si>
    <t>3540529294864511831</t>
  </si>
  <si>
    <t>2026-07-16 07:30:44</t>
  </si>
  <si>
    <t>2026-07-16 07:40:44</t>
  </si>
  <si>
    <t>2026-07-16 09:40:44</t>
  </si>
  <si>
    <t>3540533194099224796</t>
  </si>
  <si>
    <t>2026-07-16 07:19:52</t>
  </si>
  <si>
    <t>3540533194132771123</t>
  </si>
  <si>
    <t>2026-07-16 07:33:05</t>
  </si>
  <si>
    <t>2026-07-16 07:43:05</t>
  </si>
  <si>
    <t>2026-07-16 09:43:05</t>
  </si>
  <si>
    <t>3540533661386625821</t>
  </si>
  <si>
    <t>2026-07-16 07:24:10</t>
  </si>
  <si>
    <t>2026-07-16 08:42:00</t>
  </si>
  <si>
    <t>2026-07-16 10:33:21</t>
  </si>
  <si>
    <t>106.6986219221985</t>
  </si>
  <si>
    <t>10.81362038821805</t>
  </si>
  <si>
    <t>282/10Bis Nơ Trang Long, Bình Thạnh, Hồ Chí Minh, Việt Nam282/10Bis Nơ Trang Long, Bình Thạnh, Hồ Chí Minh, Việt Nam</t>
  </si>
  <si>
    <t>3540533661420183959</t>
  </si>
  <si>
    <t>2026-07-16 07:34:08</t>
  </si>
  <si>
    <t>2026-07-16 07:44:08</t>
  </si>
  <si>
    <t>2026-07-16 09:44:08</t>
  </si>
  <si>
    <t>3540533661420184158</t>
  </si>
  <si>
    <t>2026-07-16 07:35:15</t>
  </si>
  <si>
    <t>2026-07-16 07:45:15</t>
  </si>
  <si>
    <t>2026-07-16 09:45:15</t>
  </si>
  <si>
    <t>106.70543210716245</t>
  </si>
  <si>
    <t>10.81381691125486</t>
  </si>
  <si>
    <t>201 Đ. Nguyễn Xí, Bình Thạnh, Hồ Chí Minh, Việt Nam201 Đ. Nguyễn Xí, Bình Thạnh, Hồ Chí Minh, Việt Nam</t>
  </si>
  <si>
    <t>3540534477774344311</t>
  </si>
  <si>
    <t>2026-07-16 07:20:57</t>
  </si>
  <si>
    <t>2026-07-16 07:30:56</t>
  </si>
  <si>
    <t>2026-07-16 09:46:22</t>
  </si>
  <si>
    <t>106.75425927381897</t>
  </si>
  <si>
    <t>10.852546491730092</t>
  </si>
  <si>
    <t>107/4B Kha Vạn Cân, Linh Xuân, Hồ Chí Minh, Việt Nam107/4B Kha Vạn Cân, Linh Xuân, Hồ Chí Minh, Việt Nam</t>
  </si>
  <si>
    <t>3540534477799518443</t>
  </si>
  <si>
    <t>2026-07-16 07:28:31</t>
  </si>
  <si>
    <t>2026-07-16 07:38:31</t>
  </si>
  <si>
    <t>2026-07-16 08:47:02</t>
  </si>
  <si>
    <t>2026-07-16 08:52:59</t>
  </si>
  <si>
    <t>3540534477799518730</t>
  </si>
  <si>
    <t>2026-07-16 07:30:18</t>
  </si>
  <si>
    <t>2026-07-16 07:40:18</t>
  </si>
  <si>
    <t>2026-07-16 09:40:18</t>
  </si>
  <si>
    <t>3540534477816291466</t>
  </si>
  <si>
    <t>2026-07-16 07:33:54</t>
  </si>
  <si>
    <t>2026-07-16 07:43:53</t>
  </si>
  <si>
    <t>2026-07-16 08:22:15</t>
  </si>
  <si>
    <t>2026-07-16 08:25:08</t>
  </si>
  <si>
    <t>3540534477816291572</t>
  </si>
  <si>
    <t>2026-07-16 07:34:22</t>
  </si>
  <si>
    <t>2026-07-16 07:44:22</t>
  </si>
  <si>
    <t>2026-07-16 09:44:22</t>
  </si>
  <si>
    <t>106.78518784945987</t>
  </si>
  <si>
    <t>10.843999065019544</t>
  </si>
  <si>
    <t>B185 Đ. Lê Văn Việt, Tăng Nhơn Phú, Hồ Chí Minh, Việt NamB185 Đ. Lê Văn Việt, Tăng Nhơn Phú, Hồ Chí Minh, Việt Nam</t>
  </si>
  <si>
    <t>3540534611924968079</t>
  </si>
  <si>
    <t>2026-07-16 07:31:18</t>
  </si>
  <si>
    <t>2026-07-16 07:41:18</t>
  </si>
  <si>
    <t>2026-07-16 09:41:18</t>
  </si>
  <si>
    <t>3540534611924968139</t>
  </si>
  <si>
    <t>2026-07-16 07:31:41</t>
  </si>
  <si>
    <t>2026-07-16 07:41:41</t>
  </si>
  <si>
    <t>2026-07-16 09:41:41</t>
  </si>
  <si>
    <t>3540536356931596558</t>
  </si>
  <si>
    <t>2026-07-16 07:32:01</t>
  </si>
  <si>
    <t>2026-07-16 07:42:01</t>
  </si>
  <si>
    <t>2026-07-16 09:42:01</t>
  </si>
  <si>
    <t>106.75802130108033</t>
  </si>
  <si>
    <t>10.905610993366441</t>
  </si>
  <si>
    <t>48 Trần Nguyên Hãn, Dĩ An, Hồ Chí Minh 82000, Việt Nam48 Trần Nguyên Hãn, Dĩ An, Hồ Chí Minh 82000, Việt Nam</t>
  </si>
  <si>
    <t>3540538198096834605</t>
  </si>
  <si>
    <t>2026-07-16 07:27:05</t>
  </si>
  <si>
    <t>2026-07-16 07:37:05</t>
  </si>
  <si>
    <t>2026-07-16 09:37:05</t>
  </si>
  <si>
    <t>3540538280229687329</t>
  </si>
  <si>
    <t>2026-07-16 07:27:22</t>
  </si>
  <si>
    <t>2026-07-16 07:37:21</t>
  </si>
  <si>
    <t>2026-07-16 09:37:21</t>
  </si>
  <si>
    <t>3540538280229687451</t>
  </si>
  <si>
    <t>2026-07-16 07:28:19</t>
  </si>
  <si>
    <t>2026-07-16 07:38:18</t>
  </si>
  <si>
    <t>2026-07-16 11:27:59</t>
  </si>
  <si>
    <t>3540539682435850352</t>
  </si>
  <si>
    <t>2026-07-16 07:36:05</t>
  </si>
  <si>
    <t>2026-07-16 07:46:04</t>
  </si>
  <si>
    <t>2026-07-16 09:46:04</t>
  </si>
  <si>
    <t>3540540834367889950</t>
  </si>
  <si>
    <t>2026-07-16 07:34:57</t>
  </si>
  <si>
    <t>2026-07-16 07:44:56</t>
  </si>
  <si>
    <t>2026-07-16 09:17:02</t>
  </si>
  <si>
    <t>2026-07-16 09:30:38</t>
  </si>
  <si>
    <t>2026-07-16 10:34:07</t>
  </si>
  <si>
    <t>106.7590484</t>
  </si>
  <si>
    <t>10.8653024</t>
  </si>
  <si>
    <t>Thủ đức, Đường Phạm Văn Đồng, Linh Xuân, Hồ Chí Minh, Việt NamThủ đức</t>
  </si>
  <si>
    <t>3540540834409837072</t>
  </si>
  <si>
    <t>2026-07-16 07:45:26</t>
  </si>
  <si>
    <t>2026-07-16 07:55:25</t>
  </si>
  <si>
    <t>2026-07-16 09:58:06</t>
  </si>
  <si>
    <t>106.61146258592223</t>
  </si>
  <si>
    <t>11.341549716353532</t>
  </si>
  <si>
    <t>8JR6+V6H, Trừ Văn Thố, Hồ Chí Minh, Việt Nam8JR6+V6H, Trừ Văn Thố, Hồ Chí Minh, Việt Nam</t>
  </si>
  <si>
    <t>3540543764886151808</t>
  </si>
  <si>
    <t>2026-07-16 07:45:39</t>
  </si>
  <si>
    <t>2026-07-16 07:55:39</t>
  </si>
  <si>
    <t>2026-07-16 09:55:39</t>
  </si>
  <si>
    <t>106.6105034</t>
  </si>
  <si>
    <t>11.342176</t>
  </si>
  <si>
    <t>3540543764902925073</t>
  </si>
  <si>
    <t>2026-07-16 07:51:19</t>
  </si>
  <si>
    <t>2026-07-16 08:01:18</t>
  </si>
  <si>
    <t>2026-07-16 10:01:18</t>
  </si>
  <si>
    <t>3540544673850552862</t>
  </si>
  <si>
    <t>2026-07-16 07:47:09</t>
  </si>
  <si>
    <t>2026-07-16 07:57:09</t>
  </si>
  <si>
    <t>106.82954984208068</t>
  </si>
  <si>
    <t>11.09109453896851</t>
  </si>
  <si>
    <t>3RRJ+G2H, ĐH411, Bắc Tân Uyên, Hồ Chí Minh, Việt Nam3RRJ+G2H, ĐH411, Bắc Tân Uyên, Hồ Chí Minh, Việt Nam</t>
  </si>
  <si>
    <t>3540544955909104527</t>
  </si>
  <si>
    <t>2026-07-16 07:49:06</t>
  </si>
  <si>
    <t>2026-07-16 07:59:06</t>
  </si>
  <si>
    <t>2026-07-16 09:59:06</t>
  </si>
  <si>
    <t>3540546260119540239</t>
  </si>
  <si>
    <t>2026-07-16 07:43:58</t>
  </si>
  <si>
    <t>2026-07-16 07:53:58</t>
  </si>
  <si>
    <t>2026-07-16 09:53:58</t>
  </si>
  <si>
    <t>3540547721784156234</t>
  </si>
  <si>
    <t>2026-07-16 07:49:21</t>
  </si>
  <si>
    <t>2026-07-16 07:59:21</t>
  </si>
  <si>
    <t>2026-07-16 09:59:21</t>
  </si>
  <si>
    <t>3540547799261336089</t>
  </si>
  <si>
    <t>2026-07-16 07:46:42</t>
  </si>
  <si>
    <t>2026-07-16 07:56:41</t>
  </si>
  <si>
    <t>2026-07-16 08:58:02</t>
  </si>
  <si>
    <t>2026-07-16 09:00:10</t>
  </si>
  <si>
    <t>3540547799303283597</t>
  </si>
  <si>
    <t>2026-07-16 07:57:39</t>
  </si>
  <si>
    <t>2026-07-16 08:07:38</t>
  </si>
  <si>
    <t>2026-07-16 09:19:42</t>
  </si>
  <si>
    <t>106.64205282537841</t>
  </si>
  <si>
    <t>10.801257244143244</t>
  </si>
  <si>
    <t>Nhà anh Tuy, 9/3 Đ. Núi Thành, Tân Bình, Hồ Chí Minh, Việt NamNhà anh Tuy, 9/3 Đ. Núi Thành, Tân Bình, Hồ Chí Minh, Việt Nam</t>
  </si>
  <si>
    <t>3540548931673092782</t>
  </si>
  <si>
    <t>2026-07-16 07:49:37</t>
  </si>
  <si>
    <t>2026-07-16 07:59:36</t>
  </si>
  <si>
    <t>2026-07-16 09:59:36</t>
  </si>
  <si>
    <t>3540548931698253986</t>
  </si>
  <si>
    <t>2026-07-16 07:52:00</t>
  </si>
  <si>
    <t>2026-07-16 08:02:00</t>
  </si>
  <si>
    <t>2026-07-16 10:02:00</t>
  </si>
  <si>
    <t>106.87633848335878</t>
  </si>
  <si>
    <t>10.950545633923754</t>
  </si>
  <si>
    <t>55 Long Bình, Đồng Nai, Việt Nam55 Long Bình, Đồng Nai, Việt Nam</t>
  </si>
  <si>
    <t>3540549839513408014</t>
  </si>
  <si>
    <t>2026-07-16 07:55:08</t>
  </si>
  <si>
    <t>2026-07-16 08:05:08</t>
  </si>
  <si>
    <t>2026-07-16 10:05:08</t>
  </si>
  <si>
    <t>106.7286124</t>
  </si>
  <si>
    <t>10.7916086</t>
  </si>
  <si>
    <t>25 Đường Số 30, Khu phố 1, An Khánh, Hồ Chí Minh, Việt Nam25 Đường Số 30, Khu phố 1, An Khánh, Hồ Chí Minh, Việt Nam</t>
  </si>
  <si>
    <t>3540549839513408412</t>
  </si>
  <si>
    <t>2026-07-16 07:56:50</t>
  </si>
  <si>
    <t>2026-07-16 08:06:50</t>
  </si>
  <si>
    <t>2026-07-16 10:44:37</t>
  </si>
  <si>
    <t>106.678001</t>
  </si>
  <si>
    <t>10.8456917</t>
  </si>
  <si>
    <t>gò vấp, Dương Quảng Hàm, An Nhơn, Hồ Chí Minh, Việt Namgò vấp</t>
  </si>
  <si>
    <t>3540552180346089968</t>
  </si>
  <si>
    <t>2026-07-16 07:54:44</t>
  </si>
  <si>
    <t>2026-07-16 08:04:44</t>
  </si>
  <si>
    <t>2026-07-16 10:04:44</t>
  </si>
  <si>
    <t>3540552180346090033</t>
  </si>
  <si>
    <t>2026-07-16 07:54:57</t>
  </si>
  <si>
    <t>2026-07-16 08:04:57</t>
  </si>
  <si>
    <t>2026-07-16 10:04:57</t>
  </si>
  <si>
    <t>106.72855343364746</t>
  </si>
  <si>
    <t>10.791572257524995</t>
  </si>
  <si>
    <t>3540552570206638164</t>
  </si>
  <si>
    <t>2026-07-16 07:55:23</t>
  </si>
  <si>
    <t>2026-07-16 08:05:22</t>
  </si>
  <si>
    <t>2026-07-16 10:05:22</t>
  </si>
  <si>
    <t>3540553049951129930</t>
  </si>
  <si>
    <t>2026-07-16 07:55:36</t>
  </si>
  <si>
    <t>2026-07-16 08:05:35</t>
  </si>
  <si>
    <t>2026-07-16 10:05:35</t>
  </si>
  <si>
    <t>3540553253492323436</t>
  </si>
  <si>
    <t>2026-07-16 07:57:24</t>
  </si>
  <si>
    <t>2026-07-16 08:07:23</t>
  </si>
  <si>
    <t>2026-07-16 10:07:23</t>
  </si>
  <si>
    <t>106.64446887647397</t>
  </si>
  <si>
    <t>10.798521057923887</t>
  </si>
  <si>
    <t>304/21 Cách Mạng Tháng Tám, Tân Bình, Hồ Chí Minh, Việt Nam304/21 Cách Mạng Tháng Tám, Tân Bình, Hồ Chí Minh, Việt Nam</t>
  </si>
  <si>
    <t>3540553253492323646</t>
  </si>
  <si>
    <t>2026-07-16 07:57:54</t>
  </si>
  <si>
    <t>2026-07-16 08:07:53</t>
  </si>
  <si>
    <t>2026-07-16 08:36:06</t>
  </si>
  <si>
    <t>106.0640179</t>
  </si>
  <si>
    <t>11.3494766</t>
  </si>
  <si>
    <t>Tây Ninh, Việt NamTây Ninh</t>
  </si>
  <si>
    <t>3541245722336907575</t>
  </si>
  <si>
    <t>2026-07-17 07:15:22</t>
  </si>
  <si>
    <t>2026-07-17 07:25:21</t>
  </si>
  <si>
    <t>2026-07-17 09:25:21</t>
  </si>
  <si>
    <t>3541246832057471442</t>
  </si>
  <si>
    <t>2026-07-17 07:17:49</t>
  </si>
  <si>
    <t>2026-07-17 07:27:48</t>
  </si>
  <si>
    <t>2026-07-17 10:17:03</t>
  </si>
  <si>
    <t>3541251113972093266</t>
  </si>
  <si>
    <t>2026-07-17 07:16:03</t>
  </si>
  <si>
    <t>2026-07-17 09:46:00</t>
  </si>
  <si>
    <t>2026-07-17 11:10:45</t>
  </si>
  <si>
    <t>3541251113972093892</t>
  </si>
  <si>
    <t>2026-07-17 07:20:07</t>
  </si>
  <si>
    <t>2026-07-17 09:33:12</t>
  </si>
  <si>
    <t>2026-07-17 10:19:49</t>
  </si>
  <si>
    <t>3541251113988878608</t>
  </si>
  <si>
    <t>2026-07-17 07:22:12</t>
  </si>
  <si>
    <t>2026-07-17 07:32:11</t>
  </si>
  <si>
    <t>2026-07-17 09:39:22</t>
  </si>
  <si>
    <t>3541253329034367193</t>
  </si>
  <si>
    <t>2026-07-17 07:18:13</t>
  </si>
  <si>
    <t>2026-07-17 07:30:18</t>
  </si>
  <si>
    <t>2026-07-17 07:32:44</t>
  </si>
  <si>
    <t>106.8295862</t>
  </si>
  <si>
    <t>11.0819766</t>
  </si>
  <si>
    <t>Công ty Honda, Đường huyện 411, Tân Uyên, Hồ Chí Minh, Việt NamCông ty Honda</t>
  </si>
  <si>
    <t>3541253329034367828</t>
  </si>
  <si>
    <t>2026-07-17 07:22:00</t>
  </si>
  <si>
    <t>2026-07-17 10:11:17</t>
  </si>
  <si>
    <t>3541253329034367982</t>
  </si>
  <si>
    <t>2026-07-17 07:23:03</t>
  </si>
  <si>
    <t>2026-07-17 08:53:00</t>
  </si>
  <si>
    <t>2026-07-17 09:54:18</t>
  </si>
  <si>
    <t>106.71635937670831</t>
  </si>
  <si>
    <t>10.929858433343279</t>
  </si>
  <si>
    <t>Khu, 1 Đường Số 4, Bình Hòa, Hồ Chí Minh, Việt NamKhu, 1 Đường Số 4, Bình Hòa, Hồ Chí Minh, Việt Nam</t>
  </si>
  <si>
    <t>3541253329051153386</t>
  </si>
  <si>
    <t>2026-07-17 07:29:16</t>
  </si>
  <si>
    <t>2026-07-17 07:39:15</t>
  </si>
  <si>
    <t>2026-07-17 09:39:15</t>
  </si>
  <si>
    <t>3541254792661917856</t>
  </si>
  <si>
    <t>2026-07-17 07:19:52</t>
  </si>
  <si>
    <t>2026-07-17 07:29:51</t>
  </si>
  <si>
    <t>2026-07-17 10:56:20</t>
  </si>
  <si>
    <t>3541254792661917937</t>
  </si>
  <si>
    <t>2026-07-17 07:20:22</t>
  </si>
  <si>
    <t>2026-07-17 09:51:00</t>
  </si>
  <si>
    <t>2026-07-17 10:47:02</t>
  </si>
  <si>
    <t>3541259460309901513</t>
  </si>
  <si>
    <t>2026-07-17 07:27:35</t>
  </si>
  <si>
    <t>2026-07-17 09:51:19</t>
  </si>
  <si>
    <t>3541259460326674952</t>
  </si>
  <si>
    <t>2026-07-17 07:34:30</t>
  </si>
  <si>
    <t>2026-07-17 07:44:29</t>
  </si>
  <si>
    <t>2026-07-17 09:44:29</t>
  </si>
  <si>
    <t>3541259460326675215</t>
  </si>
  <si>
    <t>2026-07-17 07:45:57</t>
  </si>
  <si>
    <t>2026-07-17 09:24:37</t>
  </si>
  <si>
    <t>2026-07-17 09:27:38</t>
  </si>
  <si>
    <t>106.67400928783566</t>
  </si>
  <si>
    <t>10.832360427201655</t>
  </si>
  <si>
    <t>17 Đ. Phan Văn Trị, Gò Vấp, Hồ Chí Minh, Việt Nam17 Đ. Phan Văn Trị, Gò Vấp, Hồ Chí Minh, Việt Nam</t>
  </si>
  <si>
    <t>3541259460326675473</t>
  </si>
  <si>
    <t>2026-07-17 07:37:16</t>
  </si>
  <si>
    <t>2026-07-17 11:08:00</t>
  </si>
  <si>
    <t>106.6431864</t>
  </si>
  <si>
    <t>10.7994481</t>
  </si>
  <si>
    <t>12 Trường Chinh, Tân Bình, Hồ Chí Minh 700000, Việt Nam12 Trường Chinh, Tân Bình, Hồ Chí Minh 700000, Việt Nam</t>
  </si>
  <si>
    <t>3541260143394255331</t>
  </si>
  <si>
    <t>2026-07-17 07:24:04</t>
  </si>
  <si>
    <t>2026-07-17 07:34:03</t>
  </si>
  <si>
    <t>2026-07-17 10:13:40</t>
  </si>
  <si>
    <t>106.7537088</t>
  </si>
  <si>
    <t>10.8844969</t>
  </si>
  <si>
    <t>KCN Sóng Thần, Dĩ An, Hồ Chí Minh, Việt NamKCN Sóng Thần</t>
  </si>
  <si>
    <t>3541260143394255453</t>
  </si>
  <si>
    <t>2026-07-17 07:24:51</t>
  </si>
  <si>
    <t>2026-07-17 09:55:00</t>
  </si>
  <si>
    <t>2026-07-17 10:44:41</t>
  </si>
  <si>
    <t>106.79357</t>
  </si>
  <si>
    <t>10.90029</t>
  </si>
  <si>
    <t>VISA5S Bình Dương, Đường Trần Đại Nghĩa, Phường Bình Thắng, Dĩ An, Bình Dương, Việt NamVISA5S Bình Dương</t>
  </si>
  <si>
    <t>3541260143394255895</t>
  </si>
  <si>
    <t>2026-07-17 07:27:26</t>
  </si>
  <si>
    <t>2026-07-17 07:37:25</t>
  </si>
  <si>
    <t>2026-07-17 07:27:34</t>
  </si>
  <si>
    <t>2026-07-17 07:29:58</t>
  </si>
  <si>
    <t>3541260143411028525</t>
  </si>
  <si>
    <t>2026-07-17 07:30:16</t>
  </si>
  <si>
    <t>2026-07-17 09:01:00</t>
  </si>
  <si>
    <t>2026-07-17 08:39:14</t>
  </si>
  <si>
    <t>2026-07-17 08:42:24</t>
  </si>
  <si>
    <t>106.8202616539673</t>
  </si>
  <si>
    <t>10.806705863451757</t>
  </si>
  <si>
    <t>48 A4, Khu đô thị mới Đông Tăng Long, Long Phước, Hồ Chí Minh, Việt Nam48 A4, Khu đô thị mới Đông Tăng Long, Long Phước, Hồ Chí Minh, Việt Nam</t>
  </si>
  <si>
    <t>3541260143427801490</t>
  </si>
  <si>
    <t>2026-07-17 07:34:57</t>
  </si>
  <si>
    <t>2026-07-17 11:05:00</t>
  </si>
  <si>
    <t>106.59326872408145</t>
  </si>
  <si>
    <t>10.887784116485335</t>
  </si>
  <si>
    <t>VHQV+47P, Lý Thường Kiệt, Hóc Môn, Hồ Chí Minh, Việt NamVHQV+47P, Lý Thường Kiệt, Hóc Môn, Hồ Chí Minh, Việt Nam</t>
  </si>
  <si>
    <t>3541260143427801990</t>
  </si>
  <si>
    <t>2026-07-17 07:37:46</t>
  </si>
  <si>
    <t>2026-07-17 07:47:45</t>
  </si>
  <si>
    <t>2026-07-17 09:47:45</t>
  </si>
  <si>
    <t>3541261238191485010</t>
  </si>
  <si>
    <t>2026-07-17 07:23:47</t>
  </si>
  <si>
    <t>2026-07-17 07:33:47</t>
  </si>
  <si>
    <t>2026-07-17 09:33:47</t>
  </si>
  <si>
    <t>106.7444713</t>
  </si>
  <si>
    <t>10.9268776</t>
  </si>
  <si>
    <t>Công Ty, Đường số 29, Dĩ An, Hồ Chí Minh, Việt NamCông Ty</t>
  </si>
  <si>
    <t>3541261238191485115</t>
  </si>
  <si>
    <t>2026-07-17 07:24:34</t>
  </si>
  <si>
    <t>2026-07-17 08:55:00</t>
  </si>
  <si>
    <t>2026-07-17 11:42:44</t>
  </si>
  <si>
    <t>3541261238225031564</t>
  </si>
  <si>
    <t>2026-07-17 07:36:40</t>
  </si>
  <si>
    <t>2026-07-17 07:46:40</t>
  </si>
  <si>
    <t>2026-07-17 09:46:40</t>
  </si>
  <si>
    <t>3541262948846756025</t>
  </si>
  <si>
    <t>2026-07-17 07:32:37</t>
  </si>
  <si>
    <t>2026-07-17 07:42:36</t>
  </si>
  <si>
    <t>2026-07-17 09:42:36</t>
  </si>
  <si>
    <t>3541262948846756415</t>
  </si>
  <si>
    <t>2026-07-17 07:34:41</t>
  </si>
  <si>
    <t>2026-07-17 07:44:40</t>
  </si>
  <si>
    <t>2026-07-17 11:22:34</t>
  </si>
  <si>
    <t>3541264454367006849</t>
  </si>
  <si>
    <t>2026-07-17 07:35:12</t>
  </si>
  <si>
    <t>2026-07-17 09:06:00</t>
  </si>
  <si>
    <t>2026-07-17 11:10:18</t>
  </si>
  <si>
    <t>106.5970267637848</t>
  </si>
  <si>
    <t>10.889620378658988</t>
  </si>
  <si>
    <t>1 Trần Khắc Chân, Hóc Môn, Hồ Chí Minh, Việt Nam1 Trần Khắc Chân, Hóc Môn, Hồ Chí Minh, Việt Nam</t>
  </si>
  <si>
    <t>3541264454367007071</t>
  </si>
  <si>
    <t>2026-07-17 07:36:29</t>
  </si>
  <si>
    <t>2026-07-17 09:30:00</t>
  </si>
  <si>
    <t>106.67623783967285</t>
  </si>
  <si>
    <t>10.835556582704205</t>
  </si>
  <si>
    <t>212 Nguyễn Oanh, Gò Vấp, Hồ Chí Minh, Việt Nam212 Nguyễn Oanh, Gò Vấp, Hồ Chí Minh, Việt Nam</t>
  </si>
  <si>
    <t>3541264454367007165</t>
  </si>
  <si>
    <t>2026-07-17 07:36:55</t>
  </si>
  <si>
    <t>2026-07-17 07:46:55</t>
  </si>
  <si>
    <t>2026-07-17 10:19:25</t>
  </si>
  <si>
    <t>106.64323506032711</t>
  </si>
  <si>
    <t>10.799459014177666</t>
  </si>
  <si>
    <t>3541264454383792399</t>
  </si>
  <si>
    <t>2026-07-17 07:41:05</t>
  </si>
  <si>
    <t>2026-07-17 07:51:05</t>
  </si>
  <si>
    <t>2026-07-17 09:51:05</t>
  </si>
  <si>
    <t>3541264675977261123</t>
  </si>
  <si>
    <t>2026-07-17 07:30:00</t>
  </si>
  <si>
    <t>2026-07-17 09:00:00</t>
  </si>
  <si>
    <t>2026-07-17 10:51:08</t>
  </si>
  <si>
    <t>3541264675977261400</t>
  </si>
  <si>
    <t>2026-07-17 07:31:26</t>
  </si>
  <si>
    <t>2026-07-17 09:02:00</t>
  </si>
  <si>
    <t>2026-07-17 11:24:49</t>
  </si>
  <si>
    <t>106.7855182449524</t>
  </si>
  <si>
    <t>10.84722328624567</t>
  </si>
  <si>
    <t>RQWP+V8R, Tăng Nhơn Phú, Hồ Chí Minh, Việt NamRQWP+V8R, Tăng Nhơn Phú, Hồ Chí Minh, Việt Nam</t>
  </si>
  <si>
    <t>3541264675985649964</t>
  </si>
  <si>
    <t>2026-07-17 07:33:05</t>
  </si>
  <si>
    <t>2026-07-17 09:03:00</t>
  </si>
  <si>
    <t>2026-07-17 11:03:00</t>
  </si>
  <si>
    <t>106.7342471</t>
  </si>
  <si>
    <t>10.7950124</t>
  </si>
  <si>
    <t>3541264675985649998</t>
  </si>
  <si>
    <t>2026-07-17 07:33:20</t>
  </si>
  <si>
    <t>2026-07-17 11:39:05</t>
  </si>
  <si>
    <t>3541264676002422925</t>
  </si>
  <si>
    <t>2026-07-17 07:35:47</t>
  </si>
  <si>
    <t>2026-07-17 07:45:46</t>
  </si>
  <si>
    <t>2026-07-17 09:45:46</t>
  </si>
  <si>
    <t>3541264676002423321</t>
  </si>
  <si>
    <t>2026-07-17 07:37:58</t>
  </si>
  <si>
    <t>2026-07-17 11:52:38</t>
  </si>
  <si>
    <t>106.52305420000002</t>
  </si>
  <si>
    <t>10.962533000000008</t>
  </si>
  <si>
    <t>Đ. Số 93/110 Lê Thị Giót, Củ Chi, Hồ Chí Minh, Việt NamĐ. Số 93/110 Lê Thị Giót, Củ Chi, Hồ Chí Minh, Việt Nam</t>
  </si>
  <si>
    <t>3541264676019196337</t>
  </si>
  <si>
    <t>2026-07-17 07:42:19</t>
  </si>
  <si>
    <t>2026-07-17 07:52:19</t>
  </si>
  <si>
    <t>2026-07-17 09:52:19</t>
  </si>
  <si>
    <t>3541264676019196686</t>
  </si>
  <si>
    <t>2026-07-17 07:44:00</t>
  </si>
  <si>
    <t>2026-07-17 07:54:00</t>
  </si>
  <si>
    <t>2026-07-17 11:53:26</t>
  </si>
  <si>
    <t>3541264676019196882</t>
  </si>
  <si>
    <t>2026-07-17 07:44:57</t>
  </si>
  <si>
    <t>2026-07-17 09:57:57</t>
  </si>
  <si>
    <t>106.8519051079346</t>
  </si>
  <si>
    <t>10.911703609423753</t>
  </si>
  <si>
    <t>5 Đường số 1, Trấn Biên, Đồng Nai, Việt Nam5 Đường số 1, Trấn Biên, Đồng Nai, Việt Nam</t>
  </si>
  <si>
    <t>3541265388505624747</t>
  </si>
  <si>
    <t>2026-07-17 07:31:43</t>
  </si>
  <si>
    <t>2026-07-17 12:19:38</t>
  </si>
  <si>
    <t>2026-07-17 12:28:27</t>
  </si>
  <si>
    <t>106.79161720216067</t>
  </si>
  <si>
    <t>10.853047746531296</t>
  </si>
  <si>
    <t>VQ3R+7M6 Công viên đoàn kết, Man Thiện, Tăng Nhơn Phú, Hồ Chí Minh, Việt NamVQ3R+7M6 Công viên đoàn kết, Man Thiện, Tăng Nhơn Phú, Hồ Chí Minh, Việt Nam</t>
  </si>
  <si>
    <t>3541269029094388055</t>
  </si>
  <si>
    <t>2026-07-17 07:39:12</t>
  </si>
  <si>
    <t>2026-07-17 07:49:11</t>
  </si>
  <si>
    <t>2026-07-17 10:15:20</t>
  </si>
  <si>
    <t>3541269324968977318</t>
  </si>
  <si>
    <t>2026-07-17 07:52:09</t>
  </si>
  <si>
    <t>2026-07-17 08:02:08</t>
  </si>
  <si>
    <t>2026-07-17 12:01:25</t>
  </si>
  <si>
    <t>3541269546654716314</t>
  </si>
  <si>
    <t>2026-07-17 07:50:06</t>
  </si>
  <si>
    <t>2026-07-17 08:00:06</t>
  </si>
  <si>
    <t>3541270327416025709</t>
  </si>
  <si>
    <t>2026-07-17 09:13:00</t>
  </si>
  <si>
    <t>2026-07-17 11:17:02</t>
  </si>
  <si>
    <t>2026-07-17 11:23:13</t>
  </si>
  <si>
    <t>106.75761360531007</t>
  </si>
  <si>
    <t>10.90653807854915</t>
  </si>
  <si>
    <t>72/3 Nguyễn Trãi, Dĩ An, Hồ Chí Minh, Việt Nam72/3 Nguyễn Trãi, Dĩ An, Hồ Chí Minh, Việt Nam</t>
  </si>
  <si>
    <t>3541270327432798827</t>
  </si>
  <si>
    <t>2026-07-17 07:47:41</t>
  </si>
  <si>
    <t>2026-07-17 11:57:51</t>
  </si>
  <si>
    <t>106.80813958891602</t>
  </si>
  <si>
    <t>10.78439878822912</t>
  </si>
  <si>
    <t>3541270327432798978</t>
  </si>
  <si>
    <t>2026-07-17 07:48:19</t>
  </si>
  <si>
    <t>2026-07-17 07:58:19</t>
  </si>
  <si>
    <t>2026-07-17 09:58:19</t>
  </si>
  <si>
    <t>106.70288937301633</t>
  </si>
  <si>
    <t>10.813511299999996</t>
  </si>
  <si>
    <t>RP73+C44, Bình Thạnh, Hồ Chí Minh, Việt NamRP73+C44, Bình Thạnh, Hồ Chí Minh, Việt Nam</t>
  </si>
  <si>
    <t>3541270327449571776</t>
  </si>
  <si>
    <t>2026-07-17 07:51:23</t>
  </si>
  <si>
    <t>2026-07-17 08:01:22</t>
  </si>
  <si>
    <t>2026-07-17 10:08:00</t>
  </si>
  <si>
    <t>3541271770214658668</t>
  </si>
  <si>
    <t>2026-07-17 07:45:23</t>
  </si>
  <si>
    <t>2026-07-17 07:55:23</t>
  </si>
  <si>
    <t>2026-07-17 09:55:23</t>
  </si>
  <si>
    <t>3541271881145611176</t>
  </si>
  <si>
    <t>2026-07-17 07:55:29</t>
  </si>
  <si>
    <t>2026-07-17 08:05:28</t>
  </si>
  <si>
    <t>2026-07-17 09:28:00</t>
  </si>
  <si>
    <t>2026-07-17 09:29:26</t>
  </si>
  <si>
    <t>106.62397525742492</t>
  </si>
  <si>
    <t>10.874055591163364</t>
  </si>
  <si>
    <t>69 Đ. Tân Chánh Hiệp 07, Trung Mỹ Tây, Hồ Chí Minh, Việt Nam69 Đ. Tân Chánh Hiệp 07, Trung Mỹ Tây, Hồ Chí Minh, Việt Nam</t>
  </si>
  <si>
    <t>3541273104036881175</t>
  </si>
  <si>
    <t>2026-07-17 07:48:34</t>
  </si>
  <si>
    <t>2026-07-17 07:58:33</t>
  </si>
  <si>
    <t>2026-07-17 09:58:33</t>
  </si>
  <si>
    <t>3541273309775885091</t>
  </si>
  <si>
    <t>2026-07-17 07:48:55</t>
  </si>
  <si>
    <t>2026-07-17 07:58:55</t>
  </si>
  <si>
    <t>2026-07-17 09:58:55</t>
  </si>
  <si>
    <t>3541273309775885202</t>
  </si>
  <si>
    <t>2026-07-17 07:49:30</t>
  </si>
  <si>
    <t>2026-07-17 07:59:29</t>
  </si>
  <si>
    <t>2026-07-17 09:59:29</t>
  </si>
  <si>
    <t>3541273309817819805</t>
  </si>
  <si>
    <t>2026-07-17 07:56:51</t>
  </si>
  <si>
    <t>2026-07-17 08:06:51</t>
  </si>
  <si>
    <t>2026-07-17 10:06:51</t>
  </si>
  <si>
    <t>3541273309817820066</t>
  </si>
  <si>
    <t>2026-07-17 07:57:55</t>
  </si>
  <si>
    <t>2026-07-17 08:07:54</t>
  </si>
  <si>
    <t>2026-07-17 10:07:54</t>
  </si>
  <si>
    <t>106.818333</t>
  </si>
  <si>
    <t>10.976944</t>
  </si>
  <si>
    <t>Bien Hoa Airport, Tân Triều, Đồng Nai, Việt NamBien Hoa Airport</t>
  </si>
  <si>
    <t>3541273309817820161</t>
  </si>
  <si>
    <t>2026-07-17 07:58:20</t>
  </si>
  <si>
    <t>2026-07-17 08:08:19</t>
  </si>
  <si>
    <t>2026-07-17 10:49:24</t>
  </si>
  <si>
    <t>2026-07-17 10:52:31</t>
  </si>
  <si>
    <t>106.885785</t>
  </si>
  <si>
    <t>10.9657443</t>
  </si>
  <si>
    <t>Cty TNHH Sơn Băng Biên Hòa, Xa Lộ Hà Nội, Long Bình, Đồng Nai, Việt NamCty TNHH Sơn Băng Biên Hòa</t>
  </si>
  <si>
    <t>3541273923100565701</t>
  </si>
  <si>
    <t>2026-07-17 07:51:55</t>
  </si>
  <si>
    <t>2026-07-17 08:01:55</t>
  </si>
  <si>
    <t>2026-07-17 10:41:20</t>
  </si>
  <si>
    <t>3541276806885896665</t>
  </si>
  <si>
    <t>2026-07-17 07:53:37</t>
  </si>
  <si>
    <t>2026-07-17 08:03:37</t>
  </si>
  <si>
    <t>2026-07-17 10:03:37</t>
  </si>
  <si>
    <t>3541276806902669513</t>
  </si>
  <si>
    <t>2026-07-17 07:56:33</t>
  </si>
  <si>
    <t>2026-07-17 08:06:32</t>
  </si>
  <si>
    <t>2026-07-17 09:45:20</t>
  </si>
  <si>
    <t>2026-07-17 09:52:54</t>
  </si>
  <si>
    <t>2026-07-17 10:14:30</t>
  </si>
  <si>
    <t>106.64263361426393</t>
  </si>
  <si>
    <t>10.802737591629413</t>
  </si>
  <si>
    <t>6 Thân Nhân Trung, Tân Bình, Hồ Chí Minh, Việt Nam6 Thân Nhân Trung, Tân Bình, Hồ Chí Minh, Việt Nam</t>
  </si>
  <si>
    <t>3541277372496175348</t>
  </si>
  <si>
    <t>2026-07-17 07:57:42</t>
  </si>
  <si>
    <t>2026-07-17 08:07:42</t>
  </si>
  <si>
    <t>2026-07-17 10:07:42</t>
  </si>
  <si>
    <t>3541278103471092322</t>
  </si>
  <si>
    <t>2026-07-17 07:56:17</t>
  </si>
  <si>
    <t>2026-07-17 08:06:16</t>
  </si>
  <si>
    <t>2026-07-22 11:57:10</t>
  </si>
  <si>
    <t>106.64553103124386</t>
  </si>
  <si>
    <t>10.799975415808792</t>
  </si>
  <si>
    <t>36/23 Bình Giã, Tân Bình, Hồ Chí Minh, Việt Nam36/23 Bình Giã, Tân Bình, Hồ Chí Minh, Việt Nam</t>
  </si>
  <si>
    <t>3541279252047688017</t>
  </si>
  <si>
    <t>2026-07-17 07:57:03</t>
  </si>
  <si>
    <t>2026-07-17 08:07:02</t>
  </si>
  <si>
    <t>2026-07-17 07:57:38</t>
  </si>
  <si>
    <t>2026-07-17 08:01:16</t>
  </si>
  <si>
    <t>3541280269267067039</t>
  </si>
  <si>
    <t>2026-07-17 07:58:36</t>
  </si>
  <si>
    <t>2026-07-17 09:29:00</t>
  </si>
  <si>
    <t>2026-07-17 08:35:45</t>
  </si>
  <si>
    <t>2026-07-17 10:37:52</t>
  </si>
  <si>
    <t>3541280496732565885</t>
  </si>
  <si>
    <t>2026-07-17 07:59:47</t>
  </si>
  <si>
    <t>106.9854680230316</t>
  </si>
  <si>
    <t>10.793687647474156</t>
  </si>
  <si>
    <t>QXVP+F5 Long Thành, Đồng Nai, Việt NamQXVP+F5 Long Thành, Đồng Nai, Việt Nam</t>
  </si>
  <si>
    <t>3541281044676440205</t>
  </si>
  <si>
    <t>2026-07-17 10:48:06</t>
  </si>
  <si>
    <t>3555807837433323975</t>
  </si>
  <si>
    <t>2026-08-06 09:03:45</t>
  </si>
  <si>
    <t>2026-08-06 09:13:00</t>
  </si>
  <si>
    <t>2026-08-06 09:41:05</t>
  </si>
  <si>
    <t>106.3590519502759</t>
  </si>
  <si>
    <t>10.488506835937978</t>
  </si>
  <si>
    <t>106.75379700958729</t>
  </si>
  <si>
    <t>10.881527551009158</t>
  </si>
  <si>
    <t>Unnamed Road, Tân Hương, Châu Thành, Tiền Giang, Việt NamVăn phòng cty HANSAE</t>
  </si>
  <si>
    <t>KHO VINA SMART SONG THAN, Dĩ An, Bình DươngKHO VINA SMART SONG THAN</t>
  </si>
  <si>
    <t>3555807866432746128</t>
  </si>
  <si>
    <t>2026-08-06 09:02:09</t>
  </si>
  <si>
    <t>2026-08-06 09:12:00</t>
  </si>
  <si>
    <t>2026-08-06 10:43:41</t>
  </si>
  <si>
    <t>106.30669489502907</t>
  </si>
  <si>
    <t>10.467387190006193</t>
  </si>
  <si>
    <t>Xã Tân Lập 1, Huyện Tân Phước, Tiền Giang, Việt NamHailang Vietnam Copper Manufacturing Co</t>
  </si>
  <si>
    <t>3555812029690499568</t>
  </si>
  <si>
    <t>lay hang cong so2</t>
  </si>
  <si>
    <t>2026-08-06 09:09:33</t>
  </si>
  <si>
    <t>2026-08-06 09:19:00</t>
  </si>
  <si>
    <t>2026-08-06 11:34:26</t>
  </si>
  <si>
    <t>106.57868228852749</t>
  </si>
  <si>
    <t>10.861394360082327</t>
  </si>
  <si>
    <t>2 Hẻm 24 Tổ 14 Ấp 3, Xã Xuân Thới Sơn, Huyện Hóc Môn, Hồ Chí Minh, Việt Nam2 Hẻm 24 Tổ 14 Ấp 3</t>
  </si>
  <si>
    <t>3555812096900027068</t>
  </si>
  <si>
    <t>2026-08-06 09:10:09</t>
  </si>
  <si>
    <t>2026-08-06 09:20:00</t>
  </si>
  <si>
    <t>2026-08-06 09:39:42</t>
  </si>
  <si>
    <t>2026-08-06 09:45:50</t>
  </si>
  <si>
    <t>106.36486999690533</t>
  </si>
  <si>
    <t>10.552004449959576</t>
  </si>
  <si>
    <t>106.71026173979044</t>
  </si>
  <si>
    <t>10.93470223539397</t>
  </si>
  <si>
    <t>KCN, Lợi Bình Nhơn, Tân An, Long An, Việt NamCông ty TNHH Chế Biến Nông Sản Thực Phẩm Xuất Khẩu Tân An</t>
  </si>
  <si>
    <t>67 Đại lộ Bình Dương, Binh Nhâm, Thuận An, Bình Dương, Việt Nam67 Đại lộ Bình Dương</t>
  </si>
  <si>
    <t>3555812321035252680</t>
  </si>
  <si>
    <t>2026-08-06 09:13:03</t>
  </si>
  <si>
    <t>2026-08-06 09:23:00</t>
  </si>
  <si>
    <t>2026-08-06 09:30:17</t>
  </si>
  <si>
    <t>106.36304810643196</t>
  </si>
  <si>
    <t>10.481190291138835</t>
  </si>
  <si>
    <t>106.718918569386</t>
  </si>
  <si>
    <t>10.94356222103202</t>
  </si>
  <si>
    <t>Đường N4, Tân Hương, Châu Thành, Tiền Giang, Việt NamCông Ty TNHH Quảng Việt Tiền Giang</t>
  </si>
  <si>
    <t>Làng chuyên gia Oasis, Thuận An, Bình Dương, Việt NamCông Ty Danh Nguyễn</t>
  </si>
  <si>
    <t>3555812741195453105</t>
  </si>
  <si>
    <t>2026-08-06 09:15:24</t>
  </si>
  <si>
    <t>2026-08-06 09:25:00</t>
  </si>
  <si>
    <t>2026-08-06 11:25:17</t>
  </si>
  <si>
    <t>2026-08-06 11:29:23</t>
  </si>
  <si>
    <t>106.364451572299</t>
  </si>
  <si>
    <t>10.54771096827286</t>
  </si>
  <si>
    <t>106.44931331276894</t>
  </si>
  <si>
    <t>10.785500526732179</t>
  </si>
  <si>
    <t>Hựu Thạnh, Đức Hòa, Long An, Việt NamHONESTAR</t>
  </si>
  <si>
    <t>3555815029339279606</t>
  </si>
  <si>
    <t>2026-08-06 09:16:06</t>
  </si>
  <si>
    <t>2026-08-06 10:16:29</t>
  </si>
  <si>
    <t>107.14236225932837</t>
  </si>
  <si>
    <t>10.408420629636892</t>
  </si>
  <si>
    <t>29 Hẻm 139 Đô Lương, Phường 12, Vũng Tàu, Bà Rịa-Vũng Tàu, Việt Nam29 Hẻm 139 Đô Lương</t>
  </si>
  <si>
    <t>3555819706206351650</t>
  </si>
  <si>
    <t>2026-08-06 09:36:00</t>
  </si>
  <si>
    <t>2026-08-06 11:13:37</t>
  </si>
  <si>
    <t>106.36007152497768</t>
  </si>
  <si>
    <t>10.488509143656994</t>
  </si>
  <si>
    <t>106.62767887115479</t>
  </si>
  <si>
    <t>11.122395014129792</t>
  </si>
  <si>
    <t>Công Viên Valley Of Dream, Unnamed Road, Khu đô thị Ecolakes, Bến Cát, Bình Dương, Việt NamCông Viên Valley Of Dream</t>
  </si>
  <si>
    <t>3556132315954635050</t>
  </si>
  <si>
    <t>2026-08-06 19:53:33</t>
  </si>
  <si>
    <t>2026-08-06 20:03:00</t>
  </si>
  <si>
    <t>2026-08-06 19:58:28</t>
  </si>
  <si>
    <t>3557128920384102825</t>
  </si>
  <si>
    <t>2026-08-08 08:02:06</t>
  </si>
  <si>
    <t>2026-08-08 08:12:00</t>
  </si>
  <si>
    <t>2026-08-09 08:29:48</t>
  </si>
  <si>
    <t>106.50222893804312</t>
  </si>
  <si>
    <t>10.960075026029962</t>
  </si>
  <si>
    <t>417 QL22, Ấp Thượng, Củ Chi, Hồ Chí Minh, Việt Nam417 Quốc lộ 22</t>
  </si>
  <si>
    <t>3557210595017319191</t>
  </si>
  <si>
    <t>2026-08-08 07:41:34</t>
  </si>
  <si>
    <t>2026-08-08 07:51:00</t>
  </si>
  <si>
    <t>2026-08-08 09:51:13</t>
  </si>
  <si>
    <t>106.3640371710062</t>
  </si>
  <si>
    <t>10.547589341825</t>
  </si>
  <si>
    <t>106.5937284</t>
  </si>
  <si>
    <t>10.5012495</t>
  </si>
  <si>
    <t>Cần Đước, Long An, Việt NamCần Đước, Long An, Việt Nam</t>
  </si>
  <si>
    <t>3557210595017319311</t>
  </si>
  <si>
    <t>2026-08-08 07:42:12</t>
  </si>
  <si>
    <t>2026-08-08 07:52:00</t>
  </si>
  <si>
    <t>2026-08-08 08:25:31</t>
  </si>
  <si>
    <t>3557210928774869199</t>
  </si>
  <si>
    <t>2026-08-08 07:38:43</t>
  </si>
  <si>
    <t>2026-08-08 07:48:00</t>
  </si>
  <si>
    <t>2026-08-08 11:24:15</t>
  </si>
  <si>
    <t>3557215742107804291</t>
  </si>
  <si>
    <t>2026-08-08 07:44:15</t>
  </si>
  <si>
    <t>2026-08-08 07:54:00</t>
  </si>
  <si>
    <t>2026-08-08 09:54:00</t>
  </si>
  <si>
    <t>106.31307151168585</t>
  </si>
  <si>
    <t>10.467790079015906</t>
  </si>
  <si>
    <t>Xã Tân Lập 1, Huyện Tân Phước, Tiền Giang, Việt NamApache Footwear Vietnam HQ</t>
  </si>
  <si>
    <t>3557215785317520123</t>
  </si>
  <si>
    <t>2026-08-08 07:49:37</t>
  </si>
  <si>
    <t>2026-08-08 07:59:00</t>
  </si>
  <si>
    <t>2026-08-08 10:32:02</t>
  </si>
  <si>
    <t>106.36434964835644</t>
  </si>
  <si>
    <t>10.547980919485402</t>
  </si>
  <si>
    <t>3557215953660109186</t>
  </si>
  <si>
    <t>2026-08-08 07:53:19</t>
  </si>
  <si>
    <t>2026-08-08 08:03:00</t>
  </si>
  <si>
    <t>2026-08-08 08:16:41</t>
  </si>
  <si>
    <t>106.39740385115147</t>
  </si>
  <si>
    <t>10.550848188869466</t>
  </si>
  <si>
    <t>106.44480284303427</t>
  </si>
  <si>
    <t>10.836708301099002</t>
  </si>
  <si>
    <t>Shuyi aeon tân an, Tuyến tránh QL 1, Phường 6, Tân An, Long An, Việt NamShuyi aeon tân an</t>
  </si>
  <si>
    <t>Tỉnh Lộ 825,82718Quach Phuc Transportation Service</t>
  </si>
  <si>
    <t>3557219624221368742</t>
  </si>
  <si>
    <t>2026-08-08 07:54:26</t>
  </si>
  <si>
    <t>2026-08-08 08:04:00</t>
  </si>
  <si>
    <t>2026-08-08 08:17:03</t>
  </si>
  <si>
    <t>106.36287946254015</t>
  </si>
  <si>
    <t>10.547953232192453</t>
  </si>
  <si>
    <t>106.7499886</t>
  </si>
  <si>
    <t>10.6966426</t>
  </si>
  <si>
    <t>Cty cổ phần màng CHÂU ÂU, Đường Sô 1, Lợi Bình Nhơn, Tân An, Long An, Việt NamCty cổ phần màng CHÂU ÂU</t>
  </si>
  <si>
    <t>TT. Nhà Bè, Nhà Bè, Thành phố Hồ Chí Minh, Việt NamTT. Nhà Bè, Nhà Bè, Thành phố Hồ Chí Minh, Việt Nam</t>
  </si>
  <si>
    <t>3557222551686177529</t>
  </si>
  <si>
    <t>2026-08-08 07:56:15</t>
  </si>
  <si>
    <t>2026-08-08 08:06:00</t>
  </si>
  <si>
    <t>2026-08-08 08:15:47</t>
  </si>
  <si>
    <t>106.41836263239384</t>
  </si>
  <si>
    <t>10.55842445454744</t>
  </si>
  <si>
    <t>106.6263687</t>
  </si>
  <si>
    <t>11.0899988</t>
  </si>
  <si>
    <t>QL.1A,82107Happiness Wedding Studio</t>
  </si>
  <si>
    <t>Bến cát Bình Dương, Quốc lộ 13, Thới Hòa, Bến Cát, Bình Dương, Việt NamBến cát Bình Dương</t>
  </si>
  <si>
    <t>3558637355730694981</t>
  </si>
  <si>
    <t>2026-08-10 07:22:32</t>
  </si>
  <si>
    <t>2026-08-10 07:32:31</t>
  </si>
  <si>
    <t>2026-08-10 09:32:31</t>
  </si>
  <si>
    <t>3558643822080775108</t>
  </si>
  <si>
    <t>2026-08-10 07:29:48</t>
  </si>
  <si>
    <t>2026-08-10 07:39:47</t>
  </si>
  <si>
    <t>2026-08-10 09:39:47</t>
  </si>
  <si>
    <t>3558645168712405791</t>
  </si>
  <si>
    <t>2026-08-10 07:40:59</t>
  </si>
  <si>
    <t>2026-08-10 08:09:43</t>
  </si>
  <si>
    <t>2026-08-10 08:12:17</t>
  </si>
  <si>
    <t>3558645237163446643</t>
  </si>
  <si>
    <t>2026-08-10 07:27:27</t>
  </si>
  <si>
    <t>2026-08-10 07:37:27</t>
  </si>
  <si>
    <t>2026-08-10 09:37:27</t>
  </si>
  <si>
    <t>3558645337818362522</t>
  </si>
  <si>
    <t>2026-08-10 07:22:11</t>
  </si>
  <si>
    <t>2026-08-10 07:32:11</t>
  </si>
  <si>
    <t>2026-08-10 09:54:11</t>
  </si>
  <si>
    <t>3558645337835135488</t>
  </si>
  <si>
    <t>2026-08-10 07:28:45</t>
  </si>
  <si>
    <t>2026-08-10 07:38:44</t>
  </si>
  <si>
    <t>2026-08-10 10:36:37</t>
  </si>
  <si>
    <t>3558645337835135559</t>
  </si>
  <si>
    <t>2026-08-10 07:29:22</t>
  </si>
  <si>
    <t>2026-08-10 07:39:22</t>
  </si>
  <si>
    <t>2026-08-10 09:39:22</t>
  </si>
  <si>
    <t>3558645337835135584</t>
  </si>
  <si>
    <t>2026-08-10 07:29:35</t>
  </si>
  <si>
    <t>2026-08-10 07:39:35</t>
  </si>
  <si>
    <t>2026-08-10 09:39:35</t>
  </si>
  <si>
    <t>3558647856380465793</t>
  </si>
  <si>
    <t>2026-08-10 07:25:42</t>
  </si>
  <si>
    <t>2026-08-10 10:07:41</t>
  </si>
  <si>
    <t>3558647856397251482</t>
  </si>
  <si>
    <t>2026-08-10 07:34:30</t>
  </si>
  <si>
    <t>2026-08-10 07:44:30</t>
  </si>
  <si>
    <t>2026-08-10 09:44:30</t>
  </si>
  <si>
    <t>3558649849832501853</t>
  </si>
  <si>
    <t>2026-08-10 07:20:37</t>
  </si>
  <si>
    <t>2026-08-10 07:30:37</t>
  </si>
  <si>
    <t>2026-08-10 09:31:06</t>
  </si>
  <si>
    <t>3558649849849274584</t>
  </si>
  <si>
    <t>2026-08-10 07:24:51</t>
  </si>
  <si>
    <t>2026-08-10 07:34:51</t>
  </si>
  <si>
    <t>2026-08-10 09:34:51</t>
  </si>
  <si>
    <t>3558649849866047928</t>
  </si>
  <si>
    <t>2026-08-10 07:33:24</t>
  </si>
  <si>
    <t>2026-08-10 07:43:24</t>
  </si>
  <si>
    <t>2026-08-10 09:04:50</t>
  </si>
  <si>
    <t>3558654844451643837</t>
  </si>
  <si>
    <t>2026-08-10 07:27:07</t>
  </si>
  <si>
    <t>2026-08-10 07:37:07</t>
  </si>
  <si>
    <t>2026-08-10 09:37:07</t>
  </si>
  <si>
    <t>3558654844485202471</t>
  </si>
  <si>
    <t>2026-08-10 07:41:04</t>
  </si>
  <si>
    <t>2026-08-10 07:51:04</t>
  </si>
  <si>
    <t>2026-08-10 09:51:04</t>
  </si>
  <si>
    <t>3558657311113433119</t>
  </si>
  <si>
    <t>2026-08-10 07:28:15</t>
  </si>
  <si>
    <t>2026-08-10 07:38:15</t>
  </si>
  <si>
    <t>2026-08-10 09:38:15</t>
  </si>
  <si>
    <t>3558657311113433177</t>
  </si>
  <si>
    <t>2026-08-10 07:28:31</t>
  </si>
  <si>
    <t>2026-08-10 07:38:31</t>
  </si>
  <si>
    <t>2026-08-10 10:36:03</t>
  </si>
  <si>
    <t>3558657311113433929</t>
  </si>
  <si>
    <t>2026-08-10 07:33:49</t>
  </si>
  <si>
    <t>2026-08-10 07:43:49</t>
  </si>
  <si>
    <t>2026-08-10 09:43:49</t>
  </si>
  <si>
    <t>3558657311130218710</t>
  </si>
  <si>
    <t>2026-08-10 07:36:11</t>
  </si>
  <si>
    <t>2026-08-10 07:46:10</t>
  </si>
  <si>
    <t>2026-08-10 09:46:10</t>
  </si>
  <si>
    <t>3558657311130218957</t>
  </si>
  <si>
    <t>2026-08-10 07:37:44</t>
  </si>
  <si>
    <t>2026-08-10 07:47:44</t>
  </si>
  <si>
    <t>2026-08-10 09:47:44</t>
  </si>
  <si>
    <t>3558658020554789204</t>
  </si>
  <si>
    <t>2026-08-10 07:31:15</t>
  </si>
  <si>
    <t>2026-08-10 07:41:15</t>
  </si>
  <si>
    <t>2026-08-10 09:41:15</t>
  </si>
  <si>
    <t>3558658020571574713</t>
  </si>
  <si>
    <t>2026-08-10 07:38:49</t>
  </si>
  <si>
    <t>2026-08-10 07:48:49</t>
  </si>
  <si>
    <t>2026-08-10 11:26:55</t>
  </si>
  <si>
    <t>3558658020571574758</t>
  </si>
  <si>
    <t>2026-08-10 07:39:01</t>
  </si>
  <si>
    <t>2026-08-10 07:49:01</t>
  </si>
  <si>
    <t>2026-08-10 09:49:01</t>
  </si>
  <si>
    <t>3558658020571575161</t>
  </si>
  <si>
    <t>2026-08-10 07:41:32</t>
  </si>
  <si>
    <t>2026-08-10 07:51:31</t>
  </si>
  <si>
    <t>2026-08-10 09:53:23</t>
  </si>
  <si>
    <t>3558658787709771926</t>
  </si>
  <si>
    <t>2026-08-10 07:37:17</t>
  </si>
  <si>
    <t>2026-08-10 07:47:17</t>
  </si>
  <si>
    <t>2026-08-10 09:47:17</t>
  </si>
  <si>
    <t>3558658787726545562</t>
  </si>
  <si>
    <t>2026-08-10 07:46:12</t>
  </si>
  <si>
    <t>2026-08-10 07:56:11</t>
  </si>
  <si>
    <t>2026-08-10 08:24:00</t>
  </si>
  <si>
    <t>2026-08-10 08:25:49</t>
  </si>
  <si>
    <t>3558658787726545724</t>
  </si>
  <si>
    <t>2026-08-10 07:47:07</t>
  </si>
  <si>
    <t>2026-08-10 07:57:00</t>
  </si>
  <si>
    <t>2026-08-10 09:57:00</t>
  </si>
  <si>
    <t>106.35887995362282</t>
  </si>
  <si>
    <t>10.477977523993788</t>
  </si>
  <si>
    <t>3558659543833727245</t>
  </si>
  <si>
    <t>2026-08-10 07:45:46</t>
  </si>
  <si>
    <t>2026-08-10 07:55:45</t>
  </si>
  <si>
    <t>2026-08-10 07:58:01</t>
  </si>
  <si>
    <t>2026-08-10 08:00:25</t>
  </si>
  <si>
    <t>3558659543833727573</t>
  </si>
  <si>
    <t>2026-08-10 07:47:33</t>
  </si>
  <si>
    <t>2026-08-10 07:57:33</t>
  </si>
  <si>
    <t>2026-08-10 09:57:33</t>
  </si>
  <si>
    <t>3558659667213382626</t>
  </si>
  <si>
    <t>2026-08-10 07:44:05</t>
  </si>
  <si>
    <t>2026-08-10 07:54:00</t>
  </si>
  <si>
    <t>2026-08-10 09:54:00</t>
  </si>
  <si>
    <t>106.30548421293497</t>
  </si>
  <si>
    <t>10.45838930901879</t>
  </si>
  <si>
    <t>3558659760737973062</t>
  </si>
  <si>
    <t>2026-08-10 07:37:03</t>
  </si>
  <si>
    <t>2026-08-10 07:47:03</t>
  </si>
  <si>
    <t>2026-08-10 09:47:03</t>
  </si>
  <si>
    <t>3558659760737973130</t>
  </si>
  <si>
    <t>2026-08-10 07:37:31</t>
  </si>
  <si>
    <t>2026-08-10 07:47:31</t>
  </si>
  <si>
    <t>2026-08-10 09:47:31</t>
  </si>
  <si>
    <t>3558659760746356931</t>
  </si>
  <si>
    <t>2026-08-10 07:39:40</t>
  </si>
  <si>
    <t>2026-08-10 07:49:40</t>
  </si>
  <si>
    <t>2026-08-10 10:14:02</t>
  </si>
  <si>
    <t>3558659760763130238</t>
  </si>
  <si>
    <t>2026-08-10 07:46:24</t>
  </si>
  <si>
    <t>2026-08-10 07:56:24</t>
  </si>
  <si>
    <t>2026-08-10 07:50:55</t>
  </si>
  <si>
    <t>2026-08-20 07:57:24</t>
  </si>
  <si>
    <t>3558661427042668667</t>
  </si>
  <si>
    <t>2026-08-10 07:42:00</t>
  </si>
  <si>
    <t>2026-08-10 07:51:59</t>
  </si>
  <si>
    <t>2026-08-10 09:51:59</t>
  </si>
  <si>
    <t>3558661427059454197</t>
  </si>
  <si>
    <t>2026-08-10 07:48:09</t>
  </si>
  <si>
    <t>2026-08-10 07:58:08</t>
  </si>
  <si>
    <t>2026-08-10 11:24:16</t>
  </si>
  <si>
    <t>3558661427059454554</t>
  </si>
  <si>
    <t>2026-08-10 07:50:17</t>
  </si>
  <si>
    <t>2026-08-10 08:00:17</t>
  </si>
  <si>
    <t>2026-08-10 10:13:16</t>
  </si>
  <si>
    <t>3558661427059454800</t>
  </si>
  <si>
    <t>2026-08-10 08:01:30</t>
  </si>
  <si>
    <t>2026-08-10 09:16:32</t>
  </si>
  <si>
    <t>105.18873201</t>
  </si>
  <si>
    <t>9.1737281</t>
  </si>
  <si>
    <t>Phường 6, Cà Mau, Việt NamCà mau</t>
  </si>
  <si>
    <t>3558662565661995295</t>
  </si>
  <si>
    <t>2026-08-10 07:38:36</t>
  </si>
  <si>
    <t>2026-08-10 07:48:36</t>
  </si>
  <si>
    <t>2026-08-10 09:48:36</t>
  </si>
  <si>
    <t>3558662565661995405</t>
  </si>
  <si>
    <t>2026-08-10 07:39:14</t>
  </si>
  <si>
    <t>2026-08-10 07:49:14</t>
  </si>
  <si>
    <t>2026-08-10 09:49:14</t>
  </si>
  <si>
    <t>3558662565695541337</t>
  </si>
  <si>
    <t>2026-08-10 07:49:27</t>
  </si>
  <si>
    <t>2026-08-10 07:59:27</t>
  </si>
  <si>
    <t>2026-08-20 08:00:01</t>
  </si>
  <si>
    <t>3558662565695541797</t>
  </si>
  <si>
    <t>2026-08-10 07:52:03</t>
  </si>
  <si>
    <t>2026-08-10 08:16:59</t>
  </si>
  <si>
    <t>2026-08-10 08:17:57</t>
  </si>
  <si>
    <t>3558666359678399441</t>
  </si>
  <si>
    <t>2026-08-10 07:59:20</t>
  </si>
  <si>
    <t>2026-08-10 08:09:20</t>
  </si>
  <si>
    <t>2026-08-10 10:29:15</t>
  </si>
  <si>
    <t>3558668081767338383</t>
  </si>
  <si>
    <t>2026-08-10 07:48:54</t>
  </si>
  <si>
    <t>2026-08-10 07:58:54</t>
  </si>
  <si>
    <t>2026-08-10 09:58:54</t>
  </si>
  <si>
    <t>106.6990417</t>
  </si>
  <si>
    <t>10.7791767</t>
  </si>
  <si>
    <t>Nhà Thờ Đức Bà , 1 Công Xã Paris, Số 01 Tp.HCM, Công trường Công xã Paris, Quận 1, Hồ Chí Minh, Việt NamNhà Thờ Đức Bà , 1 Công Xã Paris, Số 01 Tp.HCM, Công trường Công xã Paris, Quận 1, Hồ Chí Minh, Việt Nam</t>
  </si>
  <si>
    <t>3558668081767338816</t>
  </si>
  <si>
    <t>2026-08-10 07:51:26</t>
  </si>
  <si>
    <t>2026-08-10 08:01:00</t>
  </si>
  <si>
    <t>2026-08-10 09:29:48</t>
  </si>
  <si>
    <t>106.30639582872391</t>
  </si>
  <si>
    <t>10.475115841878175</t>
  </si>
  <si>
    <t>106.7307616</t>
  </si>
  <si>
    <t>10.7936217</t>
  </si>
  <si>
    <t>3558669054149620102</t>
  </si>
  <si>
    <t>2026-08-10 07:50:35</t>
  </si>
  <si>
    <t>2026-08-10 08:00:35</t>
  </si>
  <si>
    <t>2026-08-10 08:58:52</t>
  </si>
  <si>
    <t>3558669054191555288</t>
  </si>
  <si>
    <t>2026-08-10 08:02:09</t>
  </si>
  <si>
    <t>2026-08-10 08:12:09</t>
  </si>
  <si>
    <t>2026-08-10 10:12:09</t>
  </si>
  <si>
    <t>3558669054191555369</t>
  </si>
  <si>
    <t>2026-08-10 08:02:27</t>
  </si>
  <si>
    <t>2026-08-10 08:12:27</t>
  </si>
  <si>
    <t>2026-08-10 10:12:27</t>
  </si>
  <si>
    <t>3558669811741581590</t>
  </si>
  <si>
    <t>2026-08-10 08:00:44</t>
  </si>
  <si>
    <t>2026-08-10 08:10:44</t>
  </si>
  <si>
    <t>2026-08-10 10:10:44</t>
  </si>
  <si>
    <t>3558669874630976424</t>
  </si>
  <si>
    <t>4 thùng son 25K 1thung</t>
  </si>
  <si>
    <t>2026-08-10 07:59:30</t>
  </si>
  <si>
    <t>2026-08-10 08:09:00</t>
  </si>
  <si>
    <t>2026-08-10 08:03:18</t>
  </si>
  <si>
    <t>2026-08-10 08:26:45</t>
  </si>
  <si>
    <t>106.40294261276722</t>
  </si>
  <si>
    <t>10.521574021738363</t>
  </si>
  <si>
    <t>106.69310566037893</t>
  </si>
  <si>
    <t>10.870300650302369</t>
  </si>
  <si>
    <t>Đường Nguyễn Cửu Vân 141E, 82114 Tân An, Việt NamCông Ty TNHH Xây Dựng Trần House</t>
  </si>
  <si>
    <t>219 Đường Thạnh Lộc 15, Thạnh Lộc, Quận 12, Hồ Chí Minh, Việt Nam219 Đường Thạnh Lộc 15</t>
  </si>
  <si>
    <t>3558671157702123570</t>
  </si>
  <si>
    <t>2026-08-10 07:52:50</t>
  </si>
  <si>
    <t>2026-08-10 08:02:50</t>
  </si>
  <si>
    <t>2026-08-10 10:02:50</t>
  </si>
  <si>
    <t>106.51478158645018</t>
  </si>
  <si>
    <t>10.615185548326668</t>
  </si>
  <si>
    <t>109.0929538</t>
  </si>
  <si>
    <t>12.2098472</t>
  </si>
  <si>
    <t>JG87+3W Long Cang, Long An, Việt NamJG87+3W Long Cang, Long An, Việt Nam</t>
  </si>
  <si>
    <t>Khánh Hòa, Việt NamKhánh Hòa</t>
  </si>
  <si>
    <t>3558675157533020498</t>
  </si>
  <si>
    <t>2026-08-10 08:05:19</t>
  </si>
  <si>
    <t>2026-08-10 08:15:19</t>
  </si>
  <si>
    <t>2026-08-10 10:15:19</t>
  </si>
  <si>
    <t>3558675157533020570</t>
  </si>
  <si>
    <t>2026-08-10 08:05:41</t>
  </si>
  <si>
    <t>2026-08-10 08:15:41</t>
  </si>
  <si>
    <t>2026-08-10 10:15:41</t>
  </si>
  <si>
    <t>3558675157533020678</t>
  </si>
  <si>
    <t>2026-08-10 08:06:04</t>
  </si>
  <si>
    <t>2026-08-10 08:16:04</t>
  </si>
  <si>
    <t>2026-08-10 10:16:04</t>
  </si>
  <si>
    <t>3558675157533021118</t>
  </si>
  <si>
    <t>2026-08-10 08:07:56</t>
  </si>
  <si>
    <t>2026-08-10 08:17:56</t>
  </si>
  <si>
    <t>2026-08-10 11:32:34</t>
  </si>
  <si>
    <t>3558675157549806504</t>
  </si>
  <si>
    <t>2026-08-10 08:11:20</t>
  </si>
  <si>
    <t>2026-08-10 08:21:20</t>
  </si>
  <si>
    <t>2026-08-10 10:21:20</t>
  </si>
  <si>
    <t>3558676592496698151</t>
  </si>
  <si>
    <t>2026-08-10 08:12:43</t>
  </si>
  <si>
    <t>2026-08-10 08:22:43</t>
  </si>
  <si>
    <t>2026-08-10 10:22:43</t>
  </si>
  <si>
    <t>3558676968163734134</t>
  </si>
  <si>
    <t>2026-08-10 08:09:12</t>
  </si>
  <si>
    <t>2026-08-10 08:19:12</t>
  </si>
  <si>
    <t>2026-08-10 10:19:12</t>
  </si>
  <si>
    <t>3558677370431041851</t>
  </si>
  <si>
    <t>2026-08-10 08:04:22</t>
  </si>
  <si>
    <t>2026-08-10 08:14:22</t>
  </si>
  <si>
    <t>2026-08-10 10:17:45</t>
  </si>
  <si>
    <t>2026-08-10 11:13:27</t>
  </si>
  <si>
    <t>3558677370464588040</t>
  </si>
  <si>
    <t>2026-08-10 08:22:01</t>
  </si>
  <si>
    <t>2026-08-10 10:22:01</t>
  </si>
  <si>
    <t>3558677862733279901</t>
  </si>
  <si>
    <t>2026-08-10 08:10:38</t>
  </si>
  <si>
    <t>2026-08-10 08:20:00</t>
  </si>
  <si>
    <t>2026-08-10 12:07:22</t>
  </si>
  <si>
    <t>3558677862733280181</t>
  </si>
  <si>
    <t>2026-08-10 08:11:38</t>
  </si>
  <si>
    <t>2026-08-10 08:21:38</t>
  </si>
  <si>
    <t>2026-08-10 10:21:38</t>
  </si>
  <si>
    <t>3558677953405743670</t>
  </si>
  <si>
    <t>2026-08-10 08:06:24</t>
  </si>
  <si>
    <t>2026-08-10 08:16:24</t>
  </si>
  <si>
    <t>2026-08-10 10:16:24</t>
  </si>
  <si>
    <t>3558678095961748447</t>
  </si>
  <si>
    <t>2026-08-10 08:08:22</t>
  </si>
  <si>
    <t>2026-08-10 08:18:22</t>
  </si>
  <si>
    <t>2026-08-10 09:56:48</t>
  </si>
  <si>
    <t>3558679860119564981</t>
  </si>
  <si>
    <t>2026-08-10 08:10:34</t>
  </si>
  <si>
    <t>2026-08-10 08:20:35</t>
  </si>
  <si>
    <t>2026-08-10 10:20:35</t>
  </si>
  <si>
    <t>3558701917620359981</t>
  </si>
  <si>
    <t>2026-08-10 08:51:21</t>
  </si>
  <si>
    <t>2026-08-10 09:01:00</t>
  </si>
  <si>
    <t>3559355211925644224</t>
  </si>
  <si>
    <t>2026-08-11 07:04:03</t>
  </si>
  <si>
    <t>2026-08-11 07:14:02</t>
  </si>
  <si>
    <t>2026-08-11 09:14:02</t>
  </si>
  <si>
    <t>3559355211942416680</t>
  </si>
  <si>
    <t>2026-08-11 07:06:34</t>
  </si>
  <si>
    <t>2026-08-11 07:16:33</t>
  </si>
  <si>
    <t>2026-08-11 09:16:33</t>
  </si>
  <si>
    <t>3559355628159980488</t>
  </si>
  <si>
    <t>2026-08-11 07:11:53</t>
  </si>
  <si>
    <t>2026-08-11 07:21:52</t>
  </si>
  <si>
    <t>2026-08-11 09:21:52</t>
  </si>
  <si>
    <t>3559359798640333636</t>
  </si>
  <si>
    <t>2026-08-11 07:07:38</t>
  </si>
  <si>
    <t>2026-08-11 07:17:37</t>
  </si>
  <si>
    <t>2026-08-11 09:17:37</t>
  </si>
  <si>
    <t>3559359798657119223</t>
  </si>
  <si>
    <t>2026-08-11 07:16:36</t>
  </si>
  <si>
    <t>2026-08-11 07:26:35</t>
  </si>
  <si>
    <t>2026-08-11 10:52:22</t>
  </si>
  <si>
    <t>3559366256752808647</t>
  </si>
  <si>
    <t>2026-08-11 07:07:06</t>
  </si>
  <si>
    <t>2026-08-11 07:17:05</t>
  </si>
  <si>
    <t>2026-08-11 09:17:05</t>
  </si>
  <si>
    <t>3559366256786366719</t>
  </si>
  <si>
    <t>2026-08-11 07:18:59</t>
  </si>
  <si>
    <t>2026-08-11 07:28:58</t>
  </si>
  <si>
    <t>2026-08-11 09:28:58</t>
  </si>
  <si>
    <t>106.5121374</t>
  </si>
  <si>
    <t>10.6216928</t>
  </si>
  <si>
    <t>CÔNG TY TNHH SUNRICH VIỆT NAM, Đ. Số 1, kcn Phúc, Mỹ Yên, Tây Ninh, Việt NamCÔNG TY TNHH SUNRICH VIỆT NAM</t>
  </si>
  <si>
    <t>3559366256786366901</t>
  </si>
  <si>
    <t>2026-08-11 07:20:15</t>
  </si>
  <si>
    <t>2026-08-11 07:30:14</t>
  </si>
  <si>
    <t>2026-08-11 10:08:20</t>
  </si>
  <si>
    <t>3559367601740275966</t>
  </si>
  <si>
    <t>2026-08-11 07:13:17</t>
  </si>
  <si>
    <t>2026-08-11 07:23:16</t>
  </si>
  <si>
    <t>2026-08-11 09:23:16</t>
  </si>
  <si>
    <t>3559367601740276031</t>
  </si>
  <si>
    <t>2026-08-11 07:13:43</t>
  </si>
  <si>
    <t>2026-08-11 07:23:42</t>
  </si>
  <si>
    <t>2026-08-11 09:23:42</t>
  </si>
  <si>
    <t>3559370197502743181</t>
  </si>
  <si>
    <t>2026-08-11 07:19:39</t>
  </si>
  <si>
    <t>2026-08-11 07:29:38</t>
  </si>
  <si>
    <t>2026-08-11 09:14:01</t>
  </si>
  <si>
    <t>2026-08-21 07:30:00</t>
  </si>
  <si>
    <t>3559370197502743500</t>
  </si>
  <si>
    <t>2026-08-11 07:21:45</t>
  </si>
  <si>
    <t>2026-08-11 07:31:45</t>
  </si>
  <si>
    <t>2026-08-11 09:31:45</t>
  </si>
  <si>
    <t>3559372206079434934</t>
  </si>
  <si>
    <t>2026-08-11 07:18:45</t>
  </si>
  <si>
    <t>2026-08-11 07:28:45</t>
  </si>
  <si>
    <t>2026-08-11 09:28:45</t>
  </si>
  <si>
    <t>3559373672080957990</t>
  </si>
  <si>
    <t>2026-08-11 07:16:22</t>
  </si>
  <si>
    <t>2026-08-11 07:26:22</t>
  </si>
  <si>
    <t>2026-08-11 09:26:22</t>
  </si>
  <si>
    <t>3559373672080958299</t>
  </si>
  <si>
    <t>2026-08-11 07:18:33</t>
  </si>
  <si>
    <t>2026-08-11 07:28:32</t>
  </si>
  <si>
    <t>2026-08-11 09:28:32</t>
  </si>
  <si>
    <t>3559373672097730668</t>
  </si>
  <si>
    <t>2026-08-11 07:20:26</t>
  </si>
  <si>
    <t>2026-08-11 07:30:26</t>
  </si>
  <si>
    <t>2026-08-11 09:30:26</t>
  </si>
  <si>
    <t>3559373672097730824</t>
  </si>
  <si>
    <t>2026-08-11 07:21:31</t>
  </si>
  <si>
    <t>2026-08-11 07:31:30</t>
  </si>
  <si>
    <t>2026-08-11 09:31:30</t>
  </si>
  <si>
    <t>3559373672114516271</t>
  </si>
  <si>
    <t>2026-08-11 07:28:21</t>
  </si>
  <si>
    <t>2026-08-11 07:38:20</t>
  </si>
  <si>
    <t>2026-08-11 09:38:20</t>
  </si>
  <si>
    <t>3559373672114516469</t>
  </si>
  <si>
    <t>2026-08-11 07:29:29</t>
  </si>
  <si>
    <t>2026-08-11 07:39:28</t>
  </si>
  <si>
    <t>2026-08-11 09:39:28</t>
  </si>
  <si>
    <t>3559373747586822799</t>
  </si>
  <si>
    <t>2026-08-11 07:17:26</t>
  </si>
  <si>
    <t>2026-08-11 07:27:25</t>
  </si>
  <si>
    <t>2026-08-11 09:27:25</t>
  </si>
  <si>
    <t>3559373747611984159</t>
  </si>
  <si>
    <t>2026-08-11 07:25:22</t>
  </si>
  <si>
    <t>2026-08-11 07:35:22</t>
  </si>
  <si>
    <t>2026-08-11 09:34:21</t>
  </si>
  <si>
    <t>3559373747620369272</t>
  </si>
  <si>
    <t>2026-08-11 07:31:11</t>
  </si>
  <si>
    <t>2026-08-11 07:41:11</t>
  </si>
  <si>
    <t>2026-08-11 09:41:11</t>
  </si>
  <si>
    <t>3559373882819571801</t>
  </si>
  <si>
    <t>2026-08-11 07:13:04</t>
  </si>
  <si>
    <t>2026-08-11 07:23:04</t>
  </si>
  <si>
    <t>2026-08-11 09:23:04</t>
  </si>
  <si>
    <t>3559373882819571907</t>
  </si>
  <si>
    <t>2026-08-11 07:13:56</t>
  </si>
  <si>
    <t>2026-08-11 07:23:55</t>
  </si>
  <si>
    <t>2026-08-11 09:23:55</t>
  </si>
  <si>
    <t>3559373882819572019</t>
  </si>
  <si>
    <t>2026-08-11 07:14:43</t>
  </si>
  <si>
    <t>2026-08-11 07:24:42</t>
  </si>
  <si>
    <t>2026-08-11 09:24:42</t>
  </si>
  <si>
    <t>3559373882819572717</t>
  </si>
  <si>
    <t>2026-08-11 07:19:52</t>
  </si>
  <si>
    <t>2026-08-11 07:29:51</t>
  </si>
  <si>
    <t>2026-08-11 09:29:51</t>
  </si>
  <si>
    <t>3559373882836345437</t>
  </si>
  <si>
    <t>2026-08-11 07:23:24</t>
  </si>
  <si>
    <t>2026-08-11 07:33:23</t>
  </si>
  <si>
    <t>2026-08-11 08:50:43</t>
  </si>
  <si>
    <t>2026-08-11 09:00:34</t>
  </si>
  <si>
    <t>3559373882844729365</t>
  </si>
  <si>
    <t>2026-08-11 07:26:26</t>
  </si>
  <si>
    <t>2026-08-11 07:36:25</t>
  </si>
  <si>
    <t>2026-08-11 11:19:15</t>
  </si>
  <si>
    <t>3559373882844729985</t>
  </si>
  <si>
    <t>2026-08-11 07:30:09</t>
  </si>
  <si>
    <t>2026-08-11 07:40:09</t>
  </si>
  <si>
    <t>2026-08-11 09:40:09</t>
  </si>
  <si>
    <t>3559376255537340609</t>
  </si>
  <si>
    <t>2026-08-11 07:17:51</t>
  </si>
  <si>
    <t>2026-08-11 07:27:50</t>
  </si>
  <si>
    <t>2026-08-11 09:27:50</t>
  </si>
  <si>
    <t>3559376255537340840</t>
  </si>
  <si>
    <t>2026-08-11 07:19:25</t>
  </si>
  <si>
    <t>2026-08-11 07:29:24</t>
  </si>
  <si>
    <t>2026-08-11 10:56:50</t>
  </si>
  <si>
    <t>3559376255554113849</t>
  </si>
  <si>
    <t>2026-08-11 07:25:35</t>
  </si>
  <si>
    <t>2026-08-11 07:35:34</t>
  </si>
  <si>
    <t>2026-08-11 09:35:34</t>
  </si>
  <si>
    <t>3559376255554114181</t>
  </si>
  <si>
    <t>2026-08-11 07:27:41</t>
  </si>
  <si>
    <t>2026-08-11 07:37:40</t>
  </si>
  <si>
    <t>2026-08-11 09:37:40</t>
  </si>
  <si>
    <t>3559376255570899367</t>
  </si>
  <si>
    <t>2026-08-11 07:42:17</t>
  </si>
  <si>
    <t>2026-08-11 08:40:40</t>
  </si>
  <si>
    <t>2026-08-11 08:57:59</t>
  </si>
  <si>
    <t>3559380688119747525</t>
  </si>
  <si>
    <t>2026-08-11 07:29:44</t>
  </si>
  <si>
    <t>2026-08-11 07:39:43</t>
  </si>
  <si>
    <t>2026-08-11 09:39:43</t>
  </si>
  <si>
    <t>3559380688119747571</t>
  </si>
  <si>
    <t>2026-08-11 07:29:57</t>
  </si>
  <si>
    <t>2026-08-11 07:39:57</t>
  </si>
  <si>
    <t>2026-08-11 09:39:57</t>
  </si>
  <si>
    <t>3559380688153305496</t>
  </si>
  <si>
    <t>2026-08-11 07:37:59</t>
  </si>
  <si>
    <t>2026-08-11 07:47:58</t>
  </si>
  <si>
    <t>2026-08-11 09:07:04</t>
  </si>
  <si>
    <t>107.0961803</t>
  </si>
  <si>
    <t>10.3746682</t>
  </si>
  <si>
    <t>Vung Tau Airport, Tam Thắng, Hồ Chí Minh, Việt NamVung Tau Airport</t>
  </si>
  <si>
    <t>3559380848543494827</t>
  </si>
  <si>
    <t>2026-08-11 07:28:48</t>
  </si>
  <si>
    <t>2026-08-11 07:38:46</t>
  </si>
  <si>
    <t>2026-08-11 09:38:46</t>
  </si>
  <si>
    <t>3559381311804371055</t>
  </si>
  <si>
    <t>2026-08-11 07:26:00</t>
  </si>
  <si>
    <t>2026-08-11 07:35:59</t>
  </si>
  <si>
    <t>2026-08-11 09:35:59</t>
  </si>
  <si>
    <t>3559381311804371413</t>
  </si>
  <si>
    <t>2026-08-11 07:28:09</t>
  </si>
  <si>
    <t>2026-08-11 07:38:08</t>
  </si>
  <si>
    <t>2026-08-11 09:38:08</t>
  </si>
  <si>
    <t>3559381311837917504</t>
  </si>
  <si>
    <t>2026-08-11 07:38:16</t>
  </si>
  <si>
    <t>2026-08-11 07:48:15</t>
  </si>
  <si>
    <t>2026-08-11 09:48:15</t>
  </si>
  <si>
    <t>106.3404925</t>
  </si>
  <si>
    <t>9.9024377</t>
  </si>
  <si>
    <t>Trà Vinh, Vĩnh Long, Việt NamTrà Vinh</t>
  </si>
  <si>
    <t>3559381311837917645</t>
  </si>
  <si>
    <t>2026-08-11 07:38:55</t>
  </si>
  <si>
    <t>2026-08-11 07:48:54</t>
  </si>
  <si>
    <t>2026-08-11 09:48:54</t>
  </si>
  <si>
    <t>108.0183739</t>
  </si>
  <si>
    <t>14.3541816</t>
  </si>
  <si>
    <t>Kon Tum, Quảng Ngãi, Việt NamKon Tum</t>
  </si>
  <si>
    <t>3559383005548208254</t>
  </si>
  <si>
    <t>2026-08-11 09:38:32</t>
  </si>
  <si>
    <t>3559383005548208659</t>
  </si>
  <si>
    <t>2026-08-11 07:30:59</t>
  </si>
  <si>
    <t>2026-08-11 07:40:59</t>
  </si>
  <si>
    <t>2026-08-11 20:42:15</t>
  </si>
  <si>
    <t>3559383005564981882</t>
  </si>
  <si>
    <t>2026-08-11 07:37:20</t>
  </si>
  <si>
    <t>2026-08-11 07:47:20</t>
  </si>
  <si>
    <t>2026-08-11 08:25:23</t>
  </si>
  <si>
    <t>106.49134769938964</t>
  </si>
  <si>
    <t>10.617992297820091</t>
  </si>
  <si>
    <t>105.4420026</t>
  </si>
  <si>
    <t>9.9512641</t>
  </si>
  <si>
    <t>JF9R+F63, Bến Lức, Tây Ninh, Việt NamJF9R+F63, Bến Lức, Tây Ninh, Việt Nam</t>
  </si>
  <si>
    <t>Kiên Giang, Ngọc Chúc, An Giang, Việt NamKiên Giang</t>
  </si>
  <si>
    <t>3559384394525536514</t>
  </si>
  <si>
    <t>2026-08-11 07:31:53</t>
  </si>
  <si>
    <t>2026-08-11 07:41:52</t>
  </si>
  <si>
    <t>2026-08-11 08:08:23</t>
  </si>
  <si>
    <t>3559385331910537637</t>
  </si>
  <si>
    <t>2026-08-11 07:34:05</t>
  </si>
  <si>
    <t>2026-08-11 07:44:04</t>
  </si>
  <si>
    <t>2026-08-11 09:44:04</t>
  </si>
  <si>
    <t>3559385417499501388</t>
  </si>
  <si>
    <t>2026-08-11 07:36:53</t>
  </si>
  <si>
    <t>2026-08-11 07:46:52</t>
  </si>
  <si>
    <t>2026-08-11 10:25:54</t>
  </si>
  <si>
    <t>106.46662846110839</t>
  </si>
  <si>
    <t>10.621029280729278</t>
  </si>
  <si>
    <t>105.8341598</t>
  </si>
  <si>
    <t>21.0277644</t>
  </si>
  <si>
    <t>JFC8+CM Bình Đức, Long An, Việt NamJFC8+CM Bình Đức, Long An, Việt Nam</t>
  </si>
  <si>
    <t>Hà Nội, Việt NamHà Nội</t>
  </si>
  <si>
    <t>3559385417541448030</t>
  </si>
  <si>
    <t>2026-08-11 07:47:39</t>
  </si>
  <si>
    <t>2026-08-11 07:57:41</t>
  </si>
  <si>
    <t>2026-08-11 09:57:41</t>
  </si>
  <si>
    <t>3559385427305787892</t>
  </si>
  <si>
    <t>2026-08-11 07:34:35</t>
  </si>
  <si>
    <t>2026-08-11 07:44:35</t>
  </si>
  <si>
    <t>2026-08-11 09:44:35</t>
  </si>
  <si>
    <t>3559387159771439272</t>
  </si>
  <si>
    <t>2026-08-11 07:46:25</t>
  </si>
  <si>
    <t>2026-08-11 12:02:51</t>
  </si>
  <si>
    <t>3559390230949884826</t>
  </si>
  <si>
    <t>2026-08-11 07:50:08</t>
  </si>
  <si>
    <t>2026-08-11 08:00:09</t>
  </si>
  <si>
    <t>2026-08-11 10:00:09</t>
  </si>
  <si>
    <t>3559390230966657958</t>
  </si>
  <si>
    <t>2026-08-11 07:54:29</t>
  </si>
  <si>
    <t>2026-08-11 08:04:30</t>
  </si>
  <si>
    <t>2026-08-11 10:04:30</t>
  </si>
  <si>
    <t>3559390640313946207</t>
  </si>
  <si>
    <t>2026-08-11 07:51:42</t>
  </si>
  <si>
    <t>2026-08-11 08:01:43</t>
  </si>
  <si>
    <t>2026-08-11 10:01:43</t>
  </si>
  <si>
    <t>3559390640313946548</t>
  </si>
  <si>
    <t>2026-08-11 07:53:13</t>
  </si>
  <si>
    <t>2026-08-11 08:03:14</t>
  </si>
  <si>
    <t>2026-08-11 10:03:14</t>
  </si>
  <si>
    <t>3559392135541379732</t>
  </si>
  <si>
    <t>2026-08-11 07:52:03</t>
  </si>
  <si>
    <t>2026-08-11 08:02:04</t>
  </si>
  <si>
    <t>2026-08-11 10:02:04</t>
  </si>
  <si>
    <t>3559392135558164919</t>
  </si>
  <si>
    <t>2026-08-11 07:55:32</t>
  </si>
  <si>
    <t>2026-08-11 08:05:33</t>
  </si>
  <si>
    <t>2026-08-11 10:05:33</t>
  </si>
  <si>
    <t>3559392135558165452</t>
  </si>
  <si>
    <t>2026-08-11 07:57:45</t>
  </si>
  <si>
    <t>2026-08-11 08:07:46</t>
  </si>
  <si>
    <t>2026-08-11 10:07:46</t>
  </si>
  <si>
    <t>3559393368775811518</t>
  </si>
  <si>
    <t>2026-08-11 07:52:58</t>
  </si>
  <si>
    <t>2026-08-11 08:02:59</t>
  </si>
  <si>
    <t>2026-08-11 10:02:59</t>
  </si>
  <si>
    <t>3559393972310987072</t>
  </si>
  <si>
    <t>2026-08-11 07:58:00</t>
  </si>
  <si>
    <t>2026-08-11 08:08:01</t>
  </si>
  <si>
    <t>2026-08-11 10:08:01</t>
  </si>
  <si>
    <t>3559393994557583624</t>
  </si>
  <si>
    <t>2026-08-11 07:48:55</t>
  </si>
  <si>
    <t>2026-08-11 07:58:56</t>
  </si>
  <si>
    <t>2026-08-11 10:03:11</t>
  </si>
  <si>
    <t>3559393994591129651</t>
  </si>
  <si>
    <t>2026-08-11 07:56:53</t>
  </si>
  <si>
    <t>2026-08-11 08:06:54</t>
  </si>
  <si>
    <t>2026-08-11 10:06:54</t>
  </si>
  <si>
    <t>3559394092687515941</t>
  </si>
  <si>
    <t>2026-08-11 07:49:40</t>
  </si>
  <si>
    <t>2026-08-11 07:59:41</t>
  </si>
  <si>
    <t>2026-08-11 09:59:41</t>
  </si>
  <si>
    <t>3559395496906936671</t>
  </si>
  <si>
    <t>2026-08-11 07:56:04</t>
  </si>
  <si>
    <t>2026-08-11 08:06:06</t>
  </si>
  <si>
    <t>2026-08-11 10:06:06</t>
  </si>
  <si>
    <t>3559395496906936937</t>
  </si>
  <si>
    <t>2026-08-11 07:57:09</t>
  </si>
  <si>
    <t>2026-08-11 08:07:11</t>
  </si>
  <si>
    <t>2026-08-11 10:07:11</t>
  </si>
  <si>
    <t>3559395496906937267</t>
  </si>
  <si>
    <t>2026-08-11 07:58:29</t>
  </si>
  <si>
    <t>2026-08-11 08:08:30</t>
  </si>
  <si>
    <t>2026-08-11 10:08:30</t>
  </si>
  <si>
    <t>3559398050927693934</t>
  </si>
  <si>
    <t>2026-08-11 07:55:13</t>
  </si>
  <si>
    <t>2026-08-11 08:05:14</t>
  </si>
  <si>
    <t>2026-08-11 10:05:14</t>
  </si>
  <si>
    <t>3559399627264581906</t>
  </si>
  <si>
    <t>2026-08-11 07:59:07</t>
  </si>
  <si>
    <t>2026-08-11 08:09:08</t>
  </si>
  <si>
    <t>2026-08-11 11:07:58</t>
  </si>
  <si>
    <t>2026-08-11 11:16:39</t>
  </si>
  <si>
    <t>3561920281176134086</t>
  </si>
  <si>
    <t>2026-08-14 19:27:50</t>
  </si>
  <si>
    <t>2026-08-14 19:37:00</t>
  </si>
  <si>
    <t>2026-08-14 21:47:25</t>
  </si>
  <si>
    <t>3561926507997913819</t>
  </si>
  <si>
    <t>2026-08-14 19:51:14</t>
  </si>
  <si>
    <t>2026-08-14 20:01:00</t>
  </si>
  <si>
    <t>2026-08-14 22:37:32</t>
  </si>
  <si>
    <t>106.8553913757205</t>
  </si>
  <si>
    <t>10.956091167761963</t>
  </si>
  <si>
    <t>Hẻm 279/36 Đồng Khởi, Phường Tam Hiệp, Biên Hòa, Đồng Nai, Việt NamHẻm 279/36 Đồng Khởi, Phường Tam Hiệp, Biên Hòa, Đồng Nai, Việt Nam</t>
  </si>
  <si>
    <t>3561931026144129374</t>
  </si>
  <si>
    <t>2026-08-14 19:54:24</t>
  </si>
  <si>
    <t>2026-08-14 20:04:00</t>
  </si>
  <si>
    <t>2026-08-14 22:38:05</t>
  </si>
  <si>
    <t>106.34317595511675</t>
  </si>
  <si>
    <t>10.437206283280435</t>
  </si>
  <si>
    <t>106.71417441219091</t>
  </si>
  <si>
    <t>10.770579132480067</t>
  </si>
  <si>
    <t>631 QL.1A, Xã Thân Cửu Nghĩa, Huyện Châu Thành, Tiền Giang, Việt Nam631 QL.1A, Xã Thân Cửu Nghĩa, Huyện Châu Thành, Tiền Giang, Việt Nam</t>
  </si>
  <si>
    <t>Đường Mai Chí Thọ, Phường Thủ Thiêm, Thủ Đức, Hồ Chí Minh, Việt NamĐường Mai Chí Thọ, Phường Thủ Thiêm, Thủ Đức, Hồ Chí Minh, Việt Nam</t>
  </si>
  <si>
    <t>3561931026160902817</t>
  </si>
  <si>
    <t>2026-08-14 20:00:47</t>
  </si>
  <si>
    <t>2026-08-14 20:10:00</t>
  </si>
  <si>
    <t>2026-08-14 20:03:51</t>
  </si>
  <si>
    <t>106.66095804423094</t>
  </si>
  <si>
    <t>10.815221220846455</t>
  </si>
  <si>
    <t>Chim Rừng, Phường 2, Quận Tân Bình, Hồ Chí Minh, Việt NamChim Rừng</t>
  </si>
  <si>
    <t>3561935720316891568</t>
  </si>
  <si>
    <t>2026-08-14 20:04:34</t>
  </si>
  <si>
    <t>2026-08-14 20:14:00</t>
  </si>
  <si>
    <t>2026-08-14 20:08:19</t>
  </si>
  <si>
    <t>106.64453689008951</t>
  </si>
  <si>
    <t>10.780006862642269</t>
  </si>
  <si>
    <t>200/11 Đường Trần Văn Quang, Phường 10, Quận Tân Bình, Hồ Chí Minh, Việt Nam200/11 Đường Trần Văn Quang, Phường 10, Quận Tân Bình, Hồ Chí Minh, Việt Nam</t>
  </si>
  <si>
    <t>3561940391647465786</t>
  </si>
  <si>
    <t>2026-08-14 20:08:52</t>
  </si>
  <si>
    <t>2026-08-14 20:18:00</t>
  </si>
  <si>
    <t>2026-08-14 22:37:49</t>
  </si>
  <si>
    <t>3562270971387933615</t>
  </si>
  <si>
    <t>2026-08-15 07:22:58</t>
  </si>
  <si>
    <t>2026-08-15 15:07:45</t>
  </si>
  <si>
    <t>3562276519319663623</t>
  </si>
  <si>
    <t>lấy hàng ở công so2</t>
  </si>
  <si>
    <t>2026-08-15 07:31:16</t>
  </si>
  <si>
    <t>2026-08-15 07:41:00</t>
  </si>
  <si>
    <t>2026-08-15 10:44:37</t>
  </si>
  <si>
    <t>106.36374413967133</t>
  </si>
  <si>
    <t>10.548405787275483</t>
  </si>
  <si>
    <t>106.72999676316977</t>
  </si>
  <si>
    <t>10.795302910788779</t>
  </si>
  <si>
    <t>9 Hẻm 17 Đường Số 23, Phường An Khánh, Thủ Đức, Hồ Chí Minh, Việt Nam9 Hẻm 17 Đường Số 23, Phường An Khánh, Thủ Đức, Hồ Chí Minh, Việt Nam</t>
  </si>
  <si>
    <t>3562276765491745436</t>
  </si>
  <si>
    <t>2026-08-15 07:29:15</t>
  </si>
  <si>
    <t>2026-08-15 07:39:00</t>
  </si>
  <si>
    <t>2026-08-15 07:34:33</t>
  </si>
  <si>
    <t>2026-08-15 07:57:28</t>
  </si>
  <si>
    <t>106.40938829630613</t>
  </si>
  <si>
    <t>10.528183869483371</t>
  </si>
  <si>
    <t>233 Đường Nguyễn Văn Rành, Phường 7, Tân An, Long An, Việt Nam233 Đường Nguyễn Văn Rành, Phường 7, Tân An, Long An, Việt Nam</t>
  </si>
  <si>
    <t>3562285304331325974</t>
  </si>
  <si>
    <t>2026-08-15 07:41:51</t>
  </si>
  <si>
    <t>2026-08-15 07:51:00</t>
  </si>
  <si>
    <t>2026-08-15 10:10:29</t>
  </si>
  <si>
    <t>106.35848701000214</t>
  </si>
  <si>
    <t>10.477384419468544</t>
  </si>
  <si>
    <t>106.5427215769887</t>
  </si>
  <si>
    <t>10.941015681221925</t>
  </si>
  <si>
    <t>6 Hẻm 97, Xã Tân Phú Trung, Huyện Củ Chi, Hồ Chí Minh, Việt Nam6 Hẻm 97, Xã Tân Phú Trung, Huyện Củ Chi, Hồ Chí Minh, Việt Nam</t>
  </si>
  <si>
    <t>3562286923039068273</t>
  </si>
  <si>
    <t>2026-08-15 07:37:24</t>
  </si>
  <si>
    <t>2026-08-15 07:47:00</t>
  </si>
  <si>
    <t>2026-08-15 11:57:35</t>
  </si>
  <si>
    <t>106.36683437973261</t>
  </si>
  <si>
    <t>10.55179514988489</t>
  </si>
  <si>
    <t>106.77585482597351</t>
  </si>
  <si>
    <t>10.929153046963222</t>
  </si>
  <si>
    <t>206 Đường Số 1, Xã Lợi Bình Nhơn, Tân An, Long An, Việt Nam206 Đường Số 1, Xã Lợi Bình Nhơn, Tân An, Long An, Việt Nam</t>
  </si>
  <si>
    <t>Đường N15, Phường Tân Đông Hiệp, Dĩ An, Bình Dương, Việt NamĐường N15, Phường Tân Đông Hiệp, Dĩ An, Bình Dương, Việt Nam</t>
  </si>
  <si>
    <t>3562295630791663864</t>
  </si>
  <si>
    <t>2026-08-15 08:01:46</t>
  </si>
  <si>
    <t>2026-08-15 08:11:00</t>
  </si>
  <si>
    <t>2026-08-15 09:58:51</t>
  </si>
  <si>
    <t>106.40288528054953</t>
  </si>
  <si>
    <t>10.537552522177547</t>
  </si>
  <si>
    <t>106.41196589916945</t>
  </si>
  <si>
    <t>10.897444278389502</t>
  </si>
  <si>
    <t>316 QL.1A, Phường 2, Tân An, Long An, Việt Nam316 QL.1A, Phường 2, Tân An, Long An, Việt Nam</t>
  </si>
  <si>
    <t>QL.N2, Xã Đức Lập Hạ, Huyện Đức Hòa, Long An, Việt NamQL.N2, Xã Đức Lập Hạ, Huyện Đức Hòa, Long An, Việt Nam</t>
  </si>
  <si>
    <t>3562680915304080258</t>
  </si>
  <si>
    <t>2026-08-15 20:52:27</t>
  </si>
  <si>
    <t>2026-08-15 21:02:00</t>
  </si>
  <si>
    <t>2026-08-15 22:53:22</t>
  </si>
  <si>
    <t>106.35961756110191</t>
  </si>
  <si>
    <t>10.545805811346327</t>
  </si>
  <si>
    <t>106.64942219853401</t>
  </si>
  <si>
    <t>10.845559677491183</t>
  </si>
  <si>
    <t>Đường Số 6, Xã Lợi Bình Nhơn, Tân An, Long An, Việt NamĐường Số 6, Xã Lợi Bình Nhơn, Tân An, Long An, Việt Nam</t>
  </si>
  <si>
    <t>5E Hẻm 34 Đường Số 3, Phường 9, Quận Gò Vấp, Hồ Chí Minh, Việt Nam5E Hẻm 34 Đường Số 3, Phường 9, Quận Gò Vấp, Hồ Chí Minh, Việt Nam</t>
  </si>
  <si>
    <t>3562687089495732339</t>
  </si>
  <si>
    <t>2026-08-15 21:01:08</t>
  </si>
  <si>
    <t>2026-08-15 21:11:00</t>
  </si>
  <si>
    <t>2026-08-15 22:53:54</t>
  </si>
  <si>
    <t>3563021328791597644</t>
  </si>
  <si>
    <t>2026-08-16 08:07:51</t>
  </si>
  <si>
    <t>2026-08-16 08:17:00</t>
  </si>
  <si>
    <t>2026-08-16 08:43:44</t>
  </si>
  <si>
    <t>2026-08-16 09:02:00</t>
  </si>
  <si>
    <t>106.48498333990574</t>
  </si>
  <si>
    <t>10.631191373346411</t>
  </si>
  <si>
    <t>106.79924000054598</t>
  </si>
  <si>
    <t>11.106549651129708</t>
  </si>
  <si>
    <t>115 Đường Nguyễn Văn Tuôi, Thị Trấn Bến Lức, Huyện Bến Lức, Long An, Việt Nam115 Đường Nguyễn Văn Tuôi, Thị Trấn Bến Lức, Huyện Bến Lức, Long An, Việt Nam</t>
  </si>
  <si>
    <t>Đường Tân Lập, Phường Uyên Hưng, Thị Xã Tân Uyên, Bình Dương, Việt NamĐường Tân Lập, Phường Uyên Hưng, Thị Xã Tân Uyên, Bình Dương, Việt Nam</t>
  </si>
  <si>
    <t>3563033054605955836</t>
  </si>
  <si>
    <t>2026-08-16 08:28:10</t>
  </si>
  <si>
    <t>2026-08-16 08:38:00</t>
  </si>
  <si>
    <t>106.31143067032099</t>
  </si>
  <si>
    <t>10.472377767603877</t>
  </si>
  <si>
    <t>106.110768</t>
  </si>
  <si>
    <t>10.125888</t>
  </si>
  <si>
    <t>Công Ty TNHH Sản Phẩm Công Nghiệp SHC, Xã Tân Lập 1, Huyện Tân Phước, Tiền Giang, Việt NamCông Ty TNHH Sản Phẩm Công Nghiệp SHC</t>
  </si>
  <si>
    <t>44G6+98, Trung Hiệp, Vĩnh Long, Việt NamVũng liem</t>
  </si>
  <si>
    <t>3563067177869472223</t>
  </si>
  <si>
    <t>2026-08-16 09:29:27</t>
  </si>
  <si>
    <t>2026-08-16 09:39:00</t>
  </si>
  <si>
    <t>2026-08-26 01:52:07</t>
  </si>
  <si>
    <t>106.35765954852104</t>
  </si>
  <si>
    <t>10.48022695901871</t>
  </si>
  <si>
    <t>Tongwei Feed Mill, Xã Tân Hương, Huyện Châu Thành, Tiền Giang, Việt NamTongwei Feed Mill</t>
  </si>
  <si>
    <t>3563118313120945047</t>
  </si>
  <si>
    <t>2026-08-16 11:07:21</t>
  </si>
  <si>
    <t>2026-08-16 11:17:00</t>
  </si>
  <si>
    <t>2026-08-16 11:36:54</t>
  </si>
  <si>
    <t>106.41314372420311</t>
  </si>
  <si>
    <t>10.522400095634502</t>
  </si>
  <si>
    <t>2 Hẻm 350 Châu Thị Kim, Phường 7, Tân An, Long An, Việt Nam2 Hẻm 350 Châu Thị Kim, Phường 7, Tân An, Long An, Việt Nam</t>
  </si>
  <si>
    <t>3563122922040284025</t>
  </si>
  <si>
    <t>2026-08-16 11:16:14</t>
  </si>
  <si>
    <t>2026-08-16 11:26:00</t>
  </si>
  <si>
    <t>2026-08-16 16:44:52</t>
  </si>
  <si>
    <t>106.59621085971594</t>
  </si>
  <si>
    <t>10.71826575129048</t>
  </si>
  <si>
    <t>Hẻm B5 Trần Đại Nghĩa, Xã Tân Kiên, Huyện Bình Chánh, Hồ Chí Minh, Việt NamHẻm B5 Trần Đại Nghĩa, Xã Tân Kiên, Huyện Bình Chánh, Hồ Chí Minh, Việt Nam</t>
  </si>
  <si>
    <t>3563125019695608043</t>
  </si>
  <si>
    <t>2026-08-16 11:18:40</t>
  </si>
  <si>
    <t>2026-08-16 11:28:00</t>
  </si>
  <si>
    <t>2026-08-16 16:41:24</t>
  </si>
  <si>
    <t>106.59184791147709</t>
  </si>
  <si>
    <t>10.70834160779012</t>
  </si>
  <si>
    <t>Tân Kiên Middle School, Xã Tân Kiên, Huyện Bình Chánh, Hồ Chí Minh, Việt NamTân Kiên Middle School</t>
  </si>
  <si>
    <t>3563125019695608323</t>
  </si>
  <si>
    <t>hỗ trợ 50k</t>
  </si>
  <si>
    <t>2026-08-16 11:19:33</t>
  </si>
  <si>
    <t>2026-08-16 11:29:00</t>
  </si>
  <si>
    <t>2026-08-16 12:06:28</t>
  </si>
  <si>
    <t>106.59761667251587</t>
  </si>
  <si>
    <t>10.697436699399367</t>
  </si>
  <si>
    <t>26E QL.1A, Xã An Phú Tây, Huyện Bình Chánh, Hồ Chí Minh, Việt Nam26E QL.1A, Xã An Phú Tây, Huyện Bình Chánh, Hồ Chí Minh, Việt Nam</t>
  </si>
  <si>
    <t>3563136350129713324</t>
  </si>
  <si>
    <t>2026-08-16 11:41:14</t>
  </si>
  <si>
    <t>2026-08-16 11:51:00</t>
  </si>
  <si>
    <t>2026-08-16 13:51:00</t>
  </si>
  <si>
    <t>106.59515675157309</t>
  </si>
  <si>
    <t>10.687174836035405</t>
  </si>
  <si>
    <t>268A/1/1 Hẻm 576 Đường An Phú Tây Hưng Long, Xã An Phú Tây, Huyện Bình Chánh, Hồ Chí Minh, Việt Nam268A/1/1 Hẻm 576 Đường An Phú Tây Hưng Long, Xã An Phú Tây, Huyện Bình Chánh, Hồ Chí Minh, Việt Nam</t>
  </si>
  <si>
    <t>3563198437858173834</t>
  </si>
  <si>
    <t>2026-08-16 13:53:21</t>
  </si>
  <si>
    <t>2026-08-16 14:03:00</t>
  </si>
  <si>
    <t>2026-08-16 21:11:56</t>
  </si>
  <si>
    <t>106.41515336930752</t>
  </si>
  <si>
    <t>10.57604367524632</t>
  </si>
  <si>
    <t>106.57280389219522</t>
  </si>
  <si>
    <t>10.903373983383883</t>
  </si>
  <si>
    <t>TL.834, Xã Bình Thạnh, Huyện Thủ Thừa, Long An, Việt NamTL.834, Xã Bình Thạnh, Huyện Thủ Thừa, Long An, Việt Nam</t>
  </si>
  <si>
    <t>Quốc Lộ 22, Xã Tân Thới Nhì, Huyện Hóc Môn, Hồ Chí Minh, Việt NamQuốc Lộ 22, Xã Tân Thới Nhì, Huyện Hóc Môn, Hồ Chí Minh, Việt Nam</t>
  </si>
  <si>
    <t>3563199668282413744</t>
  </si>
  <si>
    <t>2026-08-16 13:51:57</t>
  </si>
  <si>
    <t>2026-08-16 14:01:00</t>
  </si>
  <si>
    <t>2026-08-16 14:43:22</t>
  </si>
  <si>
    <t>106.38157412409782</t>
  </si>
  <si>
    <t>10.54167177802582</t>
  </si>
  <si>
    <t>106.62226483225822</t>
  </si>
  <si>
    <t>10.74336933388713</t>
  </si>
  <si>
    <t>Đường Ấp Xuân Hòa 1, Xã Lợi Bình Nhơn, Tân An, Long An, Việt NamĐường Ấp Xuân Hòa 1, Xã Lợi Bình Nhơn, Tân An, Long An, Việt Nam</t>
  </si>
  <si>
    <t>293/4 Hẻm 293 Kinh Dương Vương, Phường An Lạc, Quận Bình Tân, Hồ Chí Minh, Việt Nam293/4 Hẻm 293 Kinh Dương Vương, Phường An Lạc, Quận Bình Tân, Hồ Chí Minh, Việt Nam</t>
  </si>
  <si>
    <t>3563203330698338647</t>
  </si>
  <si>
    <t>thư gửi anh hùng</t>
  </si>
  <si>
    <t>2026-08-16 14:01:19</t>
  </si>
  <si>
    <t>2026-08-16 14:11:00</t>
  </si>
  <si>
    <t>2026-08-16 14:17:28</t>
  </si>
  <si>
    <t>106.4121114090085</t>
  </si>
  <si>
    <t>10.548741659845598</t>
  </si>
  <si>
    <t>106.5660011395812</t>
  </si>
  <si>
    <t>10.804927794491547</t>
  </si>
  <si>
    <t>32 Đường Lê Văn Tưởng, Phường 5, Tân An, Long An, Việt Nam32 Đường Lê Văn Tưởng, Phường 5, Tân An, Long An, Việt Nam</t>
  </si>
  <si>
    <t>A6/4A Đường Vĩnh Lộc, Xã Vĩnh Lộc A, Huyện Bình Chánh, Hồ Chí Minh, Việt NamA6/4A Đường Vĩnh Lộc, Xã Vĩnh Lộc A, Huyện Bình Chánh, Hồ Chí Minh, Việt Nam</t>
  </si>
  <si>
    <t>3563261219005752152</t>
  </si>
  <si>
    <t>2026-08-16 15:58:37</t>
  </si>
  <si>
    <t>2026-08-16 16:08:00</t>
  </si>
  <si>
    <t>2026-08-16 19:45:00</t>
  </si>
  <si>
    <t>106.2511832267046</t>
  </si>
  <si>
    <t>10.359922817004286</t>
  </si>
  <si>
    <t>106.66244465857744</t>
  </si>
  <si>
    <t>10.373309200763567</t>
  </si>
  <si>
    <t>Thế Giới VI Tính 3 0 Vĩnh Kim, Xã Đông Hòa, Huyện Châu Thành, Tiền Giang, Việt NamThế Giới VI Tính 3 0 Vĩnh Kim</t>
  </si>
  <si>
    <t>Đường Nguyễn Trọng Hợp, Xã Long Chánh, Thị Xã Gò Công, Tiền Giang, Việt NamĐường Nguyễn Trọng Hợp, Xã Long Chánh, Thị Xã Gò Công, Tiền Giang, Việt Nam</t>
  </si>
  <si>
    <t>3563263957785600851</t>
  </si>
  <si>
    <t>2026-08-16 16:04:00</t>
  </si>
  <si>
    <t>2026-08-16 16:14:00</t>
  </si>
  <si>
    <t>2026-08-16 16:05:03</t>
  </si>
  <si>
    <t>2026-08-16 16:06:06</t>
  </si>
  <si>
    <t>106.61274030804634</t>
  </si>
  <si>
    <t>10.753714274162474</t>
  </si>
  <si>
    <t>15 Đường Số 23, Phường Bình Trị Đông B, Quận Bình Tân, Hồ Chí Minh, Việt Nam15 Đường Số 23, Phường Bình Trị Đông B, Quận Bình Tân, Hồ Chí Minh, Việt Nam</t>
  </si>
  <si>
    <t>3563395929195373091</t>
  </si>
  <si>
    <t>2026-08-16 20:38:00</t>
  </si>
  <si>
    <t>2026-08-16 20:48:00</t>
  </si>
  <si>
    <t>2026-08-16 23:29:59</t>
  </si>
  <si>
    <t>106.41910325735807</t>
  </si>
  <si>
    <t>10.560944891000585</t>
  </si>
  <si>
    <t>2A ĐT.833, Phường 5, Tân An, Long An, Việt Nam2A ĐT.833, Phường 5, Tân An, Long An, Việt Nam</t>
  </si>
  <si>
    <t>3563400840901521757</t>
  </si>
  <si>
    <t>hỗ trợ 50k đi nhanh không gep</t>
  </si>
  <si>
    <t>2026-08-16 20:47:27</t>
  </si>
  <si>
    <t>2026-08-16 20:57:00</t>
  </si>
  <si>
    <t>2026-08-17 13:06:40</t>
  </si>
  <si>
    <t>2026-08-17 13:09:09</t>
  </si>
  <si>
    <t>106.65755800902843</t>
  </si>
  <si>
    <t>10.790941065554078</t>
  </si>
  <si>
    <t>106.7443898320198</t>
  </si>
  <si>
    <t>10.883170821934462</t>
  </si>
  <si>
    <t>1054/3 Hẻm 1054 Cách Mạng Tháng 8, Phường 4, Quận Tân Bình, Hồ Chí Minh, Việt Nam1054/3 Hẻm 1054 Cách Mạng Tháng 8, Phường 4, Quận Tân Bình, Hồ Chí Minh, Việt Nam</t>
  </si>
  <si>
    <t>100 Đường Số 10, Phường Dĩ An, Dĩ An, Bình Dương, Việt Nam100 Đường Số 10, Phường Dĩ An, Dĩ An, Bình Dương, Việt Nam</t>
  </si>
  <si>
    <t>3563738339809120353</t>
  </si>
  <si>
    <t>2026-08-17 07:41:33</t>
  </si>
  <si>
    <t>2026-08-17 07:51:00</t>
  </si>
  <si>
    <t>2026-08-17 09:51:00</t>
  </si>
  <si>
    <t>106.75092168152332</t>
  </si>
  <si>
    <t>10.886370745864825</t>
  </si>
  <si>
    <t>Đường Số 5, Phường Dĩ An, Dĩ An, Bình Dương, Việt NamĐường Số 5, Phường Dĩ An, Dĩ An, Bình Dương, Việt Nam</t>
  </si>
  <si>
    <t>3563745946020049270</t>
  </si>
  <si>
    <t>4 bảo nhựa 25kg 1bao hỗ trợ 15k 1bao</t>
  </si>
  <si>
    <t>2026-08-17 07:55:47</t>
  </si>
  <si>
    <t>2026-08-17 08:05:00</t>
  </si>
  <si>
    <t>2026-08-17 09:49:04</t>
  </si>
  <si>
    <t>106.67505338788033</t>
  </si>
  <si>
    <t>11.075133061427849</t>
  </si>
  <si>
    <t>Đường Lê Lợi, Phường Hòa Phú, Thủ Dầu Một, Bình Dương, Việt NamĐường Lê Lợi, Phường Hòa Phú, Thủ Dầu Một, Bình Dương, Việt Nam</t>
  </si>
  <si>
    <t>3563750598937633649</t>
  </si>
  <si>
    <t>2026-08-17 08:06:18</t>
  </si>
  <si>
    <t>2026-08-17 08:16:00</t>
  </si>
  <si>
    <t>2026-08-17 10:18:52</t>
  </si>
  <si>
    <t>106.66253618896008</t>
  </si>
  <si>
    <t>10.809134982079156</t>
  </si>
  <si>
    <t>Đường Hậu Giang, Phường 4, Quận Tân Bình, Hồ Chí Minh, Việt NamĐường Hậu Giang, Phường 4, Quận Tân Bình, Hồ Chí Minh, Việt Nam</t>
  </si>
  <si>
    <t>3563771272007737736</t>
  </si>
  <si>
    <t>2026-08-17 08:47:40</t>
  </si>
  <si>
    <t>2026-08-17 08:57:00</t>
  </si>
  <si>
    <t>2026-08-17 13:10:40</t>
  </si>
  <si>
    <t>106.305130161345</t>
  </si>
  <si>
    <t>10.476807468451819</t>
  </si>
  <si>
    <t>106.65319304913282</t>
  </si>
  <si>
    <t>10.806540199928914</t>
  </si>
  <si>
    <t>Gi Fitting Factory, Xã Tân Lập 1, Huyện Tân Phước, Tiền Giang, Việt NamGi Fitting Factory</t>
  </si>
  <si>
    <t>Cộng Hòa, Phường 4, Quận Tân Bình, Hồ Chí Minh, Việt NamCộng Hòa, Phường 4, Quận Tân Bình, Hồ Chí Minh, Việt Nam</t>
  </si>
  <si>
    <t>3564113947441455372</t>
  </si>
  <si>
    <t>2026-08-17 20:21:27</t>
  </si>
  <si>
    <t>2026-08-17 20:31:00</t>
  </si>
  <si>
    <t>2026-08-17 22:54:15</t>
  </si>
  <si>
    <t>3564114330792452833</t>
  </si>
  <si>
    <t>2026-08-17 20:25:19</t>
  </si>
  <si>
    <t>2026-08-17 20:35:00</t>
  </si>
  <si>
    <t>2026-08-17 23:31:41</t>
  </si>
  <si>
    <t>106.39968305826187</t>
  </si>
  <si>
    <t>10.534261890362515</t>
  </si>
  <si>
    <t>106.71493951231241</t>
  </si>
  <si>
    <t>10.90954389849037</t>
  </si>
  <si>
    <t>Nhà Vợ, Bình Yên Đông 3, Phường 4, Tân An, Long An, Việt NamNhà Vợ</t>
  </si>
  <si>
    <t>Phường Bình Hòa, Thuận An, Bình Dương, Việt NamGarbage Truck Cleans The Environment</t>
  </si>
  <si>
    <t>3564116455534580325</t>
  </si>
  <si>
    <t>2026-08-17 20:23:15</t>
  </si>
  <si>
    <t>2026-08-17 20:33:00</t>
  </si>
  <si>
    <t>2026-08-17 21:28:56</t>
  </si>
  <si>
    <t>3564132736061100757</t>
  </si>
  <si>
    <t>2026-08-17 20:52:58</t>
  </si>
  <si>
    <t>2026-08-17 21:02:00</t>
  </si>
  <si>
    <t>2026-08-17 21:36:25</t>
  </si>
  <si>
    <t>106.48597106337547</t>
  </si>
  <si>
    <t>10.640606635420836</t>
  </si>
  <si>
    <t>130-132 Đường Nguyễn Hữu Thọ, Thị Trấn Bến Lức, Huyện Bến Lức, Long An, Việt Nam130-132 Đường Nguyễn Hữu Thọ</t>
  </si>
  <si>
    <t>3564181097065705777</t>
  </si>
  <si>
    <t>2026-08-17 23:21:31</t>
  </si>
  <si>
    <t>2026-08-17 23:31:00</t>
  </si>
  <si>
    <t>2026-08-17 23:49:00</t>
  </si>
  <si>
    <t>106.62433046847582</t>
  </si>
  <si>
    <t>10.746906074522812</t>
  </si>
  <si>
    <t>106.42630264163017</t>
  </si>
  <si>
    <t>10.547606811209356</t>
  </si>
  <si>
    <t>840 An Dương Vương, An Lạc, Quận 6, Hồ Chí Minh, Việt Nam840/10 Đường An Dương Vương</t>
  </si>
  <si>
    <t>21 Lê Văn Khuyên, Phường 5, Tân An, Long An, Việt Nam21 Lê Văn Khuyên</t>
  </si>
  <si>
    <t>3564421299260575869</t>
  </si>
  <si>
    <t>2026-08-18 06:58:27</t>
  </si>
  <si>
    <t>2026-08-18 07:08:25</t>
  </si>
  <si>
    <t>2026-08-18 09:42:33</t>
  </si>
  <si>
    <t>3564429282782699900</t>
  </si>
  <si>
    <t>2026-08-18 07:08:45</t>
  </si>
  <si>
    <t>2026-08-18 07:18:45</t>
  </si>
  <si>
    <t>2026-08-18 09:18:45</t>
  </si>
  <si>
    <t>3564429282782700071</t>
  </si>
  <si>
    <t>2026-08-18 07:10:04</t>
  </si>
  <si>
    <t>2026-08-18 07:20:03</t>
  </si>
  <si>
    <t>2026-08-18 09:20:03</t>
  </si>
  <si>
    <t>3564429421085675602</t>
  </si>
  <si>
    <t>2026-08-18 07:13:48</t>
  </si>
  <si>
    <t>2026-08-18 07:23:48</t>
  </si>
  <si>
    <t>2026-08-18 08:38:46</t>
  </si>
  <si>
    <t>2026-08-28 07:24:48</t>
  </si>
  <si>
    <t>106.5124854</t>
  </si>
  <si>
    <t>10.6208476</t>
  </si>
  <si>
    <t>PURELIFE HOME (VIETNAM) COMPANY LIMITED, Đường Số 1, KCN Phúc Long, Long Hiệp, Bến Lức, Long An, Việt NamPURELIFE HOME (VIETNAM) COMPANY LIMITED</t>
  </si>
  <si>
    <t>3564431552119263981</t>
  </si>
  <si>
    <t>2026-08-18 07:05:19</t>
  </si>
  <si>
    <t>2026-08-18 07:15:00</t>
  </si>
  <si>
    <t>2026-08-18 09:56:13</t>
  </si>
  <si>
    <t>3564431552136048708</t>
  </si>
  <si>
    <t>2026-08-18 07:08:20</t>
  </si>
  <si>
    <t>2026-08-18 07:18:20</t>
  </si>
  <si>
    <t>2026-08-18 11:58:44</t>
  </si>
  <si>
    <t>106.4979495</t>
  </si>
  <si>
    <t>10.6135396</t>
  </si>
  <si>
    <t>Khu Công Nghiệp Thuận Đạo Mở Rộng, Long Định, Cần Đước, Long An, Việt NamBW Thuan Dao Logistics Park</t>
  </si>
  <si>
    <t>3564431552136048867</t>
  </si>
  <si>
    <t>2026-08-18 07:09:36</t>
  </si>
  <si>
    <t>2026-08-18 07:19:35</t>
  </si>
  <si>
    <t>2026-08-18 09:19:35</t>
  </si>
  <si>
    <t>3564431552144437295</t>
  </si>
  <si>
    <t>2026-08-18 07:14:12</t>
  </si>
  <si>
    <t>2026-08-18 07:24:12</t>
  </si>
  <si>
    <t>2026-08-18 08:39:39</t>
  </si>
  <si>
    <t>2026-08-28 07:25:12</t>
  </si>
  <si>
    <t>3564435434232828801</t>
  </si>
  <si>
    <t>2026-08-18 07:10:58</t>
  </si>
  <si>
    <t>2026-08-18 07:20:58</t>
  </si>
  <si>
    <t>2026-08-18 09:20:58</t>
  </si>
  <si>
    <t>10.6193526</t>
  </si>
  <si>
    <t>3564435434249613419</t>
  </si>
  <si>
    <t>2026-08-18 07:13:09</t>
  </si>
  <si>
    <t>2026-08-18 07:23:09</t>
  </si>
  <si>
    <t>2026-08-18 09:23:09</t>
  </si>
  <si>
    <t>3564435434249613539</t>
  </si>
  <si>
    <t>2026-08-18 07:24:00</t>
  </si>
  <si>
    <t>2026-08-18 09:24:00</t>
  </si>
  <si>
    <t>3564436867929830233</t>
  </si>
  <si>
    <t>2026-08-18 07:05:10</t>
  </si>
  <si>
    <t>2026-08-18 07:15:08</t>
  </si>
  <si>
    <t>2026-08-18 09:24:06</t>
  </si>
  <si>
    <t>3564436867929830306</t>
  </si>
  <si>
    <t>2026-08-18 07:05:50</t>
  </si>
  <si>
    <t>2026-08-18 07:15:48</t>
  </si>
  <si>
    <t>2026-08-18 09:15:48</t>
  </si>
  <si>
    <t>3564436867946602750</t>
  </si>
  <si>
    <t>2026-08-18 07:08:09</t>
  </si>
  <si>
    <t>2026-08-18 07:18:08</t>
  </si>
  <si>
    <t>2026-08-18 07:41:23</t>
  </si>
  <si>
    <t>2026-08-18 07:44:33</t>
  </si>
  <si>
    <t>3564436867963375893</t>
  </si>
  <si>
    <t>2026-08-18 07:15:20</t>
  </si>
  <si>
    <t>2026-08-18 07:25:20</t>
  </si>
  <si>
    <t>2026-08-18 08:44:21</t>
  </si>
  <si>
    <t>3564436867963376295</t>
  </si>
  <si>
    <t>2026-08-18 07:18:02</t>
  </si>
  <si>
    <t>2026-08-18 07:28:02</t>
  </si>
  <si>
    <t>2026-08-18 17:26:36</t>
  </si>
  <si>
    <t>3564437193189716646</t>
  </si>
  <si>
    <t>2026-08-18 07:11:12</t>
  </si>
  <si>
    <t>2026-08-18 07:21:11</t>
  </si>
  <si>
    <t>2026-08-18 11:21:05</t>
  </si>
  <si>
    <t>3564437193189716701</t>
  </si>
  <si>
    <t>2026-08-18 07:11:38</t>
  </si>
  <si>
    <t>2026-08-18 07:21:37</t>
  </si>
  <si>
    <t>2026-08-18 19:05:57</t>
  </si>
  <si>
    <t>3564437193189716859</t>
  </si>
  <si>
    <t>2026-08-18 07:12:45</t>
  </si>
  <si>
    <t>2026-08-18 07:22:45</t>
  </si>
  <si>
    <t>2026-08-18 10:10:59</t>
  </si>
  <si>
    <t>2026-08-18 10:18:36</t>
  </si>
  <si>
    <t>3564437193206489288</t>
  </si>
  <si>
    <t>2026-08-18 07:14:51</t>
  </si>
  <si>
    <t>2026-08-18 07:24:51</t>
  </si>
  <si>
    <t>2026-08-18 07:15:16</t>
  </si>
  <si>
    <t>2026-08-18 07:18:10</t>
  </si>
  <si>
    <t>3564437193206489652</t>
  </si>
  <si>
    <t>2026-08-18 07:17:22</t>
  </si>
  <si>
    <t>2026-08-18 07:27:21</t>
  </si>
  <si>
    <t>2026-08-18 09:27:21</t>
  </si>
  <si>
    <t>106.5136074</t>
  </si>
  <si>
    <t>10.6295187</t>
  </si>
  <si>
    <t>CÔNG TY TNHH MTV WOOSUNG VIỆT NAM, Phúc Long, Long Hiệp, Bến Lức, Long An, Việt NamCÔNG TY TNHH MTV WOOSUNG VIỆT NAM</t>
  </si>
  <si>
    <t>3564443170223910995</t>
  </si>
  <si>
    <t>2026-08-18 07:06:45</t>
  </si>
  <si>
    <t>2026-08-18 07:16:43</t>
  </si>
  <si>
    <t>2026-08-18 09:16:43</t>
  </si>
  <si>
    <t>3564443170240684776</t>
  </si>
  <si>
    <t>2026-08-18 07:29:00</t>
  </si>
  <si>
    <t>2026-08-18 09:20:59</t>
  </si>
  <si>
    <t>3564446193193013627</t>
  </si>
  <si>
    <t>2026-08-18 07:20:23</t>
  </si>
  <si>
    <t>2026-08-18 07:30:22</t>
  </si>
  <si>
    <t>2026-08-18 09:46:16</t>
  </si>
  <si>
    <t>3564446193193014029</t>
  </si>
  <si>
    <t>2026-08-18 07:22:52</t>
  </si>
  <si>
    <t>2026-08-18 07:32:52</t>
  </si>
  <si>
    <t>2026-08-18 09:32:52</t>
  </si>
  <si>
    <t>3564446193193014171</t>
  </si>
  <si>
    <t>2026-08-18 07:23:52</t>
  </si>
  <si>
    <t>2026-08-18 07:33:52</t>
  </si>
  <si>
    <t>2026-08-18 10:14:05</t>
  </si>
  <si>
    <t>2026-08-18 10:25:18</t>
  </si>
  <si>
    <t>3564446193209798771</t>
  </si>
  <si>
    <t>2026-08-18 07:25:52</t>
  </si>
  <si>
    <t>2026-08-18 09:35:52</t>
  </si>
  <si>
    <t>3564446489663197760</t>
  </si>
  <si>
    <t>2026-08-18 07:15:33</t>
  </si>
  <si>
    <t>2026-08-18 07:25:33</t>
  </si>
  <si>
    <t>2026-08-18 09:25:33</t>
  </si>
  <si>
    <t>3564446489663197952</t>
  </si>
  <si>
    <t>2026-08-18 07:17:01</t>
  </si>
  <si>
    <t>2026-08-18 07:27:01</t>
  </si>
  <si>
    <t>2026-08-18 08:37:55</t>
  </si>
  <si>
    <t>2026-08-28 07:28:01</t>
  </si>
  <si>
    <t>3564446489671594733</t>
  </si>
  <si>
    <t>2026-08-18 07:23:04</t>
  </si>
  <si>
    <t>2026-08-18 07:33:04</t>
  </si>
  <si>
    <t>2026-08-18 11:19:10</t>
  </si>
  <si>
    <t>3564448938524369527</t>
  </si>
  <si>
    <t>2026-08-18 07:19:13</t>
  </si>
  <si>
    <t>2026-08-18 07:29:13</t>
  </si>
  <si>
    <t>2026-08-18 09:29:13</t>
  </si>
  <si>
    <t>3564451336240193890</t>
  </si>
  <si>
    <t>2026-08-18 07:21:22</t>
  </si>
  <si>
    <t>2026-08-18 07:31:22</t>
  </si>
  <si>
    <t>2026-08-18 09:31:22</t>
  </si>
  <si>
    <t>3564451336256966779</t>
  </si>
  <si>
    <t>2026-08-18 07:26:04</t>
  </si>
  <si>
    <t>2026-08-18 07:36:04</t>
  </si>
  <si>
    <t>2026-08-18 09:46:27</t>
  </si>
  <si>
    <t>3564451336273753082</t>
  </si>
  <si>
    <t>2026-08-18 07:36:46</t>
  </si>
  <si>
    <t>2026-08-18 07:46:46</t>
  </si>
  <si>
    <t>2026-08-18 10:03:41</t>
  </si>
  <si>
    <t>3564452041034264919</t>
  </si>
  <si>
    <t>2026-08-18 07:22:11</t>
  </si>
  <si>
    <t>2026-08-18 07:32:10</t>
  </si>
  <si>
    <t>2026-08-18 09:08:18</t>
  </si>
  <si>
    <t>3564452041034265285</t>
  </si>
  <si>
    <t>2026-08-18 07:24:31</t>
  </si>
  <si>
    <t>2026-08-18 10:11:45</t>
  </si>
  <si>
    <t>3564452041034265340</t>
  </si>
  <si>
    <t>2026-08-18 07:24:57</t>
  </si>
  <si>
    <t>2026-08-18 07:34:57</t>
  </si>
  <si>
    <t>2026-08-18 11:50:07</t>
  </si>
  <si>
    <t>2026-08-18 11:54:51</t>
  </si>
  <si>
    <t>106.5160985</t>
  </si>
  <si>
    <t>3564452041067811342</t>
  </si>
  <si>
    <t>2026-08-18 07:44:56</t>
  </si>
  <si>
    <t>2026-08-18 09:44:56</t>
  </si>
  <si>
    <t>106.7027967</t>
  </si>
  <si>
    <t>10.7754486</t>
  </si>
  <si>
    <t>Quận 1, Hồ Chí Minh, Việt NamQuận 1</t>
  </si>
  <si>
    <t>3564452041067811773</t>
  </si>
  <si>
    <t>2026-08-18 07:37:25</t>
  </si>
  <si>
    <t>2026-08-18 07:47:24</t>
  </si>
  <si>
    <t>2026-08-18 10:15:53</t>
  </si>
  <si>
    <t>106.6720096</t>
  </si>
  <si>
    <t>10.7723656</t>
  </si>
  <si>
    <t>Quận 10 TP HCM, Đường Lê Hồng Phong, Phường 12 (Quận 10), Hòa Hưng, Hồ Chí Minh, Việt NamQuận 10 TP HCM</t>
  </si>
  <si>
    <t>3564452245967958505</t>
  </si>
  <si>
    <t>2026-08-18 07:23:38</t>
  </si>
  <si>
    <t>2026-08-18 07:33:38</t>
  </si>
  <si>
    <t>2026-08-18 09:33:38</t>
  </si>
  <si>
    <t>3564452245967958736</t>
  </si>
  <si>
    <t>2026-08-18 07:25:11</t>
  </si>
  <si>
    <t>2026-08-18 07:35:11</t>
  </si>
  <si>
    <t>2026-08-18 12:22:26</t>
  </si>
  <si>
    <t>3564452245967959044</t>
  </si>
  <si>
    <t>2026-08-18 07:27:00</t>
  </si>
  <si>
    <t>2026-08-18 07:37:00</t>
  </si>
  <si>
    <t>2026-08-18 10:15:01</t>
  </si>
  <si>
    <t>3564452278163427899</t>
  </si>
  <si>
    <t>2026-08-18 07:24:16</t>
  </si>
  <si>
    <t>2026-08-18 07:34:16</t>
  </si>
  <si>
    <t>2026-08-18 09:34:16</t>
  </si>
  <si>
    <t>3564452278180212809</t>
  </si>
  <si>
    <t>2026-08-18 07:27:25</t>
  </si>
  <si>
    <t>2026-08-18 09:37:25</t>
  </si>
  <si>
    <t>3564461567187841481</t>
  </si>
  <si>
    <t>2026-08-18 07:48:58</t>
  </si>
  <si>
    <t>2026-08-18 07:58:53</t>
  </si>
  <si>
    <t>2026-08-18 09:58:53</t>
  </si>
  <si>
    <t>3564462146421215573</t>
  </si>
  <si>
    <t>2026-08-18 07:49:25</t>
  </si>
  <si>
    <t>2026-08-18 07:59:20</t>
  </si>
  <si>
    <t>2026-08-18 09:59:20</t>
  </si>
  <si>
    <t>3564462195922400128</t>
  </si>
  <si>
    <t>2026-08-18 07:46:59</t>
  </si>
  <si>
    <t>2026-08-18 07:56:59</t>
  </si>
  <si>
    <t>2026-08-18 09:56:59</t>
  </si>
  <si>
    <t>3564465085504250412</t>
  </si>
  <si>
    <t>2026-08-18 07:50:44</t>
  </si>
  <si>
    <t>2026-08-18 08:00:44</t>
  </si>
  <si>
    <t>2026-08-18 10:00:44</t>
  </si>
  <si>
    <t>3564465085504250607</t>
  </si>
  <si>
    <t>2026-08-18 07:51:34</t>
  </si>
  <si>
    <t>2026-08-18 08:01:33</t>
  </si>
  <si>
    <t>2026-08-18 10:01:33</t>
  </si>
  <si>
    <t>3564465085521023182</t>
  </si>
  <si>
    <t>2026-08-18 07:53:29</t>
  </si>
  <si>
    <t>2026-08-18 08:03:29</t>
  </si>
  <si>
    <t>2026-08-18 10:03:29</t>
  </si>
  <si>
    <t>3564466544727777490</t>
  </si>
  <si>
    <t>2026-08-18 07:46:32</t>
  </si>
  <si>
    <t>2026-08-18 07:56:28</t>
  </si>
  <si>
    <t>2026-08-18 09:56:28</t>
  </si>
  <si>
    <t>3564466544769724557</t>
  </si>
  <si>
    <t>2026-08-18 07:55:01</t>
  </si>
  <si>
    <t>2026-08-18 08:05:01</t>
  </si>
  <si>
    <t>2026-08-18 10:05:01</t>
  </si>
  <si>
    <t>3564466833170060124</t>
  </si>
  <si>
    <t>2026-08-18 07:50:04</t>
  </si>
  <si>
    <t>2026-08-18 08:00:03</t>
  </si>
  <si>
    <t>2026-08-18 10:21:53</t>
  </si>
  <si>
    <t>3564466833212006542</t>
  </si>
  <si>
    <t>2026-08-18 07:55:32</t>
  </si>
  <si>
    <t>2026-08-18 08:05:31</t>
  </si>
  <si>
    <t>2026-08-18 10:05:31</t>
  </si>
  <si>
    <t>3564467476333023934</t>
  </si>
  <si>
    <t>2026-08-18 07:50:23</t>
  </si>
  <si>
    <t>2026-08-18 08:00:23</t>
  </si>
  <si>
    <t>2026-08-18 10:00:23</t>
  </si>
  <si>
    <t>3564467476349808859</t>
  </si>
  <si>
    <t>2026-08-18 07:52:55</t>
  </si>
  <si>
    <t>2026-08-18 08:02:55</t>
  </si>
  <si>
    <t>2026-08-18 08:36:59</t>
  </si>
  <si>
    <t>2026-08-28 08:03:55</t>
  </si>
  <si>
    <t>3564467476349809261</t>
  </si>
  <si>
    <t>2026-08-18 07:54:40</t>
  </si>
  <si>
    <t>2026-08-18 08:04:40</t>
  </si>
  <si>
    <t>2026-08-18 10:04:40</t>
  </si>
  <si>
    <t>3564468115217797220</t>
  </si>
  <si>
    <t>2026-08-18 07:53:11</t>
  </si>
  <si>
    <t>2026-08-18 08:03:10</t>
  </si>
  <si>
    <t>2026-08-18 10:03:10</t>
  </si>
  <si>
    <t>3564469914330947752</t>
  </si>
  <si>
    <t>2026-08-18 07:57:02</t>
  </si>
  <si>
    <t>2026-08-18 08:07:01</t>
  </si>
  <si>
    <t>2026-08-18 10:07:01</t>
  </si>
  <si>
    <t>3564469914330948031</t>
  </si>
  <si>
    <t>2026-08-18 07:58:04</t>
  </si>
  <si>
    <t>2026-08-18 08:08:03</t>
  </si>
  <si>
    <t>2026-08-18 10:08:03</t>
  </si>
  <si>
    <t>3564469980131185359</t>
  </si>
  <si>
    <t>2026-08-18 07:55:18</t>
  </si>
  <si>
    <t>2026-08-18 08:05:17</t>
  </si>
  <si>
    <t>2026-08-18 10:05:17</t>
  </si>
  <si>
    <t>3564470051769905504</t>
  </si>
  <si>
    <t>2026-08-18 07:53:47</t>
  </si>
  <si>
    <t>2026-08-18 08:03:47</t>
  </si>
  <si>
    <t>2026-08-18 10:06:41</t>
  </si>
  <si>
    <t>3564470051769906003</t>
  </si>
  <si>
    <t>2026-08-18 07:55:48</t>
  </si>
  <si>
    <t>2026-08-18 08:05:48</t>
  </si>
  <si>
    <t>2026-08-18 10:03:02</t>
  </si>
  <si>
    <t>3564473576327438515</t>
  </si>
  <si>
    <t>2026-08-18 07:59:18</t>
  </si>
  <si>
    <t>2026-08-18 08:09:17</t>
  </si>
  <si>
    <t>2026-08-18 09:57:12</t>
  </si>
  <si>
    <t>3564486388961473157</t>
  </si>
  <si>
    <t xml:space="preserve">đến bảo ve lấy hàng </t>
  </si>
  <si>
    <t>2026-08-18 08:24:02</t>
  </si>
  <si>
    <t>2026-08-18 08:34:00</t>
  </si>
  <si>
    <t>2026-08-18 08:24:49</t>
  </si>
  <si>
    <t>2026-08-18 08:25:40</t>
  </si>
  <si>
    <t>3564487995581231499</t>
  </si>
  <si>
    <t>2026-08-18 08:26:23</t>
  </si>
  <si>
    <t>2026-08-18 08:36:00</t>
  </si>
  <si>
    <t>2026-08-18 08:26:50</t>
  </si>
  <si>
    <t>2026-08-18 08:27:12</t>
  </si>
  <si>
    <t>3564488635539739691</t>
  </si>
  <si>
    <t>2026-08-18 08:29:14</t>
  </si>
  <si>
    <t>2026-08-18 08:39:00</t>
  </si>
  <si>
    <t>2026-08-18 08:29:43</t>
  </si>
  <si>
    <t>2026-08-18 08:30:26</t>
  </si>
  <si>
    <t>106.802341415393</t>
  </si>
  <si>
    <t>11.076224097503</t>
  </si>
  <si>
    <t>Tân Uyên, Hồ Chí Minh, Việt NamTân Uyen Bình Dương</t>
  </si>
  <si>
    <t>3564489034652934478</t>
  </si>
  <si>
    <t>2026-08-18 08:33:07</t>
  </si>
  <si>
    <t>2026-08-18 08:43:00</t>
  </si>
  <si>
    <t>2026-08-18 08:33:56</t>
  </si>
  <si>
    <t>2026-08-18 08:34:24</t>
  </si>
  <si>
    <t>3564490514990584171</t>
  </si>
  <si>
    <t>2026-08-18 08:31:06</t>
  </si>
  <si>
    <t>2026-08-18 08:41:00</t>
  </si>
  <si>
    <t>2026-08-18 08:31:41</t>
  </si>
  <si>
    <t>2026-08-18 08:32:00</t>
  </si>
  <si>
    <t>3564492928518942956</t>
  </si>
  <si>
    <t>2026-08-18 08:37:42</t>
  </si>
  <si>
    <t>2026-08-18 08:47:00</t>
  </si>
  <si>
    <t>2026-08-18 08:38:19</t>
  </si>
  <si>
    <t>2026-08-18 08:38:57</t>
  </si>
  <si>
    <t>3564891640927843352</t>
  </si>
  <si>
    <t>2026-08-18 22:32:54</t>
  </si>
  <si>
    <t>2026-08-18 22:42:00</t>
  </si>
  <si>
    <t>2026-08-18 23:40:35</t>
  </si>
  <si>
    <t>2026-08-18 23:46:44</t>
  </si>
  <si>
    <t>106.64845425635576</t>
  </si>
  <si>
    <t>10.766422787798195</t>
  </si>
  <si>
    <t>106.75832156091928</t>
  </si>
  <si>
    <t>10.890440812431073</t>
  </si>
  <si>
    <t>129A Đ. Bình Thới, Phường 11, Quận 11, Hồ Chí Minh, Việt Nam129A Đường Bình Thới</t>
  </si>
  <si>
    <t>192 27, Khu phố 4, Dĩ An, Bình Dương, Việt NamShop Đồ Chơi Xe Máy Vinh LC</t>
  </si>
  <si>
    <t>3565165824467759526</t>
  </si>
  <si>
    <t>2026-08-19 07:17:38</t>
  </si>
  <si>
    <t>2026-08-19 07:27:36</t>
  </si>
  <si>
    <t>2026-08-19 09:27:36</t>
  </si>
  <si>
    <t>106.7433394</t>
  </si>
  <si>
    <t>10.9117363</t>
  </si>
  <si>
    <t>Công Ty TNHH Active International Việt Nam, Dĩ An, Hồ Chí Minh, Việt NamCông Ty TNHH Active International Việt Nam</t>
  </si>
  <si>
    <t>3565165824476144230</t>
  </si>
  <si>
    <t>2026-08-19 07:26:27</t>
  </si>
  <si>
    <t>2026-08-19 07:36:25</t>
  </si>
  <si>
    <t>2026-08-19 09:36:25</t>
  </si>
  <si>
    <t>3565166102793379984</t>
  </si>
  <si>
    <t>2026-08-19 07:24:01</t>
  </si>
  <si>
    <t>2026-08-19 07:33:59</t>
  </si>
  <si>
    <t>2026-08-19 09:33:59</t>
  </si>
  <si>
    <t>106.72520641874084</t>
  </si>
  <si>
    <t>10.78627066257941</t>
  </si>
  <si>
    <t>3565166102793380607</t>
  </si>
  <si>
    <t>2026-08-19 07:28:28</t>
  </si>
  <si>
    <t>2026-08-19 07:38:26</t>
  </si>
  <si>
    <t>2026-08-19 09:38:26</t>
  </si>
  <si>
    <t>3565170333092893315</t>
  </si>
  <si>
    <t>2026-08-19 07:31:16</t>
  </si>
  <si>
    <t>2026-08-19 07:41:15</t>
  </si>
  <si>
    <t>2026-08-19 09:41:15</t>
  </si>
  <si>
    <t>3565170417692004645</t>
  </si>
  <si>
    <t>2026-08-19 07:14:12</t>
  </si>
  <si>
    <t>2026-08-19 07:24:10</t>
  </si>
  <si>
    <t>2026-08-19 09:24:10</t>
  </si>
  <si>
    <t>3565170417708790098</t>
  </si>
  <si>
    <t>2026-08-19 07:22:41</t>
  </si>
  <si>
    <t>2026-08-19 07:32:39</t>
  </si>
  <si>
    <t>2026-08-19 09:32:39</t>
  </si>
  <si>
    <t>3565170417708790390</t>
  </si>
  <si>
    <t>2026-08-19 07:24:54</t>
  </si>
  <si>
    <t>2026-08-19 07:34:52</t>
  </si>
  <si>
    <t>2026-08-19 09:34:52</t>
  </si>
  <si>
    <t>106.7158059527008</t>
  </si>
  <si>
    <t>10.794126321991056</t>
  </si>
  <si>
    <t>3565170417725562931</t>
  </si>
  <si>
    <t>2026-08-19 07:27:41</t>
  </si>
  <si>
    <t>2026-08-19 07:37:39</t>
  </si>
  <si>
    <t>2026-08-19 09:37:39</t>
  </si>
  <si>
    <t>3565170417725563153</t>
  </si>
  <si>
    <t>2026-08-19 07:29:22</t>
  </si>
  <si>
    <t>2026-08-19 07:39:20</t>
  </si>
  <si>
    <t>2026-08-19 09:39:20</t>
  </si>
  <si>
    <t>3565170417725563527</t>
  </si>
  <si>
    <t>2026-08-19 07:31:42</t>
  </si>
  <si>
    <t>2026-08-19 07:41:41</t>
  </si>
  <si>
    <t>2026-08-19 09:41:41</t>
  </si>
  <si>
    <t>3565170844252726087</t>
  </si>
  <si>
    <t>2026-08-19 07:19:28</t>
  </si>
  <si>
    <t>2026-08-19 07:29:27</t>
  </si>
  <si>
    <t>2026-08-19 09:29:27</t>
  </si>
  <si>
    <t>3565170844269499087</t>
  </si>
  <si>
    <t>2026-08-19 07:25:50</t>
  </si>
  <si>
    <t>2026-08-19 07:35:49</t>
  </si>
  <si>
    <t>2026-08-19 09:35:49</t>
  </si>
  <si>
    <t>3565170844269499295</t>
  </si>
  <si>
    <t>2026-08-19 07:27:15</t>
  </si>
  <si>
    <t>2026-08-19 07:37:14</t>
  </si>
  <si>
    <t>2026-08-19 09:37:14</t>
  </si>
  <si>
    <t>3565170844286284097</t>
  </si>
  <si>
    <t>2026-08-19 07:30:18</t>
  </si>
  <si>
    <t>2026-08-19 07:40:17</t>
  </si>
  <si>
    <t>2026-08-19 09:40:17</t>
  </si>
  <si>
    <t>3565171320876650803</t>
  </si>
  <si>
    <t>2026-08-19 07:16:06</t>
  </si>
  <si>
    <t>2026-08-19 07:26:04</t>
  </si>
  <si>
    <t>2026-08-19 09:26:04</t>
  </si>
  <si>
    <t>3565175313199755828</t>
  </si>
  <si>
    <t>2026-08-19 07:30:45</t>
  </si>
  <si>
    <t>2026-08-19 07:40:43</t>
  </si>
  <si>
    <t>2026-08-19 11:58:35</t>
  </si>
  <si>
    <t>3565175313199755959</t>
  </si>
  <si>
    <t>2026-08-19 07:31:29</t>
  </si>
  <si>
    <t>2026-08-19 07:41:28</t>
  </si>
  <si>
    <t>2026-08-19 09:41:28</t>
  </si>
  <si>
    <t>3565175313216529398</t>
  </si>
  <si>
    <t>2026-08-19 07:39:44</t>
  </si>
  <si>
    <t>2026-08-19 07:49:42</t>
  </si>
  <si>
    <t>2026-08-19 09:49:42</t>
  </si>
  <si>
    <t>106.82403277616577</t>
  </si>
  <si>
    <t>10.804332293945713</t>
  </si>
  <si>
    <t>3565175340093632755</t>
  </si>
  <si>
    <t>2026-08-19 07:28:15</t>
  </si>
  <si>
    <t>2026-08-19 07:38:13</t>
  </si>
  <si>
    <t>2026-08-19 09:38:13</t>
  </si>
  <si>
    <t>3565175340093632875</t>
  </si>
  <si>
    <t>2026-08-19 07:29:09</t>
  </si>
  <si>
    <t>2026-08-19 07:39:07</t>
  </si>
  <si>
    <t>2026-08-19 09:39:07</t>
  </si>
  <si>
    <t>106.8273158</t>
  </si>
  <si>
    <t>10.8006859</t>
  </si>
  <si>
    <t>3565175340093633395</t>
  </si>
  <si>
    <t>2026-08-19 07:32:24</t>
  </si>
  <si>
    <t>2026-08-19 07:42:23</t>
  </si>
  <si>
    <t>2026-08-19 09:34:01</t>
  </si>
  <si>
    <t>3565175340110405823</t>
  </si>
  <si>
    <t>2026-08-19 07:34:33</t>
  </si>
  <si>
    <t>2026-08-19 07:44:32</t>
  </si>
  <si>
    <t>2026-08-19 09:44:32</t>
  </si>
  <si>
    <t>106.71947651960451</t>
  </si>
  <si>
    <t>10.794362453043856</t>
  </si>
  <si>
    <t>9/34B Lê Thánh Tôn nối dài, Vinhomes Tân Cảng, Thạnh Mỹ Tây, Hồ Chí Minh, Việt Nam9/34B Lê Thánh Tôn nối dài, Vinhomes Tân Cảng, Thạnh Mỹ Tây, Hồ Chí Minh, Việt Nam</t>
  </si>
  <si>
    <t>3565175340110406251</t>
  </si>
  <si>
    <t>2026-08-19 07:47:12</t>
  </si>
  <si>
    <t>2026-08-19 09:51:55</t>
  </si>
  <si>
    <t>3565175340110406297</t>
  </si>
  <si>
    <t>2026-08-19 07:37:30</t>
  </si>
  <si>
    <t>2026-08-19 07:47:28</t>
  </si>
  <si>
    <t>2026-08-19 09:47:28</t>
  </si>
  <si>
    <t>3565177072114692869</t>
  </si>
  <si>
    <t>2026-08-19 07:34:03</t>
  </si>
  <si>
    <t>2026-08-19 07:44:02</t>
  </si>
  <si>
    <t>2026-08-19 09:44:02</t>
  </si>
  <si>
    <t>3565177072131465266</t>
  </si>
  <si>
    <t>2026-08-19 07:36:14</t>
  </si>
  <si>
    <t>2026-08-19 07:46:12</t>
  </si>
  <si>
    <t>2026-08-19 09:46:12</t>
  </si>
  <si>
    <t>106.5118215</t>
  </si>
  <si>
    <t>10.6287876</t>
  </si>
  <si>
    <t>Nhà xưởng B1, KCN Phúc Long, Long Hiệp, Bến Lức, Long An, Việt NamClimaveneta Vietnam</t>
  </si>
  <si>
    <t>3565181220121957047</t>
  </si>
  <si>
    <t>2026-08-19 07:33:28</t>
  </si>
  <si>
    <t>2026-08-19 07:43:26</t>
  </si>
  <si>
    <t>2026-08-19 09:43:26</t>
  </si>
  <si>
    <t>3565181558837179183</t>
  </si>
  <si>
    <t>2026-08-19 07:40:29</t>
  </si>
  <si>
    <t>2026-08-19 07:50:28</t>
  </si>
  <si>
    <t>2026-08-19 10:15:27</t>
  </si>
  <si>
    <t>106.71736996162413</t>
  </si>
  <si>
    <t>10.796348785806073</t>
  </si>
  <si>
    <t>QPW8+GXC, 135/17 Nguyen Huu Canh, Thạnh Mỹ Tây, Hồ Chí Minh, Việt NamQPW8+GXC, 135/17 Nguyen Huu Canh, Thạnh Mỹ Tây, Hồ Chí Minh, Việt Nam</t>
  </si>
  <si>
    <t>3565181558853952484</t>
  </si>
  <si>
    <t>2026-08-19 07:46:59</t>
  </si>
  <si>
    <t>2026-08-19 07:56:57</t>
  </si>
  <si>
    <t>2026-08-19 09:56:57</t>
  </si>
  <si>
    <t>10.7589786</t>
  </si>
  <si>
    <t>3565183833206911439</t>
  </si>
  <si>
    <t>2026-08-19 07:36:27</t>
  </si>
  <si>
    <t>2026-08-19 07:46:25</t>
  </si>
  <si>
    <t>2026-08-19 09:46:25</t>
  </si>
  <si>
    <t>3565183833223684550</t>
  </si>
  <si>
    <t>2026-08-19 07:42:08</t>
  </si>
  <si>
    <t>2026-08-19 07:52:06</t>
  </si>
  <si>
    <t>2026-08-19 09:52:06</t>
  </si>
  <si>
    <t>3565183950345425598</t>
  </si>
  <si>
    <t>2026-08-19 07:38:21</t>
  </si>
  <si>
    <t>2026-08-19 07:48:19</t>
  </si>
  <si>
    <t>2026-08-19 11:55:09</t>
  </si>
  <si>
    <t>2026-08-19 11:59:55</t>
  </si>
  <si>
    <t>3565183950345425668</t>
  </si>
  <si>
    <t>2026-08-19 07:38:38</t>
  </si>
  <si>
    <t>2026-08-19 07:48:37</t>
  </si>
  <si>
    <t>2026-08-19 09:48:37</t>
  </si>
  <si>
    <t>3565183950362210885</t>
  </si>
  <si>
    <t>2026-08-19 07:43:21</t>
  </si>
  <si>
    <t>2026-08-19 07:53:20</t>
  </si>
  <si>
    <t>2026-08-19 09:53:20</t>
  </si>
  <si>
    <t>3565183950362211343</t>
  </si>
  <si>
    <t>2026-08-19 07:45:51</t>
  </si>
  <si>
    <t>2026-08-19 07:55:49</t>
  </si>
  <si>
    <t>2026-08-19 09:55:49</t>
  </si>
  <si>
    <t>3565184305233879327</t>
  </si>
  <si>
    <t>2026-08-19 07:36:00</t>
  </si>
  <si>
    <t>2026-08-19 07:45:58</t>
  </si>
  <si>
    <t>2026-08-19 07:52:28</t>
  </si>
  <si>
    <t>2026-08-19 07:56:15</t>
  </si>
  <si>
    <t>3565184305233879869</t>
  </si>
  <si>
    <t>2026-08-19 07:39:17</t>
  </si>
  <si>
    <t>2026-08-19 07:49:15</t>
  </si>
  <si>
    <t>2026-08-19 09:49:15</t>
  </si>
  <si>
    <t>3565184305250652642</t>
  </si>
  <si>
    <t>2026-08-19 07:43:08</t>
  </si>
  <si>
    <t>2026-08-19 07:53:07</t>
  </si>
  <si>
    <t>2026-08-20 10:38:38</t>
  </si>
  <si>
    <t>3565184305267437637</t>
  </si>
  <si>
    <t>2026-08-19 07:46:13</t>
  </si>
  <si>
    <t>2026-08-19 07:56:11</t>
  </si>
  <si>
    <t>2026-08-19 09:10:51</t>
  </si>
  <si>
    <t>3565184533664059955</t>
  </si>
  <si>
    <t>2026-08-19 07:38:09</t>
  </si>
  <si>
    <t>2026-08-19 07:48:07</t>
  </si>
  <si>
    <t>2026-08-19 10:19:20</t>
  </si>
  <si>
    <t>3565184533664060284</t>
  </si>
  <si>
    <t>2026-08-19 07:40:12</t>
  </si>
  <si>
    <t>2026-08-19 07:50:11</t>
  </si>
  <si>
    <t>2026-08-19 09:50:11</t>
  </si>
  <si>
    <t>3565184533680844994</t>
  </si>
  <si>
    <t>2026-08-19 07:41:55</t>
  </si>
  <si>
    <t>2026-08-19 07:51:53</t>
  </si>
  <si>
    <t>2026-08-19 09:52:21</t>
  </si>
  <si>
    <t>3565187227841680341</t>
  </si>
  <si>
    <t>2026-08-19 07:45:08</t>
  </si>
  <si>
    <t>2026-08-19 07:55:06</t>
  </si>
  <si>
    <t>2026-08-19 09:55:06</t>
  </si>
  <si>
    <t>106.6834086</t>
  </si>
  <si>
    <t>3565187227858465119</t>
  </si>
  <si>
    <t>2026-08-19 07:46:42</t>
  </si>
  <si>
    <t>2026-08-19 07:56:41</t>
  </si>
  <si>
    <t>2026-08-19 09:56:41</t>
  </si>
  <si>
    <t>106.6727736</t>
  </si>
  <si>
    <t>3565187227858465812</t>
  </si>
  <si>
    <t>2026-08-19 07:50:30</t>
  </si>
  <si>
    <t>2026-08-19 08:00:00</t>
  </si>
  <si>
    <t>2026-08-19 08:52:59</t>
  </si>
  <si>
    <t>106.40663668513298</t>
  </si>
  <si>
    <t>10.53934961488454</t>
  </si>
  <si>
    <t>106.71969272196293</t>
  </si>
  <si>
    <t>10.83876705978038</t>
  </si>
  <si>
    <t>150 QL1A, Phường 2, Tân An, Long An, Việt Nam150 QL1A</t>
  </si>
  <si>
    <t>104A Đ. Số 2, Hiệp Bình Phước, Thủ Đức, Thành phố Hồ Chí Minh, Việt Nam104A Đường Số 2</t>
  </si>
  <si>
    <t>3565187227875238525</t>
  </si>
  <si>
    <t>2026-08-19 07:53:30</t>
  </si>
  <si>
    <t>2026-08-19 08:03:30</t>
  </si>
  <si>
    <t>2026-08-19 10:03:30</t>
  </si>
  <si>
    <t>3565187234451902673</t>
  </si>
  <si>
    <t>2026-08-19 07:50:42</t>
  </si>
  <si>
    <t>2026-08-19 09:00:55</t>
  </si>
  <si>
    <t>3565187234451903507</t>
  </si>
  <si>
    <t>2026-08-19 07:45:22</t>
  </si>
  <si>
    <t>2026-08-19 07:55:20</t>
  </si>
  <si>
    <t>2026-08-19 09:55:20</t>
  </si>
  <si>
    <t>3565188337184756183</t>
  </si>
  <si>
    <t>2026-08-19 07:44:05</t>
  </si>
  <si>
    <t>2026-08-19 07:54:03</t>
  </si>
  <si>
    <t>2026-08-19 10:39:18</t>
  </si>
  <si>
    <t>2026-08-19 10:47:31</t>
  </si>
  <si>
    <t>3565188337218314939</t>
  </si>
  <si>
    <t>2026-08-19 07:55:16</t>
  </si>
  <si>
    <t>2026-08-19 08:05:00</t>
  </si>
  <si>
    <t>2026-08-19 10:14:38</t>
  </si>
  <si>
    <t>106.36459272354841</t>
  </si>
  <si>
    <t>10.548639810400363</t>
  </si>
  <si>
    <t>106.58431258052588</t>
  </si>
  <si>
    <t>10.82744733421034</t>
  </si>
  <si>
    <t>Đường số 3, Lợi Bình Nhơn, Tp. Tân An, Tiền Giang, Việt NamĐường số 3</t>
  </si>
  <si>
    <t>21c Hẻm E6, Vĩnh Lộc A, Bình Chánh, Thành phố Hồ Chí Minh, Việt Nam21c,Hẻm E6</t>
  </si>
  <si>
    <t>3565191374842319784</t>
  </si>
  <si>
    <t>2026-08-19 07:51:35</t>
  </si>
  <si>
    <t>2026-08-19 08:01:00</t>
  </si>
  <si>
    <t>2026-08-19 08:47:57</t>
  </si>
  <si>
    <t>106.36263705790043</t>
  </si>
  <si>
    <t>10.485678878189308</t>
  </si>
  <si>
    <t>106.76131691783667</t>
  </si>
  <si>
    <t>10.9184471028798</t>
  </si>
  <si>
    <t>Xã Tân Hương, Huyện Châu Thành, Tiền Giang, Việt NamGarage Thanh Liêm</t>
  </si>
  <si>
    <t>Đ. Chiêu Liêu, Tân Đông Hiệp, Dĩ An, Bình Dương, Việt NamCong ty TNHH VENEER NGỌC Á CHÂU.</t>
  </si>
  <si>
    <t>3565191374875877891</t>
  </si>
  <si>
    <t>2026-08-19 07:59:02</t>
  </si>
  <si>
    <t>2026-08-19 08:09:00</t>
  </si>
  <si>
    <t>2026-08-19 10:09:00</t>
  </si>
  <si>
    <t>106.36590834707022</t>
  </si>
  <si>
    <t>10.55104463490277</t>
  </si>
  <si>
    <t>106.58894743770361</t>
  </si>
  <si>
    <t>10.831434560839632</t>
  </si>
  <si>
    <t>Đường Sô 1, Lợi Bình Nhơn, Tp. Tân An, Long An, Việt NamĐường Sô 1, Lợi Bình Nhơn, Tp. Tân An, Long An, Việt Nam</t>
  </si>
  <si>
    <t>Đường P11, Vĩnh Lộc A, Bình Chánh, Hồ Chí Minh, Việt NamĐường P11, Vĩnh Lộc A, Bình Chánh, Hồ Chí Minh, Việt Nam</t>
  </si>
  <si>
    <t>3565193403300016776</t>
  </si>
  <si>
    <t>2026-08-19 07:53:51</t>
  </si>
  <si>
    <t>2026-08-19 08:03:51</t>
  </si>
  <si>
    <t>2026-08-19 10:03:51</t>
  </si>
  <si>
    <t>106.7645328</t>
  </si>
  <si>
    <t>10.779323</t>
  </si>
  <si>
    <t>CÔNG TY, Đường số 10, Cát Lái, Quận 2, Hồ Chí Minh, Việt NamCÔNG TY</t>
  </si>
  <si>
    <t>3565193403300016951</t>
  </si>
  <si>
    <t>2026-08-19 07:54:34</t>
  </si>
  <si>
    <t>2026-08-19 08:04:33</t>
  </si>
  <si>
    <t>2026-08-19 07:56:44</t>
  </si>
  <si>
    <t>2026-08-19 07:59:52</t>
  </si>
  <si>
    <t>3565193403316789909</t>
  </si>
  <si>
    <t>2026-08-19 07:58:17</t>
  </si>
  <si>
    <t>2026-08-19 08:08:17</t>
  </si>
  <si>
    <t>2026-08-19 10:08:17</t>
  </si>
  <si>
    <t>3565193606925078770</t>
  </si>
  <si>
    <t>2026-08-19 07:52:16</t>
  </si>
  <si>
    <t>2026-08-19 08:02:00</t>
  </si>
  <si>
    <t>2026-08-19 07:53:14</t>
  </si>
  <si>
    <t>2026-08-19 07:53:27</t>
  </si>
  <si>
    <t>106.84136644005775</t>
  </si>
  <si>
    <t>10.99672841299443</t>
  </si>
  <si>
    <t>Đ. Đồng Khởi, Thanh Phú, Vĩnh Cửu, Đồng Nai, Việt NamĐường Đồng Khởi</t>
  </si>
  <si>
    <t>3565193606925079341</t>
  </si>
  <si>
    <t>2026-08-19 07:54:55</t>
  </si>
  <si>
    <t>2026-08-19 08:04:54</t>
  </si>
  <si>
    <t>2026-08-19 10:04:54</t>
  </si>
  <si>
    <t>3565193668933669121</t>
  </si>
  <si>
    <t>2026-08-19 07:57:04</t>
  </si>
  <si>
    <t>2026-08-19 08:07:04</t>
  </si>
  <si>
    <t>2026-08-19 10:07:04</t>
  </si>
  <si>
    <t>3565193668933669577</t>
  </si>
  <si>
    <t>2026-08-19 07:58:59</t>
  </si>
  <si>
    <t>2026-08-19 08:08:58</t>
  </si>
  <si>
    <t>2026-08-19 10:08:58</t>
  </si>
  <si>
    <t>3565193668950454550</t>
  </si>
  <si>
    <t>2026-08-19 08:01:28</t>
  </si>
  <si>
    <t>2026-08-19 08:11:27</t>
  </si>
  <si>
    <t>2026-08-19 10:11:27</t>
  </si>
  <si>
    <t>3565193668950454593</t>
  </si>
  <si>
    <t>2026-08-19 08:01:41</t>
  </si>
  <si>
    <t>2026-08-19 08:11:40</t>
  </si>
  <si>
    <t>2026-08-19 10:11:40</t>
  </si>
  <si>
    <t>3565193970915176763</t>
  </si>
  <si>
    <t>2026-08-19 07:59:12</t>
  </si>
  <si>
    <t>2026-08-19 08:09:11</t>
  </si>
  <si>
    <t>2026-08-19 10:09:11</t>
  </si>
  <si>
    <t>3565195935602667643</t>
  </si>
  <si>
    <t>2026-08-19 08:00:16</t>
  </si>
  <si>
    <t>2026-08-19 08:10:16</t>
  </si>
  <si>
    <t>2026-08-19 10:10:16</t>
  </si>
  <si>
    <t>3565195961213080002</t>
  </si>
  <si>
    <t>2026-08-19 07:57:22</t>
  </si>
  <si>
    <t>2026-08-19 08:07:00</t>
  </si>
  <si>
    <t>2026-08-19 10:45:27</t>
  </si>
  <si>
    <t>106.36281307786703</t>
  </si>
  <si>
    <t>10.546805525785578</t>
  </si>
  <si>
    <t>106.58433638513088</t>
  </si>
  <si>
    <t>10.829003307309547</t>
  </si>
  <si>
    <t>Đường Số 1,82112Nhà Máy Điều Long An</t>
  </si>
  <si>
    <t>Hẻm E6 Đường Thới Hòa,71821Thẩm Mỹ Viện Hạnh Nguyễn</t>
  </si>
  <si>
    <t>3565195961221468201</t>
  </si>
  <si>
    <t>2026-08-19 07:58:43</t>
  </si>
  <si>
    <t>2026-08-19 08:08:42</t>
  </si>
  <si>
    <t>2026-08-19 10:08:42</t>
  </si>
  <si>
    <t>3565195961229865109</t>
  </si>
  <si>
    <t>2026-08-19 08:00:04</t>
  </si>
  <si>
    <t>2026-08-19 08:10:04</t>
  </si>
  <si>
    <t>2026-08-19 10:10:04</t>
  </si>
  <si>
    <t>3565196888624034451</t>
  </si>
  <si>
    <t>2026-08-19 08:03:28</t>
  </si>
  <si>
    <t>2026-08-19 08:13:28</t>
  </si>
  <si>
    <t>2026-08-19 10:13:28</t>
  </si>
  <si>
    <t>3565199298687881784</t>
  </si>
  <si>
    <t>2026-08-19 08:03:10</t>
  </si>
  <si>
    <t>2026-08-19 08:13:09</t>
  </si>
  <si>
    <t>2026-08-19 10:13:09</t>
  </si>
  <si>
    <t>3565199410751300064</t>
  </si>
  <si>
    <t>2026-08-19 08:10:33</t>
  </si>
  <si>
    <t>2026-08-19 08:20:00</t>
  </si>
  <si>
    <t>2026-08-19 08:33:25</t>
  </si>
  <si>
    <t>106.30139384418726</t>
  </si>
  <si>
    <t>10.4583002883366</t>
  </si>
  <si>
    <t>106.6431887447834</t>
  </si>
  <si>
    <t>10.80244396181801</t>
  </si>
  <si>
    <t>Công ty TNHH Thể Thao Giải Trí Goleader Việt Nam, Tân Lập 1, Tân Phước, Tiền Giang, Việt NamCông ty TNHH Thể Thao Giải Trí Goleader Việt Nam</t>
  </si>
  <si>
    <t>424 Đường Cộng Hòa, Phường 13, Quận Tân Bình, Hồ Chí Minh, Việt NamCouple TX 424 Cong Hoa</t>
  </si>
  <si>
    <t>3565208488793829531</t>
  </si>
  <si>
    <t>2026-08-19 08:21:19</t>
  </si>
  <si>
    <t>2026-08-19 08:31:00</t>
  </si>
  <si>
    <t>2026-08-19 08:21:45</t>
  </si>
  <si>
    <t>2026-08-19 08:21:53</t>
  </si>
  <si>
    <t>107.36123</t>
  </si>
  <si>
    <t>11.1218314</t>
  </si>
  <si>
    <t>Định Quán, Đồng Nai, Việt NamĐịnh Quán</t>
  </si>
  <si>
    <t>3565208891564445860</t>
  </si>
  <si>
    <t>2026-08-19 08:19:02</t>
  </si>
  <si>
    <t>2026-08-19 09:17:12</t>
  </si>
  <si>
    <t>106.66048899292946</t>
  </si>
  <si>
    <t>10.803067062584377</t>
  </si>
  <si>
    <t>51 Đường Ba Vì, Phường 4, Quận Tân Bình, Hồ Chí Minh, Việt Nam51 Đường Ba Vì</t>
  </si>
  <si>
    <t>3565208891581231628</t>
  </si>
  <si>
    <t>2026-08-19 08:23:08</t>
  </si>
  <si>
    <t>2026-08-19 08:33:00</t>
  </si>
  <si>
    <t>2026-08-19 08:23:15</t>
  </si>
  <si>
    <t>2026-08-19 08:23:22</t>
  </si>
  <si>
    <t>107.0834734</t>
  </si>
  <si>
    <t>10.3393897</t>
  </si>
  <si>
    <t>Vũng Tàu, Hồ Chí Minh, Việt NamVũng Tàu</t>
  </si>
  <si>
    <t>3565208896966714392</t>
  </si>
  <si>
    <t>2026-08-19 08:24:45</t>
  </si>
  <si>
    <t>2026-08-19 08:34:00</t>
  </si>
  <si>
    <t>2026-08-19 08:25:05</t>
  </si>
  <si>
    <t>2026-08-19 08:25:11</t>
  </si>
  <si>
    <t>107.2548183</t>
  </si>
  <si>
    <t>10.8123782</t>
  </si>
  <si>
    <t>Cẩm Mỹ, Đồng Nai, Việt NamCẩm Mỹ</t>
  </si>
  <si>
    <t>3565208896983487021</t>
  </si>
  <si>
    <t>80kg</t>
  </si>
  <si>
    <t>2026-08-19 08:26:25</t>
  </si>
  <si>
    <t>2026-08-19 08:36:00</t>
  </si>
  <si>
    <t>2026-08-19 09:30:56</t>
  </si>
  <si>
    <t>106.3287199</t>
  </si>
  <si>
    <t>10.2384162</t>
  </si>
  <si>
    <t>Bến Tre, Vĩnh Long, Việt NamBến Tre</t>
  </si>
  <si>
    <t>3565213256777945583</t>
  </si>
  <si>
    <t>2026-08-19 08:27:53</t>
  </si>
  <si>
    <t>2026-08-19 08:37:00</t>
  </si>
  <si>
    <t>2026-08-19 08:28:20</t>
  </si>
  <si>
    <t>2026-08-19 08:29:27</t>
  </si>
  <si>
    <t>3565213722932896628</t>
  </si>
  <si>
    <t>2026-08-19 08:35:08</t>
  </si>
  <si>
    <t>2026-08-19 08:45:00</t>
  </si>
  <si>
    <t>2026-08-19 08:35:20</t>
  </si>
  <si>
    <t>2026-08-19 08:35:37</t>
  </si>
  <si>
    <t>PPH5+R3M, Hưng Phước 4, Khu đô thị Phú Mỹ Hưng, Tân Hưng, Hồ Chí Minh, Việt Namquận 7</t>
  </si>
  <si>
    <t>3565215198405153270</t>
  </si>
  <si>
    <t>2026-08-19 08:31:32</t>
  </si>
  <si>
    <t>2026-08-19 08:41:00</t>
  </si>
  <si>
    <t>2026-08-19 08:31:43</t>
  </si>
  <si>
    <t>2026-08-19 08:32:02</t>
  </si>
  <si>
    <t>239, 8 QL13, Thới Hòa, Hồ Chí Minh, Việt NamBến cát Bình Dương</t>
  </si>
  <si>
    <t>3565218059390251959</t>
  </si>
  <si>
    <t>2026-08-19 08:48:00</t>
  </si>
  <si>
    <t>2026-08-19 08:38:30</t>
  </si>
  <si>
    <t>2026-08-19 08:48:26</t>
  </si>
  <si>
    <t>106.48405127227306</t>
  </si>
  <si>
    <t>10.637802154710995</t>
  </si>
  <si>
    <t>113 QL1, Bến Lức, Tây Ninh, Việt Nam113 Quốc lộ 1</t>
  </si>
  <si>
    <t>3565369376624566422</t>
  </si>
  <si>
    <t>2026-08-19 13:34:53</t>
  </si>
  <si>
    <t>2026-08-19 13:44:00</t>
  </si>
  <si>
    <t>2026-08-19 14:49:27</t>
  </si>
  <si>
    <t>106.36004637926817</t>
  </si>
  <si>
    <t>10.546203324301612</t>
  </si>
  <si>
    <t>106.73596601933241</t>
  </si>
  <si>
    <t>10.793006725310693</t>
  </si>
  <si>
    <t>Đường Sô 1, Lợi Bình Nhơn, Tân An, Long An, Việt NamĐường Sô 1</t>
  </si>
  <si>
    <t>49 Đường 10A, P. Bình An, Quận 2, Thành phố Hồ Chí Minh, Việt Nam49 Đường 10A</t>
  </si>
  <si>
    <t>3565370467084890589</t>
  </si>
  <si>
    <t>2026-08-19 13:37:43</t>
  </si>
  <si>
    <t>2026-08-19 13:47:00</t>
  </si>
  <si>
    <t>2026-08-19 16:11:19</t>
  </si>
  <si>
    <t>106.3671750202775</t>
  </si>
  <si>
    <t>10.55014777204175</t>
  </si>
  <si>
    <t>106.81600850075483</t>
  </si>
  <si>
    <t>11.08820718436736</t>
  </si>
  <si>
    <t>Đường Số 2,82112Nguyên Thịnh-Nhà Máy Bê Tông Tân An</t>
  </si>
  <si>
    <t>ĐT746, Tân Mỹ, Tân Uyên, Hồ Chí Minh, Việt NamĐT746, Tân Mỹ, Tân Uyên, Hồ Chí Minh, Việt Nam</t>
  </si>
  <si>
    <t>3565556716345184337</t>
  </si>
  <si>
    <t>2026-08-19 19:57:45</t>
  </si>
  <si>
    <t>2026-08-19 20:07:00</t>
  </si>
  <si>
    <t>2026-08-19 21:08:02</t>
  </si>
  <si>
    <t>106.77052360028028</t>
  </si>
  <si>
    <t>10.909478055133318</t>
  </si>
  <si>
    <t>342 Nguyễn An Ninh, Dĩ An, Bình Dương, Việt Nam342 Nguyễn An Ninh</t>
  </si>
  <si>
    <t>3565559157908263485</t>
  </si>
  <si>
    <t>giáo trước 10h</t>
  </si>
  <si>
    <t>2026-08-19 20:00:25</t>
  </si>
  <si>
    <t>2026-08-19 20:10:00</t>
  </si>
  <si>
    <t>2026-08-19 20:40:49</t>
  </si>
  <si>
    <t>106.50753702968359</t>
  </si>
  <si>
    <t>10.6323038346637</t>
  </si>
  <si>
    <t>QL1, TT. Bến Lức, Bến Lức, Long An, Việt NamQL1</t>
  </si>
  <si>
    <t>3565568531103965283</t>
  </si>
  <si>
    <t>2026-08-19 23:04:14</t>
  </si>
  <si>
    <t>2026-08-19 23:14:00</t>
  </si>
  <si>
    <t>2026-08-19 23:05:08</t>
  </si>
  <si>
    <t>106.51214942336082</t>
  </si>
  <si>
    <t>10.633189582955193</t>
  </si>
  <si>
    <t>106.62861797958612</t>
  </si>
  <si>
    <t>10.777024169432579</t>
  </si>
  <si>
    <t>Long Hiệp, Bến Lức, Long An 82600, Việt NamHoà Bình Ceramic</t>
  </si>
  <si>
    <t>147/21 Thạch Lam, Phú Thạnh, Tân Phú, Thành phố Hồ Chí Minh, Việt Nam147/21 Thạch Lam</t>
  </si>
  <si>
    <t>3565875231212139368</t>
  </si>
  <si>
    <t>2026-08-20 07:08:50</t>
  </si>
  <si>
    <t>2026-08-20 07:18:48</t>
  </si>
  <si>
    <t>2026-08-20 09:18:48</t>
  </si>
  <si>
    <t>106.775016</t>
  </si>
  <si>
    <t>11.082651</t>
  </si>
  <si>
    <t>Công Ty TNHH ARC WORKS, Cụm Công Nghiệp Đường Số 1, Tân Uyên, Hồ Chí Minh, Việt NamCông Ty TNHH ARC WORKS</t>
  </si>
  <si>
    <t>3565882913054744786</t>
  </si>
  <si>
    <t>2026-08-20 07:11:05</t>
  </si>
  <si>
    <t>2026-08-20 07:21:04</t>
  </si>
  <si>
    <t>2026-08-20 10:19:35</t>
  </si>
  <si>
    <t>106.4928698</t>
  </si>
  <si>
    <t>10.6035772</t>
  </si>
  <si>
    <t>Synergy In Motion Viet Nam, Long Cang, Tây Ninh, Việt NamSynergy In Motion Viet Nam</t>
  </si>
  <si>
    <t>3565883754876723368</t>
  </si>
  <si>
    <t>2026-08-20 07:02:57</t>
  </si>
  <si>
    <t>2026-08-20 07:12:00</t>
  </si>
  <si>
    <t>2026-08-20 09:12:00</t>
  </si>
  <si>
    <t>106.3061685115099</t>
  </si>
  <si>
    <t>10.458361613698184</t>
  </si>
  <si>
    <t>106.65200013667345</t>
  </si>
  <si>
    <t>10.801545205845338</t>
  </si>
  <si>
    <t>Công ty TNHH Sản Phẩm Thể Thao Giải Trí Bestway, Huyện Tân Phước, Tiền GiangCông ty TNHH Sản Phẩm Thể Thao Giải Trí Bestway</t>
  </si>
  <si>
    <t>121b Đường Cộng Hòa, Phường 12, Quận Tân Bình, Hồ Chí Minh, Việt Nam121b Đường Cộng Hòa</t>
  </si>
  <si>
    <t>3565883754893496441</t>
  </si>
  <si>
    <t>2026-08-20 07:11:38</t>
  </si>
  <si>
    <t>2026-08-20 07:21:37</t>
  </si>
  <si>
    <t>2026-08-20 09:28:56</t>
  </si>
  <si>
    <t>3565886202177614492</t>
  </si>
  <si>
    <t>2026-08-20 07:17:13</t>
  </si>
  <si>
    <t>2026-08-20 07:27:11</t>
  </si>
  <si>
    <t>2026-08-20 09:27:11</t>
  </si>
  <si>
    <t>106.68032915742491</t>
  </si>
  <si>
    <t>10.846492525542828</t>
  </si>
  <si>
    <t>74/807C2 Hẻm 110 Đ. 30, An Nhơn, Hồ Chí Minh, Việt Nam74/807C2 Hẻm 110 Đ. 30, An Nhơn, Hồ Chí Minh, Việt Nam</t>
  </si>
  <si>
    <t>3565891542793277952</t>
  </si>
  <si>
    <t>hàng ở công so2</t>
  </si>
  <si>
    <t>2026-08-20 07:08:47</t>
  </si>
  <si>
    <t>2026-08-20 07:18:00</t>
  </si>
  <si>
    <t>2026-08-20 09:18:00</t>
  </si>
  <si>
    <t>106.36369653046131</t>
  </si>
  <si>
    <t>10.547920600736845</t>
  </si>
  <si>
    <t>106.70179199427366</t>
  </si>
  <si>
    <t>10.8074063373458</t>
  </si>
  <si>
    <t>86, 17 Bùi Đình Tuý, Phường 14, Bình Thạnh, Hồ Chí Minh, Việt Nam247/6 Bùi Đình Túy</t>
  </si>
  <si>
    <t>3565891542826836238</t>
  </si>
  <si>
    <t>2026-08-20 07:20:56</t>
  </si>
  <si>
    <t>2026-08-20 07:30:55</t>
  </si>
  <si>
    <t>2026-08-20 09:30:55</t>
  </si>
  <si>
    <t>106.73292006992371</t>
  </si>
  <si>
    <t>Tp, 34/1A Đ. Số 8, Khu Phố 4, An Khánh, Hồ Chí Minh, Việt NamTp, 34/1A Đ. Số 8, Khu Phố 4, An Khánh, Hồ Chí Minh, Việt Nam</t>
  </si>
  <si>
    <t>3565891542826836448</t>
  </si>
  <si>
    <t>2026-08-20 07:22:13</t>
  </si>
  <si>
    <t>2026-08-20 07:32:12</t>
  </si>
  <si>
    <t>2026-08-20 09:32:12</t>
  </si>
  <si>
    <t>106.8589988</t>
  </si>
  <si>
    <t>10.9274525</t>
  </si>
  <si>
    <t>Công ty TNHH Korea Express-Packsimex, Duong So 4, KCN Biên Hòa 1, Trấn Biên, Đồng Nai, Việt NamCông ty TNHH Korea Express-Packsimex</t>
  </si>
  <si>
    <t>3565891542826836517</t>
  </si>
  <si>
    <t>2026-08-20 07:22:43</t>
  </si>
  <si>
    <t>2026-08-20 07:32:00</t>
  </si>
  <si>
    <t>2026-08-20 08:37:20</t>
  </si>
  <si>
    <t>106.40820309519768</t>
  </si>
  <si>
    <t>10.516423701085786</t>
  </si>
  <si>
    <t>106.70413088053465</t>
  </si>
  <si>
    <t>10.824600788116308</t>
  </si>
  <si>
    <t>239 Châu Thị Kim, Phường 7, Tân An, Long An, Việt Nam239,Châu Thị Kim</t>
  </si>
  <si>
    <t>17b Đường Lương Ngọc Quyến, Phường 13, Quận Bình Thạnh, Hồ Chí Minh, Việt Nam17b Đường Lương Ngọc Quyến</t>
  </si>
  <si>
    <t>3565895135701197763</t>
  </si>
  <si>
    <t>2026-08-20 07:16:33</t>
  </si>
  <si>
    <t>2026-08-20 07:26:32</t>
  </si>
  <si>
    <t>2026-08-20 09:26:32</t>
  </si>
  <si>
    <t>106.66213215017092</t>
  </si>
  <si>
    <t>10.86074278093676</t>
  </si>
  <si>
    <t>929-931 Tổ 1 KP1, Thới An, Hồ Chí Minh, Việt Nam929-931 Tổ 1 KP1, Thới An, Hồ Chí Minh, Việt Nam</t>
  </si>
  <si>
    <t>3565895135717970618</t>
  </si>
  <si>
    <t>2026-08-20 07:21:24</t>
  </si>
  <si>
    <t>2026-08-20 07:31:23</t>
  </si>
  <si>
    <t>2026-08-20 09:31:23</t>
  </si>
  <si>
    <t>3565895135717970823</t>
  </si>
  <si>
    <t>2026-08-20 07:22:37</t>
  </si>
  <si>
    <t>2026-08-20 07:32:36</t>
  </si>
  <si>
    <t>2026-08-20 09:32:36</t>
  </si>
  <si>
    <t>3565896277130698858</t>
  </si>
  <si>
    <t>2026-08-20 07:12:21</t>
  </si>
  <si>
    <t>2026-08-20 07:22:19</t>
  </si>
  <si>
    <t>2026-08-20 09:22:19</t>
  </si>
  <si>
    <t>3565896277130698943</t>
  </si>
  <si>
    <t>2026-08-20 07:12:56</t>
  </si>
  <si>
    <t>2026-08-20 07:22:55</t>
  </si>
  <si>
    <t>2026-08-20 11:16:01</t>
  </si>
  <si>
    <t>3565896277130699165</t>
  </si>
  <si>
    <t>2026-08-20 07:14:31</t>
  </si>
  <si>
    <t>2026-08-20 07:24:29</t>
  </si>
  <si>
    <t>2026-08-20 09:24:29</t>
  </si>
  <si>
    <t>3565896277164257394</t>
  </si>
  <si>
    <t>2026-08-20 07:25:26</t>
  </si>
  <si>
    <t>2026-08-20 07:35:00</t>
  </si>
  <si>
    <t>2026-08-20 08:13:23</t>
  </si>
  <si>
    <t>106.34272534400225</t>
  </si>
  <si>
    <t>10.424588960257815</t>
  </si>
  <si>
    <t>106.68135322630405</t>
  </si>
  <si>
    <t>10.601180739461647</t>
  </si>
  <si>
    <t>QL.1A,84612Camp Moc Thanh Hung</t>
  </si>
  <si>
    <t>1119 ĐT.826C, Xã Phước Lại, Huyện Cần Giuộc, Long An, Việt Nam1119 ĐT.826C</t>
  </si>
  <si>
    <t>3565896277164257858</t>
  </si>
  <si>
    <t>2026-08-20 07:28:18</t>
  </si>
  <si>
    <t>2026-08-20 07:38:17</t>
  </si>
  <si>
    <t>2026-08-20 07:36:07</t>
  </si>
  <si>
    <t>2026-08-20 07:40:10</t>
  </si>
  <si>
    <t>3565899298942186517</t>
  </si>
  <si>
    <t>2026-08-20 07:22:49</t>
  </si>
  <si>
    <t>2026-08-20 07:32:47</t>
  </si>
  <si>
    <t>2026-08-20 10:56:33</t>
  </si>
  <si>
    <t>3565899298958959376</t>
  </si>
  <si>
    <t>2026-08-20 07:27:44</t>
  </si>
  <si>
    <t>2026-08-20 07:37:42</t>
  </si>
  <si>
    <t>2026-08-20 09:37:42</t>
  </si>
  <si>
    <t>3565899926670111365</t>
  </si>
  <si>
    <t>2026-08-20 07:31:35</t>
  </si>
  <si>
    <t>2026-08-20 09:31:35</t>
  </si>
  <si>
    <t>3565899926712045870</t>
  </si>
  <si>
    <t>2026-08-20 07:31:33</t>
  </si>
  <si>
    <t>2026-08-20 07:41:31</t>
  </si>
  <si>
    <t>2026-08-20 09:41:31</t>
  </si>
  <si>
    <t>106.75941592806394</t>
  </si>
  <si>
    <t>10.854559663664208</t>
  </si>
  <si>
    <t>3565899980600467754</t>
  </si>
  <si>
    <t>2026-08-20 07:19:19</t>
  </si>
  <si>
    <t>2026-08-20 09:29:17</t>
  </si>
  <si>
    <t>3565899980617240632</t>
  </si>
  <si>
    <t>2026-08-20 07:24:06</t>
  </si>
  <si>
    <t>2026-08-20 07:34:04</t>
  </si>
  <si>
    <t>2026-08-20 09:34:04</t>
  </si>
  <si>
    <t>106.67448775551146</t>
  </si>
  <si>
    <t>10.834278165980574</t>
  </si>
  <si>
    <t>189 Nguyễn Oanh, Gò Vấp, Hồ Chí Minh, Việt Nam189 Nguyễn Oanh, Gò Vấp, Hồ Chí Minh, Việt Nam</t>
  </si>
  <si>
    <t>3565899980634026032</t>
  </si>
  <si>
    <t>2026-08-20 07:30:11</t>
  </si>
  <si>
    <t>2026-08-20 07:40:09</t>
  </si>
  <si>
    <t>2026-08-20 11:08:42</t>
  </si>
  <si>
    <t>106.65756746971435</t>
  </si>
  <si>
    <t>10.836030807857368</t>
  </si>
  <si>
    <t>13/72A Quang Trung, Thông Tây Hội, Hồ Chí Minh, Việt Nam13/72A Quang Trung, Thông Tây Hội, Hồ Chí Minh, Việt Nam</t>
  </si>
  <si>
    <t>3565899980634026638</t>
  </si>
  <si>
    <t>2026-08-20 07:33:27</t>
  </si>
  <si>
    <t>2026-08-20 07:43:25</t>
  </si>
  <si>
    <t>2026-08-20 11:15:36</t>
  </si>
  <si>
    <t>3565901290305446767</t>
  </si>
  <si>
    <t>2026-08-20 07:25:04</t>
  </si>
  <si>
    <t>2026-08-20 07:35:03</t>
  </si>
  <si>
    <t>2026-08-20 09:35:03</t>
  </si>
  <si>
    <t>106.59353335974124</t>
  </si>
  <si>
    <t>10.791899959426729</t>
  </si>
  <si>
    <t>52 Đường số 10, Bình Tân, Hồ Chí Minh, Việt Nam52 Đường số 10, Bình Tân, Hồ Chí Minh, Việt Nam</t>
  </si>
  <si>
    <t>3565901290339005188</t>
  </si>
  <si>
    <t>2026-08-20 07:35:44</t>
  </si>
  <si>
    <t>2026-08-20 07:45:42</t>
  </si>
  <si>
    <t>2026-08-20 09:45:42</t>
  </si>
  <si>
    <t>106.64341605075684</t>
  </si>
  <si>
    <t>10.889390236169508</t>
  </si>
  <si>
    <t>35/2 Tổ 57 Kp5, Tân Thới Hiệp, Hồ Chí Minh, Việt Nam35/2 Tổ 57 Kp5, Tân Thới Hiệp, Hồ Chí Minh, Việt Nam</t>
  </si>
  <si>
    <t>3565902069053477805</t>
  </si>
  <si>
    <t>2026-08-20 07:26:31</t>
  </si>
  <si>
    <t>2026-08-20 07:36:00</t>
  </si>
  <si>
    <t>2026-08-20 09:36:00</t>
  </si>
  <si>
    <t>106.35977916419506</t>
  </si>
  <si>
    <t>10.480722472115904</t>
  </si>
  <si>
    <t>106.67854595929384</t>
  </si>
  <si>
    <t>10.764185669754106</t>
  </si>
  <si>
    <t>Tân Hương, Đồng Tháp, Việt NamCông Ty TNHH FREEVIEW INDUSTRIAL ( VN )</t>
  </si>
  <si>
    <t>Hẻm 359 Trần Bình Trọng,72520Trực Tay Ga</t>
  </si>
  <si>
    <t>3565902069070262819</t>
  </si>
  <si>
    <t>2026-08-20 07:29:54</t>
  </si>
  <si>
    <t>2026-08-20 07:39:52</t>
  </si>
  <si>
    <t>2026-08-20 09:39:52</t>
  </si>
  <si>
    <t>106.64835290848998</t>
  </si>
  <si>
    <t>10.883049488903305</t>
  </si>
  <si>
    <t>453/20/3B Lê Văn Khương, Tân Thới Hiệp, Hồ Chí Minh, Việt Nam453/20/3B Lê Văn Khương, Tân Thới Hiệp, Hồ Chí Minh, Việt Nam</t>
  </si>
  <si>
    <t>3565902069095424453</t>
  </si>
  <si>
    <t>2026-08-20 07:34:42</t>
  </si>
  <si>
    <t>2026-08-20 07:44:40</t>
  </si>
  <si>
    <t>2026-08-20 09:44:40</t>
  </si>
  <si>
    <t>106.507497</t>
  </si>
  <si>
    <t>10.639072</t>
  </si>
  <si>
    <t>GAHealth Việt Nam, Mỹ Yên, Long An, Việt NamGAHealth Việt Nam</t>
  </si>
  <si>
    <t>3565904712454852755</t>
  </si>
  <si>
    <t>2026-08-20 07:26:00</t>
  </si>
  <si>
    <t>2026-08-20 07:35:58</t>
  </si>
  <si>
    <t>2026-08-20 09:35:58</t>
  </si>
  <si>
    <t>3565904712454853542</t>
  </si>
  <si>
    <t>2026-08-20 07:30:47</t>
  </si>
  <si>
    <t>2026-08-20 07:40:46</t>
  </si>
  <si>
    <t>2026-08-20 09:40:46</t>
  </si>
  <si>
    <t>106.62887391664127</t>
  </si>
  <si>
    <t>10.81216241397507</t>
  </si>
  <si>
    <t>71 Chế Lan Viên, Tây Thạnh, Hồ Chí Minh, Việt Nam71 Chế Lan Viên, Tây Thạnh, Hồ Chí Minh, Việt Nam</t>
  </si>
  <si>
    <t>3565904712471638614</t>
  </si>
  <si>
    <t>2026-08-20 07:34:31</t>
  </si>
  <si>
    <t>2026-08-20 07:44:29</t>
  </si>
  <si>
    <t>2026-08-20 09:44:29</t>
  </si>
  <si>
    <t>3565904712488411673</t>
  </si>
  <si>
    <t>2026-08-20 07:39:28</t>
  </si>
  <si>
    <t>2026-08-20 07:49:26</t>
  </si>
  <si>
    <t>2026-08-20 12:02:25</t>
  </si>
  <si>
    <t>3565904712488412025</t>
  </si>
  <si>
    <t>2026-08-20 07:41:10</t>
  </si>
  <si>
    <t>2026-08-20 07:51:08</t>
  </si>
  <si>
    <t>2026-08-20 09:59:41</t>
  </si>
  <si>
    <t>3565906986354827784</t>
  </si>
  <si>
    <t>2026-08-20 07:32:17</t>
  </si>
  <si>
    <t>2026-08-20 07:42:15</t>
  </si>
  <si>
    <t>2026-08-20 09:42:15</t>
  </si>
  <si>
    <t>3565906986354828162</t>
  </si>
  <si>
    <t>2026-08-20 07:34:17</t>
  </si>
  <si>
    <t>2026-08-20 07:44:16</t>
  </si>
  <si>
    <t>2026-08-21 10:36:12</t>
  </si>
  <si>
    <t>3565906986388386387</t>
  </si>
  <si>
    <t>2026-08-20 07:42:34</t>
  </si>
  <si>
    <t>2026-08-20 07:52:32</t>
  </si>
  <si>
    <t>2026-08-20 08:04:30</t>
  </si>
  <si>
    <t>2026-08-20 08:07:38</t>
  </si>
  <si>
    <t>10.6412792</t>
  </si>
  <si>
    <t>106.5869224</t>
  </si>
  <si>
    <t>10.9136714</t>
  </si>
  <si>
    <t>Công Ty TNHH Triệu Tín, 35B, Ấp, Phước Lý, Tây Ninh, Việt NamCông Ty TNHH Triệu Tín</t>
  </si>
  <si>
    <t>3565907640624309082</t>
  </si>
  <si>
    <t>2026-08-20 07:35:07</t>
  </si>
  <si>
    <t>2026-08-20 07:45:06</t>
  </si>
  <si>
    <t>2026-08-20 10:59:02</t>
  </si>
  <si>
    <t>3565907640657867275</t>
  </si>
  <si>
    <t>2026-08-20 07:43:44</t>
  </si>
  <si>
    <t>2026-08-20 07:53:42</t>
  </si>
  <si>
    <t>2026-08-20 09:53:42</t>
  </si>
  <si>
    <t>3565907640657867342</t>
  </si>
  <si>
    <t>2026-08-20 07:44:01</t>
  </si>
  <si>
    <t>2026-08-20 07:53:59</t>
  </si>
  <si>
    <t>2026-08-20 10:16:13</t>
  </si>
  <si>
    <t>3565909705362727648</t>
  </si>
  <si>
    <t>2026-08-20 07:42:47</t>
  </si>
  <si>
    <t>2026-08-20 07:52:46</t>
  </si>
  <si>
    <t>2026-08-20 11:20:49</t>
  </si>
  <si>
    <t>106.6432542</t>
  </si>
  <si>
    <t>10.8895813</t>
  </si>
  <si>
    <t>3565909705362727763</t>
  </si>
  <si>
    <t>2026-08-20 07:43:14</t>
  </si>
  <si>
    <t>2026-08-20 07:53:12</t>
  </si>
  <si>
    <t>2026-08-20 10:09:18</t>
  </si>
  <si>
    <t>3565909705379500290</t>
  </si>
  <si>
    <t>2026-08-20 07:47:24</t>
  </si>
  <si>
    <t>2026-08-20 07:57:23</t>
  </si>
  <si>
    <t>2026-08-20 09:57:23</t>
  </si>
  <si>
    <t>3565909787579478388</t>
  </si>
  <si>
    <t>2026-08-20 07:41:36</t>
  </si>
  <si>
    <t>2026-08-20 07:51:34</t>
  </si>
  <si>
    <t>2026-08-20 08:49:12</t>
  </si>
  <si>
    <t>3565909787596251789</t>
  </si>
  <si>
    <t>2026-08-20 07:47:11</t>
  </si>
  <si>
    <t>2026-08-20 07:57:09</t>
  </si>
  <si>
    <t>2026-08-20 09:57:09</t>
  </si>
  <si>
    <t>3565910214811284386</t>
  </si>
  <si>
    <t>2026-08-20 07:39:57</t>
  </si>
  <si>
    <t>2026-08-20 07:49:55</t>
  </si>
  <si>
    <t>2026-08-20 10:41:16</t>
  </si>
  <si>
    <t>3565910214836445621</t>
  </si>
  <si>
    <t>2026-08-20 07:42:20</t>
  </si>
  <si>
    <t>2026-08-20 07:52:18</t>
  </si>
  <si>
    <t>2026-08-20 08:08:54</t>
  </si>
  <si>
    <t>2026-08-20 08:15:15</t>
  </si>
  <si>
    <t>3565910214853219190</t>
  </si>
  <si>
    <t>2026-08-20 07:48:51</t>
  </si>
  <si>
    <t>2026-08-20 07:58:50</t>
  </si>
  <si>
    <t>2026-08-20 10:27:17</t>
  </si>
  <si>
    <t>3565910259480621375</t>
  </si>
  <si>
    <t>2026-08-20 07:46:14</t>
  </si>
  <si>
    <t>2026-08-20 07:56:13</t>
  </si>
  <si>
    <t>2026-08-20 09:56:13</t>
  </si>
  <si>
    <t>3565910259480621529</t>
  </si>
  <si>
    <t>2026-08-20 07:46:58</t>
  </si>
  <si>
    <t>2026-08-20 07:56:56</t>
  </si>
  <si>
    <t>2026-08-20 09:56:56</t>
  </si>
  <si>
    <t>3565911328105386554</t>
  </si>
  <si>
    <t>2026-08-20 07:44:38</t>
  </si>
  <si>
    <t>2026-08-20 07:54:36</t>
  </si>
  <si>
    <t>2026-08-20 09:54:36</t>
  </si>
  <si>
    <t>3565911328105386717</t>
  </si>
  <si>
    <t>2026-08-20 07:45:24</t>
  </si>
  <si>
    <t>2026-08-20 07:55:23</t>
  </si>
  <si>
    <t>2026-08-20 09:55:23</t>
  </si>
  <si>
    <t>3565911764338168261</t>
  </si>
  <si>
    <t>2026-08-20 07:40:11</t>
  </si>
  <si>
    <t>2026-08-20 07:50:09</t>
  </si>
  <si>
    <t>2026-08-20 07:47:12</t>
  </si>
  <si>
    <t>106.7386068</t>
  </si>
  <si>
    <t>10.7965274</t>
  </si>
  <si>
    <t>3565915417887330516</t>
  </si>
  <si>
    <t>2026-08-20 07:49:57</t>
  </si>
  <si>
    <t>2026-08-20 07:59:56</t>
  </si>
  <si>
    <t>2026-08-20 11:39:22</t>
  </si>
  <si>
    <t>3565916099344294099</t>
  </si>
  <si>
    <t>2026-08-20 07:46:28</t>
  </si>
  <si>
    <t>2026-08-20 07:56:26</t>
  </si>
  <si>
    <t>2026-08-20 09:56:26</t>
  </si>
  <si>
    <t>3565916099344294208</t>
  </si>
  <si>
    <t>2026-08-20 07:46:44</t>
  </si>
  <si>
    <t>2026-08-20 07:56:43</t>
  </si>
  <si>
    <t>2026-08-20 09:56:43</t>
  </si>
  <si>
    <t>3565917738964840588</t>
  </si>
  <si>
    <t>2026-08-20 07:49:06</t>
  </si>
  <si>
    <t>2026-08-20 07:59:04</t>
  </si>
  <si>
    <t>2026-08-20 09:59:04</t>
  </si>
  <si>
    <t>3565918256164462669</t>
  </si>
  <si>
    <t>2026-08-20 07:49:45</t>
  </si>
  <si>
    <t>2026-08-20 07:59:43</t>
  </si>
  <si>
    <t>2026-08-20 09:04:40</t>
  </si>
  <si>
    <t>3566611398974984502</t>
  </si>
  <si>
    <t>2026-08-21 07:17:23</t>
  </si>
  <si>
    <t>2026-08-21 07:27:22</t>
  </si>
  <si>
    <t>2026-08-21 07:21:01</t>
  </si>
  <si>
    <t>2026-08-21 07:21:16</t>
  </si>
  <si>
    <t>2026-08-21 07:24:57</t>
  </si>
  <si>
    <t>106.7666109</t>
  </si>
  <si>
    <t>11.073035</t>
  </si>
  <si>
    <t>POONG IN VINA CO., LTD., Khu Phố 8, Tân Uyên, Hồ Chí Minh, Việt NamPOONG IN VINA CO., LTD.</t>
  </si>
  <si>
    <t>3566611398974984952</t>
  </si>
  <si>
    <t>2026-08-21 07:20:28</t>
  </si>
  <si>
    <t>2026-08-21 07:30:27</t>
  </si>
  <si>
    <t>2026-08-21 09:30:27</t>
  </si>
  <si>
    <t>3566612623636255733</t>
  </si>
  <si>
    <t>2026-08-21 07:22:54</t>
  </si>
  <si>
    <t>2026-08-21 07:32:53</t>
  </si>
  <si>
    <t>2026-08-21 09:32:53</t>
  </si>
  <si>
    <t>106.7036940357208</t>
  </si>
  <si>
    <t>10.815418730669986</t>
  </si>
  <si>
    <t>3566612699293110933</t>
  </si>
  <si>
    <t>2026-08-21 07:31:15</t>
  </si>
  <si>
    <t>2026-08-21 11:08:29</t>
  </si>
  <si>
    <t>3566614771296063812</t>
  </si>
  <si>
    <t>2026-08-21 07:20:49</t>
  </si>
  <si>
    <t>2026-08-21 07:30:48</t>
  </si>
  <si>
    <t>2026-08-21 09:30:48</t>
  </si>
  <si>
    <t>3566614771296064345</t>
  </si>
  <si>
    <t>2026-08-21 07:24:33</t>
  </si>
  <si>
    <t>2026-08-21 07:34:32</t>
  </si>
  <si>
    <t>2026-08-21 10:20:48</t>
  </si>
  <si>
    <t>106.59345829367068</t>
  </si>
  <si>
    <t>10.79174182096194</t>
  </si>
  <si>
    <t>3566614771296064441</t>
  </si>
  <si>
    <t>2026-08-21 07:25:11</t>
  </si>
  <si>
    <t>2026-08-21 07:35:10</t>
  </si>
  <si>
    <t>2026-08-21 09:35:10</t>
  </si>
  <si>
    <t>3566624451330274174</t>
  </si>
  <si>
    <t>2026-08-21 07:23:58</t>
  </si>
  <si>
    <t>2026-08-21 07:33:56</t>
  </si>
  <si>
    <t>2026-08-21 09:54:34</t>
  </si>
  <si>
    <t>106.67604776668698</t>
  </si>
  <si>
    <t>10.833740857707388</t>
  </si>
  <si>
    <t>250 Nguyễn Oanh, Gò Vấp, Hồ Chí Minh, Việt Nam250 Nguyễn Oanh, Gò Vấp, Hồ Chí Minh, Việt Nam</t>
  </si>
  <si>
    <t>3566624451363820377</t>
  </si>
  <si>
    <t>2026-08-21 07:36:38</t>
  </si>
  <si>
    <t>2026-08-21 07:46:37</t>
  </si>
  <si>
    <t>2026-08-21 09:46:37</t>
  </si>
  <si>
    <t>3566624478467421139</t>
  </si>
  <si>
    <t>2026-08-21 07:24:59</t>
  </si>
  <si>
    <t>2026-08-21 07:34:58</t>
  </si>
  <si>
    <t>2026-08-21 09:34:58</t>
  </si>
  <si>
    <t>3566624478484193419</t>
  </si>
  <si>
    <t>2026-08-21 07:25:55</t>
  </si>
  <si>
    <t>2026-08-21 07:35:54</t>
  </si>
  <si>
    <t>2026-08-21 08:10:30</t>
  </si>
  <si>
    <t>2026-08-21 08:12:36</t>
  </si>
  <si>
    <t>3566625112209977443</t>
  </si>
  <si>
    <t>2026-08-21 07:20:00</t>
  </si>
  <si>
    <t>2026-08-21 07:29:59</t>
  </si>
  <si>
    <t>2026-08-21 11:37:46</t>
  </si>
  <si>
    <t>3566625112226751066</t>
  </si>
  <si>
    <t>2026-08-21 07:29:45</t>
  </si>
  <si>
    <t>2026-08-21 07:39:44</t>
  </si>
  <si>
    <t>2026-08-21 09:39:44</t>
  </si>
  <si>
    <t>106.64629486085207</t>
  </si>
  <si>
    <t>10.800415004445503</t>
  </si>
  <si>
    <t>27/26 Đồng Xoài, Tân Bình, Hồ Chí Minh, Việt Nam27/26 Đồng Xoài, Tân Bình, Hồ Chí Minh, Việt Nam</t>
  </si>
  <si>
    <t>3566625112226751383</t>
  </si>
  <si>
    <t>2026-08-21 07:31:45</t>
  </si>
  <si>
    <t>2026-08-21 07:41:44</t>
  </si>
  <si>
    <t>2026-08-21 09:41:44</t>
  </si>
  <si>
    <t>3566625112243523687</t>
  </si>
  <si>
    <t>2026-08-21 07:33:05</t>
  </si>
  <si>
    <t>2026-08-21 07:43:04</t>
  </si>
  <si>
    <t>2026-08-21 09:43:04</t>
  </si>
  <si>
    <t>106.7048862782959</t>
  </si>
  <si>
    <t>10.820859568017616</t>
  </si>
  <si>
    <t>3566625112243523970</t>
  </si>
  <si>
    <t>2026-08-21 07:34:47</t>
  </si>
  <si>
    <t>2026-08-21 07:44:46</t>
  </si>
  <si>
    <t>2026-08-21 09:44:46</t>
  </si>
  <si>
    <t>106.64904228203127</t>
  </si>
  <si>
    <t>10.801005093774044</t>
  </si>
  <si>
    <t>132/6F-6G Lê Trung Nghĩa, Bảy Hiền, Hồ Chí Minh, Việt Nam132/6F-6G Lê Trung Nghĩa, Bảy Hiền, Hồ Chí Minh, Việt Nam</t>
  </si>
  <si>
    <t>3566626914519184029</t>
  </si>
  <si>
    <t>2026-08-21 07:26:19</t>
  </si>
  <si>
    <t>2026-08-21 07:36:18</t>
  </si>
  <si>
    <t>2026-08-21 09:36:18</t>
  </si>
  <si>
    <t>3566627510403952768</t>
  </si>
  <si>
    <t>2026-08-21 07:23:40</t>
  </si>
  <si>
    <t>2026-08-21 07:33:39</t>
  </si>
  <si>
    <t>2026-08-21 09:33:39</t>
  </si>
  <si>
    <t>106.63612545156252</t>
  </si>
  <si>
    <t>10.867991916129064</t>
  </si>
  <si>
    <t>15 Tổ 19 Kp3, Khu Phố 3A, Tân Thới Hiệp, Hồ Chí Minh, Việt Nam15 Tổ 19 Kp3, Khu Phố 3A, Tân Thới Hiệp, Hồ Chí Minh, Việt Nam</t>
  </si>
  <si>
    <t>3566627510403953301</t>
  </si>
  <si>
    <t>2026-08-21 07:27:03</t>
  </si>
  <si>
    <t>2026-08-21 07:37:02</t>
  </si>
  <si>
    <t>2026-08-21 08:11:18</t>
  </si>
  <si>
    <t>2026-08-21 08:13:45</t>
  </si>
  <si>
    <t>3566627510420726191</t>
  </si>
  <si>
    <t>2026-08-21 07:32:21</t>
  </si>
  <si>
    <t>2026-08-21 07:42:20</t>
  </si>
  <si>
    <t>2026-08-21 09:42:20</t>
  </si>
  <si>
    <t>3566627510437499412</t>
  </si>
  <si>
    <t>2026-08-21 07:38:27</t>
  </si>
  <si>
    <t>2026-08-21 07:48:26</t>
  </si>
  <si>
    <t>2026-08-21 09:48:26</t>
  </si>
  <si>
    <t>106.5129337</t>
  </si>
  <si>
    <t>10.6290476</t>
  </si>
  <si>
    <t>106.59890016826171</t>
  </si>
  <si>
    <t>10.888465448877962</t>
  </si>
  <si>
    <t>CÔNG TY TNHH YUTIAN VIỆT NAM, Phúc Long, Mỹ Yên, Tây Ninh, Việt NamCÔNG TY TNHH YUTIAN VIỆT NAM</t>
  </si>
  <si>
    <t>Tổ 65, 1/6 Tổ 64 Khu Phố 7, Khu Phố 6, Hóc Môn, Hồ Chí Minh, Việt NamTổ 65, 1/6 Tổ 64 Khu Phố 7, Khu Phố 6, Hóc Môn, Hồ Chí Minh, Việt Nam</t>
  </si>
  <si>
    <t>3566627510437499633</t>
  </si>
  <si>
    <t>2026-08-21 07:39:41</t>
  </si>
  <si>
    <t>2026-08-21 07:49:40</t>
  </si>
  <si>
    <t>2026-08-21 09:49:40</t>
  </si>
  <si>
    <t>106.59143862593383</t>
  </si>
  <si>
    <t>10.796814230295071</t>
  </si>
  <si>
    <t>107 Liên Khu 4-5, Bình Tân, Hồ Chí Minh, Việt Nam107 Liên Khu 4-5, Bình Tân, Hồ Chí Minh, Việt Nam</t>
  </si>
  <si>
    <t>3566627777203630189</t>
  </si>
  <si>
    <t>2026-08-21 07:24:15</t>
  </si>
  <si>
    <t>2026-08-21 07:34:14</t>
  </si>
  <si>
    <t>2026-08-21 10:19:59</t>
  </si>
  <si>
    <t>106.64554176007992</t>
  </si>
  <si>
    <t>10.798647524106451</t>
  </si>
  <si>
    <t>E28 Hoàng Hoa Thám, Tân Bình, Hồ Chí Minh, Việt NamE28 Hoàng Hoa Thám, Tân Bình, Hồ Chí Minh, Việt Nam</t>
  </si>
  <si>
    <t>3566627777203630343</t>
  </si>
  <si>
    <t>2026-08-21 07:25:22</t>
  </si>
  <si>
    <t>2026-08-21 07:35:21</t>
  </si>
  <si>
    <t>2026-08-21 16:55:49</t>
  </si>
  <si>
    <t>3566627777228791854</t>
  </si>
  <si>
    <t>2026-08-21 07:30:39</t>
  </si>
  <si>
    <t>2026-08-21 07:40:38</t>
  </si>
  <si>
    <t>2026-08-21 09:40:38</t>
  </si>
  <si>
    <t>3566627777245565163</t>
  </si>
  <si>
    <t>2026-08-21 07:37:31</t>
  </si>
  <si>
    <t>2026-08-21 07:47:30</t>
  </si>
  <si>
    <t>2026-08-21 09:47:30</t>
  </si>
  <si>
    <t>3566628863578694555</t>
  </si>
  <si>
    <t>2026-08-21 07:47:01</t>
  </si>
  <si>
    <t>2026-08-22 10:55:28</t>
  </si>
  <si>
    <t>3566628863578694660</t>
  </si>
  <si>
    <t>2026-08-21 07:37:43</t>
  </si>
  <si>
    <t>2026-08-21 07:47:42</t>
  </si>
  <si>
    <t>2026-08-21 09:47:42</t>
  </si>
  <si>
    <t>3566629677164617745</t>
  </si>
  <si>
    <t>2026-08-21 07:33:41</t>
  </si>
  <si>
    <t>2026-08-21 07:43:40</t>
  </si>
  <si>
    <t>2026-08-21 09:39:54</t>
  </si>
  <si>
    <t>106.59800743652342</t>
  </si>
  <si>
    <t>10.88806667376608</t>
  </si>
  <si>
    <t>8 Lê Thị Hà, Hóc Môn, Hồ Chí Minh, Việt Nam8 Lê Thị Hà, Hóc Môn, Hồ Chí Minh, Việt Nam</t>
  </si>
  <si>
    <t>3566629677173006434</t>
  </si>
  <si>
    <t>2026-08-21 07:36:11</t>
  </si>
  <si>
    <t>2026-08-21 07:46:10</t>
  </si>
  <si>
    <t>2026-08-21 09:46:10</t>
  </si>
  <si>
    <t>3566629677173006538</t>
  </si>
  <si>
    <t>2026-08-21 07:36:49</t>
  </si>
  <si>
    <t>2026-08-21 07:46:48</t>
  </si>
  <si>
    <t>2026-08-21 09:46:48</t>
  </si>
  <si>
    <t>3566630819172933833</t>
  </si>
  <si>
    <t>2026-08-21 07:35:57</t>
  </si>
  <si>
    <t>2026-08-21 07:45:56</t>
  </si>
  <si>
    <t>2026-08-21 09:45:56</t>
  </si>
  <si>
    <t>3566630819198096019</t>
  </si>
  <si>
    <t>2026-08-21 07:44:10</t>
  </si>
  <si>
    <t>2026-08-21 07:54:09</t>
  </si>
  <si>
    <t>2026-08-21 10:09:46</t>
  </si>
  <si>
    <t>106.58976085739441</t>
  </si>
  <si>
    <t>10.794294284347693</t>
  </si>
  <si>
    <t>QHVQ+PV8, 128A Đường Số 6, P, Bình Tân, Hồ Chí Minh 700000, Việt NamQHVQ+PV8, 128A Đường Số 6, P, Bình Tân, Hồ Chí Minh 700000, Việt Nam</t>
  </si>
  <si>
    <t>3566635598414574066</t>
  </si>
  <si>
    <t>2026-08-21 07:40:06</t>
  </si>
  <si>
    <t>2026-08-21 07:50:05</t>
  </si>
  <si>
    <t>2026-08-21 09:17:30</t>
  </si>
  <si>
    <t>3566635598448120552</t>
  </si>
  <si>
    <t>2026-08-21 07:51:50</t>
  </si>
  <si>
    <t>2026-08-21 08:01:50</t>
  </si>
  <si>
    <t>2026-08-21 10:01:50</t>
  </si>
  <si>
    <t>3566635769349238987</t>
  </si>
  <si>
    <t>2026-08-21 07:38:40</t>
  </si>
  <si>
    <t>2026-08-21 07:48:39</t>
  </si>
  <si>
    <t>2026-08-21 09:48:39</t>
  </si>
  <si>
    <t>106.6359902</t>
  </si>
  <si>
    <t>10.8747247</t>
  </si>
  <si>
    <t>3566635769366012489</t>
  </si>
  <si>
    <t>2026-08-21 07:45:50</t>
  </si>
  <si>
    <t>2026-08-21 07:55:49</t>
  </si>
  <si>
    <t>2026-08-21 09:55:49</t>
  </si>
  <si>
    <t>3566636218525643169</t>
  </si>
  <si>
    <t>2026-08-21 07:40:20</t>
  </si>
  <si>
    <t>2026-08-21 07:50:19</t>
  </si>
  <si>
    <t>2026-08-21 09:50:19</t>
  </si>
  <si>
    <t>3566636218525643600</t>
  </si>
  <si>
    <t>2026-08-21 07:42:35</t>
  </si>
  <si>
    <t>2026-08-21 07:52:34</t>
  </si>
  <si>
    <t>2026-08-21 09:52:34</t>
  </si>
  <si>
    <t>3566636218550804674</t>
  </si>
  <si>
    <t>2026-08-21 07:44:33</t>
  </si>
  <si>
    <t>2026-08-21 07:54:32</t>
  </si>
  <si>
    <t>2026-08-21 09:54:32</t>
  </si>
  <si>
    <t>3566636218567578185</t>
  </si>
  <si>
    <t>2026-08-21 07:51:38</t>
  </si>
  <si>
    <t>2026-08-21 08:01:38</t>
  </si>
  <si>
    <t>2026-08-21 10:01:38</t>
  </si>
  <si>
    <t>3566638017756229925</t>
  </si>
  <si>
    <t>2026-08-21 07:43:05</t>
  </si>
  <si>
    <t>2026-08-21 07:53:04</t>
  </si>
  <si>
    <t>2026-08-21 09:53:04</t>
  </si>
  <si>
    <t>106.63777118678591</t>
  </si>
  <si>
    <t>10.873333922582908</t>
  </si>
  <si>
    <t>380 Dương Thị Mười, Tân Thới Hiệp, Hồ Chí Minh, Việt Nam380 Dương Thị Mười, Tân Thới Hiệp, Hồ Chí Minh, Việt Nam</t>
  </si>
  <si>
    <t>3566638017781392279</t>
  </si>
  <si>
    <t>2026-08-21 07:51:14</t>
  </si>
  <si>
    <t>2026-08-21 08:01:13</t>
  </si>
  <si>
    <t>2026-08-21 10:01:13</t>
  </si>
  <si>
    <t>3566638312917786798</t>
  </si>
  <si>
    <t>2026-08-21 07:47:50</t>
  </si>
  <si>
    <t>2026-08-21 07:57:49</t>
  </si>
  <si>
    <t>2026-08-21 09:57:49</t>
  </si>
  <si>
    <t>3566638312917787197</t>
  </si>
  <si>
    <t>2026-08-21 07:49:48</t>
  </si>
  <si>
    <t>2026-08-21 07:59:48</t>
  </si>
  <si>
    <t>2026-08-21 09:59:48</t>
  </si>
  <si>
    <t>3566638312917787444</t>
  </si>
  <si>
    <t>2026-08-21 07:51:01</t>
  </si>
  <si>
    <t>2026-08-21 08:01:01</t>
  </si>
  <si>
    <t>2026-08-21 10:01:01</t>
  </si>
  <si>
    <t>3566638312934560174</t>
  </si>
  <si>
    <t>2026-08-21 07:53:57</t>
  </si>
  <si>
    <t>2026-08-21 08:03:56</t>
  </si>
  <si>
    <t>2026-08-21 10:03:56</t>
  </si>
  <si>
    <t>3566638312934560356</t>
  </si>
  <si>
    <t>2026-08-21 07:54:51</t>
  </si>
  <si>
    <t>2026-08-21 08:04:50</t>
  </si>
  <si>
    <t>2026-08-21 10:04:50</t>
  </si>
  <si>
    <t>3566639032500974552</t>
  </si>
  <si>
    <t>2026-08-21 07:48:37</t>
  </si>
  <si>
    <t>2026-08-21 07:58:36</t>
  </si>
  <si>
    <t>2026-08-21 09:58:36</t>
  </si>
  <si>
    <t>3566639032517747173</t>
  </si>
  <si>
    <t>2026-08-21 07:50:49</t>
  </si>
  <si>
    <t>2026-08-21 08:00:48</t>
  </si>
  <si>
    <t>2026-08-21 10:00:48</t>
  </si>
  <si>
    <t>3566639686820786889</t>
  </si>
  <si>
    <t>2026-08-21 07:48:19</t>
  </si>
  <si>
    <t>2026-08-21 07:58:18</t>
  </si>
  <si>
    <t>2026-08-21 10:08:45</t>
  </si>
  <si>
    <t>3566639686837560047</t>
  </si>
  <si>
    <t>2026-08-21 07:53:17</t>
  </si>
  <si>
    <t>2026-08-21 08:03:16</t>
  </si>
  <si>
    <t>2026-08-21 10:03:16</t>
  </si>
  <si>
    <t>3566640593377652835</t>
  </si>
  <si>
    <t>2026-08-21 07:46:25</t>
  </si>
  <si>
    <t>2026-08-21 07:56:24</t>
  </si>
  <si>
    <t>2026-08-21 09:56:24</t>
  </si>
  <si>
    <t>3566640593377653448</t>
  </si>
  <si>
    <t>2026-08-21 07:49:33</t>
  </si>
  <si>
    <t>2026-08-21 07:59:32</t>
  </si>
  <si>
    <t>2026-08-21 08:52:58</t>
  </si>
  <si>
    <t>3566640593394426640</t>
  </si>
  <si>
    <t>2026-08-21 07:55:04</t>
  </si>
  <si>
    <t>2026-08-21 08:05:03</t>
  </si>
  <si>
    <t>2026-08-21 10:05:03</t>
  </si>
  <si>
    <t>3566644724498657425</t>
  </si>
  <si>
    <t>2026-08-21 08:04:08</t>
  </si>
  <si>
    <t>2026-08-21 10:04:08</t>
  </si>
  <si>
    <t>3567350015657730518</t>
  </si>
  <si>
    <t>2026-08-22 07:38:14</t>
  </si>
  <si>
    <t>2026-08-22 07:48:14</t>
  </si>
  <si>
    <t>2026-08-22 09:48:14</t>
  </si>
  <si>
    <t>3567351250418881472</t>
  </si>
  <si>
    <t>2026-08-22 07:35:30</t>
  </si>
  <si>
    <t>2026-08-22 07:45:29</t>
  </si>
  <si>
    <t>2026-08-22 07:55:31</t>
  </si>
  <si>
    <t>2026-08-22 07:58:18</t>
  </si>
  <si>
    <t>3567352224084611929</t>
  </si>
  <si>
    <t>2026-08-22 07:36:07</t>
  </si>
  <si>
    <t>2026-08-22 07:46:07</t>
  </si>
  <si>
    <t>2026-08-22 07:36:29</t>
  </si>
  <si>
    <t>2026-08-22 07:40:46</t>
  </si>
  <si>
    <t>3567352224101397019</t>
  </si>
  <si>
    <t>2026-08-22 07:40:07</t>
  </si>
  <si>
    <t>2026-08-22 07:50:07</t>
  </si>
  <si>
    <t>2026-08-22 10:28:45</t>
  </si>
  <si>
    <t>3567352224101397156</t>
  </si>
  <si>
    <t>2026-08-22 07:41:00</t>
  </si>
  <si>
    <t>2026-08-22 07:51:00</t>
  </si>
  <si>
    <t>2026-08-22 09:51:01</t>
  </si>
  <si>
    <t>106.59451326906436</t>
  </si>
  <si>
    <t>10.886614650784228</t>
  </si>
  <si>
    <t>3D 70, Tổ 14, Hóc Môn, Hồ Chí Minh, Việt Nam3D 70, Tổ 14, Hóc Môn, Hồ Chí Minh, Việt Nam</t>
  </si>
  <si>
    <t>3567356205947113827</t>
  </si>
  <si>
    <t>2026-08-22 07:39:07</t>
  </si>
  <si>
    <t>2026-08-22 07:49:07</t>
  </si>
  <si>
    <t>2026-08-22 11:45:30</t>
  </si>
  <si>
    <t>3567357702399283295</t>
  </si>
  <si>
    <t>2026-08-22 07:39:48</t>
  </si>
  <si>
    <t>2026-08-22 07:49:48</t>
  </si>
  <si>
    <t>2026-08-22 09:49:48</t>
  </si>
  <si>
    <t>3567357702416069349</t>
  </si>
  <si>
    <t>2026-08-22 07:49:02</t>
  </si>
  <si>
    <t>2026-08-22 07:59:02</t>
  </si>
  <si>
    <t>2026-08-23 07:32:41</t>
  </si>
  <si>
    <t>3567360007613931667</t>
  </si>
  <si>
    <t>2026-08-22 07:44:00</t>
  </si>
  <si>
    <t>2026-08-22 07:53:59</t>
  </si>
  <si>
    <t>2026-08-22 10:12:02</t>
  </si>
  <si>
    <t>3567360087775469792</t>
  </si>
  <si>
    <t>2026-08-22 07:38:33</t>
  </si>
  <si>
    <t>2026-08-22 07:48:33</t>
  </si>
  <si>
    <t>2026-08-22 07:42:28</t>
  </si>
  <si>
    <t>2026-08-22 07:46:24</t>
  </si>
  <si>
    <t>3567360087792243263</t>
  </si>
  <si>
    <t>2026-08-22 07:46:41</t>
  </si>
  <si>
    <t>2026-08-22 07:56:41</t>
  </si>
  <si>
    <t>2026-08-22 10:14:26</t>
  </si>
  <si>
    <t>106.5943345</t>
  </si>
  <si>
    <t>10.8867196</t>
  </si>
  <si>
    <t>3567360087792243503</t>
  </si>
  <si>
    <t>2026-08-22 07:48:02</t>
  </si>
  <si>
    <t>2026-08-22 07:58:02</t>
  </si>
  <si>
    <t>2026-08-22 10:23:07</t>
  </si>
  <si>
    <t>2026-08-22 10:32:50</t>
  </si>
  <si>
    <t>3567360087792243644</t>
  </si>
  <si>
    <t>2026-08-22 07:48:48</t>
  </si>
  <si>
    <t>2026-08-22 07:58:48</t>
  </si>
  <si>
    <t>2026-08-22 09:08:11</t>
  </si>
  <si>
    <t>2026-08-22 09:24:32</t>
  </si>
  <si>
    <t>3567361691375325324</t>
  </si>
  <si>
    <t>2026-08-22 07:40:39</t>
  </si>
  <si>
    <t>2026-08-22 07:50:39</t>
  </si>
  <si>
    <t>2026-08-22 10:29:19</t>
  </si>
  <si>
    <t>3567361691375325529</t>
  </si>
  <si>
    <t>2026-08-22 07:41:52</t>
  </si>
  <si>
    <t>2026-08-22 07:51:52</t>
  </si>
  <si>
    <t>2026-08-22 11:00:59</t>
  </si>
  <si>
    <t>106.6386753050018</t>
  </si>
  <si>
    <t>10.808764646155904</t>
  </si>
  <si>
    <t>3567361691375326109</t>
  </si>
  <si>
    <t>2026-08-22 07:45:15</t>
  </si>
  <si>
    <t>2026-08-22 07:55:14</t>
  </si>
  <si>
    <t>2026-08-22 10:23:58</t>
  </si>
  <si>
    <t>2026-08-22 10:40:22</t>
  </si>
  <si>
    <t>3567361691400499718</t>
  </si>
  <si>
    <t>2026-08-22 07:50:19</t>
  </si>
  <si>
    <t>2026-08-22 08:00:19</t>
  </si>
  <si>
    <t>2026-08-22 09:20:09</t>
  </si>
  <si>
    <t>3567362746242785368</t>
  </si>
  <si>
    <t>2026-08-22 07:42:25</t>
  </si>
  <si>
    <t>2026-08-22 07:52:25</t>
  </si>
  <si>
    <t>2026-08-22 09:52:25</t>
  </si>
  <si>
    <t>3567362746242785440</t>
  </si>
  <si>
    <t>2026-08-22 07:43:01</t>
  </si>
  <si>
    <t>2026-08-22 07:53:01</t>
  </si>
  <si>
    <t>2026-08-22 09:53:01</t>
  </si>
  <si>
    <t>3567362746242785809</t>
  </si>
  <si>
    <t>2026-08-22 07:45:01</t>
  </si>
  <si>
    <t>2026-08-22 07:55:01</t>
  </si>
  <si>
    <t>2026-08-22 09:55:01</t>
  </si>
  <si>
    <t>3567363416710668384</t>
  </si>
  <si>
    <t>2026-08-22 07:44:24</t>
  </si>
  <si>
    <t>2026-08-22 07:54:23</t>
  </si>
  <si>
    <t>2026-08-22 10:05:26</t>
  </si>
  <si>
    <t>3567381519184122576</t>
  </si>
  <si>
    <t>2026-08-22 08:21:35</t>
  </si>
  <si>
    <t>2026-08-22 08:31:34</t>
  </si>
  <si>
    <t>2026-08-22 10:31:34</t>
  </si>
  <si>
    <t>3567382784832131152</t>
  </si>
  <si>
    <t>2026-08-22 08:24:56</t>
  </si>
  <si>
    <t>2026-08-22 08:34:55</t>
  </si>
  <si>
    <t>2026-08-22 10:34:55</t>
  </si>
  <si>
    <t>3567382897709245008</t>
  </si>
  <si>
    <t>2026-08-22 08:20:04</t>
  </si>
  <si>
    <t>2026-08-22 08:30:03</t>
  </si>
  <si>
    <t>2026-08-22 10:30:03</t>
  </si>
  <si>
    <t>3567382897751192340</t>
  </si>
  <si>
    <t>2026-08-22 08:27:08</t>
  </si>
  <si>
    <t>2026-08-22 08:37:07</t>
  </si>
  <si>
    <t>2026-08-22 10:39:21</t>
  </si>
  <si>
    <t>2026-08-22 10:55:32</t>
  </si>
  <si>
    <t>3567383720371638490</t>
  </si>
  <si>
    <t>2026-08-22 08:20:39</t>
  </si>
  <si>
    <t>2026-08-22 08:30:38</t>
  </si>
  <si>
    <t>2026-08-22 10:30:38</t>
  </si>
  <si>
    <t>3567384295502995811</t>
  </si>
  <si>
    <t>2026-08-22 08:21:59</t>
  </si>
  <si>
    <t>2026-08-22 08:31:58</t>
  </si>
  <si>
    <t>2026-08-22 10:31:58</t>
  </si>
  <si>
    <t>3567384295536546451</t>
  </si>
  <si>
    <t>2026-08-22 08:26:11</t>
  </si>
  <si>
    <t>2026-08-22 08:36:10</t>
  </si>
  <si>
    <t>2026-08-22 10:26:20</t>
  </si>
  <si>
    <t>3567386860261171494</t>
  </si>
  <si>
    <t>2026-08-22 08:26:25</t>
  </si>
  <si>
    <t>2026-08-22 08:36:24</t>
  </si>
  <si>
    <t>2026-08-23 09:18:21</t>
  </si>
  <si>
    <t>order_creation_month</t>
  </si>
  <si>
    <t>order</t>
  </si>
  <si>
    <t>clean_start_add</t>
  </si>
  <si>
    <t>clean_end_add</t>
  </si>
  <si>
    <t>start Province / City (Level 1)</t>
  </si>
  <si>
    <t>end Province / City (Level 1)</t>
  </si>
  <si>
    <t>start Province / City (Level 2)</t>
  </si>
  <si>
    <t>end Province / City (Level 2)</t>
  </si>
  <si>
    <t>order_creation_date</t>
  </si>
  <si>
    <t>order_creation_time</t>
  </si>
  <si>
    <t>(All)</t>
  </si>
  <si>
    <t>Grand Total</t>
  </si>
  <si>
    <t>Count of order_display_id</t>
  </si>
  <si>
    <t>order_status_lag ([h]:mm:ss)</t>
  </si>
  <si>
    <t>order_status_lag_grouping</t>
  </si>
  <si>
    <t>order status</t>
  </si>
  <si>
    <t>order_status_reframe</t>
  </si>
  <si>
    <t>reframe</t>
  </si>
  <si>
    <t>Cancellation after match</t>
  </si>
  <si>
    <t>if(driver_id=0, Cancellation, Cancellation after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</si>
</sst>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hh:mm:ss"/>
  </numFmts>
  <fonts count="2" x14ac:knownFonts="1">
    <font>
      <sz val="11"/>
      <color indexed="8"/>
      <name val="Aptos Narrow"/>
      <family val="2"/>
      <scheme val="minor"/>
    </font>
    <font>
      <sz val="9"/>
      <color indexed="81"/>
      <name val="Tahoma"/>
      <family val="2"/>
    </font>
  </fonts>
  <fills count="4">
    <fill>
      <patternFill patternType="none"/>
    </fill>
    <fill>
      <patternFill patternType="gray125"/>
    </fill>
    <fill>
      <patternFill patternType="solid">
        <fgColor theme="3" tint="0.749992370372631"/>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46" fontId="0" fillId="0" borderId="0" xfId="0" applyNumberFormat="1"/>
    <xf numFmtId="0" fontId="0" fillId="0" borderId="0" xfId="0" applyNumberFormat="1"/>
    <xf numFmtId="166" fontId="0" fillId="0" borderId="0" xfId="0" applyNumberFormat="1"/>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Dg0MDMyMTQzMDgsImZpbGVOYW1lIjoiLi9kb3dubG9hZC1yZWFkeS9kaGl6NGh4NV93bmNiZnl5ay54bHN4IiwiaXNTZW5zaXRpdmUiOmZhbHNlLCJzZW5zaXRpdmVMZXZlbCI6IkMxIiwidXJsIjoiIiwib3RoZXIiOiIiLCJpc0VuY3J5cHQiOnRydWUsInBhc3N3b3JkIjoid25jYmZ5eWsifQ==" TargetMode="External"/></Relationships>
</file>

<file path=xl/drawings/drawing1.xml><?xml version="1.0" encoding="utf-8"?>
<xdr:wsDr xmlns:xdr="http://schemas.openxmlformats.org/drawingml/2006/spreadsheetDrawing" xmlns:a="http://schemas.openxmlformats.org/drawingml/2006/main">
  <xdr:twoCellAnchor>
    <xdr:from>
      <xdr:col>1237</xdr:col>
      <xdr:colOff>0</xdr:colOff>
      <xdr:row>4321</xdr:row>
      <xdr:rowOff>0</xdr:rowOff>
    </xdr:from>
    <xdr:to>
      <xdr:col>1237</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i Kc" id="{90C3A1F5-E36B-45E4-A973-3959C3D35F77}" userId="S::wei.kc@lalamove365.onmicrosoft.com::5a1be444-83ac-4c1d-9f89-1ae1f03ddaf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kc" refreshedDate="46268.56982060185" createdVersion="8" refreshedVersion="8" minRefreshableVersion="3" recordCount="1636" xr:uid="{2EEEB506-23B8-42BF-B7C2-9CEFCF91D3E8}">
  <cacheSource type="worksheet">
    <worksheetSource ref="A1:AC1637" sheet="Results export"/>
  </cacheSource>
  <cacheFields count="28">
    <cacheField name="order_display_id" numFmtId="0">
      <sharedItems/>
    </cacheField>
    <cacheField name="user_name" numFmtId="0">
      <sharedItems/>
    </cacheField>
    <cacheField name="user_id" numFmtId="0">
      <sharedItems containsSemiMixedTypes="0" containsString="0" containsNumber="1" containsInteger="1" minValue="13373294" maxValue="43811059" count="16">
        <n v="42459206"/>
        <n v="42598944"/>
        <n v="42758642"/>
        <n v="42787717"/>
        <n v="42814075"/>
        <n v="43376946"/>
        <n v="43485077"/>
        <n v="43512432"/>
        <n v="13373294"/>
        <n v="43701630"/>
        <n v="23938356"/>
        <n v="43729827"/>
        <n v="43740668"/>
        <n v="43756635"/>
        <n v="43783789"/>
        <n v="43811059"/>
      </sharedItems>
    </cacheField>
    <cacheField name="driver_id" numFmtId="0">
      <sharedItems containsSemiMixedTypes="0" containsString="0" containsNumber="1" containsInteger="1" minValue="0" maxValue="4880327"/>
    </cacheField>
    <cacheField name="order_remark" numFmtId="0">
      <sharedItems/>
    </cacheField>
    <cacheField name="vehicle_type" numFmtId="0">
      <sharedItems/>
    </cacheField>
    <cacheField name="order_status" numFmtId="0">
      <sharedItems count="6">
        <s v="Expired"/>
        <s v="Canceled"/>
        <s v="Rejected"/>
        <s v="Completed"/>
        <s v="Automatic cancelled after 10 days without completion"/>
        <s v="Completed Unexpectedly"/>
      </sharedItems>
    </cacheField>
    <cacheField name="order_creation_local_time" numFmtId="0">
      <sharedItems/>
    </cacheField>
    <cacheField name="order_scheduled_local_time" numFmtId="0">
      <sharedItems/>
    </cacheField>
    <cacheField name="match_time_local" numFmtId="0">
      <sharedItems/>
    </cacheField>
    <cacheField name="arrival_time_local" numFmtId="0">
      <sharedItems/>
    </cacheField>
    <cacheField name="order_cancellation_local_time" numFmtId="0">
      <sharedItems/>
    </cacheField>
    <cacheField name="order_completion_local_time" numFmtId="0">
      <sharedItems/>
    </cacheField>
    <cacheField name="start_longitude" numFmtId="0">
      <sharedItems/>
    </cacheField>
    <cacheField name="start_latitude" numFmtId="0">
      <sharedItems/>
    </cacheField>
    <cacheField name="end_longitude" numFmtId="0">
      <sharedItems/>
    </cacheField>
    <cacheField name="end_latitude" numFmtId="0">
      <sharedItems/>
    </cacheField>
    <cacheField name="delivery_fee" numFmtId="0">
      <sharedItems containsSemiMixedTypes="0" containsString="0" containsNumber="1" containsInteger="1" minValue="11232" maxValue="9289296"/>
    </cacheField>
    <cacheField name="driver_receivable" numFmtId="0">
      <sharedItems containsSemiMixedTypes="0" containsString="0" containsNumber="1" containsInteger="1" minValue="0" maxValue="1243149"/>
    </cacheField>
    <cacheField name="order_commission" numFmtId="0">
      <sharedItems containsSemiMixedTypes="0" containsString="0" containsNumber="1" containsInteger="1" minValue="10317" maxValue="9289296"/>
    </cacheField>
    <cacheField name="order_payment_type" numFmtId="0">
      <sharedItems/>
    </cacheField>
    <cacheField name="start_address" numFmtId="0">
      <sharedItems/>
    </cacheField>
    <cacheField name="end_address" numFmtId="0">
      <sharedItems longText="1"/>
    </cacheField>
    <cacheField name="destination_number" numFmtId="0">
      <sharedItems containsSemiMixedTypes="0" containsString="0" containsNumber="1" containsInteger="1" minValue="1" maxValue="2"/>
    </cacheField>
    <cacheField name="order_creation_month" numFmtId="0">
      <sharedItems containsSemiMixedTypes="0" containsString="0" containsNumber="1" containsInteger="1" minValue="7" maxValue="8" count="2">
        <n v="7"/>
        <n v="8"/>
      </sharedItems>
    </cacheField>
    <cacheField name="order_creation_date" numFmtId="0">
      <sharedItems containsSemiMixedTypes="0" containsString="0" containsNumber="1" containsInteger="1" minValue="6" maxValue="22" count="15">
        <n v="7"/>
        <n v="8"/>
        <n v="11"/>
        <n v="14"/>
        <n v="15"/>
        <n v="16"/>
        <n v="17"/>
        <n v="6"/>
        <n v="9"/>
        <n v="10"/>
        <n v="18"/>
        <n v="19"/>
        <n v="20"/>
        <n v="21"/>
        <n v="22"/>
      </sharedItems>
    </cacheField>
    <cacheField name="order_creation_time" numFmtId="166">
      <sharedItems containsSemiMixedTypes="0" containsNonDate="0" containsDate="1" containsString="0" minDate="1899-12-30T05:29:11" maxDate="1899-12-30T23:21:31"/>
    </cacheField>
    <cacheField name="order_lag ([h]:mm:ss)" numFmtId="46">
      <sharedItems containsDate="1" containsMixedTypes="1" minDate="1899-12-30T00:00:12" maxDate="1900-01-09T12:06:13" count="521">
        <d v="1899-12-30T02:10:01"/>
        <d v="1899-12-30T00:51:24"/>
        <d v="1899-12-30T00:56:18"/>
        <d v="1899-12-30T00:02:56"/>
        <d v="1899-12-30T02:10:00"/>
        <d v="1899-12-30T02:15:55"/>
        <d v="1899-12-30T00:05:52"/>
        <d v="1899-12-30T00:19:07"/>
        <d v="1899-12-30T00:22:21"/>
        <d v="1899-12-30T02:09:59"/>
        <d v="1899-12-30T04:05:52"/>
        <d v="1899-12-30T02:29:27"/>
        <d v="1899-12-30T00:08:03"/>
        <d v="1899-12-30T02:29:05"/>
        <s v="Order rejected, no time available"/>
        <d v="1900-01-09T00:10:59"/>
        <d v="1899-12-30T02:31:29"/>
        <d v="1900-01-09T00:11:00"/>
        <d v="1899-12-30T01:59:45"/>
        <d v="1899-12-30T00:26:41"/>
        <d v="1899-12-30T00:32:27"/>
        <d v="1899-12-30T02:40:36"/>
        <d v="1899-12-30T13:30:18"/>
        <d v="1899-12-30T13:30:03"/>
        <d v="1899-12-30T13:30:43"/>
        <d v="1899-12-30T13:26:12"/>
        <d v="1899-12-30T13:30:00"/>
        <d v="1899-12-30T14:29:53"/>
        <d v="1899-12-30T12:18:33"/>
        <d v="1900-01-09T12:06:13"/>
        <d v="1899-12-30T14:30:11"/>
        <d v="1899-12-30T13:30:07"/>
        <d v="1899-12-30T13:30:01"/>
        <d v="1899-12-30T14:30:32"/>
        <d v="1899-12-30T13:30:04"/>
        <d v="1899-12-30T13:30:20"/>
        <d v="1899-12-30T12:30:43"/>
        <d v="1899-12-30T13:30:25"/>
        <d v="1899-12-30T14:30:42"/>
        <d v="1899-12-30T13:30:08"/>
        <d v="1899-12-30T13:12:26"/>
        <d v="1899-12-30T12:20:02"/>
        <d v="1899-12-30T14:30:37"/>
        <d v="1899-12-30T10:44:09"/>
        <d v="1899-12-30T12:30:27"/>
        <d v="1899-12-30T13:29:55"/>
        <d v="1899-12-30T13:30:41"/>
        <d v="1899-12-30T12:38:31"/>
        <d v="1899-12-30T12:30:18"/>
        <d v="1899-12-30T13:30:45"/>
        <d v="1899-12-30T13:30:49"/>
        <d v="1899-12-30T13:13:34"/>
        <d v="1899-12-30T13:15:21"/>
        <d v="1899-12-30T13:10:18"/>
        <d v="1899-12-30T12:29:59"/>
        <d v="1899-12-30T13:29:53"/>
        <d v="1899-12-30T12:30:03"/>
        <d v="1899-12-30T13:18:33"/>
        <d v="1899-12-30T12:30:35"/>
        <d v="1899-12-30T13:30:35"/>
        <d v="1899-12-30T12:30:42"/>
        <d v="1899-12-30T12:50:09"/>
        <d v="1899-12-30T12:30:40"/>
        <d v="1899-12-30T12:29:57"/>
        <d v="1899-12-30T12:30:26"/>
        <d v="1899-12-30T11:10:03"/>
        <d v="1899-12-30T12:30:51"/>
        <d v="1899-12-30T12:30:46"/>
        <d v="1899-12-30T10:48:14"/>
        <d v="1899-12-30T12:30:01"/>
        <d v="1899-12-30T11:16:17"/>
        <d v="1899-12-30T12:30:17"/>
        <d v="1899-12-30T12:30:11"/>
        <d v="1899-12-30T12:30:23"/>
        <d v="1899-12-30T12:30:10"/>
        <d v="1899-12-30T06:21:24"/>
        <d v="1899-12-30T05:18:15"/>
        <d v="1899-12-30T01:20:55"/>
        <d v="1899-12-30T05:13:16"/>
        <d v="1899-12-30T04:03:30"/>
        <d v="1899-12-30T06:22:54"/>
        <d v="1899-12-30T01:17:59"/>
        <d v="1899-12-30T06:30:11"/>
        <d v="1899-12-30T00:08:50"/>
        <d v="1899-12-30T01:38:03"/>
        <d v="1899-12-30T03:54:20"/>
        <d v="1899-12-30T02:10:49"/>
        <d v="1899-12-30T03:52:31"/>
        <d v="1899-12-30T01:34:17"/>
        <d v="1899-12-30T01:03:17"/>
        <d v="1899-12-30T01:44:45"/>
        <d v="1899-12-30T02:42:48"/>
        <d v="1899-12-30T02:14:43"/>
        <d v="1899-12-30T02:28:25"/>
        <d v="1899-12-30T02:34:41"/>
        <d v="1899-12-30T00:13:53"/>
        <d v="1899-12-30T00:11:46"/>
        <d v="1899-12-30T09:53:01"/>
        <d v="1899-12-30T03:30:38"/>
        <d v="1899-12-30T03:30:07"/>
        <d v="1899-12-30T06:42:31"/>
        <d v="1899-12-30T01:32:26"/>
        <d v="1899-12-30T03:30:02"/>
        <d v="1899-12-30T03:56:03"/>
        <d v="1899-12-30T03:30:21"/>
        <d v="1899-12-30T03:30:48"/>
        <d v="1899-12-30T03:30:39"/>
        <d v="1899-12-30T04:30:43"/>
        <d v="1899-12-30T04:19:50"/>
        <d v="1899-12-30T03:36:56"/>
        <d v="1899-12-30T03:30:35"/>
        <d v="1899-12-30T03:57:09"/>
        <d v="1899-12-31T04:34:35"/>
        <d v="1899-12-30T03:29:48"/>
        <d v="1899-12-30T03:28:51"/>
        <d v="1899-12-30T03:10:25"/>
        <d v="1899-12-30T03:30:34"/>
        <d v="1899-12-30T03:30:18"/>
        <d v="1899-12-30T04:14:34"/>
        <d v="1899-12-30T03:19:14"/>
        <d v="1899-12-30T02:11:20"/>
        <d v="1899-12-30T00:51:31"/>
        <d v="1899-12-30T01:32:40"/>
        <d v="1899-12-30T01:27:23"/>
        <d v="1899-12-30T00:20:53"/>
        <d v="1899-12-30T03:14:23"/>
        <d v="1899-12-30T00:04:20"/>
        <d v="1899-12-30T02:17:21"/>
        <d v="1899-12-30T01:09:23"/>
        <d v="1899-12-30T03:30:53"/>
        <d v="1899-12-30T02:34:25"/>
        <d v="1899-12-30T03:30:47"/>
        <d v="1899-12-30T02:45:57"/>
        <d v="1899-12-30T00:07:23"/>
        <d v="1899-12-30T02:29:07"/>
        <d v="1899-12-30T03:29:32"/>
        <d v="1899-12-30T04:29:11"/>
        <d v="1899-12-30T02:30:02"/>
        <d v="1899-12-30T00:46:51"/>
        <d v="1899-12-30T02:16:19"/>
        <d v="1900-01-06T01:44:56"/>
        <d v="1899-12-30T00:32:47"/>
        <d v="1899-12-30T01:38:36"/>
        <d v="1900-01-03T03:59:04"/>
        <d v="1899-12-30T04:18:59"/>
        <d v="1899-12-30T04:14:47"/>
        <d v="1899-12-30T00:46:40"/>
        <d v="1899-12-30T02:06:57"/>
        <d v="1899-12-30T00:06:39"/>
        <d v="1899-12-30T00:27:50"/>
        <d v="1899-12-30T02:09:24"/>
        <d v="1899-12-30T00:09:08"/>
        <d v="1899-12-30T03:52:34"/>
        <d v="1899-12-30T00:35:11"/>
        <d v="1899-12-30T03:40:36"/>
        <d v="1899-12-30T02:15:08"/>
        <d v="1899-12-30T00:27:19"/>
        <d v="1899-12-30T02:28:48"/>
        <d v="1899-12-30T02:27:22"/>
        <d v="1899-12-30T02:09:49"/>
        <d v="1899-12-30T02:09:32"/>
        <d v="1899-12-30T00:00:58"/>
        <d v="1900-01-09T00:10:16"/>
        <d v="1899-12-30T02:40:06"/>
        <d v="1899-12-30T02:44:35"/>
        <d v="1899-12-30T02:18:17"/>
        <d v="1899-12-30T00:18:33"/>
        <d v="1899-12-30T00:01:28"/>
        <d v="1899-12-30T00:13:21"/>
        <d v="1899-12-30T02:44:27"/>
        <d v="1899-12-30T03:32:47"/>
        <d v="1899-12-30T03:44:23"/>
        <d v="1899-12-30T02:10:48"/>
        <d v="1899-12-30T02:44:45"/>
        <d v="1899-12-30T00:03:16"/>
        <d v="1899-12-30T04:19:17"/>
        <d v="1900-01-04T20:35:55"/>
        <d v="1899-12-30T03:11:44"/>
        <d v="1899-12-30T13:03:49"/>
        <d v="1900-01-04T21:36:13"/>
        <d v="1899-12-30T00:08:37"/>
        <d v="1899-12-30T02:10:02"/>
        <d v="1899-12-30T02:15:59"/>
        <d v="1899-12-30T01:21:49"/>
        <d v="1899-12-30T03:19:10"/>
        <d v="1899-12-30T10:36:23"/>
        <d v="1899-12-30T02:09:37"/>
        <d v="1899-12-30T01:58:35"/>
        <d v="1899-12-30T12:01:18"/>
        <d v="1899-12-30T00:53:10"/>
        <d v="1900-01-08T17:55:41"/>
        <d v="1899-12-30T03:18:30"/>
        <d v="1899-12-30T02:56:15"/>
        <d v="1899-12-30T04:00:07"/>
        <d v="1899-12-30T05:23:22"/>
        <d v="1899-12-30T05:21:42"/>
        <d v="1899-12-30T02:17:31"/>
        <d v="1899-12-30T02:48:40"/>
        <d v="1899-12-30T02:16:13"/>
        <d v="1899-12-30T02:09:26"/>
        <d v="1899-12-30T02:09:05"/>
        <d v="1899-12-30T02:09:25"/>
        <d v="1899-12-30T04:16:50"/>
        <d v="1899-12-30T02:22:46"/>
        <d v="1899-12-30T04:08:39"/>
        <d v="1899-12-30T02:09:07"/>
        <d v="1899-12-30T02:16:02"/>
        <d v="1899-12-30T02:15:15"/>
        <d v="1899-12-30T02:09:58"/>
        <d v="1899-12-30T02:50:30"/>
        <d v="1899-12-30T00:31:06"/>
        <d v="1899-12-30T02:48:25"/>
        <d v="1899-12-30T02:49:34"/>
        <d v="1899-12-30T02:18:46"/>
        <d v="1899-12-30T12:23:19"/>
        <d v="1899-12-30T02:09:31"/>
        <d v="1899-12-30T04:19:20"/>
        <d v="1899-12-30T00:00:39"/>
        <d v="1899-12-30T00:01:10"/>
        <d v="1899-12-30T00:01:22"/>
        <d v="1899-12-30T00:04:22"/>
        <d v="1899-12-30T03:32:41"/>
        <d v="1899-12-30T03:38:24"/>
        <d v="1899-12-30T04:19:08"/>
        <d v="1899-12-30T01:09:47"/>
        <d v="1899-12-30T02:30:56"/>
        <d v="1899-12-30T02:52:45"/>
        <d v="1899-12-30T04:00:17"/>
        <d v="1899-12-30T02:54:21"/>
        <d v="1899-12-30T00:00:21"/>
        <d v="1899-12-30T00:00:22"/>
        <d v="1899-12-30T00:00:13"/>
        <d v="1899-12-30T00:00:12"/>
        <d v="1899-12-30T00:45:38"/>
        <d v="1899-12-30T00:00:33"/>
        <d v="1899-12-30T00:00:41"/>
        <d v="1899-12-30T00:00:48"/>
        <d v="1899-12-30T00:15:42"/>
        <d v="1899-12-30T00:00:36"/>
        <d v="1899-12-30T00:00:43"/>
        <d v="1899-12-30T00:25:18"/>
        <d v="1899-12-30T00:10:08"/>
        <d v="1899-12-30T00:00:32"/>
        <d v="1899-12-30T00:00:30"/>
        <d v="1899-12-30T03:11:35"/>
        <d v="1899-12-30T02:26:16"/>
        <d v="1899-12-30T02:09:23"/>
        <d v="1899-12-30T02:18:16"/>
        <d v="1899-12-30T02:11:51"/>
        <d v="1899-12-30T02:38:21"/>
        <d v="1899-12-30T02:09:48"/>
        <d v="1899-12-30T00:29:15"/>
        <d v="1899-12-30T00:36:39"/>
        <d v="1899-12-30T04:52:53"/>
        <d v="1899-12-30T03:15:25"/>
        <d v="1899-12-30T02:37:10"/>
        <d v="1899-12-30T00:04:24"/>
        <d v="1899-12-30T00:05:55"/>
        <d v="1899-12-30T00:05:00"/>
        <d v="1899-12-30T03:10:44"/>
        <d v="1899-12-30T03:07:31"/>
        <d v="1899-12-30T02:11:50"/>
        <d v="1899-12-30T02:16:05"/>
        <d v="1899-12-30T00:10:32"/>
        <d v="1899-12-30T04:11:46"/>
        <d v="1899-12-30T00:15:17"/>
        <d v="1899-12-30T01:26:00"/>
        <d v="1899-12-30T00:10:17"/>
        <d v="1899-12-30T02:34:03"/>
        <d v="1899-12-30T00:58:56"/>
        <d v="1899-12-30T00:00:42"/>
        <d v="1899-12-30T03:19:23"/>
        <d v="1899-12-30T02:32:51"/>
        <d v="1899-12-30T02:45:45"/>
        <d v="1899-12-30T01:03:32"/>
        <d v="1899-12-30T02:55:05"/>
        <d v="1899-12-30T03:01:40"/>
        <d v="1899-12-30T00:18:50"/>
        <d v="1899-12-30T04:33:12"/>
        <d v="1899-12-30T00:03:54"/>
        <d v="1899-12-30T03:28:40"/>
        <d v="1899-12-30T00:07:57"/>
        <d v="1899-12-30T07:51:49"/>
        <d v="1899-12-30T04:25:22"/>
        <d v="1899-12-30T04:30:53"/>
        <d v="1899-12-30T00:04:05"/>
        <d v="1899-12-30T00:08:02"/>
        <d v="1899-12-30T00:05:22"/>
        <d v="1899-12-30T02:46:56"/>
        <d v="1899-12-30T01:13:16"/>
        <d v="1900-01-04T09:39:19"/>
        <d v="1899-12-30T02:46:37"/>
        <d v="1900-01-09T11:29:45"/>
        <d v="1899-12-30T13:30:27"/>
        <d v="1899-12-30T14:05:57"/>
        <d v="1899-12-30T13:25:36"/>
        <d v="1900-01-01T12:25:01"/>
        <d v="1899-12-30T14:30:45"/>
        <d v="1899-12-30T13:30:26"/>
        <d v="1899-12-30T13:30:15"/>
        <d v="1899-12-30T13:30:23"/>
        <d v="1899-12-30T14:30:28"/>
        <d v="1899-12-30T13:30:24"/>
        <d v="1899-12-30T13:30:34"/>
        <d v="1899-12-30T13:30:17"/>
        <d v="1899-12-30T13:30:16"/>
        <d v="1899-12-30T13:30:05"/>
        <d v="1899-12-30T13:29:56"/>
        <d v="1899-12-30T12:35:09"/>
        <d v="1899-12-30T12:29:53"/>
        <d v="1899-12-30T13:30:19"/>
        <d v="1900-01-07T10:52:38"/>
        <d v="1899-12-30T11:15:52"/>
        <d v="1899-12-30T12:29:56"/>
        <d v="1899-12-30T12:30:31"/>
        <d v="1899-12-30T12:30:38"/>
        <d v="1899-12-30T12:30:39"/>
        <d v="1899-12-30T14:07:33"/>
        <d v="1899-12-30T12:30:16"/>
        <d v="1899-12-30T13:30:09"/>
        <d v="1899-12-30T13:29:59"/>
        <d v="1899-12-30T12:45:32"/>
        <d v="1899-12-30T12:30:44"/>
        <d v="1899-12-31T11:16:49"/>
        <d v="1899-12-30T12:29:52"/>
        <d v="1899-12-30T05:54:24"/>
        <d v="1899-12-30T01:37:29"/>
        <d v="1899-12-30T05:29:49"/>
        <d v="1899-12-30T06:30:19"/>
        <d v="1899-12-30T05:28:08"/>
        <d v="1899-12-30T04:35:41"/>
        <d v="1899-12-30T05:20:17"/>
        <d v="1899-12-30T05:21:08"/>
        <d v="1899-12-30T06:30:43"/>
        <d v="1899-12-30T01:25:48"/>
        <d v="1899-12-30T05:29:45"/>
        <d v="1899-12-30T01:29:50"/>
        <d v="1899-12-30T01:02:10"/>
        <d v="1899-12-30T02:43:35"/>
        <d v="1899-12-30T02:17:38"/>
        <d v="1899-12-30T00:15:22"/>
        <d v="1899-12-30T02:08:02"/>
        <d v="1899-12-30T02:28:10"/>
        <d v="1899-12-30T02:14:53"/>
        <d v="1899-12-30T02:39:00"/>
        <d v="1899-12-30T03:16:12"/>
        <d v="1899-12-30T00:49:38"/>
        <d v="1899-12-30T00:46:46"/>
        <d v="1899-12-30T04:25:48"/>
        <d v="1899-12-30T03:52:18"/>
        <d v="1899-12-30T02:25:59"/>
        <d v="1899-12-30T03:29:59"/>
        <d v="1899-12-30T03:30:03"/>
        <d v="1899-12-30T03:30:37"/>
        <d v="1899-12-30T03:30:05"/>
        <d v="1899-12-30T03:30:31"/>
        <d v="1899-12-30T03:30:26"/>
        <d v="1899-12-30T04:18:00"/>
        <d v="1899-12-30T04:22:48"/>
        <d v="1899-12-30T02:37:48"/>
        <d v="1899-12-30T01:09:59"/>
        <d v="1899-12-30T03:29:35"/>
        <d v="1899-12-30T03:30:20"/>
        <d v="1899-12-30T03:36:28"/>
        <d v="1899-12-30T03:30:23"/>
        <d v="1899-12-30T02:24:38"/>
        <d v="1899-12-30T03:14:42"/>
        <d v="1899-12-30T03:14:08"/>
        <d v="1899-12-30T02:25:25"/>
        <d v="1899-12-30T01:24:28"/>
        <d v="1899-12-30T00:51:14"/>
        <d v="1899-12-30T02:59:10"/>
        <d v="1899-12-30T02:12:40"/>
        <d v="1899-12-30T01:13:28"/>
        <d v="1899-12-30T02:59:14"/>
        <d v="1899-12-30T02:17:10"/>
        <d v="1899-12-30T00:14:31"/>
        <d v="1899-12-30T02:49:17"/>
        <d v="1899-12-30T02:23:44"/>
        <d v="1899-12-30T01:51:40"/>
        <d v="1899-12-30T03:30:44"/>
        <d v="1899-12-30T02:49:36"/>
        <d v="1899-12-30T00:02:32"/>
        <d v="1899-12-30T01:12:08"/>
        <d v="1899-12-30T03:47:53"/>
        <d v="1899-12-30T02:42:30"/>
        <d v="1899-12-30T03:29:55"/>
        <d v="1899-12-30T04:14:40"/>
        <d v="1899-12-30T04:09:26"/>
        <d v="1899-12-30T02:36:08"/>
        <d v="1899-12-30T04:09:16"/>
        <d v="1899-12-30T01:33:57"/>
        <d v="1899-12-30T02:17:57"/>
        <d v="1900-01-04T04:00:53"/>
        <d v="1899-12-30T00:04:13"/>
        <d v="1899-12-30T02:39:16"/>
        <d v="1899-12-30T02:13:59"/>
        <d v="1899-12-30T00:04:55"/>
        <d v="1899-12-31T00:27:42"/>
        <d v="1899-12-30T03:45:32"/>
        <d v="1899-12-30T02:09:45"/>
        <d v="1899-12-30T02:42:25"/>
        <d v="1899-12-30T00:41:18"/>
        <d v="1899-12-30T02:32:00"/>
        <d v="1899-12-30T03:07:52"/>
        <d v="1899-12-30T02:41:59"/>
        <d v="1899-12-30T02:10:29"/>
        <d v="1899-12-30T03:07:32"/>
        <d v="1899-12-30T03:48:06"/>
        <d v="1899-12-30T00:39:37"/>
        <d v="1899-12-30T02:09:53"/>
        <d v="1899-12-30T00:14:39"/>
        <d v="1899-12-30T02:09:55"/>
        <d v="1899-12-30T03:36:07"/>
        <d v="1900-01-09T00:10:34"/>
        <d v="1899-12-30T00:25:54"/>
        <d v="1899-12-30T00:27:15"/>
        <d v="1899-12-30T03:09:05"/>
        <d v="1899-12-30T03:35:46"/>
        <d v="1899-12-30T02:48:05"/>
        <d v="1900-01-09T00:10:21"/>
        <d v="1899-12-30T03:52:49"/>
        <d v="1899-12-30T03:37:25"/>
        <d v="1899-12-30T02:49:01"/>
        <d v="1899-12-30T04:26:26"/>
        <d v="1899-12-30T02:14:16"/>
        <d v="1899-12-30T02:19:35"/>
        <d v="1899-12-30T02:46:18"/>
        <d v="1899-12-30T02:43:41"/>
        <d v="1899-12-30T00:03:04"/>
        <d v="1899-12-30T00:03:45"/>
        <d v="1899-12-30T02:28:57"/>
        <d v="1899-12-30T03:13:21"/>
        <d v="1899-12-30T00:28:13"/>
        <d v="1899-12-30T04:20:11"/>
        <d v="1899-12-30T02:00:55"/>
        <d v="1899-12-30T01:52:46"/>
        <d v="1899-12-30T02:09:50"/>
        <d v="1900-01-08T16:22:40"/>
        <d v="1899-12-30T05:28:38"/>
        <d v="1899-12-30T05:22:44"/>
        <d v="1899-12-30T02:09:46"/>
        <d v="1899-12-30T07:18:35"/>
        <d v="1899-12-30T00:16:09"/>
        <d v="1899-12-30T03:46:23"/>
        <d v="1899-12-30T00:02:06"/>
        <d v="1899-12-30T02:51:59"/>
        <d v="1899-12-30T02:09:27"/>
        <d v="1899-12-30T04:23:00"/>
        <d v="1899-12-30T02:32:48"/>
        <d v="1899-12-30T03:06:22"/>
        <d v="1899-12-30T02:44:06"/>
        <d v="1899-12-30T02:50:54"/>
        <d v="1899-12-30T02:18:56"/>
        <d v="1899-12-30T00:36:24"/>
        <d v="1899-12-30T04:09:53"/>
        <d v="1899-12-30T03:05:51"/>
        <d v="1899-12-30T00:03:19"/>
        <d v="1899-12-30T02:25:53"/>
        <d v="1899-12-30T03:01:26"/>
        <d v="1899-12-30T03:56:06"/>
        <d v="1899-12-30T02:20:23"/>
        <d v="1899-12-30T02:47:14"/>
        <d v="1899-12-30T04:29:54"/>
        <d v="1899-12-30T02:48:01"/>
        <d v="1899-12-30T02:09:56"/>
        <d v="1899-12-30T02:12:54"/>
        <d v="1899-12-30T00:01:38"/>
        <d v="1899-12-30T00:00:49"/>
        <d v="1899-12-30T00:01:12"/>
        <d v="1899-12-30T00:01:17"/>
        <d v="1899-12-30T00:00:54"/>
        <d v="1899-12-30T00:01:15"/>
        <d v="1899-12-30T04:27:50"/>
        <d v="1899-12-30T00:20:15"/>
        <d v="1899-12-31T02:55:30"/>
        <d v="1899-12-30T02:41:11"/>
        <d v="1899-12-30T02:10:26"/>
        <d v="1899-12-30T02:19:22"/>
        <d v="1899-12-30T00:05:18"/>
        <d v="1899-12-30T00:01:11"/>
        <d v="1899-12-30T00:00:34"/>
        <d v="1899-12-30T00:00:14"/>
        <d v="1899-12-30T00:00:26"/>
        <d v="1899-12-30T00:01:34"/>
        <d v="1899-12-30T00:00:29"/>
        <d v="1899-12-30T00:10:12"/>
        <d v="1899-12-30T02:33:36"/>
        <d v="1899-12-30T02:09:03"/>
        <d v="1899-12-30T02:17:18"/>
        <d v="1899-12-30T02:09:13"/>
        <d v="1899-12-30T04:03:05"/>
        <d v="1899-12-30T00:11:52"/>
        <d v="1899-12-30T03:38:31"/>
        <d v="1899-12-30T02:09:29"/>
        <d v="1899-12-30T04:22:57"/>
        <d v="1899-12-31T03:01:55"/>
        <d v="1899-12-30T00:25:04"/>
        <d v="1899-12-30T03:23:55"/>
        <d v="1899-12-30T03:01:19"/>
        <d v="1899-12-30T00:32:55"/>
        <d v="1899-12-30T02:38:26"/>
        <d v="1899-12-30T00:07:01"/>
        <d v="1899-12-30T03:49:25"/>
        <d v="1899-12-30T00:07:34"/>
        <d v="1899-12-30T03:47:13"/>
        <d v="1899-12-30T02:30:36"/>
        <d v="1899-12-30T00:46:41"/>
        <d v="1899-12-30T04:17:46"/>
        <d v="1899-12-30T00:46:42"/>
        <d v="1899-12-30T02:55:44"/>
        <d v="1899-12-30T02:25:36"/>
        <d v="1899-12-30T00:22:48"/>
        <d v="1899-12-30T00:04:39"/>
        <d v="1899-12-30T02:48:38"/>
        <d v="1899-12-30T04:06:23"/>
        <d v="1899-12-30T02:28:02"/>
        <d v="1899-12-30T00:07:51"/>
        <d v="1899-12-30T02:27:45"/>
        <d v="1899-12-30T03:19:07"/>
        <d v="1899-12-31T00:51:5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s v="3534007535487119762"/>
    <s v=""/>
    <x v="0"/>
    <n v="0"/>
    <s v=""/>
    <s v="NULL"/>
    <x v="0"/>
    <s v="2026-07-07 07:30:27"/>
    <s v="2026-07-07 07:40:28"/>
    <s v="NULL"/>
    <s v="NULL"/>
    <s v="2026-07-07 09:40:28"/>
    <s v=""/>
    <s v="106.5231879"/>
    <s v="10.6277377"/>
    <s v="106.7012286"/>
    <s v="10.7578246"/>
    <n v="117828"/>
    <n v="0"/>
    <n v="117828"/>
    <s v="Cash"/>
    <s v="Công ty Lavie Long An - Nhà phân phối nước khoáng lavie cửa hàng 24/24, Ấp Chánh, Mỹ Yên, Tây Ninh, Việt NamCông ty Lavie Long An - Nhà phân phối nước khoáng lavie cửa hàng 24/24"/>
    <s v="Quận 4, Khánh Hội, Hồ Chí Minh, Việt NamQuận 4"/>
    <n v="1"/>
    <x v="0"/>
    <x v="0"/>
    <d v="1899-12-30T07:30:27"/>
    <x v="0"/>
  </r>
  <r>
    <s v="3534007535487120225"/>
    <s v=""/>
    <x v="0"/>
    <n v="0"/>
    <s v=""/>
    <s v="NULL"/>
    <x v="0"/>
    <s v="2026-07-07 07:33:04"/>
    <s v="2026-07-07 07:43:05"/>
    <s v="NULL"/>
    <s v="NULL"/>
    <s v="2026-07-07 09:43:05"/>
    <s v=""/>
    <s v="106.5231879"/>
    <s v="10.6277377"/>
    <s v="106.6536587"/>
    <s v="10.7295791"/>
    <n v="91692"/>
    <n v="0"/>
    <n v="91692"/>
    <s v="Cash"/>
    <s v="Công ty Lavie Long An - Nhà phân phối nước khoáng lavie cửa hàng 24/24, Ấp Chánh, Mỹ Yên, Tây Ninh, Việt NamCông ty Lavie Long An - Nhà phân phối nước khoáng lavie cửa hàng 24/24"/>
    <s v="Quận 8, Đường Số 18, Ấp 2, Bình Hưng, Hồ Chí Minh, Việt NamQuận 8"/>
    <n v="1"/>
    <x v="0"/>
    <x v="0"/>
    <d v="1899-12-30T07:33:04"/>
    <x v="0"/>
  </r>
  <r>
    <s v="3534010775092032064"/>
    <s v=""/>
    <x v="0"/>
    <n v="0"/>
    <s v=""/>
    <s v="NULL"/>
    <x v="0"/>
    <s v="2026-07-07 07:30:01"/>
    <s v="2026-07-07 07:40:02"/>
    <s v="NULL"/>
    <s v="NULL"/>
    <s v="2026-07-07 09:40:02"/>
    <s v=""/>
    <s v="106.5231879"/>
    <s v="10.6277377"/>
    <s v="106.6714905"/>
    <s v="10.7833121"/>
    <n v="113400"/>
    <n v="0"/>
    <n v="113400"/>
    <s v="Cash"/>
    <s v="Công ty Lavie Long An - Nhà phân phối nước khoáng lavie cửa hàng 24/24, Ấp Chánh, Mỹ Yên, Tây Ninh, Việt NamCông ty Lavie Long An - Nhà phân phối nước khoáng lavie cửa hàng 24/24"/>
    <s v="Quận 3, Nhiêu Lộc, Hồ Chí Minh, Việt NamQuận 3"/>
    <n v="1"/>
    <x v="0"/>
    <x v="0"/>
    <d v="1899-12-30T07:30:01"/>
    <x v="0"/>
  </r>
  <r>
    <s v="3534010775092032246"/>
    <s v=""/>
    <x v="0"/>
    <n v="0"/>
    <s v=""/>
    <s v="NULL"/>
    <x v="0"/>
    <s v="2026-07-07 07:31:08"/>
    <s v="2026-07-07 07:41:09"/>
    <s v="NULL"/>
    <s v="NULL"/>
    <s v="2026-07-07 09:41:09"/>
    <s v=""/>
    <s v="106.5231879"/>
    <s v="10.6277377"/>
    <s v="106.6746036"/>
    <s v="10.7504578"/>
    <n v="104544"/>
    <n v="0"/>
    <n v="104544"/>
    <s v="Cash"/>
    <s v="Công ty Lavie Long An - Nhà phân phối nước khoáng lavie cửa hàng 24/24, Ấp Chánh, Mỹ Yên, Tây Ninh, Việt NamCông ty Lavie Long An - Nhà phân phối nước khoáng lavie cửa hàng 24/24"/>
    <s v="Quận 5, Trần Tuấn Khải, An Đông, Hồ Chí Minh, Việt NamQuận 5"/>
    <n v="1"/>
    <x v="0"/>
    <x v="0"/>
    <d v="1899-12-30T07:31:08"/>
    <x v="0"/>
  </r>
  <r>
    <s v="3534010775108804700"/>
    <s v=""/>
    <x v="0"/>
    <n v="0"/>
    <s v=""/>
    <s v="NULL"/>
    <x v="0"/>
    <s v="2026-07-07 07:32:47"/>
    <s v="2026-07-07 07:42:48"/>
    <s v="NULL"/>
    <s v="NULL"/>
    <s v="2026-07-07 09:42:48"/>
    <s v=""/>
    <s v="106.5231879"/>
    <s v="10.6277377"/>
    <s v="106.6680016"/>
    <s v="10.7369477"/>
    <n v="99792"/>
    <n v="0"/>
    <n v="99792"/>
    <s v="Cash"/>
    <s v="Công ty Lavie Long An - Nhà phân phối nước khoáng lavie cửa hàng 24/24, Ấp Chánh, Mỹ Yên, Tây Ninh, Việt NamCông ty Lavie Long An - Nhà phân phối nước khoáng lavie cửa hàng 24/24"/>
    <s v="Quận 7, Đường Hoàng Kim Giao, Chánh Hưng, Hồ Chí Minh, Việt NamQuận 7"/>
    <n v="1"/>
    <x v="0"/>
    <x v="0"/>
    <d v="1899-12-30T07:32:47"/>
    <x v="0"/>
  </r>
  <r>
    <s v="3534010775108804807"/>
    <s v=""/>
    <x v="0"/>
    <n v="0"/>
    <s v=""/>
    <s v="NULL"/>
    <x v="0"/>
    <s v="2026-07-07 07:33:21"/>
    <s v="2026-07-07 07:43:22"/>
    <s v="NULL"/>
    <s v="NULL"/>
    <s v="2026-07-07 09:43:22"/>
    <s v=""/>
    <s v="106.5231879"/>
    <s v="10.6277377"/>
    <s v="106.6536587"/>
    <s v="10.7295791"/>
    <n v="91692"/>
    <n v="0"/>
    <n v="91692"/>
    <s v="Cash"/>
    <s v="Công ty Lavie Long An - Nhà phân phối nước khoáng lavie cửa hàng 24/24, Ấp Chánh, Mỹ Yên, Tây Ninh, Việt NamCông ty Lavie Long An - Nhà phân phối nước khoáng lavie cửa hàng 24/24"/>
    <s v="Quận 8, Đường Số 18, Ấp 2, Bình Hưng, Hồ Chí Minh, Việt NamQuận 8"/>
    <n v="1"/>
    <x v="0"/>
    <x v="0"/>
    <d v="1899-12-30T07:33:21"/>
    <x v="0"/>
  </r>
  <r>
    <s v="3534011301603009201"/>
    <s v=""/>
    <x v="0"/>
    <n v="0"/>
    <s v=""/>
    <s v="NULL"/>
    <x v="0"/>
    <s v="2026-07-07 07:31:26"/>
    <s v="2026-07-07 07:41:27"/>
    <s v="NULL"/>
    <s v="NULL"/>
    <s v="2026-07-07 09:41:27"/>
    <s v=""/>
    <s v="106.5231879"/>
    <s v="10.6277377"/>
    <s v="106.6746036"/>
    <s v="10.7504578"/>
    <n v="104544"/>
    <n v="0"/>
    <n v="104544"/>
    <s v="Cash"/>
    <s v="Công ty Lavie Long An - Nhà phân phối nước khoáng lavie cửa hàng 24/24, Ấp Chánh, Mỹ Yên, Tây Ninh, Việt NamCông ty Lavie Long An - Nhà phân phối nước khoáng lavie cửa hàng 24/24"/>
    <s v="Quận 5, Trần Tuấn Khải, An Đông, Hồ Chí Minh, Việt NamQuận 5"/>
    <n v="1"/>
    <x v="0"/>
    <x v="0"/>
    <d v="1899-12-30T07:31:26"/>
    <x v="0"/>
  </r>
  <r>
    <s v="3534011301619781713"/>
    <s v=""/>
    <x v="0"/>
    <n v="4179701"/>
    <s v=""/>
    <s v="Motorcycle"/>
    <x v="1"/>
    <s v="2026-07-07 07:33:40"/>
    <s v="2026-07-07 07:43:41"/>
    <s v="2026-07-07 08:21:50"/>
    <s v="NULL"/>
    <s v="2026-07-07 08:25:04"/>
    <s v=""/>
    <s v="106.5231879"/>
    <s v="10.6277377"/>
    <s v="106.7866577"/>
    <s v="10.8450844"/>
    <n v="191160"/>
    <n v="156910"/>
    <n v="34250"/>
    <s v="Cash"/>
    <s v="Công ty Lavie Long An - Nhà phân phối nước khoáng lavie cửa hàng 24/24, Ấp Chánh, Mỹ Yên, Tây Ninh, Việt NamCông ty Lavie Long An - Nhà phân phối nước khoáng lavie cửa hàng 24/24"/>
    <s v="Quận 9, Tăng Nhơn Phú, Hồ Chí Minh, Việt NamQuận 9"/>
    <n v="1"/>
    <x v="0"/>
    <x v="0"/>
    <d v="1899-12-30T07:33:40"/>
    <x v="1"/>
  </r>
  <r>
    <s v="3534012472182924148"/>
    <s v=""/>
    <x v="0"/>
    <n v="3746341"/>
    <s v=""/>
    <s v="Motorcycle"/>
    <x v="1"/>
    <s v="2026-07-07 07:28:17"/>
    <s v="2026-07-07 07:38:18"/>
    <s v="2026-07-07 08:22:06"/>
    <s v="NULL"/>
    <s v="2026-07-07 08:24:35"/>
    <s v=""/>
    <s v="106.5231879"/>
    <s v="10.6277377"/>
    <s v="106.690788"/>
    <s v="10.793931"/>
    <n v="123660"/>
    <n v="101504"/>
    <n v="22156"/>
    <s v="Cash"/>
    <s v="Công ty Lavie Long An - Nhà phân phối nước khoáng lavie cửa hàng 24/24, Ấp Chánh, Mỹ Yên, Tây Ninh, Việt NamCông ty Lavie Long An - Nhà phân phối nước khoáng lavie cửa hàng 24/24"/>
    <s v="Quận 1, Đường Trần Khắc Chân, Tân Định, Hồ Chí Minh, Việt NamQuận 1"/>
    <n v="1"/>
    <x v="0"/>
    <x v="0"/>
    <d v="1899-12-30T07:28:17"/>
    <x v="2"/>
  </r>
  <r>
    <s v="3534012472199696520"/>
    <s v=""/>
    <x v="0"/>
    <n v="0"/>
    <s v=""/>
    <s v="NULL"/>
    <x v="0"/>
    <s v="2026-07-07 07:29:39"/>
    <s v="2026-07-07 07:39:40"/>
    <s v="NULL"/>
    <s v="NULL"/>
    <s v="2026-07-07 09:39:40"/>
    <s v=""/>
    <s v="106.5231879"/>
    <s v="10.6277377"/>
    <s v="106.6650848"/>
    <s v="10.7895815"/>
    <n v="115992"/>
    <n v="0"/>
    <n v="115992"/>
    <s v="Cash"/>
    <s v="Công ty Lavie Long An - Nhà phân phối nước khoáng lavie cửa hàng 24/24, Ấp Chánh, Mỹ Yên, Tây Ninh, Việt NamCông ty Lavie Long An - Nhà phân phối nước khoáng lavie cửa hàng 24/24"/>
    <s v="Quận 3, Cách Mạng Tháng Tám, Nhiêu Lộc, Hồ Chí Minh, Việt NamQuận 3"/>
    <n v="1"/>
    <x v="0"/>
    <x v="0"/>
    <d v="1899-12-30T07:29:39"/>
    <x v="0"/>
  </r>
  <r>
    <s v="3534012472199696988"/>
    <s v=""/>
    <x v="0"/>
    <n v="0"/>
    <s v=""/>
    <s v="NULL"/>
    <x v="0"/>
    <s v="2026-07-07 07:32:29"/>
    <s v="2026-07-07 07:42:30"/>
    <s v="NULL"/>
    <s v="NULL"/>
    <s v="2026-07-07 09:42:30"/>
    <s v=""/>
    <s v="106.5231879"/>
    <s v="10.6277377"/>
    <s v="106.7076858"/>
    <s v="10.7295817"/>
    <n v="108648"/>
    <n v="0"/>
    <n v="108648"/>
    <s v="Cash"/>
    <s v="Công ty Lavie Long An - Nhà phân phối nước khoáng lavie cửa hàng 24/24, Ấp Chánh, Mỹ Yên, Tây Ninh, Việt NamCông ty Lavie Long An - Nhà phân phối nước khoáng lavie cửa hàng 24/24"/>
    <s v="quận 7, Hưng Phước 4, Khu đô thị Phú Mỹ Hưng, Tân Hưng, Hồ Chí Minh, Việt Namquận 7"/>
    <n v="1"/>
    <x v="0"/>
    <x v="0"/>
    <d v="1899-12-30T07:32:29"/>
    <x v="0"/>
  </r>
  <r>
    <s v="3534012472216482093"/>
    <s v=""/>
    <x v="0"/>
    <n v="0"/>
    <s v=""/>
    <s v="NULL"/>
    <x v="0"/>
    <s v="2026-07-07 07:36:47"/>
    <s v="2026-07-07 07:46:48"/>
    <s v="NULL"/>
    <s v="NULL"/>
    <s v="2026-07-07 09:46:48"/>
    <s v=""/>
    <s v="106.5231879"/>
    <s v="10.6277377"/>
    <s v="106.627662"/>
    <s v="10.859887"/>
    <n v="139428"/>
    <n v="0"/>
    <n v="139428"/>
    <s v="Cash"/>
    <s v="Công ty Lavie Long An - Nhà phân phối nước khoáng lavie cửa hàng 24/24, Ấp Chánh, Mỹ Yên, Tây Ninh, Việt NamCông ty Lavie Long An - Nhà phân phối nước khoáng lavie cửa hàng 24/24"/>
    <s v="Quan 12, Đông Bắc, Trung Mỹ Tây, Hồ Chí Minh, Việt NamQuan 12"/>
    <n v="1"/>
    <x v="0"/>
    <x v="0"/>
    <d v="1899-12-30T07:36:47"/>
    <x v="0"/>
  </r>
  <r>
    <s v="3534014380373135707"/>
    <s v=""/>
    <x v="0"/>
    <n v="0"/>
    <s v=""/>
    <s v="NULL"/>
    <x v="0"/>
    <s v="2026-07-07 07:34:33"/>
    <s v="2026-07-07 07:44:34"/>
    <s v="NULL"/>
    <s v="NULL"/>
    <s v="2026-07-07 09:44:34"/>
    <s v=""/>
    <s v="106.5231879"/>
    <s v="10.6277377"/>
    <s v="106.825223"/>
    <s v="10.8010303"/>
    <n v="187596"/>
    <n v="0"/>
    <n v="187596"/>
    <s v="Cash"/>
    <s v="Công ty Lavie Long An - Nhà phân phối nước khoáng lavie cửa hàng 24/24, Ấp Chánh, Mỹ Yên, Tây Ninh, Việt NamCông ty Lavie Long An - Nhà phân phối nước khoáng lavie cửa hàng 24/24"/>
    <s v="Quận 9, Long Trường, Hồ Chí Minh, Việt NamQuận 9"/>
    <n v="1"/>
    <x v="0"/>
    <x v="0"/>
    <d v="1899-12-30T07:34:33"/>
    <x v="0"/>
  </r>
  <r>
    <s v="3534014380373136008"/>
    <s v=""/>
    <x v="0"/>
    <n v="0"/>
    <s v=""/>
    <s v="NULL"/>
    <x v="0"/>
    <s v="2026-07-07 07:36:29"/>
    <s v="2026-07-07 07:46:30"/>
    <s v="NULL"/>
    <s v="NULL"/>
    <s v="2026-07-07 09:46:30"/>
    <s v=""/>
    <s v="106.5231879"/>
    <s v="10.6277377"/>
    <s v="106.6745776"/>
    <s v="10.865126"/>
    <n v="151956"/>
    <n v="0"/>
    <n v="151956"/>
    <s v="Cash"/>
    <s v="Công ty Lavie Long An - Nhà phân phối nước khoáng lavie cửa hàng 24/24, Ấp Chánh, Mỹ Yên, Tây Ninh, Việt NamCông ty Lavie Long An - Nhà phân phối nước khoáng lavie cửa hàng 24/24"/>
    <s v="Quận 12, Thới An, Hồ Chí Minh, Việt NamQuận 12"/>
    <n v="1"/>
    <x v="0"/>
    <x v="0"/>
    <d v="1899-12-30T07:36:29"/>
    <x v="0"/>
  </r>
  <r>
    <s v="3534016166374887578"/>
    <s v=""/>
    <x v="0"/>
    <n v="0"/>
    <s v=""/>
    <s v="NULL"/>
    <x v="0"/>
    <s v="2026-07-07 07:35:55"/>
    <s v="2026-07-07 07:45:56"/>
    <s v="NULL"/>
    <s v="NULL"/>
    <s v="2026-07-07 09:45:56"/>
    <s v=""/>
    <s v="106.5231879"/>
    <s v="10.6277377"/>
    <s v="106.6483066"/>
    <s v="10.7589406"/>
    <n v="99036"/>
    <n v="0"/>
    <n v="99036"/>
    <s v="Cash"/>
    <s v="Công ty Lavie Long An - Nhà phân phối nước khoáng lavie cửa hàng 24/24, Ấp Chánh, Mỹ Yên, Tây Ninh, Việt NamCông ty Lavie Long An - Nhà phân phối nước khoáng lavie cửa hàng 24/24"/>
    <s v="Quận 11, Đường Xóm Đất, Bình Thới, Hồ Chí Minh, Việt NamQuận 11"/>
    <n v="1"/>
    <x v="0"/>
    <x v="0"/>
    <d v="1899-12-30T07:35:55"/>
    <x v="0"/>
  </r>
  <r>
    <s v="3534743471825048236"/>
    <s v=""/>
    <x v="0"/>
    <n v="2852976"/>
    <s v=""/>
    <s v="Motorcycle"/>
    <x v="1"/>
    <s v="2026-07-08 07:47:24"/>
    <s v="2026-07-08 07:57:25"/>
    <s v="2026-07-08 07:47:30"/>
    <s v="NULL"/>
    <s v="2026-07-08 07:50:20"/>
    <s v=""/>
    <s v="106.5231879"/>
    <s v="10.6277377"/>
    <s v="106.690788"/>
    <s v="10.793931"/>
    <n v="123660"/>
    <n v="101504"/>
    <n v="22156"/>
    <s v="Cash"/>
    <s v="Công ty Lavie Long An - Nhà phân phối nước khoáng lavie cửa hàng 24/24, Ấp Chánh, Mỹ Yên, Tây Ninh, Việt NamCông ty Lavie Long An - Nhà phân phối nước khoáng lavie cửa hàng 24/24"/>
    <s v="Quận 1, Đường Trần Khắc Chân, Tân Định, Hồ Chí Minh, Việt NamQuận 1"/>
    <n v="1"/>
    <x v="0"/>
    <x v="1"/>
    <d v="1899-12-30T07:47:24"/>
    <x v="3"/>
  </r>
  <r>
    <s v="3534749721749054014"/>
    <s v=""/>
    <x v="0"/>
    <n v="0"/>
    <s v=""/>
    <s v="NULL"/>
    <x v="0"/>
    <s v="2026-07-08 07:52:13"/>
    <s v="2026-07-08 08:02:14"/>
    <s v="NULL"/>
    <s v="NULL"/>
    <s v="2026-07-08 10:02:14"/>
    <s v=""/>
    <s v="106.5231879"/>
    <s v="10.6277377"/>
    <s v="106.6680016"/>
    <s v="10.7369477"/>
    <n v="99792"/>
    <n v="0"/>
    <n v="99792"/>
    <s v="Cash"/>
    <s v="Công ty Lavie Long An - Nhà phân phối nước khoáng lavie cửa hàng 24/24, Ấp Chánh, Mỹ Yên, Tây Ninh, Việt NamCông ty Lavie Long An - Nhà phân phối nước khoáng lavie cửa hàng 24/24"/>
    <s v="Quận 7, Đường Hoàng Kim Giao, Chánh Hưng, Hồ Chí Minh, Việt NamQuận 7"/>
    <n v="1"/>
    <x v="0"/>
    <x v="1"/>
    <d v="1899-12-30T07:52:13"/>
    <x v="0"/>
  </r>
  <r>
    <s v="3534749721765826649"/>
    <s v=""/>
    <x v="0"/>
    <n v="0"/>
    <s v=""/>
    <s v="NULL"/>
    <x v="0"/>
    <s v="2026-07-08 07:54:23"/>
    <s v="2026-07-08 08:04:24"/>
    <s v="NULL"/>
    <s v="NULL"/>
    <s v="2026-07-08 10:04:24"/>
    <s v=""/>
    <s v="106.5231879"/>
    <s v="10.6277377"/>
    <s v="106.6727587"/>
    <s v="10.7604736"/>
    <n v="106812"/>
    <n v="0"/>
    <n v="106812"/>
    <s v="Cash"/>
    <s v="Công ty Lavie Long An - Nhà phân phối nước khoáng lavie cửa hàng 24/24, Ấp Chánh, Mỹ Yên, Tây Ninh, Việt NamCông ty Lavie Long An - Nhà phân phối nước khoáng lavie cửa hàng 24/24"/>
    <s v="Quận 10, Đường Nguyễn Chí Thanh, An Đông, Hồ Chí Minh, Việt NamQuận 10"/>
    <n v="1"/>
    <x v="0"/>
    <x v="1"/>
    <d v="1899-12-30T07:54:23"/>
    <x v="0"/>
  </r>
  <r>
    <s v="3534750002918417308"/>
    <s v=""/>
    <x v="0"/>
    <n v="0"/>
    <s v=""/>
    <s v="NULL"/>
    <x v="0"/>
    <s v="2026-07-08 07:54:02"/>
    <s v="2026-07-08 08:04:03"/>
    <s v="NULL"/>
    <s v="NULL"/>
    <s v="2026-07-08 10:04:03"/>
    <s v=""/>
    <s v="106.5231879"/>
    <s v="10.6277377"/>
    <s v="106.6720206"/>
    <s v="10.7723438"/>
    <n v="109728"/>
    <n v="0"/>
    <n v="109728"/>
    <s v="Cash"/>
    <s v="Công ty Lavie Long An - Nhà phân phối nước khoáng lavie cửa hàng 24/24, Ấp Chánh, Mỹ Yên, Tây Ninh, Việt NamCông ty Lavie Long An - Nhà phân phối nước khoáng lavie cửa hàng 24/24"/>
    <s v="Quận 10 TP HCM, Đường Lê Hồng Phong, Hòa Hưng, Hồ Chí Minh, Việt NamQuận 10 TP HCM"/>
    <n v="1"/>
    <x v="0"/>
    <x v="1"/>
    <d v="1899-12-30T07:54:02"/>
    <x v="0"/>
  </r>
  <r>
    <s v="3534750002935189872"/>
    <s v=""/>
    <x v="0"/>
    <n v="0"/>
    <s v=""/>
    <s v="NULL"/>
    <x v="0"/>
    <s v="2026-07-08 07:56:10"/>
    <s v="2026-07-08 08:06:10"/>
    <s v="NULL"/>
    <s v="NULL"/>
    <s v="2026-07-08 10:06:10"/>
    <s v=""/>
    <s v="106.5231879"/>
    <s v="10.6277377"/>
    <s v="106.627662"/>
    <s v="10.859887"/>
    <n v="139428"/>
    <n v="0"/>
    <n v="139428"/>
    <s v="Cash"/>
    <s v="Công ty Lavie Long An - Nhà phân phối nước khoáng lavie cửa hàng 24/24, Ấp Chánh, Mỹ Yên, Tây Ninh, Việt NamCông ty Lavie Long An - Nhà phân phối nước khoáng lavie cửa hàng 24/24"/>
    <s v="Quan 12, Đông Bắc, Trung Mỹ Tây, Hồ Chí Minh, Việt NamQuan 12"/>
    <n v="1"/>
    <x v="0"/>
    <x v="1"/>
    <d v="1899-12-30T07:56:10"/>
    <x v="4"/>
  </r>
  <r>
    <s v="3534750781481906437"/>
    <s v=""/>
    <x v="0"/>
    <n v="0"/>
    <s v=""/>
    <s v="NULL"/>
    <x v="0"/>
    <s v="2026-07-08 07:47:55"/>
    <s v="2026-07-08 07:57:56"/>
    <s v="NULL"/>
    <s v="NULL"/>
    <s v="2026-07-08 09:57:56"/>
    <s v=""/>
    <s v="106.5231879"/>
    <s v="10.6277377"/>
    <s v="106.690788"/>
    <s v="10.793931"/>
    <n v="123660"/>
    <n v="0"/>
    <n v="123660"/>
    <s v="Cash"/>
    <s v="Công ty Lavie Long An - Nhà phân phối nước khoáng lavie cửa hàng 24/24, Ấp Chánh, Mỹ Yên, Tây Ninh, Việt NamCông ty Lavie Long An - Nhà phân phối nước khoáng lavie cửa hàng 24/24"/>
    <s v="Quận 1, Đường Trần Khắc Chân, Tân Định, Hồ Chí Minh, Việt NamQuận 1"/>
    <n v="1"/>
    <x v="0"/>
    <x v="1"/>
    <d v="1899-12-30T07:47:55"/>
    <x v="0"/>
  </r>
  <r>
    <s v="3534750781481906575"/>
    <s v=""/>
    <x v="0"/>
    <n v="0"/>
    <s v=""/>
    <s v="NULL"/>
    <x v="0"/>
    <s v="2026-07-08 07:48:34"/>
    <s v="2026-07-08 07:58:35"/>
    <s v="NULL"/>
    <s v="NULL"/>
    <s v="2026-07-08 09:58:35"/>
    <s v=""/>
    <s v="106.5231879"/>
    <s v="10.6277377"/>
    <s v="106.730817218056"/>
    <s v="10.793521983679"/>
    <n v="136512"/>
    <n v="0"/>
    <n v="136512"/>
    <s v="Cash"/>
    <s v="Công ty Lavie Long An - Nhà phân phối nước khoáng lavie cửa hàng 24/24, Ấp Chánh, Mỹ Yên, Tây Ninh, Việt NamCông ty Lavie Long An - Nhà phân phối nước khoáng lavie cửa hàng 24/24"/>
    <s v="Quận 2an Khánhhồ Chí Minhviệt NamQuận 2"/>
    <n v="1"/>
    <x v="0"/>
    <x v="1"/>
    <d v="1899-12-30T07:48:34"/>
    <x v="0"/>
  </r>
  <r>
    <s v="3534750781481906634"/>
    <s v=""/>
    <x v="0"/>
    <n v="0"/>
    <s v=""/>
    <s v="NULL"/>
    <x v="0"/>
    <s v="2026-07-08 07:48:51"/>
    <s v="2026-07-08 07:58:52"/>
    <s v="NULL"/>
    <s v="NULL"/>
    <s v="2026-07-08 10:04:46"/>
    <s v=""/>
    <s v="106.5231879"/>
    <s v="10.6277377"/>
    <s v="106.6714905"/>
    <s v="10.7833121"/>
    <n v="113400"/>
    <n v="0"/>
    <n v="113400"/>
    <s v="Cash"/>
    <s v="Công ty Lavie Long An - Nhà phân phối nước khoáng lavie cửa hàng 24/24, Ấp Chánh, Mỹ Yên, Tây Ninh, Việt NamCông ty Lavie Long An - Nhà phân phối nước khoáng lavie cửa hàng 24/24"/>
    <s v="Quận 3, Nhiêu Lộc, Hồ Chí Minh, Việt NamQuận 3"/>
    <n v="1"/>
    <x v="0"/>
    <x v="1"/>
    <d v="1899-12-30T07:48:51"/>
    <x v="5"/>
  </r>
  <r>
    <s v="3534752199055995334"/>
    <s v=""/>
    <x v="0"/>
    <n v="0"/>
    <s v=""/>
    <s v="NULL"/>
    <x v="0"/>
    <s v="2026-07-08 07:51:20"/>
    <s v="2026-07-08 08:01:21"/>
    <s v="NULL"/>
    <s v="NULL"/>
    <s v="2026-07-08 10:01:21"/>
    <s v=""/>
    <s v="106.5231879"/>
    <s v="10.6277377"/>
    <s v="106.6408802"/>
    <s v="10.7471372"/>
    <n v="93204"/>
    <n v="0"/>
    <n v="93204"/>
    <s v="Cash"/>
    <s v="Công ty Lavie Long An - Nhà phân phối nước khoáng lavie cửa hàng 24/24, Ấp Chánh, Mỹ Yên, Tây Ninh, Việt NamCông ty Lavie Long An - Nhà phân phối nước khoáng lavie cửa hàng 24/24"/>
    <s v="Quận 6, Đường Phan Văn Khỏe, Bình Tây, Hồ Chí Minh, Việt NamQuận 6"/>
    <n v="1"/>
    <x v="0"/>
    <x v="1"/>
    <d v="1899-12-30T07:51:20"/>
    <x v="0"/>
  </r>
  <r>
    <s v="3534752291414569729"/>
    <s v=""/>
    <x v="0"/>
    <n v="0"/>
    <s v=""/>
    <s v="NULL"/>
    <x v="0"/>
    <s v="2026-07-08 07:52:39"/>
    <s v="2026-07-08 08:02:40"/>
    <s v="NULL"/>
    <s v="NULL"/>
    <s v="2026-07-08 10:02:40"/>
    <s v=""/>
    <s v="106.5231879"/>
    <s v="10.6277377"/>
    <s v="106.7076858"/>
    <s v="10.7295817"/>
    <n v="108648"/>
    <n v="0"/>
    <n v="108648"/>
    <s v="Cash"/>
    <s v="Công ty Lavie Long An - Nhà phân phối nước khoáng lavie cửa hàng 24/24, Ấp Chánh, Mỹ Yên, Tây Ninh, Việt NamCông ty Lavie Long An - Nhà phân phối nước khoáng lavie cửa hàng 24/24"/>
    <s v="quận 7, Hưng Phước 4, Khu đô thị Phú Mỹ Hưng, Tân Hưng, Hồ Chí Minh, Việt Namquận 7"/>
    <n v="1"/>
    <x v="0"/>
    <x v="1"/>
    <d v="1899-12-30T07:52:39"/>
    <x v="0"/>
  </r>
  <r>
    <s v="3534754282190631019"/>
    <s v=""/>
    <x v="0"/>
    <n v="0"/>
    <s v=""/>
    <s v="NULL"/>
    <x v="0"/>
    <s v="2026-07-08 07:53:28"/>
    <s v="2026-07-08 08:03:29"/>
    <s v="NULL"/>
    <s v="NULL"/>
    <s v="2026-07-08 10:03:29"/>
    <s v=""/>
    <s v="106.5231879"/>
    <s v="10.6277377"/>
    <s v="106.825223"/>
    <s v="10.8010303"/>
    <n v="187596"/>
    <n v="0"/>
    <n v="187596"/>
    <s v="Cash"/>
    <s v="Công ty Lavie Long An - Nhà phân phối nước khoáng lavie cửa hàng 24/24, Ấp Chánh, Mỹ Yên, Tây Ninh, Việt NamCông ty Lavie Long An - Nhà phân phối nước khoáng lavie cửa hàng 24/24"/>
    <s v="Quận 9, Long Trường, Hồ Chí Minh, Việt NamQuận 9"/>
    <n v="1"/>
    <x v="0"/>
    <x v="1"/>
    <d v="1899-12-30T07:53:28"/>
    <x v="0"/>
  </r>
  <r>
    <s v="3536888892227805525"/>
    <s v="Mộng Trà"/>
    <x v="1"/>
    <n v="3106185"/>
    <s v=""/>
    <s v="Motorcycle"/>
    <x v="1"/>
    <s v="2026-07-11 07:13:13"/>
    <s v="2026-07-11 07:23:13"/>
    <s v="2026-07-11 07:13:39"/>
    <s v="NULL"/>
    <s v="2026-07-11 07:19:05"/>
    <s v=""/>
    <s v="106.5037027"/>
    <s v="10.5794517"/>
    <s v="106.62834070583496"/>
    <s v="11.090765978654137"/>
    <n v="298296"/>
    <n v="231248"/>
    <n v="67048"/>
    <s v="Cash"/>
    <s v="Công ty TNHH Thức Ăn Chăn Nuôi Thiên Bang Việt Nam, Cụm CN, Long Cang, Tây Ninh, Việt NamCông ty TNHH Thức Ăn Chăn Nuôi Thiên Bang Việt Nam"/>
    <s v="3JQG+RWX, Thới Hòa, Hồ Chí Minh, Việt Nam3JQG+RWX, Thới Hòa, Hồ Chí Minh, Việt Nam"/>
    <n v="1"/>
    <x v="0"/>
    <x v="2"/>
    <d v="1899-12-30T07:13:13"/>
    <x v="6"/>
  </r>
  <r>
    <s v="3536892542245363783"/>
    <s v="Mộng Trà"/>
    <x v="1"/>
    <n v="3746341"/>
    <s v=""/>
    <s v="Motorcycle"/>
    <x v="1"/>
    <s v="2026-07-11 07:14:41"/>
    <s v="2026-07-11 07:24:41"/>
    <s v="2026-07-11 07:29:39"/>
    <s v="NULL"/>
    <s v="2026-07-11 07:33:48"/>
    <s v=""/>
    <s v="106.5037027"/>
    <s v="10.5794517"/>
    <s v="106.8023397"/>
    <s v="11.0762325"/>
    <n v="322596"/>
    <n v="264798"/>
    <n v="57798"/>
    <s v="Cash"/>
    <s v="Công ty TNHH Thức Ăn Chăn Nuôi Thiên Bang Việt Nam, Cụm CN, Long Cang, Tây Ninh, Việt NamCông ty TNHH Thức Ăn Chăn Nuôi Thiên Bang Việt Nam"/>
    <s v="Tân Uyen bình dương, Tân Uyên, Hồ Chí Minh, Việt NamTân Uyen bình dương"/>
    <n v="1"/>
    <x v="0"/>
    <x v="2"/>
    <d v="1899-12-30T07:14:41"/>
    <x v="7"/>
  </r>
  <r>
    <s v="3536892542245364266"/>
    <s v="Mộng Trà"/>
    <x v="1"/>
    <n v="0"/>
    <s v=""/>
    <s v="NULL"/>
    <x v="0"/>
    <s v="2026-07-11 07:18:29"/>
    <s v="2026-07-11 07:28:29"/>
    <s v="NULL"/>
    <s v="NULL"/>
    <s v="2026-07-11 09:28:29"/>
    <s v=""/>
    <s v="106.5058752"/>
    <s v="10.5788652"/>
    <s v="106.9327317"/>
    <s v="10.8086349"/>
    <n v="285660"/>
    <n v="0"/>
    <n v="285660"/>
    <s v="Cash"/>
    <s v="Công ty TNHH Dachan ( VN ), Long Cang, Tây Ninh, Việt NamCông ty TNHH Dachan ( VN )"/>
    <s v="nhơn trach đồng nai, ấp 5, An Phước, Đồng Nai, Việt Namnhơn trach đồng nai"/>
    <n v="1"/>
    <x v="0"/>
    <x v="2"/>
    <d v="1899-12-30T07:18:29"/>
    <x v="4"/>
  </r>
  <r>
    <s v="3536894397914506046"/>
    <s v="Mộng Trà"/>
    <x v="1"/>
    <n v="3746341"/>
    <s v=""/>
    <s v="Motorcycle"/>
    <x v="1"/>
    <s v="2026-07-11 07:14:55"/>
    <s v="2026-07-11 07:24:54"/>
    <s v="2026-07-11 07:34:38"/>
    <s v="NULL"/>
    <s v="2026-07-11 07:37:16"/>
    <s v=""/>
    <s v="106.5037027"/>
    <s v="10.5794517"/>
    <s v="106.8023397"/>
    <s v="11.0762325"/>
    <n v="306396"/>
    <n v="251500"/>
    <n v="54896"/>
    <s v="Cash"/>
    <s v="Công ty TNHH Thức Ăn Chăn Nuôi Thiên Bang Việt Nam, Cụm CN, Long Cang, Tây Ninh, Việt NamCông ty TNHH Thức Ăn Chăn Nuôi Thiên Bang Việt Nam"/>
    <s v="Tân Uyen bình dương, Tân Uyên, Hồ Chí Minh, Việt NamTân Uyen bình dương"/>
    <n v="1"/>
    <x v="0"/>
    <x v="2"/>
    <d v="1899-12-30T07:14:55"/>
    <x v="8"/>
  </r>
  <r>
    <s v="3536894397914506092"/>
    <s v="Mộng Trà"/>
    <x v="1"/>
    <n v="0"/>
    <s v=""/>
    <s v="NULL"/>
    <x v="0"/>
    <s v="2026-07-11 07:15:24"/>
    <s v="2026-07-11 07:25:23"/>
    <s v="NULL"/>
    <s v="NULL"/>
    <s v="2026-07-11 09:25:23"/>
    <s v=""/>
    <s v="106.5037027"/>
    <s v="10.5794517"/>
    <s v="106.65615902537839"/>
    <s v="10.969039555549466"/>
    <n v="238464"/>
    <n v="0"/>
    <n v="238464"/>
    <s v="Cash"/>
    <s v="Công ty TNHH Thức Ăn Chăn Nuôi Thiên Bang Việt Nam, Cụm CN, Long Cang, Tây Ninh, Việt NamCông ty TNHH Thức Ăn Chăn Nuôi Thiên Bang Việt Nam"/>
    <s v="362 Bùi Quốc Khánh, Thủ Dầu Một, Hồ Chí Minh, Việt Nam362 Bùi Quốc Khánh, Thủ Dầu Một, Hồ Chí Minh, Việt Nam"/>
    <n v="1"/>
    <x v="0"/>
    <x v="2"/>
    <d v="1899-12-30T07:15:24"/>
    <x v="9"/>
  </r>
  <r>
    <s v="3536894397931278472"/>
    <s v="Mộng Trà"/>
    <x v="1"/>
    <n v="0"/>
    <s v=""/>
    <s v="NULL"/>
    <x v="0"/>
    <s v="2026-07-11 07:17:02"/>
    <s v="2026-07-11 07:27:02"/>
    <s v="NULL"/>
    <s v="NULL"/>
    <s v="2026-07-11 09:27:02"/>
    <s v=""/>
    <s v="106.5058752"/>
    <s v="10.5788652"/>
    <s v="106.8045949"/>
    <s v="10.9364413"/>
    <n v="258336"/>
    <n v="0"/>
    <n v="258336"/>
    <s v="Cash"/>
    <s v="Công ty TNHH Dachan ( VN ), Long Cang, Tây Ninh, Việt NamCông ty TNHH Dachan ( VN )"/>
    <s v="Biên Hòa, Đồng Nai, Việt NamBiên Hòa"/>
    <n v="1"/>
    <x v="0"/>
    <x v="2"/>
    <d v="1899-12-30T07:17:02"/>
    <x v="4"/>
  </r>
  <r>
    <s v="3536895895834678063"/>
    <s v="Mộng Trà"/>
    <x v="1"/>
    <n v="0"/>
    <s v=""/>
    <s v="NULL"/>
    <x v="0"/>
    <s v="2026-07-11 07:23:32"/>
    <s v="2026-07-11 07:33:31"/>
    <s v="NULL"/>
    <s v="NULL"/>
    <s v="2026-07-11 09:33:31"/>
    <s v=""/>
    <s v="106.5078088"/>
    <s v="10.5780347"/>
    <s v="106.6733441"/>
    <s v="10.8314858"/>
    <n v="174096"/>
    <n v="0"/>
    <n v="174096"/>
    <s v="Cash"/>
    <s v="Công Ty TNHH Dinh Dưỡng Động Vật Eh Long An Việt Nam, Long Cang, Tây Ninh, Việt NamCông Ty TNHH Dinh Dưỡng Động Vật Eh Long An Việt Nam"/>
    <s v="Gò Vấp, Hồ Chí Minh, Việt NamGò Vấp"/>
    <n v="1"/>
    <x v="0"/>
    <x v="2"/>
    <d v="1899-12-30T07:23:32"/>
    <x v="9"/>
  </r>
  <r>
    <s v="3536896082573489068"/>
    <s v="Mộng Trà"/>
    <x v="1"/>
    <n v="0"/>
    <s v=""/>
    <s v="NULL"/>
    <x v="0"/>
    <s v="2026-07-11 07:17:27"/>
    <s v="2026-07-11 07:27:26"/>
    <s v="NULL"/>
    <s v="NULL"/>
    <s v="2026-07-11 11:23:19"/>
    <s v=""/>
    <s v="106.5058752"/>
    <s v="10.5788652"/>
    <s v="107.03196361191712"/>
    <s v="10.791423374691675"/>
    <n v="318276"/>
    <n v="0"/>
    <n v="318276"/>
    <s v="Cash"/>
    <s v="Công ty TNHH Dachan ( VN ), Long Cang, Tây Ninh, Việt NamCông ty TNHH Dachan ( VN )"/>
    <s v="Q2RJ+HQ Long Thành, Đồng Nai, Việt NamQ2RJ+HQ Long Thành, Đồng Nai, Việt Nam"/>
    <n v="1"/>
    <x v="0"/>
    <x v="2"/>
    <d v="1899-12-30T07:17:27"/>
    <x v="10"/>
  </r>
  <r>
    <s v="3536896082598650095"/>
    <s v="Mộng Trà"/>
    <x v="1"/>
    <n v="0"/>
    <s v=""/>
    <s v="NULL"/>
    <x v="0"/>
    <s v="2026-07-11 07:20:26"/>
    <s v="2026-07-11 07:30:25"/>
    <s v="NULL"/>
    <s v="NULL"/>
    <s v="2026-07-11 09:30:25"/>
    <s v=""/>
    <s v="106.5099096"/>
    <s v="10.5732368"/>
    <s v="106.590819"/>
    <s v="10.7924374"/>
    <n v="133596"/>
    <n v="0"/>
    <n v="133596"/>
    <s v="Cash"/>
    <s v="Cty Highland Dragon Long An, Long Cang, Tây Ninh, Việt NamCty Highland Dragon Long An"/>
    <s v="Bình Tân, Hồ Chí Minh, Việt NamBình Tân"/>
    <n v="1"/>
    <x v="0"/>
    <x v="2"/>
    <d v="1899-12-30T07:20:26"/>
    <x v="9"/>
  </r>
  <r>
    <s v="3536896082598650124"/>
    <s v="Mộng Trà"/>
    <x v="1"/>
    <n v="0"/>
    <s v=""/>
    <s v="NULL"/>
    <x v="0"/>
    <s v="2026-07-11 07:20:34"/>
    <s v="2026-07-11 07:30:34"/>
    <s v="NULL"/>
    <s v="NULL"/>
    <s v="2026-07-11 09:30:34"/>
    <s v=""/>
    <s v="106.5099096"/>
    <s v="10.5732368"/>
    <s v="106.590819"/>
    <s v="10.7924374"/>
    <n v="180576"/>
    <n v="0"/>
    <n v="180576"/>
    <s v="Cash"/>
    <s v="Cty Highland Dragon Long An, Long Cang, Tây Ninh, Việt NamCty Highland Dragon Long An"/>
    <s v="Bình Tân, Hồ Chí Minh, Việt NamBình Tân"/>
    <n v="1"/>
    <x v="0"/>
    <x v="2"/>
    <d v="1899-12-30T07:20:34"/>
    <x v="4"/>
  </r>
  <r>
    <s v="3536896082598650843"/>
    <s v="Mộng Trà"/>
    <x v="1"/>
    <n v="0"/>
    <s v=""/>
    <s v="NULL"/>
    <x v="0"/>
    <s v="2026-07-11 07:25:53"/>
    <s v="2026-07-11 07:35:52"/>
    <s v="NULL"/>
    <s v="NULL"/>
    <s v="2026-07-11 09:35:52"/>
    <s v=""/>
    <s v="106.5067945"/>
    <s v="10.5783866"/>
    <s v="106.8023397"/>
    <s v="11.0762325"/>
    <n v="332640"/>
    <n v="0"/>
    <n v="332640"/>
    <s v="Cash"/>
    <s v="CÔNG TY SINO PACIFIC, Unnamed, Road, Long Cang, Tây Ninh, Việt NamCÔNG TY SINO PACIFIC"/>
    <s v="Tân Uyen bình dương, Tân Uyên, Hồ Chí Minh, Việt NamTân Uyen bình dương"/>
    <n v="1"/>
    <x v="0"/>
    <x v="2"/>
    <d v="1899-12-30T07:25:53"/>
    <x v="9"/>
  </r>
  <r>
    <s v="3536898880157479696"/>
    <s v="Mộng Trà"/>
    <x v="1"/>
    <n v="0"/>
    <s v=""/>
    <s v="NULL"/>
    <x v="0"/>
    <s v="2026-07-11 07:19:34"/>
    <s v="2026-07-11 07:29:33"/>
    <s v="NULL"/>
    <s v="NULL"/>
    <s v="2026-07-11 09:29:33"/>
    <s v=""/>
    <s v="106.5099096"/>
    <s v="10.5732368"/>
    <s v="106.7584753206543"/>
    <s v="10.837457563285428"/>
    <n v="194184"/>
    <n v="0"/>
    <n v="194184"/>
    <s v="Cash"/>
    <s v="Cty Highland Dragon Long An, Long Cang, Tây Ninh, Việt NamCty Highland Dragon Long An"/>
    <s v="60 Đ. Số 4, Thủ Đức, Hồ Chí Minh 700000, Việt Nam60 Đ. Số 4, Thủ Đức, Hồ Chí Minh 700000, Việt Nam"/>
    <n v="1"/>
    <x v="0"/>
    <x v="2"/>
    <d v="1899-12-30T07:19:34"/>
    <x v="9"/>
  </r>
  <r>
    <s v="3536900571829334629"/>
    <s v="Mộng Trà"/>
    <x v="1"/>
    <n v="0"/>
    <s v=""/>
    <s v="NULL"/>
    <x v="0"/>
    <s v="2026-07-11 07:19:48"/>
    <s v="2026-07-11 07:29:48"/>
    <s v="NULL"/>
    <s v="NULL"/>
    <s v="2026-07-11 09:29:48"/>
    <s v=""/>
    <s v="106.5099096"/>
    <s v="10.5732368"/>
    <s v="106.702825"/>
    <s v="10.8135113"/>
    <n v="172152"/>
    <n v="0"/>
    <n v="172152"/>
    <s v="Cash"/>
    <s v="Cty Highland Dragon Long An, Long Cang, Tây Ninh, Việt NamCty Highland Dragon Long An"/>
    <s v="Bình Thạnh, Hồ Chí Minh, Việt NamBình Thạnh"/>
    <n v="1"/>
    <x v="0"/>
    <x v="2"/>
    <d v="1899-12-30T07:19:48"/>
    <x v="4"/>
  </r>
  <r>
    <s v="3536900571829335003"/>
    <s v="Mộng Trà"/>
    <x v="1"/>
    <n v="0"/>
    <s v=""/>
    <s v="NULL"/>
    <x v="0"/>
    <s v="2026-07-11 07:22:41"/>
    <s v="2026-07-11 07:32:41"/>
    <s v="NULL"/>
    <s v="NULL"/>
    <s v="2026-07-11 09:52:08"/>
    <s v=""/>
    <s v="106.5078088"/>
    <s v="10.5780347"/>
    <s v="106.5908421"/>
    <s v="10.8855147"/>
    <n v="244944"/>
    <n v="0"/>
    <n v="244944"/>
    <s v="Cash"/>
    <s v="Công Ty TNHH Dinh Dưỡng Động Vật Eh Long An Việt Nam, Long Cang, Tây Ninh, Việt NamCông Ty TNHH Dinh Dưỡng Động Vật Eh Long An Việt Nam"/>
    <s v="5 23, Tổ 4, Hóc Môn, Hồ Chí Minh, Việt Nam5 23, Tổ 4, Hóc Môn, Hồ Chí Minh, Việt Nam"/>
    <n v="1"/>
    <x v="0"/>
    <x v="2"/>
    <d v="1899-12-30T07:22:41"/>
    <x v="11"/>
  </r>
  <r>
    <s v="3536901666257465954"/>
    <s v="Mộng Trà"/>
    <x v="1"/>
    <n v="3106185"/>
    <s v=""/>
    <s v="Motorcycle"/>
    <x v="1"/>
    <s v="2026-07-11 07:13:33"/>
    <s v="2026-07-11 07:23:33"/>
    <s v="2026-07-11 07:14:17"/>
    <s v="NULL"/>
    <s v="2026-07-11 07:21:36"/>
    <s v=""/>
    <s v="106.5037027"/>
    <s v="10.5794517"/>
    <s v="106.6282341"/>
    <s v="11.0905613"/>
    <n v="281664"/>
    <n v="218355"/>
    <n v="63309"/>
    <s v="Cash"/>
    <s v="Công ty TNHH Thức Ăn Chăn Nuôi Thiên Bang Việt Nam, Cụm CN, Long Cang, Tây Ninh, Việt NamCông ty TNHH Thức Ăn Chăn Nuôi Thiên Bang Việt Nam"/>
    <s v="3JQG+RWX, Thới Hòa, Hồ Chí Minh, Việt Nam3JQG+RWX, Thới Hòa, Hồ Chí Minh, Việt Nam"/>
    <n v="1"/>
    <x v="0"/>
    <x v="2"/>
    <d v="1899-12-30T07:13:33"/>
    <x v="12"/>
  </r>
  <r>
    <s v="3536901666274239308"/>
    <s v="Mộng Trà"/>
    <x v="1"/>
    <n v="0"/>
    <s v=""/>
    <s v="NULL"/>
    <x v="0"/>
    <s v="2026-07-11 07:23:17"/>
    <s v="2026-07-11 07:33:16"/>
    <s v="NULL"/>
    <s v="NULL"/>
    <s v="2026-07-11 09:33:16"/>
    <s v=""/>
    <s v="106.5078088"/>
    <s v="10.5780347"/>
    <s v="106.64487657224423"/>
    <s v="10.799047999999992"/>
    <n v="170964"/>
    <n v="0"/>
    <n v="170964"/>
    <s v="Cash"/>
    <s v="Công Ty TNHH Dinh Dưỡng Động Vật Eh Long An Việt Nam, Long Cang, Tây Ninh, Việt NamCông Ty TNHH Dinh Dưỡng Động Vật Eh Long An Việt Nam"/>
    <s v="Hẻm 2 Bình Giã, Tân Bình, Hồ Chí Minh, Việt NamHẻm 2 Bình Giã, Tân Bình, Hồ Chí Minh, Việt Nam"/>
    <n v="1"/>
    <x v="0"/>
    <x v="2"/>
    <d v="1899-12-30T07:23:17"/>
    <x v="9"/>
  </r>
  <r>
    <s v="3536901666291011786"/>
    <s v="Mộng Trà"/>
    <x v="1"/>
    <n v="0"/>
    <s v=""/>
    <s v="NULL"/>
    <x v="0"/>
    <s v="2026-07-11 07:26:18"/>
    <s v="2026-07-11 07:36:18"/>
    <s v="NULL"/>
    <s v="NULL"/>
    <s v="2026-07-11 09:36:18"/>
    <s v=""/>
    <s v="106.5067945"/>
    <s v="10.5783866"/>
    <s v="106.6586052"/>
    <s v="10.9713673"/>
    <n v="253152"/>
    <n v="0"/>
    <n v="253152"/>
    <s v="Cash"/>
    <s v="CÔNG TY SINO PACIFIC, Unnamed, Road, Long Cang, Tây Ninh, Việt NamCÔNG TY SINO PACIFIC"/>
    <s v="Thủ Dầu Một, Hồ Chí Minh, Việt NamThủ Dầu Một"/>
    <n v="1"/>
    <x v="0"/>
    <x v="2"/>
    <d v="1899-12-30T07:26:18"/>
    <x v="4"/>
  </r>
  <r>
    <s v="3536904641201787074"/>
    <s v="Mộng Trà"/>
    <x v="1"/>
    <n v="0"/>
    <s v=""/>
    <s v="NULL"/>
    <x v="0"/>
    <s v="2026-07-11 07:14:28"/>
    <s v="2026-07-11 07:24:27"/>
    <s v="NULL"/>
    <s v="NULL"/>
    <s v="2026-07-11 09:24:27"/>
    <s v=""/>
    <s v="106.5037027"/>
    <s v="10.5794517"/>
    <s v="106.7535289"/>
    <s v="10.9088973"/>
    <n v="222156"/>
    <n v="0"/>
    <n v="222156"/>
    <s v="Cash"/>
    <s v="Công ty TNHH Thức Ăn Chăn Nuôi Thiên Bang Việt Nam, Cụm CN, Long Cang, Tây Ninh, Việt NamCông ty TNHH Thức Ăn Chăn Nuôi Thiên Bang Việt Nam"/>
    <s v="Thuận An Bình Dương, Đường N2, Dĩ An, Hồ Chí Minh, Việt NamThuận An Bình Dương"/>
    <n v="1"/>
    <x v="0"/>
    <x v="2"/>
    <d v="1899-12-30T07:14:28"/>
    <x v="9"/>
  </r>
  <r>
    <s v="3536904641201787747"/>
    <s v="Mộng Trà"/>
    <x v="1"/>
    <n v="0"/>
    <s v=""/>
    <s v="NULL"/>
    <x v="0"/>
    <s v="2026-07-11 07:19:58"/>
    <s v="2026-07-11 07:29:58"/>
    <s v="NULL"/>
    <s v="NULL"/>
    <s v="2026-07-11 09:29:58"/>
    <s v=""/>
    <s v="106.5099096"/>
    <s v="10.5732368"/>
    <s v="106.702825"/>
    <s v="10.8135113"/>
    <n v="172152"/>
    <n v="0"/>
    <n v="172152"/>
    <s v="Cash"/>
    <s v="Cty Highland Dragon Long An, Long Cang, Tây Ninh, Việt NamCty Highland Dragon Long An"/>
    <s v="Bình Thạnh, Hồ Chí Minh, Việt NamBình Thạnh"/>
    <n v="1"/>
    <x v="0"/>
    <x v="2"/>
    <d v="1899-12-30T07:19:58"/>
    <x v="4"/>
  </r>
  <r>
    <s v="3536904641218572621"/>
    <s v="Mộng Trà"/>
    <x v="1"/>
    <n v="0"/>
    <s v=""/>
    <s v="NULL"/>
    <x v="0"/>
    <s v="2026-07-11 07:23:43"/>
    <s v="2026-07-11 07:33:42"/>
    <s v="NULL"/>
    <s v="NULL"/>
    <s v="2026-07-11 09:52:48"/>
    <s v=""/>
    <s v="106.5078088"/>
    <s v="10.5780347"/>
    <s v="106.67432042408139"/>
    <s v="10.832349889539737"/>
    <n v="234576"/>
    <n v="0"/>
    <n v="234576"/>
    <s v="Cash"/>
    <s v="Công Ty TNHH Dinh Dưỡng Động Vật Eh Long An Việt Nam, Long Cang, Tây Ninh, Việt NamCông Ty TNHH Dinh Dưỡng Động Vật Eh Long An Việt Nam"/>
    <s v="2A Đ. Phan Văn Trị, Gò Vấp, Hồ Chí Minh 700000, Việt Nam2A Đ. Phan Văn Trị, Gò Vấp, Hồ Chí Minh 700000, Việt Nam"/>
    <n v="1"/>
    <x v="0"/>
    <x v="2"/>
    <d v="1899-12-30T07:23:43"/>
    <x v="13"/>
  </r>
  <r>
    <s v="3536908458773401872"/>
    <s v="Mộng Trà"/>
    <x v="1"/>
    <n v="0"/>
    <s v=""/>
    <s v="NULL"/>
    <x v="0"/>
    <s v="2026-07-11 07:23:05"/>
    <s v="2026-07-11 07:33:04"/>
    <s v="NULL"/>
    <s v="NULL"/>
    <s v="2026-07-11 09:33:04"/>
    <s v=""/>
    <s v="106.5078088"/>
    <s v="10.5780347"/>
    <s v="106.6419476"/>
    <s v="10.799048"/>
    <n v="186732"/>
    <n v="0"/>
    <n v="186732"/>
    <s v="Cash"/>
    <s v="Công Ty TNHH Dinh Dưỡng Động Vật Eh Long An Việt Nam, Long Cang, Tây Ninh, Việt NamCông Ty TNHH Dinh Dưỡng Động Vật Eh Long An Việt Nam"/>
    <s v="Tân Bình, Hồ Chí Minh, Việt NamTân Bình"/>
    <n v="1"/>
    <x v="0"/>
    <x v="2"/>
    <d v="1899-12-30T07:23:05"/>
    <x v="9"/>
  </r>
  <r>
    <s v="3536908458806960692"/>
    <s v="Mộng Trà"/>
    <x v="1"/>
    <n v="0"/>
    <s v=""/>
    <s v="NULL"/>
    <x v="0"/>
    <s v="2026-07-11 07:36:19"/>
    <s v="2026-07-11 07:46:18"/>
    <s v="NULL"/>
    <s v="NULL"/>
    <s v="2026-07-11 09:46:18"/>
    <s v=""/>
    <s v="106.4934381"/>
    <s v="10.6118595"/>
    <s v="106.6263666"/>
    <s v="11.0899974"/>
    <n v="297432"/>
    <n v="0"/>
    <n v="297432"/>
    <s v="Cash"/>
    <s v="Cong ty Nutreco, Long Cang, Tây Ninh, Việt NamCong ty Nutreco"/>
    <s v="Bến cát Bình Dương, Quốc lộ 13, Thới Hòa, Hồ Chí Minh, Việt NamBến cát Bình Dương"/>
    <n v="1"/>
    <x v="0"/>
    <x v="2"/>
    <d v="1899-12-30T07:36:19"/>
    <x v="9"/>
  </r>
  <r>
    <s v="3536910680043245674"/>
    <s v="Mộng Trà"/>
    <x v="1"/>
    <n v="0"/>
    <s v=""/>
    <s v="NULL"/>
    <x v="0"/>
    <s v="2026-07-11 07:22:54"/>
    <s v="2026-07-11 07:32:54"/>
    <s v="NULL"/>
    <s v="NULL"/>
    <s v="2026-07-11 09:32:54"/>
    <s v=""/>
    <s v="106.5078088"/>
    <s v="10.5780347"/>
    <s v="106.6419476"/>
    <s v="10.799048"/>
    <n v="138024"/>
    <n v="0"/>
    <n v="138024"/>
    <s v="Cash"/>
    <s v="Công Ty TNHH Dinh Dưỡng Động Vật Eh Long An Việt Nam, Long Cang, Tây Ninh, Việt NamCông Ty TNHH Dinh Dưỡng Động Vật Eh Long An Việt Nam"/>
    <s v="Tân Bình, Hồ Chí Minh, Việt NamTân Bình"/>
    <n v="1"/>
    <x v="0"/>
    <x v="2"/>
    <d v="1899-12-30T07:22:54"/>
    <x v="4"/>
  </r>
  <r>
    <s v="3536910680043246049"/>
    <s v="Mộng Trà"/>
    <x v="1"/>
    <n v="4400047"/>
    <s v=""/>
    <s v="Motorcycle"/>
    <x v="2"/>
    <s v="2026-07-11 07:25:31"/>
    <s v="2026-07-11 10:00:00"/>
    <s v="2026-07-11 17:22:27"/>
    <s v="NULL"/>
    <s v=""/>
    <s v=""/>
    <s v="106.5067945"/>
    <s v="10.5783866"/>
    <s v="106.6263666"/>
    <s v="11.0899974"/>
    <n v="302292"/>
    <n v="234346"/>
    <n v="67946"/>
    <s v="Cash"/>
    <s v="CÔNG TY SINO PACIFIC, Unnamed, Road, Long Cang, Tây Ninh, Việt NamCÔNG TY SINO PACIFIC"/>
    <s v="Bến cát Bình Dương, Quốc lộ 13, Thới Hòa, Hồ Chí Minh, Việt NamBến cát Bình Dương"/>
    <n v="1"/>
    <x v="0"/>
    <x v="2"/>
    <d v="1899-12-30T07:25:31"/>
    <x v="14"/>
  </r>
  <r>
    <s v="3536910680085193020"/>
    <s v="Mộng Trà"/>
    <x v="1"/>
    <n v="0"/>
    <s v=""/>
    <s v="NULL"/>
    <x v="0"/>
    <s v="2026-07-11 07:38:55"/>
    <s v="2026-07-11 07:48:54"/>
    <s v="NULL"/>
    <s v="NULL"/>
    <s v="2026-07-11 09:48:54"/>
    <s v=""/>
    <s v="106.4934381"/>
    <s v="10.6118595"/>
    <s v="106.8023397"/>
    <s v="11.0762325"/>
    <n v="311688"/>
    <n v="0"/>
    <n v="311688"/>
    <s v="Cash"/>
    <s v="Cong ty Nutreco, Long Cang, Tây Ninh, Việt NamCong ty Nutreco"/>
    <s v="Tân Uyen bình dương, Tân Uyên, Hồ Chí Minh, Việt NamTân Uyen bình dương"/>
    <n v="1"/>
    <x v="0"/>
    <x v="2"/>
    <d v="1899-12-30T07:38:55"/>
    <x v="9"/>
  </r>
  <r>
    <s v="3536910680085193261"/>
    <s v="Mộng Trà"/>
    <x v="1"/>
    <n v="0"/>
    <s v=""/>
    <s v="NULL"/>
    <x v="0"/>
    <s v="2026-07-11 07:40:18"/>
    <s v="2026-07-11 07:50:18"/>
    <s v="NULL"/>
    <s v="NULL"/>
    <s v="2026-07-11 09:50:18"/>
    <s v=""/>
    <s v="106.4934381"/>
    <s v="10.6118595"/>
    <s v="106.6733441"/>
    <s v="10.8314858"/>
    <n v="275724"/>
    <n v="0"/>
    <n v="275724"/>
    <s v="Cash"/>
    <s v="Cong ty Nutreco, Long Cang, Tây Ninh, Việt NamCong ty Nutreco"/>
    <s v="Gò Vấp, Hồ Chí Minh, Việt NamGò Vấp"/>
    <n v="1"/>
    <x v="0"/>
    <x v="2"/>
    <d v="1899-12-30T07:40:18"/>
    <x v="4"/>
  </r>
  <r>
    <s v="3536911608066568653"/>
    <s v="Mộng Trà"/>
    <x v="1"/>
    <n v="0"/>
    <s v=""/>
    <s v="NULL"/>
    <x v="0"/>
    <s v="2026-07-11 07:26:49"/>
    <s v="2026-07-11 07:36:48"/>
    <s v="NULL"/>
    <s v="NULL"/>
    <s v="2026-07-11 09:36:48"/>
    <s v=""/>
    <s v="106.5067945"/>
    <s v="10.5783866"/>
    <s v="106.7535289"/>
    <s v="10.9088973"/>
    <n v="220536"/>
    <n v="0"/>
    <n v="220536"/>
    <s v="Cash"/>
    <s v="CÔNG TY SINO PACIFIC, Unnamed, Road, Long Cang, Tây Ninh, Việt NamCÔNG TY SINO PACIFIC"/>
    <s v="Thuận An Bình Dương, Đường N2, Dĩ An, Hồ Chí Minh, Việt NamThuận An Bình Dương"/>
    <n v="1"/>
    <x v="0"/>
    <x v="2"/>
    <d v="1899-12-30T07:26:49"/>
    <x v="9"/>
  </r>
  <r>
    <s v="3536911608066569218"/>
    <s v="Mộng Trà"/>
    <x v="1"/>
    <n v="3531594"/>
    <s v=""/>
    <s v="Motorcycle"/>
    <x v="2"/>
    <s v="2026-07-11 07:30:35"/>
    <s v="2026-07-11 10:01:00"/>
    <s v="2026-07-11 10:54:56"/>
    <s v="NULL"/>
    <s v=""/>
    <s v=""/>
    <s v="106.5067945"/>
    <s v="10.5783866"/>
    <s v="106.702825"/>
    <s v="10.8135113"/>
    <n v="226476"/>
    <n v="175571"/>
    <n v="50905"/>
    <s v="Cash"/>
    <s v="CÔNG TY SINO PACIFIC, Unnamed, Road, Long Cang, Tây Ninh, Việt NamCÔNG TY SINO PACIFIC"/>
    <s v="Bình Thạnh, Hồ Chí Minh, Việt NamBình Thạnh"/>
    <n v="1"/>
    <x v="0"/>
    <x v="2"/>
    <d v="1899-12-30T07:30:35"/>
    <x v="14"/>
  </r>
  <r>
    <s v="3536911608108503174"/>
    <s v="Mộng Trà"/>
    <x v="1"/>
    <n v="0"/>
    <s v=""/>
    <s v="NULL"/>
    <x v="0"/>
    <s v="2026-07-11 07:37:54"/>
    <s v="2026-07-11 07:47:54"/>
    <s v="NULL"/>
    <s v="NULL"/>
    <s v="2026-07-11 09:47:54"/>
    <s v=""/>
    <s v="106.4934381"/>
    <s v="10.6118595"/>
    <s v="106.7528749"/>
    <s v="10.8963726"/>
    <n v="197316"/>
    <n v="0"/>
    <n v="197316"/>
    <s v="Cash"/>
    <s v="Cong ty Nutreco, Long Cang, Tây Ninh, Việt NamCong ty Nutreco"/>
    <s v="Dĩ An, Bình Dương, Việt NamDĩ An"/>
    <n v="1"/>
    <x v="0"/>
    <x v="2"/>
    <d v="1899-12-30T07:37:54"/>
    <x v="4"/>
  </r>
  <r>
    <s v="3536911608108503992"/>
    <s v="Mộng Trà"/>
    <x v="1"/>
    <n v="0"/>
    <s v=""/>
    <s v="NULL"/>
    <x v="0"/>
    <s v="2026-07-11 07:42:49"/>
    <s v="2026-07-11 07:52:48"/>
    <s v="NULL"/>
    <s v="NULL"/>
    <s v="2026-07-11 09:52:48"/>
    <s v=""/>
    <s v="106.4934381"/>
    <s v="10.6118595"/>
    <s v="106.7559004"/>
    <s v="10.8378053"/>
    <n v="245376"/>
    <n v="0"/>
    <n v="245376"/>
    <s v="Cash"/>
    <s v="Cong ty Nutreco, Long Cang, Tây Ninh, Việt NamCong ty Nutreco"/>
    <s v="Thủ Đức, Hồ Chí Minh, Việt NamThủ Đức"/>
    <n v="1"/>
    <x v="0"/>
    <x v="2"/>
    <d v="1899-12-30T07:42:49"/>
    <x v="9"/>
  </r>
  <r>
    <s v="3536912396981596645"/>
    <s v="Mộng Trà"/>
    <x v="1"/>
    <n v="3128592"/>
    <s v=""/>
    <s v="Motorcycle"/>
    <x v="2"/>
    <s v="2026-07-11 07:28:45"/>
    <s v="2026-07-11 10:00:00"/>
    <s v="2026-07-11 10:24:52"/>
    <s v="NULL"/>
    <s v=""/>
    <s v=""/>
    <s v="106.5067945"/>
    <s v="10.5783866"/>
    <s v="106.7535289"/>
    <s v="10.9088973"/>
    <n v="324972"/>
    <n v="251929"/>
    <n v="73043"/>
    <s v="Cash"/>
    <s v="CÔNG TY SINO PACIFIC, Unnamed, Road, Long Cang, Tây Ninh, Việt NamCÔNG TY SINO PACIFIC"/>
    <s v="Thuận An Bình Dương, Đường N2, Dĩ An, Hồ Chí Minh, Việt NamThuận An Bình Dương"/>
    <n v="1"/>
    <x v="0"/>
    <x v="2"/>
    <d v="1899-12-30T07:28:45"/>
    <x v="14"/>
  </r>
  <r>
    <s v="3536912397006758682"/>
    <s v="Mộng Trà"/>
    <x v="1"/>
    <n v="0"/>
    <s v=""/>
    <s v="NULL"/>
    <x v="0"/>
    <s v="2026-07-11 07:36:42"/>
    <s v="2026-07-11 07:46:42"/>
    <s v="NULL"/>
    <s v="NULL"/>
    <s v="2026-07-11 09:46:42"/>
    <s v=""/>
    <s v="106.4934381"/>
    <s v="10.6118595"/>
    <s v="106.7535289"/>
    <s v="10.9088973"/>
    <n v="231984"/>
    <n v="0"/>
    <n v="231984"/>
    <s v="Cash"/>
    <s v="Cong ty Nutreco, Long Cang, Tây Ninh, Việt NamCong ty Nutreco"/>
    <s v="Thuận An Bình Dương, Đường N2, Dĩ An, Hồ Chí Minh, Việt NamThuận An Bình Dương"/>
    <n v="1"/>
    <x v="0"/>
    <x v="2"/>
    <d v="1899-12-30T07:36:42"/>
    <x v="4"/>
  </r>
  <r>
    <s v="3536912774276019032"/>
    <s v="Mộng Trà"/>
    <x v="1"/>
    <n v="0"/>
    <s v=""/>
    <s v="NULL"/>
    <x v="0"/>
    <s v="2026-07-11 07:37:35"/>
    <s v="2026-07-11 07:47:34"/>
    <s v="NULL"/>
    <s v="NULL"/>
    <s v="2026-07-11 09:47:34"/>
    <s v=""/>
    <s v="106.4934381"/>
    <s v="10.6118595"/>
    <s v="106.7528749"/>
    <s v="10.8963726"/>
    <n v="213516"/>
    <n v="0"/>
    <n v="213516"/>
    <s v="Cash"/>
    <s v="Cong ty Nutreco, Long Cang, Tây Ninh, Việt NamCong ty Nutreco"/>
    <s v="Dĩ An, Bình Dương, Việt NamDĩ An"/>
    <n v="1"/>
    <x v="0"/>
    <x v="2"/>
    <d v="1899-12-30T07:37:35"/>
    <x v="9"/>
  </r>
  <r>
    <s v="3536912774301180098"/>
    <s v="Mộng Trà"/>
    <x v="1"/>
    <n v="0"/>
    <s v=""/>
    <s v="NULL"/>
    <x v="0"/>
    <s v="2026-07-11 07:40:01"/>
    <s v="2026-07-11 07:50:01"/>
    <s v="NULL"/>
    <s v="NULL"/>
    <s v="2026-07-11 09:50:01"/>
    <s v=""/>
    <s v="106.4934381"/>
    <s v="10.6118595"/>
    <s v="106.6733441"/>
    <s v="10.8314858"/>
    <n v="160704"/>
    <n v="0"/>
    <n v="160704"/>
    <s v="Cash"/>
    <s v="Cong ty Nutreco, Long Cang, Tây Ninh, Việt NamCong ty Nutreco"/>
    <s v="Gò Vấp, Hồ Chí Minh, Việt NamGò Vấp"/>
    <n v="1"/>
    <x v="0"/>
    <x v="2"/>
    <d v="1899-12-30T07:40:01"/>
    <x v="4"/>
  </r>
  <r>
    <s v="3536914235613475170"/>
    <s v="Mộng Trà"/>
    <x v="1"/>
    <n v="4300716"/>
    <s v=""/>
    <s v="Motorcycle"/>
    <x v="3"/>
    <s v="2026-07-11 07:37:15"/>
    <s v="2026-07-11 07:47:14"/>
    <s v="2026-07-11 08:25:44"/>
    <s v="NULL"/>
    <s v=""/>
    <s v="2026-07-21 07:48:14"/>
    <s v="106.4934381"/>
    <s v="10.6118595"/>
    <s v="106.7535289"/>
    <s v="10.9088973"/>
    <n v="215784"/>
    <n v="167283"/>
    <n v="48501"/>
    <s v="Cash"/>
    <s v="Cong ty Nutreco, Long Cang, Tây Ninh, Việt NamCong ty Nutreco"/>
    <s v="Thuận An Bình Dương, Đường N2, Dĩ An, Hồ Chí Minh, Việt NamThuận An Bình Dương"/>
    <n v="1"/>
    <x v="0"/>
    <x v="2"/>
    <d v="1899-12-30T07:37:15"/>
    <x v="15"/>
  </r>
  <r>
    <s v="3536914235638636695"/>
    <s v="Mộng Trà"/>
    <x v="1"/>
    <n v="0"/>
    <s v=""/>
    <s v="NULL"/>
    <x v="0"/>
    <s v="2026-07-11 07:41:43"/>
    <s v="2026-07-11 07:51:42"/>
    <s v="NULL"/>
    <s v="NULL"/>
    <s v="2026-07-11 09:51:42"/>
    <s v=""/>
    <s v="106.4934381"/>
    <s v="10.6118595"/>
    <s v="107.0303221"/>
    <s v="10.7925089"/>
    <n v="490752"/>
    <n v="0"/>
    <n v="490752"/>
    <s v="Cash"/>
    <s v="Cong ty Nutreco, Long Cang, Tây Ninh, Việt NamCong ty Nutreco"/>
    <s v="Long Thành, Đồng Nai, Việt NamLong Thành"/>
    <n v="1"/>
    <x v="0"/>
    <x v="2"/>
    <d v="1899-12-30T07:41:43"/>
    <x v="9"/>
  </r>
  <r>
    <s v="3536914235638636743"/>
    <s v="Mộng Trà"/>
    <x v="1"/>
    <n v="0"/>
    <s v=""/>
    <s v="NULL"/>
    <x v="0"/>
    <s v="2026-07-11 07:42:01"/>
    <s v="2026-07-11 07:52:01"/>
    <s v="NULL"/>
    <s v="NULL"/>
    <s v="2026-07-11 10:13:30"/>
    <s v=""/>
    <s v="106.4934381"/>
    <s v="10.6118595"/>
    <s v="107.0303221"/>
    <s v="10.7925089"/>
    <n v="355320"/>
    <n v="0"/>
    <n v="355320"/>
    <s v="Cash"/>
    <s v="Cong ty Nutreco, Long Cang, Tây Ninh, Việt NamCong ty Nutreco"/>
    <s v="Long Thành, Đồng Nai, Việt NamLong Thành"/>
    <n v="1"/>
    <x v="0"/>
    <x v="2"/>
    <d v="1899-12-30T07:42:01"/>
    <x v="16"/>
  </r>
  <r>
    <s v="3536915386337546457"/>
    <s v="Mộng Trà"/>
    <x v="1"/>
    <n v="3401092"/>
    <s v=""/>
    <s v="Motorcycle"/>
    <x v="2"/>
    <s v="2026-07-11 07:31:34"/>
    <s v="2026-07-11 10:02:00"/>
    <s v="2026-07-11 09:55:15"/>
    <s v="2026-07-11 10:11:24"/>
    <s v=""/>
    <s v=""/>
    <s v="106.5067945"/>
    <s v="10.5783866"/>
    <s v="106.730817218056"/>
    <s v="10.793521983679"/>
    <n v="228960"/>
    <n v="177497"/>
    <n v="51463"/>
    <s v="Cash"/>
    <s v="CÔNG TY SINO PACIFIC, Unnamed, Road, Long Cang, Tây Ninh, Việt NamCÔNG TY SINO PACIFIC"/>
    <s v="Quận 2an Khánhhồ Chí Minhviệt NamQuận 2"/>
    <n v="1"/>
    <x v="0"/>
    <x v="2"/>
    <d v="1899-12-30T07:31:34"/>
    <x v="14"/>
  </r>
  <r>
    <s v="3536915386354332278"/>
    <s v="Mộng Trà"/>
    <x v="1"/>
    <n v="0"/>
    <s v=""/>
    <s v="NULL"/>
    <x v="0"/>
    <s v="2026-07-11 07:40:41"/>
    <s v="2026-07-11 07:50:41"/>
    <s v="NULL"/>
    <s v="NULL"/>
    <s v="2026-07-11 09:50:41"/>
    <s v=""/>
    <s v="106.4934381"/>
    <s v="10.6118595"/>
    <s v="106.80421939073791"/>
    <s v="10.937884451963384"/>
    <n v="313524"/>
    <n v="0"/>
    <n v="313524"/>
    <s v="Cash"/>
    <s v="Cong ty Nutreco, Long Cang, Tây Ninh, Việt NamCong ty Nutreco"/>
    <s v="WRQ3+4MM, 20 Nguyễn Ái Quốc, phường, Biên Hòa, Đồng Nai, Việt NamWRQ3+4MM, 20 Nguyễn Ái Quốc, phường, Biên Hòa, Đồng Nai, Việt Nam"/>
    <n v="1"/>
    <x v="0"/>
    <x v="2"/>
    <d v="1899-12-30T07:40:41"/>
    <x v="4"/>
  </r>
  <r>
    <s v="3536915386371105258"/>
    <s v="Mộng Trà"/>
    <x v="1"/>
    <n v="0"/>
    <s v=""/>
    <s v="NULL"/>
    <x v="0"/>
    <s v="2026-07-11 07:45:50"/>
    <s v="2026-07-11 07:55:50"/>
    <s v="NULL"/>
    <s v="NULL"/>
    <s v="2026-07-11 09:55:50"/>
    <s v=""/>
    <s v="106.4883674"/>
    <s v="10.6224901"/>
    <s v="106.65921674365536"/>
    <s v="10.971367299999995"/>
    <n v="236520"/>
    <n v="0"/>
    <n v="236520"/>
    <s v="Cash"/>
    <s v="Công ty TNHH Koda Sài Gòn, Đường Số 1, Bến Lức, Tây Ninh, Việt NamCông ty TNHH Koda Sài Gòn"/>
    <s v="750 Đ. Cách Mạng Tháng Tám, Thủ Dầu Một, Hồ Chí Minh 590000, Việt Nam750 Đ. Cách Mạng Tháng Tám, Thủ Dầu Một, Hồ Chí Minh 590000, Việt Nam"/>
    <n v="1"/>
    <x v="0"/>
    <x v="2"/>
    <d v="1899-12-30T07:45:50"/>
    <x v="4"/>
  </r>
  <r>
    <s v="3536915386371105571"/>
    <s v="Mộng Trà"/>
    <x v="1"/>
    <n v="0"/>
    <s v=""/>
    <s v="NULL"/>
    <x v="0"/>
    <s v="2026-07-11 07:47:29"/>
    <s v="2026-07-11 07:57:28"/>
    <s v="NULL"/>
    <s v="NULL"/>
    <s v="2026-07-11 09:57:28"/>
    <s v=""/>
    <s v="106.4883674"/>
    <s v="10.6224901"/>
    <s v="106.7559004"/>
    <s v="10.8378053"/>
    <n v="253260"/>
    <n v="0"/>
    <n v="253260"/>
    <s v="Cash"/>
    <s v="Công ty TNHH Koda Sài Gòn, Đường Số 1, Bến Lức, Tây Ninh, Việt NamCông ty TNHH Koda Sài Gòn"/>
    <s v="Thủ Đức, Hồ Chí Minh, Việt NamThủ Đức"/>
    <n v="1"/>
    <x v="0"/>
    <x v="2"/>
    <d v="1899-12-30T07:47:29"/>
    <x v="9"/>
  </r>
  <r>
    <s v="3536916284623250192"/>
    <s v="Mộng Trà"/>
    <x v="1"/>
    <n v="0"/>
    <s v=""/>
    <s v="NULL"/>
    <x v="0"/>
    <s v="2026-07-11 07:42:22"/>
    <s v="2026-07-11 07:52:22"/>
    <s v="NULL"/>
    <s v="NULL"/>
    <s v="2026-07-11 09:52:22"/>
    <s v=""/>
    <s v="106.4934381"/>
    <s v="10.6118595"/>
    <s v="106.7559004"/>
    <s v="10.8378053"/>
    <n v="261576"/>
    <n v="0"/>
    <n v="261576"/>
    <s v="Cash"/>
    <s v="Cong ty Nutreco, Long Cang, Tây Ninh, Việt NamCong ty Nutreco"/>
    <s v="Thủ Đức, Hồ Chí Minh, Việt NamThủ Đức"/>
    <n v="1"/>
    <x v="0"/>
    <x v="2"/>
    <d v="1899-12-30T07:42:22"/>
    <x v="4"/>
  </r>
  <r>
    <s v="3536916284640022817"/>
    <s v="Mộng Trà"/>
    <x v="1"/>
    <n v="0"/>
    <s v=""/>
    <s v="NULL"/>
    <x v="0"/>
    <s v="2026-07-11 07:45:33"/>
    <s v="2026-07-11 07:55:32"/>
    <s v="NULL"/>
    <s v="NULL"/>
    <s v="2026-07-11 09:55:32"/>
    <s v=""/>
    <s v="106.4883674"/>
    <s v="10.6224901"/>
    <s v="106.7528749"/>
    <s v="10.8963726"/>
    <n v="259416"/>
    <n v="0"/>
    <n v="259416"/>
    <s v="Cash"/>
    <s v="Công ty TNHH Koda Sài Gòn, Đường Số 1, Bến Lức, Tây Ninh, Việt NamCông ty TNHH Koda Sài Gòn"/>
    <s v="Dĩ An, Bình Dương, Việt NamDĩ An"/>
    <n v="1"/>
    <x v="0"/>
    <x v="2"/>
    <d v="1899-12-30T07:45:33"/>
    <x v="9"/>
  </r>
  <r>
    <s v="3536918165072343531"/>
    <s v="Mộng Trà"/>
    <x v="1"/>
    <n v="0"/>
    <s v=""/>
    <s v="NULL"/>
    <x v="0"/>
    <s v="2026-07-11 07:43:40"/>
    <s v="2026-07-11 07:53:39"/>
    <s v="NULL"/>
    <s v="NULL"/>
    <s v="2026-07-11 09:53:39"/>
    <s v=""/>
    <s v="106.4934381"/>
    <s v="10.6118595"/>
    <s v="106.5230542"/>
    <s v="10.962533"/>
    <n v="286740"/>
    <n v="0"/>
    <n v="286740"/>
    <s v="Cash"/>
    <s v="Cong ty Nutreco, Long Cang, Tây Ninh, Việt NamCong ty Nutreco"/>
    <s v="Củ Chi, Hồ Chí Minh, Việt NamCủ Chi"/>
    <n v="1"/>
    <x v="0"/>
    <x v="2"/>
    <d v="1899-12-30T07:43:40"/>
    <x v="9"/>
  </r>
  <r>
    <s v="3536918165072343943"/>
    <s v="Mộng Trà"/>
    <x v="1"/>
    <n v="0"/>
    <s v=""/>
    <s v="NULL"/>
    <x v="0"/>
    <s v="2026-07-11 07:46:07"/>
    <s v="2026-07-11 07:56:06"/>
    <s v="NULL"/>
    <s v="NULL"/>
    <s v="2026-07-11 09:56:06"/>
    <s v=""/>
    <s v="106.4883674"/>
    <s v="10.6224901"/>
    <s v="106.6216471"/>
    <s v="10.8750776"/>
    <n v="165024"/>
    <n v="0"/>
    <n v="165024"/>
    <s v="Cash"/>
    <s v="Công ty TNHH Koda Sài Gòn, Đường Số 1, Bến Lức, Tây Ninh, Việt NamCông ty TNHH Koda Sài Gòn"/>
    <s v="Hoc mon, Thới Tam Thôn 17, Đông Thạnh, Hồ Chí Minh, Việt NamHoc mon"/>
    <n v="1"/>
    <x v="0"/>
    <x v="2"/>
    <d v="1899-12-30T07:46:07"/>
    <x v="9"/>
  </r>
  <r>
    <s v="3536918165089116391"/>
    <s v="Mộng Trà"/>
    <x v="1"/>
    <n v="0"/>
    <s v=""/>
    <s v="NULL"/>
    <x v="0"/>
    <s v="2026-07-11 07:47:45"/>
    <s v="2026-07-11 07:57:45"/>
    <s v="NULL"/>
    <s v="NULL"/>
    <s v="2026-07-11 09:57:45"/>
    <s v=""/>
    <s v="106.4883674"/>
    <s v="10.6224901"/>
    <s v="107.0303221"/>
    <s v="10.7925089"/>
    <n v="420444"/>
    <n v="0"/>
    <n v="420444"/>
    <s v="Cash"/>
    <s v="Công ty TNHH Koda Sài Gòn, Đường Số 1, Bến Lức, Tây Ninh, Việt NamCông ty TNHH Koda Sài Gòn"/>
    <s v="Long Thành, Đồng Nai, Việt NamLong Thành"/>
    <n v="1"/>
    <x v="0"/>
    <x v="2"/>
    <d v="1899-12-30T07:47:45"/>
    <x v="4"/>
  </r>
  <r>
    <s v="3536920660003742564"/>
    <s v="Mộng Trà"/>
    <x v="1"/>
    <n v="0"/>
    <s v=""/>
    <s v="NULL"/>
    <x v="0"/>
    <s v="2026-07-11 07:55:21"/>
    <s v="2026-07-11 08:05:20"/>
    <s v="NULL"/>
    <s v="NULL"/>
    <s v="2026-07-11 10:05:20"/>
    <s v=""/>
    <s v="106.5089084"/>
    <s v="10.6378954"/>
    <s v="106.8045949"/>
    <s v="10.9364413"/>
    <n v="275724"/>
    <n v="0"/>
    <n v="275724"/>
    <s v="Cash"/>
    <s v="CÔNG TY TNHH VIETNAM WIN TEXTILES, Nhà xưởng G1, Đường VL2, Khu công nghiệp, Mỹ Yên, Tây Ninh, Việt NamCÔNG TY TNHH VIETNAM WIN TEXTILES"/>
    <s v="Biên Hòa, Đồng Nai, Việt NamBiên Hòa"/>
    <n v="1"/>
    <x v="0"/>
    <x v="2"/>
    <d v="1899-12-30T07:55:21"/>
    <x v="9"/>
  </r>
  <r>
    <s v="3536920660003742656"/>
    <s v="Mộng Trà"/>
    <x v="1"/>
    <n v="0"/>
    <s v=""/>
    <s v="NULL"/>
    <x v="0"/>
    <s v="2026-07-11 07:55:50"/>
    <s v="2026-07-11 08:05:50"/>
    <s v="NULL"/>
    <s v="NULL"/>
    <s v="2026-07-11 10:05:50"/>
    <s v=""/>
    <s v="106.5089084"/>
    <s v="10.6378954"/>
    <s v="106.935861"/>
    <s v="10.8312488"/>
    <n v="323676"/>
    <n v="0"/>
    <n v="323676"/>
    <s v="Cash"/>
    <s v="CÔNG TY TNHH VIETNAM WIN TEXTILES, Nhà xưởng G1, Đường VL2, Khu công nghiệp, Mỹ Yên, Tây Ninh, Việt NamCÔNG TY TNHH VIETNAM WIN TEXTILES"/>
    <s v="KCN Long Thành, Đường số 9, An Phước, Đồng Nai, Việt NamKCN Long Thành"/>
    <n v="1"/>
    <x v="0"/>
    <x v="2"/>
    <d v="1899-12-30T07:55:50"/>
    <x v="4"/>
  </r>
  <r>
    <s v="3536922118690402944"/>
    <s v="Mộng Trà"/>
    <x v="1"/>
    <n v="4300716"/>
    <s v=""/>
    <s v="Motorcycle"/>
    <x v="4"/>
    <s v="2026-07-11 07:50:56"/>
    <s v="2026-07-11 08:00:56"/>
    <s v="2026-07-11 08:15:59"/>
    <s v="NULL"/>
    <s v="2026-07-21 08:01:56"/>
    <s v=""/>
    <s v="106.548153"/>
    <s v="10.6243872"/>
    <s v="106.6262271"/>
    <s v="11.0888403"/>
    <n v="421308"/>
    <n v="326611"/>
    <n v="94697"/>
    <s v="Cash"/>
    <s v="Công Ty Tnhh Crecimiento Industrial Việt Nam Chi Nhánh Long An, ẤP 3B, Mỹ Yên, Tây Ninh, Việt NamCông Ty Tnhh Crecimiento Industrial Việt Nam Chi Nhánh Long An"/>
    <s v="45 QL13, Thới Hòa, Hồ Chí Minh, Việt Nam45 QL13, Thới Hòa, Hồ Chí Minh, Việt Nam"/>
    <n v="1"/>
    <x v="0"/>
    <x v="2"/>
    <d v="1899-12-30T07:50:56"/>
    <x v="17"/>
  </r>
  <r>
    <s v="3536922118690403144"/>
    <s v="Mộng Trà"/>
    <x v="1"/>
    <n v="2234277"/>
    <s v=""/>
    <s v="Motorcycle"/>
    <x v="1"/>
    <s v="2026-07-11 07:52:00"/>
    <s v="2026-07-11 08:01:59"/>
    <s v="2026-07-11 09:16:51"/>
    <s v="NULL"/>
    <s v="2026-07-11 09:51:45"/>
    <s v=""/>
    <s v="106.548153"/>
    <s v="10.6243872"/>
    <s v="106.6798923"/>
    <s v="11.0139846"/>
    <n v="386100"/>
    <n v="299317"/>
    <n v="86783"/>
    <s v="Cash"/>
    <s v="Công Ty Tnhh Crecimiento Industrial Việt Nam Chi Nhánh Long An, ẤP 3B, Mỹ Yên, Tây Ninh, Việt NamCông Ty Tnhh Crecimiento Industrial Việt Nam Chi Nhánh Long An"/>
    <s v="Thủ dầu một, Đường ĐX-025, Bình Dương, Hồ Chí Minh, Việt NamThủ dầu một"/>
    <n v="1"/>
    <x v="0"/>
    <x v="2"/>
    <d v="1899-12-30T07:52:00"/>
    <x v="18"/>
  </r>
  <r>
    <s v="3536923446607048884"/>
    <s v="Mộng Trà"/>
    <x v="1"/>
    <n v="0"/>
    <s v=""/>
    <s v="NULL"/>
    <x v="0"/>
    <s v="2026-07-11 07:45:18"/>
    <s v="2026-07-11 07:55:18"/>
    <s v="NULL"/>
    <s v="NULL"/>
    <s v="2026-07-11 09:55:18"/>
    <s v=""/>
    <s v="106.4883674"/>
    <s v="10.6224901"/>
    <s v="106.7535289"/>
    <s v="10.9088973"/>
    <n v="280800"/>
    <n v="0"/>
    <n v="280800"/>
    <s v="Cash"/>
    <s v="Công ty TNHH Koda Sài Gòn, Đường Số 1, Bến Lức, Tây Ninh, Việt NamCông ty TNHH Koda Sài Gòn"/>
    <s v="Thuận An Bình Dương, Đường N2, Dĩ An, Hồ Chí Minh, Việt NamThuận An Bình Dương"/>
    <n v="1"/>
    <x v="0"/>
    <x v="2"/>
    <d v="1899-12-30T07:45:18"/>
    <x v="4"/>
  </r>
  <r>
    <s v="3536923446648983741"/>
    <s v="Mộng Trà"/>
    <x v="1"/>
    <n v="0"/>
    <s v=""/>
    <s v="NULL"/>
    <x v="0"/>
    <s v="2026-07-11 07:56:18"/>
    <s v="2026-07-11 08:06:18"/>
    <s v="NULL"/>
    <s v="NULL"/>
    <s v="2026-07-11 10:06:18"/>
    <s v=""/>
    <s v="106.5089084"/>
    <s v="10.6378954"/>
    <s v="106.4615963"/>
    <s v="11.141591"/>
    <n v="365472"/>
    <n v="0"/>
    <n v="365472"/>
    <s v="Cash"/>
    <s v="CÔNG TY TNHH VIETNAM WIN TEXTILES, Nhà xưởng G1, Đường VL2, Khu công nghiệp, Mỹ Yên, Tây Ninh, Việt NamCÔNG TY TNHH VIETNAM WIN TEXTILES"/>
    <s v="Cu Chi Tunnel, Phú Hiệp, An Nhơn Tây, Củ Chi, Hồ Chí Minh, Việt NamCu Chi Tunnel"/>
    <n v="1"/>
    <x v="0"/>
    <x v="2"/>
    <d v="1899-12-30T07:56:18"/>
    <x v="4"/>
  </r>
  <r>
    <s v="3536923446648984126"/>
    <s v="Mộng Trà"/>
    <x v="1"/>
    <n v="3049725"/>
    <s v=""/>
    <s v="Motorcycle"/>
    <x v="2"/>
    <s v="2026-07-11 07:58:16"/>
    <s v="2026-07-11 08:08:15"/>
    <s v="2026-07-11 09:39:23"/>
    <s v="NULL"/>
    <s v=""/>
    <s v=""/>
    <s v="106.5460635"/>
    <s v="10.6373043"/>
    <s v="106.6798923"/>
    <s v="11.0139846"/>
    <n v="273024"/>
    <n v="211657"/>
    <n v="61367"/>
    <s v="Cash"/>
    <s v="CTY TNHH Thương mại Kỹ Thuật Xuất Nhập Khẩu NAM HẢI, Lộ Đình, Phước Lý, Tây Ninh, Việt NamCTY TNHH Thương mại Kỹ Thuật Xuất Nhập Khẩu NAM HẢI"/>
    <s v="Thủ dầu một, Đường ĐX-025, Bình Dương, Hồ Chí Minh, Việt NamThủ dầu một"/>
    <n v="1"/>
    <x v="0"/>
    <x v="2"/>
    <d v="1899-12-30T07:58:16"/>
    <x v="14"/>
  </r>
  <r>
    <s v="3536923446648984181"/>
    <s v="Mộng Trà"/>
    <x v="1"/>
    <n v="4646703"/>
    <s v=""/>
    <s v="Motorcycle"/>
    <x v="2"/>
    <s v="2026-07-11 07:58:30"/>
    <s v="2026-07-11 08:08:29"/>
    <s v="2026-07-11 08:35:37"/>
    <s v="NULL"/>
    <s v=""/>
    <s v=""/>
    <s v="106.5460635"/>
    <s v="10.6373043"/>
    <s v="106.7535289"/>
    <s v="10.9088973"/>
    <n v="260388"/>
    <n v="201861"/>
    <n v="58527"/>
    <s v="Cash"/>
    <s v="CTY TNHH Thương mại Kỹ Thuật Xuất Nhập Khẩu NAM HẢI, Lộ Đình, Phước Lý, Tây Ninh, Việt NamCTY TNHH Thương mại Kỹ Thuật Xuất Nhập Khẩu NAM HẢI"/>
    <s v="Thuận An Bình Dương, Đường N2, Dĩ An, Hồ Chí Minh, Việt NamThuận An Bình Dương"/>
    <n v="1"/>
    <x v="0"/>
    <x v="2"/>
    <d v="1899-12-30T07:58:30"/>
    <x v="14"/>
  </r>
  <r>
    <s v="3536925697044075348"/>
    <s v="Mộng Trà"/>
    <x v="1"/>
    <n v="0"/>
    <s v=""/>
    <s v="NULL"/>
    <x v="0"/>
    <s v="2026-07-11 07:53:01"/>
    <s v="2026-07-11 08:03:00"/>
    <s v="NULL"/>
    <s v="NULL"/>
    <s v="2026-07-11 10:03:00"/>
    <s v=""/>
    <s v="106.548153"/>
    <s v="10.6243872"/>
    <s v="106.75641541589965"/>
    <s v="10.897752734523126"/>
    <n v="263628"/>
    <n v="0"/>
    <n v="263628"/>
    <s v="Cash"/>
    <s v="Công Ty Tnhh Crecimiento Industrial Việt Nam Chi Nhánh Long An, ẤP 3B, Mỹ Yên, Tây Ninh, Việt NamCông Ty Tnhh Crecimiento Industrial Việt Nam Chi Nhánh Long An"/>
    <s v="VQX4+6Q9, Đường số 12, Dĩ An, Hồ Chí Minh, Việt NamVQX4+6Q9, Đường số 12, Dĩ An, Hồ Chí Minh, Việt Nam"/>
    <n v="1"/>
    <x v="0"/>
    <x v="2"/>
    <d v="1899-12-30T07:53:01"/>
    <x v="9"/>
  </r>
  <r>
    <s v="3536925697060860318"/>
    <s v="Mộng Trà"/>
    <x v="1"/>
    <n v="0"/>
    <s v=""/>
    <s v="NULL"/>
    <x v="0"/>
    <s v="2026-07-11 07:55:37"/>
    <s v="2026-07-11 08:05:36"/>
    <s v="NULL"/>
    <s v="NULL"/>
    <s v="2026-07-11 10:05:36"/>
    <s v=""/>
    <s v="106.5089084"/>
    <s v="10.6378954"/>
    <s v="106.935861"/>
    <s v="10.8312488"/>
    <n v="339876"/>
    <n v="0"/>
    <n v="339876"/>
    <s v="Cash"/>
    <s v="CÔNG TY TNHH VIETNAM WIN TEXTILES, Nhà xưởng G1, Đường VL2, Khu công nghiệp, Mỹ Yên, Tây Ninh, Việt NamCÔNG TY TNHH VIETNAM WIN TEXTILES"/>
    <s v="KCN Long Thành, Đường số 9, An Phước, Đồng Nai, Việt NamKCN Long Thành"/>
    <n v="1"/>
    <x v="0"/>
    <x v="2"/>
    <d v="1899-12-30T07:55:37"/>
    <x v="9"/>
  </r>
  <r>
    <s v="3536925697077633297"/>
    <s v="Mộng Trà"/>
    <x v="1"/>
    <n v="4354486"/>
    <s v=""/>
    <s v="Motorcycle"/>
    <x v="2"/>
    <s v="2026-07-11 08:00:02"/>
    <s v="2026-07-11 08:10:02"/>
    <s v="2026-07-11 09:59:46"/>
    <s v="NULL"/>
    <s v=""/>
    <s v=""/>
    <s v="106.5460635"/>
    <s v="10.6373043"/>
    <s v="106.7866577"/>
    <s v="10.8450844"/>
    <n v="227448"/>
    <n v="176325"/>
    <n v="51123"/>
    <s v="Cash"/>
    <s v="CTY TNHH Thương mại Kỹ Thuật Xuất Nhập Khẩu NAM HẢI, Lộ Đình, Phước Lý, Tây Ninh, Việt NamCTY TNHH Thương mại Kỹ Thuật Xuất Nhập Khẩu NAM HẢI"/>
    <s v="Quận 9, Tăng Nhơn Phú, Hồ Chí Minh, Việt NamQuận 9"/>
    <n v="1"/>
    <x v="0"/>
    <x v="2"/>
    <d v="1899-12-30T08:00:02"/>
    <x v="14"/>
  </r>
  <r>
    <s v="3536927756271178133"/>
    <s v="Mộng Trà"/>
    <x v="1"/>
    <n v="0"/>
    <s v=""/>
    <s v="NULL"/>
    <x v="0"/>
    <s v="2026-07-11 07:54:00"/>
    <s v="2026-07-11 08:04:00"/>
    <s v="NULL"/>
    <s v="NULL"/>
    <s v="2026-07-11 10:04:00"/>
    <s v=""/>
    <s v="106.548153"/>
    <s v="10.6243872"/>
    <s v="106.6216471"/>
    <s v="10.8750776"/>
    <n v="183384"/>
    <n v="0"/>
    <n v="183384"/>
    <s v="Cash"/>
    <s v="Công Ty Tnhh Crecimiento Industrial Việt Nam Chi Nhánh Long An, ẤP 3B, Mỹ Yên, Tây Ninh, Việt NamCông Ty Tnhh Crecimiento Industrial Việt Nam Chi Nhánh Long An"/>
    <s v="Hoc mon, Thới Tam Thôn 17, Đông Thạnh, Hồ Chí Minh, Việt NamHoc mon"/>
    <n v="1"/>
    <x v="0"/>
    <x v="2"/>
    <d v="1899-12-30T07:54:00"/>
    <x v="4"/>
  </r>
  <r>
    <s v="3536927756271178186"/>
    <s v="Mộng Trà"/>
    <x v="1"/>
    <n v="0"/>
    <s v=""/>
    <s v="NULL"/>
    <x v="0"/>
    <s v="2026-07-11 07:54:15"/>
    <s v="2026-07-11 08:04:15"/>
    <s v="NULL"/>
    <s v="NULL"/>
    <s v="2026-07-11 10:04:15"/>
    <s v=""/>
    <s v="106.548153"/>
    <s v="10.6243872"/>
    <s v="106.6733441"/>
    <s v="10.8314858"/>
    <n v="198180"/>
    <n v="0"/>
    <n v="198180"/>
    <s v="Cash"/>
    <s v="Công Ty Tnhh Crecimiento Industrial Việt Nam Chi Nhánh Long An, ẤP 3B, Mỹ Yên, Tây Ninh, Việt NamCông Ty Tnhh Crecimiento Industrial Việt Nam Chi Nhánh Long An"/>
    <s v="Gò Vấp, Hồ Chí Minh, Việt NamGò Vấp"/>
    <n v="1"/>
    <x v="0"/>
    <x v="2"/>
    <d v="1899-12-30T07:54:15"/>
    <x v="4"/>
  </r>
  <r>
    <s v="3536927756271178336"/>
    <s v="Mộng Trà"/>
    <x v="1"/>
    <n v="3746341"/>
    <s v=""/>
    <s v="Motorcycle"/>
    <x v="1"/>
    <s v="2026-07-11 07:55:06"/>
    <s v="2026-07-11 08:05:06"/>
    <s v="2026-07-11 08:18:45"/>
    <s v="NULL"/>
    <s v="2026-07-11 08:21:47"/>
    <s v=""/>
    <s v="106.5089084"/>
    <s v="10.6378954"/>
    <s v="106.8045949"/>
    <s v="10.9364413"/>
    <n v="291924"/>
    <n v="239621"/>
    <n v="52303"/>
    <s v="Cash"/>
    <s v="CÔNG TY TNHH VIETNAM WIN TEXTILES, Nhà xưởng G1, Đường VL2, Khu công nghiệp, Mỹ Yên, Tây Ninh, Việt NamCÔNG TY TNHH VIETNAM WIN TEXTILES"/>
    <s v="Biên Hòa, Đồng Nai, Việt NamBiên Hòa"/>
    <n v="1"/>
    <x v="0"/>
    <x v="2"/>
    <d v="1899-12-30T07:55:06"/>
    <x v="19"/>
  </r>
  <r>
    <s v="3536927756287963317"/>
    <s v="Mộng Trà"/>
    <x v="1"/>
    <n v="3213296"/>
    <s v=""/>
    <s v="Motorcycle"/>
    <x v="2"/>
    <s v="2026-07-11 07:58:03"/>
    <s v="2026-07-11 08:08:03"/>
    <s v="2026-07-11 09:50:25"/>
    <s v="NULL"/>
    <s v=""/>
    <s v=""/>
    <s v="106.5460635"/>
    <s v="10.6373043"/>
    <s v="106.8023397"/>
    <s v="11.0762325"/>
    <n v="344304"/>
    <n v="266915"/>
    <n v="77389"/>
    <s v="Cash"/>
    <s v="CTY TNHH Thương mại Kỹ Thuật Xuất Nhập Khẩu NAM HẢI, Lộ Đình, Phước Lý, Tây Ninh, Việt NamCTY TNHH Thương mại Kỹ Thuật Xuất Nhập Khẩu NAM HẢI"/>
    <s v="Tân Uyen bình dương, Tân Uyên, Hồ Chí Minh, Việt NamTân Uyen bình dương"/>
    <n v="1"/>
    <x v="0"/>
    <x v="2"/>
    <d v="1899-12-30T07:58:03"/>
    <x v="14"/>
  </r>
  <r>
    <s v="3536929826151813837"/>
    <s v="Mộng Trà"/>
    <x v="1"/>
    <n v="3415189"/>
    <s v=""/>
    <s v="Motorcycle"/>
    <x v="1"/>
    <s v="2026-07-11 07:59:14"/>
    <s v="2026-07-11 08:09:13"/>
    <s v="2026-07-11 08:28:32"/>
    <s v="NULL"/>
    <s v="2026-07-11 08:31:41"/>
    <s v=""/>
    <s v="106.5460635"/>
    <s v="10.6373043"/>
    <s v="106.6733441"/>
    <s v="10.8314858"/>
    <n v="222696"/>
    <n v="172641"/>
    <n v="50055"/>
    <s v="Cash"/>
    <s v="CTY TNHH Thương mại Kỹ Thuật Xuất Nhập Khẩu NAM HẢI, Lộ Đình, Phước Lý, Tây Ninh, Việt NamCTY TNHH Thương mại Kỹ Thuật Xuất Nhập Khẩu NAM HẢI"/>
    <s v="Gò Vấp, Hồ Chí Minh, Việt NamGò Vấp"/>
    <n v="1"/>
    <x v="0"/>
    <x v="2"/>
    <d v="1899-12-30T07:59:14"/>
    <x v="20"/>
  </r>
  <r>
    <s v="3536929826151813967"/>
    <s v="Mộng Trà"/>
    <x v="1"/>
    <n v="3168954"/>
    <s v=""/>
    <s v="Motorcycle"/>
    <x v="2"/>
    <s v="2026-07-11 07:59:47"/>
    <s v="2026-07-11 08:09:47"/>
    <s v="2026-07-11 09:10:13"/>
    <s v="2026-07-11 09:15:25"/>
    <s v=""/>
    <s v=""/>
    <s v="106.5460635"/>
    <s v="10.6373043"/>
    <s v="106.6110909"/>
    <s v="10.7227658"/>
    <n v="92340"/>
    <n v="71585"/>
    <n v="20755"/>
    <s v="Cash"/>
    <s v="CTY TNHH Thương mại Kỹ Thuật Xuất Nhập Khẩu NAM HẢI, Lộ Đình, Phước Lý, Tây Ninh, Việt NamCTY TNHH Thương mại Kỹ Thuật Xuất Nhập Khẩu NAM HẢI"/>
    <s v="Việt Nam, Hồ Chí Minh, An Lạc, Khu phố 8, Đ. Số 20, Bình TânBình Tân"/>
    <n v="1"/>
    <x v="0"/>
    <x v="2"/>
    <d v="1899-12-30T07:59:47"/>
    <x v="14"/>
  </r>
  <r>
    <s v="3536930997570588858"/>
    <s v="Mộng Trà"/>
    <x v="1"/>
    <n v="4241180"/>
    <s v=""/>
    <s v="Motorcycle"/>
    <x v="2"/>
    <s v="2026-07-11 07:58:59"/>
    <s v="2026-07-11 08:08:59"/>
    <s v="2026-07-11 10:23:40"/>
    <s v="NULL"/>
    <s v=""/>
    <s v=""/>
    <s v="106.5460635"/>
    <s v="10.6373043"/>
    <s v="106.6216471"/>
    <s v="10.8750776"/>
    <n v="197100"/>
    <n v="161786"/>
    <n v="35314"/>
    <s v="Cash"/>
    <s v="CTY TNHH Thương mại Kỹ Thuật Xuất Nhập Khẩu NAM HẢI, Lộ Đình, Phước Lý, Tây Ninh, Việt NamCTY TNHH Thương mại Kỹ Thuật Xuất Nhập Khẩu NAM HẢI"/>
    <s v="Hoc mon, Thới Tam Thôn 17, Đông Thạnh, Hồ Chí Minh, Việt NamHoc mon"/>
    <n v="1"/>
    <x v="0"/>
    <x v="2"/>
    <d v="1899-12-30T07:58:59"/>
    <x v="14"/>
  </r>
  <r>
    <s v="3536930997570589183"/>
    <s v="Mộng Trà"/>
    <x v="1"/>
    <n v="0"/>
    <s v=""/>
    <s v="NULL"/>
    <x v="0"/>
    <s v="2026-07-11 08:00:25"/>
    <s v="2026-07-11 08:10:25"/>
    <s v="NULL"/>
    <s v="NULL"/>
    <s v="2026-07-11 10:41:01"/>
    <s v=""/>
    <s v="106.5460635"/>
    <s v="10.6373043"/>
    <s v="106.8045949"/>
    <s v="10.9364413"/>
    <n v="281232"/>
    <n v="0"/>
    <n v="281232"/>
    <s v="Cash"/>
    <s v="CTY TNHH Thương mại Kỹ Thuật Xuất Nhập Khẩu NAM HẢI, Lộ Đình, Phước Lý, Tây Ninh, Việt NamCTY TNHH Thương mại Kỹ Thuật Xuất Nhập Khẩu NAM HẢI"/>
    <s v="Biên Hòa, Đồng Nai, Việt NamBiên Hòa"/>
    <n v="1"/>
    <x v="0"/>
    <x v="2"/>
    <d v="1899-12-30T08:00:25"/>
    <x v="21"/>
  </r>
  <r>
    <s v="3539499515428163978"/>
    <s v=""/>
    <x v="2"/>
    <n v="0"/>
    <s v=""/>
    <s v="NULL"/>
    <x v="0"/>
    <s v="2026-07-14 21:26:42"/>
    <s v="2026-07-15 08:57:00"/>
    <s v="NULL"/>
    <s v="NULL"/>
    <s v="2026-07-15 10:57:00"/>
    <s v=""/>
    <s v="106.5131415"/>
    <s v="10.5799575"/>
    <s v="106.6181936"/>
    <s v="11.0789266"/>
    <n v="278424"/>
    <n v="0"/>
    <n v="278424"/>
    <s v="Cash"/>
    <s v="Ấp 3, Cần Đước, Long An, Việt NamChi Nhánh Long An , Công Ty TNHH Huy Đậu"/>
    <s v="79 Đường D8, 2 khu phố 4, Hòa Lợi, Hồ Chí Minh, Việt Nam79 Đường D8, 2 khu phố 4, Hòa Lợi, Hồ Chí Minh, Việt Nam"/>
    <n v="1"/>
    <x v="0"/>
    <x v="3"/>
    <d v="1899-12-30T21:26:42"/>
    <x v="22"/>
  </r>
  <r>
    <s v="3539499515428164423"/>
    <s v=""/>
    <x v="2"/>
    <n v="0"/>
    <s v=""/>
    <s v="NULL"/>
    <x v="0"/>
    <s v="2026-07-14 21:30:57"/>
    <s v="2026-07-15 09:01:00"/>
    <s v="NULL"/>
    <s v="NULL"/>
    <s v="2026-07-15 11:01:00"/>
    <s v=""/>
    <s v="106.5083424"/>
    <s v="10.5737325"/>
    <s v="107.0303221"/>
    <s v="10.7925089"/>
    <n v="313200"/>
    <n v="0"/>
    <n v="313200"/>
    <s v="Cash"/>
    <s v="CCN Long Dinh , Long Cang, Can Duoc, Long An, Long Cang, Long An, 850000, Việt NamCông ty CP TP An Long / An Long Food JSC"/>
    <s v="Long Thành, Đồng Nai, Việt NamLong Thành"/>
    <n v="1"/>
    <x v="0"/>
    <x v="3"/>
    <d v="1899-12-30T21:30:57"/>
    <x v="23"/>
  </r>
  <r>
    <s v="3539499515428164458"/>
    <s v=""/>
    <x v="2"/>
    <n v="0"/>
    <s v=""/>
    <s v="NULL"/>
    <x v="0"/>
    <s v="2026-07-14 21:31:17"/>
    <s v="2026-07-15 09:02:00"/>
    <s v="NULL"/>
    <s v="NULL"/>
    <s v="2026-07-15 11:02:00"/>
    <s v=""/>
    <s v="106.5083424"/>
    <s v="10.5737325"/>
    <s v="107.0303221"/>
    <s v="10.7925089"/>
    <n v="252720"/>
    <n v="0"/>
    <n v="252720"/>
    <s v="Cash"/>
    <s v="CCN Long Dinh , Long Cang, Can Duoc, Long An, Long Cang, Long An, 850000, Việt NamCông ty CP TP An Long / An Long Food JSC"/>
    <s v="Long Thành, Đồng Nai, Việt NamLong Thành"/>
    <n v="1"/>
    <x v="0"/>
    <x v="3"/>
    <d v="1899-12-30T21:31:17"/>
    <x v="24"/>
  </r>
  <r>
    <s v="3539501606087381069"/>
    <s v=""/>
    <x v="2"/>
    <n v="0"/>
    <s v=""/>
    <s v="NULL"/>
    <x v="0"/>
    <s v="2026-07-14 21:29:48"/>
    <s v="2026-07-15 08:56:00"/>
    <s v="NULL"/>
    <s v="NULL"/>
    <s v="2026-07-15 10:56:00"/>
    <s v=""/>
    <s v="106.5083424"/>
    <s v="10.5737325"/>
    <s v="106.8023397"/>
    <s v="11.0762325"/>
    <n v="326808"/>
    <n v="0"/>
    <n v="326808"/>
    <s v="Cash"/>
    <s v="CCN Long Dinh , Long Cang, Can Duoc, Long An, Long Cang, Long An, 850000, Việt NamCông ty CP TP An Long / An Long Food JSC"/>
    <s v="Tân Uyen bình dương, Tân Uyên, Hồ Chí Minh, Việt NamTân Uyen bình dương"/>
    <n v="1"/>
    <x v="0"/>
    <x v="3"/>
    <d v="1899-12-30T21:29:48"/>
    <x v="25"/>
  </r>
  <r>
    <s v="3539501606087381605"/>
    <s v=""/>
    <x v="2"/>
    <n v="0"/>
    <s v=""/>
    <s v="NULL"/>
    <x v="0"/>
    <s v="2026-07-14 21:35:00"/>
    <s v="2026-07-15 09:05:00"/>
    <s v="NULL"/>
    <s v="NULL"/>
    <s v="2026-07-15 11:05:00"/>
    <s v=""/>
    <s v="106.5104934"/>
    <s v="10.5740284"/>
    <s v="106.682188"/>
    <s v="10.948222"/>
    <n v="187272"/>
    <n v="0"/>
    <n v="187272"/>
    <s v="Cash"/>
    <s v="Long Cang, Cần Đước, Long An, Việt NamNhà Xưởng Công ty Trần Phát"/>
    <s v="Thuận An, Hồ Chí Minh, Việt NamThuận An"/>
    <n v="1"/>
    <x v="0"/>
    <x v="3"/>
    <d v="1899-12-30T21:35:00"/>
    <x v="26"/>
  </r>
  <r>
    <s v="3539502139200197171"/>
    <s v=""/>
    <x v="2"/>
    <n v="0"/>
    <s v=""/>
    <s v="NULL"/>
    <x v="0"/>
    <s v="2026-07-14 21:36:07"/>
    <s v="2026-07-15 10:06:00"/>
    <s v="NULL"/>
    <s v="NULL"/>
    <s v="2026-07-15 12:06:00"/>
    <s v=""/>
    <s v="106.5058144"/>
    <s v="10.5789015"/>
    <s v="106.682188"/>
    <s v="10.948222"/>
    <n v="247320"/>
    <n v="0"/>
    <n v="247320"/>
    <s v="Cash"/>
    <s v="Xã Long Cang, Huyện Cần Đước, Long An, Việt NamCông Ty TNHH Dachan VN"/>
    <s v="Thuận An, Hồ Chí Minh, Việt NamThuận An"/>
    <n v="1"/>
    <x v="0"/>
    <x v="3"/>
    <d v="1899-12-30T21:36:07"/>
    <x v="27"/>
  </r>
  <r>
    <s v="3539504510122811555"/>
    <s v=""/>
    <x v="2"/>
    <n v="2852976"/>
    <s v=""/>
    <s v="Motorcycle"/>
    <x v="1"/>
    <s v="2026-07-14 21:27:03"/>
    <s v="2026-07-15 08:57:00"/>
    <s v="2026-07-15 09:39:33"/>
    <s v="NULL"/>
    <s v="2026-07-15 09:45:36"/>
    <s v=""/>
    <s v="106.5131415"/>
    <s v="10.5799575"/>
    <s v="106.6181936"/>
    <s v="11.0789266"/>
    <n v="389772"/>
    <n v="319938"/>
    <n v="69834"/>
    <s v="Cash"/>
    <s v="Ấp 3, Cần Đước, Long An, Việt NamChi Nhánh Long An , Công Ty TNHH Huy Đậu"/>
    <s v="79 Đường D8, 2 khu phố 4, Hòa Lợi, Hồ Chí Minh, Việt Nam79 Đường D8, 2 khu phố 4, Hòa Lợi, Hồ Chí Minh, Việt Nam"/>
    <n v="1"/>
    <x v="0"/>
    <x v="3"/>
    <d v="1899-12-30T21:27:03"/>
    <x v="28"/>
  </r>
  <r>
    <s v="3539504510122811735"/>
    <s v=""/>
    <x v="2"/>
    <n v="3270211"/>
    <s v=""/>
    <s v="Motorcycle"/>
    <x v="4"/>
    <s v="2026-07-14 21:28:47"/>
    <s v="2026-07-15 09:34:00"/>
    <s v="2026-07-15 12:37:50"/>
    <s v="NULL"/>
    <s v="2026-07-25 09:35:00"/>
    <s v=""/>
    <s v="106.5131415"/>
    <s v="10.5799575"/>
    <s v="106.8043734"/>
    <s v="10.9384958"/>
    <n v="322704"/>
    <n v="250170"/>
    <n v="72534"/>
    <s v="Cash"/>
    <s v="Ấp 3, Cần Đước, Long An, Việt NamChi Nhánh Long An , Công Ty TNHH Huy Đậu"/>
    <s v="WRQ3+9PX, Biên Hòa, Đồng Nai, Việt NamWRQ3+9PX, Biên Hòa, Đồng Nai, Việt Nam"/>
    <n v="1"/>
    <x v="0"/>
    <x v="3"/>
    <d v="1899-12-30T21:28:47"/>
    <x v="29"/>
  </r>
  <r>
    <s v="3539505256725701485"/>
    <s v=""/>
    <x v="2"/>
    <n v="0"/>
    <s v=""/>
    <s v="NULL"/>
    <x v="0"/>
    <s v="2026-07-14 21:37:49"/>
    <s v="2026-07-15 10:08:00"/>
    <s v="NULL"/>
    <s v="NULL"/>
    <s v="2026-07-15 12:08:00"/>
    <s v=""/>
    <s v="106.5028834"/>
    <s v="10.5768255"/>
    <s v="106.7528749"/>
    <s v="10.8963726"/>
    <n v="218484"/>
    <n v="0"/>
    <n v="218484"/>
    <s v="Cash"/>
    <s v="Xã Long Cang, Huyện Cần Đước, Long An, Việt NamCông Ty TNHH Ant La"/>
    <s v="Dĩ An, Bình Dương, Việt NamDĩ An"/>
    <n v="1"/>
    <x v="0"/>
    <x v="3"/>
    <d v="1899-12-30T21:37:49"/>
    <x v="30"/>
  </r>
  <r>
    <s v="3539505256742474194"/>
    <s v=""/>
    <x v="2"/>
    <n v="0"/>
    <s v=""/>
    <s v="NULL"/>
    <x v="0"/>
    <s v="2026-07-14 21:41:53"/>
    <s v="2026-07-15 09:12:00"/>
    <s v="NULL"/>
    <s v="NULL"/>
    <s v="2026-07-15 11:12:00"/>
    <s v=""/>
    <s v="106.5067944"/>
    <s v="10.5783864"/>
    <s v="106.6733441"/>
    <s v="10.8314858"/>
    <n v="172584"/>
    <n v="0"/>
    <n v="172584"/>
    <s v="Cash"/>
    <s v="Xã Long Cang, Huyện Cần Đước, Long An, Việt NamCông Ty Sino Pacific"/>
    <s v="Gò Vấp, Hồ Chí Minh, Việt NamGò Vấp"/>
    <n v="1"/>
    <x v="0"/>
    <x v="3"/>
    <d v="1899-12-30T21:41:53"/>
    <x v="31"/>
  </r>
  <r>
    <s v="3539507562342998366"/>
    <s v=""/>
    <x v="2"/>
    <n v="4626431"/>
    <s v=""/>
    <s v="Motorcycle"/>
    <x v="2"/>
    <s v="2026-07-14 21:25:43"/>
    <s v="2026-07-15 08:30:00"/>
    <s v="2026-07-15 10:09:56"/>
    <s v="NULL"/>
    <s v=""/>
    <s v=""/>
    <s v="106.5131415"/>
    <s v="10.5799575"/>
    <s v="106.61853454967651"/>
    <s v="11.079237086712821"/>
    <n v="288900"/>
    <n v="223964"/>
    <n v="64936"/>
    <s v="Cash"/>
    <s v="Ấp 3, Cần Đước, Long An, Việt NamChi Nhánh Long An , Công Ty TNHH Huy Đậu"/>
    <s v="79 Đường D8, 2 khu phố 4, Hòa Lợi, Hồ Chí Minh, Việt Nam79 Đường D8, 2 khu phố 4, Hòa Lợi, Hồ Chí Minh, Việt Nam"/>
    <n v="1"/>
    <x v="0"/>
    <x v="3"/>
    <d v="1899-12-30T21:25:43"/>
    <x v="14"/>
  </r>
  <r>
    <s v="3539507562342999075"/>
    <s v=""/>
    <x v="2"/>
    <n v="0"/>
    <s v=""/>
    <s v="NULL"/>
    <x v="0"/>
    <s v="2026-07-14 21:32:59"/>
    <s v="2026-07-15 09:03:00"/>
    <s v="NULL"/>
    <s v="NULL"/>
    <s v="2026-07-15 11:03:00"/>
    <s v=""/>
    <s v="106.5108855"/>
    <s v="10.5718494"/>
    <s v="106.6798923"/>
    <s v="11.0139846"/>
    <n v="259308"/>
    <n v="0"/>
    <n v="259308"/>
    <s v="Cash"/>
    <s v="Công ty cổ phần Logistics nPL (kho Long An), Long Cang, Cần Đước, Long An, Việt NamCông ty cổ phần Logistics nPL (kho Long An)"/>
    <s v="Thủ dầu một, Đường ĐX-025, Bình Dương, Hồ Chí Minh, Việt NamThủ dầu một"/>
    <n v="1"/>
    <x v="0"/>
    <x v="3"/>
    <d v="1899-12-30T21:32:59"/>
    <x v="32"/>
  </r>
  <r>
    <s v="3539507562359771324"/>
    <s v=""/>
    <x v="2"/>
    <n v="0"/>
    <s v=""/>
    <s v="NULL"/>
    <x v="0"/>
    <s v="2026-07-14 21:34:28"/>
    <s v="2026-07-15 10:05:00"/>
    <s v="NULL"/>
    <s v="NULL"/>
    <s v="2026-07-15 12:05:00"/>
    <s v=""/>
    <s v="106.5104934"/>
    <s v="10.5740284"/>
    <s v="106.682188"/>
    <s v="10.948222"/>
    <n v="244944"/>
    <n v="0"/>
    <n v="244944"/>
    <s v="Cash"/>
    <s v="Long Cang, Cần Đước, Long An, Việt NamNhà Xưởng Công ty Trần Phát"/>
    <s v="Thuận An, Hồ Chí Minh, Việt NamThuận An"/>
    <n v="1"/>
    <x v="0"/>
    <x v="3"/>
    <d v="1899-12-30T21:34:28"/>
    <x v="33"/>
  </r>
  <r>
    <s v="3539507562359771683"/>
    <s v=""/>
    <x v="2"/>
    <n v="3785706"/>
    <s v=""/>
    <s v="Motorcycle"/>
    <x v="2"/>
    <s v="2026-07-14 21:38:08"/>
    <s v="2026-07-15 09:08:00"/>
    <s v="2026-07-15 10:05:32"/>
    <s v="2026-07-15 10:54:12"/>
    <s v=""/>
    <s v=""/>
    <s v="106.5028834"/>
    <s v="10.5768255"/>
    <s v="106.7528749"/>
    <s v="10.8963726"/>
    <n v="305856"/>
    <n v="237109"/>
    <n v="68747"/>
    <s v="Cash"/>
    <s v="Xã Long Cang, Huyện Cần Đước, Long An, Việt NamCông Ty TNHH Ant La"/>
    <s v="Dĩ An, Bình Dương, Việt NamDĩ An"/>
    <n v="1"/>
    <x v="0"/>
    <x v="3"/>
    <d v="1899-12-30T21:38:08"/>
    <x v="14"/>
  </r>
  <r>
    <s v="3539507562384945369"/>
    <s v=""/>
    <x v="2"/>
    <n v="0"/>
    <s v=""/>
    <s v="NULL"/>
    <x v="0"/>
    <s v="2026-07-14 21:45:56"/>
    <s v="2026-07-15 09:16:00"/>
    <s v="NULL"/>
    <s v="NULL"/>
    <s v="2026-07-15 11:16:00"/>
    <s v=""/>
    <s v="106.4999555"/>
    <s v="10.5783561"/>
    <s v="106.59293258070376"/>
    <s v="10.792616564036976"/>
    <n v="164808"/>
    <n v="0"/>
    <n v="164808"/>
    <s v="Cash"/>
    <s v="Công Ty TNHH Vôi Thành Đô Long An, Nguyễn Trung Trực, Long Cang, Tây Ninh, Việt NamCông Ty TNHH Vôi Thành Đô Long An"/>
    <s v="49 Đường số 8, Bình Tân, Hồ Chí Minh, Việt Nam49 Đường số 8, Bình Tân, Hồ Chí Minh, Việt Nam"/>
    <n v="1"/>
    <x v="0"/>
    <x v="3"/>
    <d v="1899-12-30T21:45:56"/>
    <x v="34"/>
  </r>
  <r>
    <s v="3539507869248610627"/>
    <s v=""/>
    <x v="2"/>
    <n v="0"/>
    <s v=""/>
    <s v="NULL"/>
    <x v="0"/>
    <s v="2026-07-14 21:36:40"/>
    <s v="2026-07-15 09:07:00"/>
    <s v="NULL"/>
    <s v="NULL"/>
    <s v="2026-07-15 11:07:00"/>
    <s v=""/>
    <s v="106.5058144"/>
    <s v="10.5789015"/>
    <s v="106.682188"/>
    <s v="10.948222"/>
    <n v="236520"/>
    <n v="0"/>
    <n v="236520"/>
    <s v="Cash"/>
    <s v="Xã Long Cang, Huyện Cần Đước, Long An, Việt NamCông Ty TNHH Dachan VN"/>
    <s v="Thuận An, Hồ Chí Minh, Việt NamThuận An"/>
    <n v="1"/>
    <x v="0"/>
    <x v="3"/>
    <d v="1899-12-30T21:36:40"/>
    <x v="35"/>
  </r>
  <r>
    <s v="3539507869265383783"/>
    <s v=""/>
    <x v="2"/>
    <n v="2325851"/>
    <s v=""/>
    <s v="Motorcycle"/>
    <x v="2"/>
    <s v="2026-07-14 21:48:20"/>
    <s v="2026-07-15 09:07:00"/>
    <s v="2026-07-15 10:56:18"/>
    <s v="2026-07-15 11:12:50"/>
    <s v=""/>
    <s v=""/>
    <s v="106.5077574"/>
    <s v="10.5779655"/>
    <s v="106.7018494"/>
    <s v="10.8124129"/>
    <n v="221076"/>
    <n v="171385"/>
    <n v="49691"/>
    <s v="Cash"/>
    <s v="Long Cang, Cần Đước, Long An, Việt NamCông Ty TNHH Dinh Dưỡng Động Vật Eh Long An Việt Nam"/>
    <s v="324 Chu Văn An, Bình Thạnh, Hồ Chí Minh, Việt Nam324 Chu Văn An, Bình Thạnh, Hồ Chí Minh, Việt Nam"/>
    <n v="1"/>
    <x v="0"/>
    <x v="3"/>
    <d v="1899-12-30T21:48:20"/>
    <x v="14"/>
  </r>
  <r>
    <s v="3539507869265384283"/>
    <s v=""/>
    <x v="2"/>
    <n v="0"/>
    <s v=""/>
    <s v="NULL"/>
    <x v="0"/>
    <s v="2026-07-14 21:54:17"/>
    <s v="2026-07-15 08:25:00"/>
    <s v="NULL"/>
    <s v="NULL"/>
    <s v="2026-07-15 10:25:00"/>
    <s v=""/>
    <s v="106.5022924"/>
    <s v="10.5769605"/>
    <s v="106.7076858"/>
    <s v="10.7295817"/>
    <n v="132624"/>
    <n v="0"/>
    <n v="132624"/>
    <s v="Cash"/>
    <s v="KCN Long Định, Xã Long Cang, Huyện Cần Đước, Long Cang, Bến Lức, Long An 82420, Việt NamALLYBUILD VN , Nhà máy Long An"/>
    <s v="quận 7, Hưng Phước 4, Khu đô thị Phú Mỹ Hưng, Tân Hưng, Hồ Chí Minh, Việt Namquận 7"/>
    <n v="1"/>
    <x v="0"/>
    <x v="3"/>
    <d v="1899-12-30T21:54:17"/>
    <x v="36"/>
  </r>
  <r>
    <s v="3539508123314381730"/>
    <s v=""/>
    <x v="2"/>
    <n v="0"/>
    <s v=""/>
    <s v="NULL"/>
    <x v="0"/>
    <s v="2026-07-14 21:33:35"/>
    <s v="2026-07-15 09:04:00"/>
    <s v="NULL"/>
    <s v="NULL"/>
    <s v="2026-07-15 11:04:00"/>
    <s v=""/>
    <s v="106.5108855"/>
    <s v="10.5718494"/>
    <s v="106.6798923"/>
    <s v="11.0139846"/>
    <n v="347868"/>
    <n v="0"/>
    <n v="347868"/>
    <s v="Cash"/>
    <s v="Công ty cổ phần Logistics nPL (kho Long An), Long Cang, Cần Đước, Long An, Việt NamCông ty cổ phần Logistics nPL (kho Long An)"/>
    <s v="Thủ dầu một, Đường ĐX-025, Bình Dương, Hồ Chí Minh, Việt NamThủ dầu một"/>
    <n v="1"/>
    <x v="0"/>
    <x v="3"/>
    <d v="1899-12-30T21:33:35"/>
    <x v="37"/>
  </r>
  <r>
    <s v="3539508123339542764"/>
    <s v=""/>
    <x v="2"/>
    <n v="0"/>
    <s v=""/>
    <s v="NULL"/>
    <x v="0"/>
    <s v="2026-07-14 21:37:18"/>
    <s v="2026-07-15 10:08:00"/>
    <s v="NULL"/>
    <s v="NULL"/>
    <s v="2026-07-15 12:08:00"/>
    <s v=""/>
    <s v="106.5028834"/>
    <s v="10.5768255"/>
    <s v="106.7528749"/>
    <s v="10.8963726"/>
    <n v="229284"/>
    <n v="0"/>
    <n v="229284"/>
    <s v="Cash"/>
    <s v="Xã Long Cang, Huyện Cần Đước, Long An, Việt NamCông Ty TNHH Ant La"/>
    <s v="Dĩ An, Bình Dương, Việt NamDĩ An"/>
    <n v="1"/>
    <x v="0"/>
    <x v="3"/>
    <d v="1899-12-30T21:37:18"/>
    <x v="38"/>
  </r>
  <r>
    <s v="3539508123339543274"/>
    <s v=""/>
    <x v="2"/>
    <n v="0"/>
    <s v=""/>
    <s v="NULL"/>
    <x v="0"/>
    <s v="2026-07-14 21:42:52"/>
    <s v="2026-07-15 09:13:00"/>
    <s v="NULL"/>
    <s v="NULL"/>
    <s v="2026-07-15 11:13:00"/>
    <s v=""/>
    <s v="106.5067944"/>
    <s v="10.5783864"/>
    <s v="106.67414310796512"/>
    <s v="10.836975991958276"/>
    <n v="237060"/>
    <n v="0"/>
    <n v="237060"/>
    <s v="Cash"/>
    <s v="Xã Long Cang, Huyện Cần Đước, Long An, Việt NamCông Ty Sino Pacific"/>
    <s v="89B Đường Số 7, Gò Vấp, Hồ Chí Minh, Việt Nam89B Đường Số 7, Gò Vấp, Hồ Chí Minh, Việt Nam"/>
    <n v="1"/>
    <x v="0"/>
    <x v="3"/>
    <d v="1899-12-30T21:42:52"/>
    <x v="39"/>
  </r>
  <r>
    <s v="3539508123339543435"/>
    <s v=""/>
    <x v="2"/>
    <n v="0"/>
    <s v=""/>
    <s v="NULL"/>
    <x v="0"/>
    <s v="2026-07-14 21:44:34"/>
    <s v="2026-07-15 08:57:00"/>
    <s v="NULL"/>
    <s v="NULL"/>
    <s v="2026-07-15 10:57:00"/>
    <s v=""/>
    <s v="106.5037935"/>
    <s v="10.5795504"/>
    <s v="106.64200711478883"/>
    <s v="10.802794731588344"/>
    <n v="179820"/>
    <n v="0"/>
    <n v="179820"/>
    <s v="Cash"/>
    <s v="Công ty TNHH Thức Ăn Chăn Nuôi Thiên Bang Việt Nam, Long Cang, Cần Đước, Long An, Việt NamCông ty TNHH Thức Ăn Chăn Nuôi Thiên Bang Việt Nam"/>
    <s v="1-5 Thân Nhân Trung, Tân Bình, Hồ Chí Minh, Việt Nam1-5 Thân Nhân Trung, Tân Bình, Hồ Chí Minh, Việt Nam"/>
    <n v="1"/>
    <x v="0"/>
    <x v="3"/>
    <d v="1899-12-30T21:44:34"/>
    <x v="40"/>
  </r>
  <r>
    <s v="3539508123356328507"/>
    <s v=""/>
    <x v="2"/>
    <n v="2852976"/>
    <s v=""/>
    <s v="Motorcycle"/>
    <x v="1"/>
    <s v="2026-07-14 21:51:40"/>
    <s v="2026-07-15 08:40:00"/>
    <s v="2026-07-15 10:10:08"/>
    <s v="NULL"/>
    <s v="2026-07-15 10:11:42"/>
    <s v=""/>
    <s v="106.5060105"/>
    <s v="10.5814134"/>
    <s v="106.7956620185547"/>
    <s v="10.852160226459592"/>
    <n v="293652"/>
    <n v="241039"/>
    <n v="52613"/>
    <s v="Cash"/>
    <s v="Unnamed Road, Long Cang, Cần Đước, Long An, Việt NamCông ty TNHH XNK NHỰA TIẾN PHÁT 2"/>
    <s v="39793 Man Thiện, Tăng Nhơn Phú, Hồ Chí Minh, Việt Nam39793 Man Thiện, Tăng Nhơn Phú, Hồ Chí Minh, Việt Nam"/>
    <n v="1"/>
    <x v="0"/>
    <x v="3"/>
    <d v="1899-12-30T21:51:40"/>
    <x v="41"/>
  </r>
  <r>
    <s v="3539510635736035947"/>
    <s v=""/>
    <x v="2"/>
    <n v="0"/>
    <s v=""/>
    <s v="NULL"/>
    <x v="0"/>
    <s v="2026-07-14 21:36:23"/>
    <s v="2026-07-15 10:07:00"/>
    <s v="NULL"/>
    <s v="NULL"/>
    <s v="2026-07-15 12:07:00"/>
    <s v=""/>
    <s v="106.5058144"/>
    <s v="10.5789015"/>
    <s v="106.682188"/>
    <s v="10.948222"/>
    <n v="200016"/>
    <n v="0"/>
    <n v="200016"/>
    <s v="Cash"/>
    <s v="Xã Long Cang, Huyện Cần Đước, Long An, Việt NamCông Ty TNHH Dachan VN"/>
    <s v="Thuận An, Hồ Chí Minh, Việt NamThuận An"/>
    <n v="1"/>
    <x v="0"/>
    <x v="3"/>
    <d v="1899-12-30T21:36:23"/>
    <x v="42"/>
  </r>
  <r>
    <s v="3539510635761197279"/>
    <s v=""/>
    <x v="2"/>
    <n v="4129757"/>
    <s v=""/>
    <s v="Motorcycle"/>
    <x v="2"/>
    <s v="2026-07-14 21:42:30"/>
    <s v="2026-07-15 10:13:00"/>
    <s v="2026-07-15 10:51:06"/>
    <s v="NULL"/>
    <s v=""/>
    <s v=""/>
    <s v="106.5067944"/>
    <s v="10.5783864"/>
    <s v="106.67036616665649"/>
    <s v="10.83530225053944"/>
    <n v="166968"/>
    <n v="129439"/>
    <n v="37529"/>
    <s v="Cash"/>
    <s v="Xã Long Cang, Huyện Cần Đước, Long An, Việt NamCông Ty Sino Pacific"/>
    <s v="41 Đ Số 3, KDC Cityland Park Hills, Gò Vấp, Hồ Chí Minh, Việt Nam41 Đ Số 3, KDC Cityland Park Hills, Gò Vấp, Hồ Chí Minh, Việt Nam"/>
    <n v="1"/>
    <x v="0"/>
    <x v="3"/>
    <d v="1899-12-30T21:42:30"/>
    <x v="14"/>
  </r>
  <r>
    <s v="3539510635786359433"/>
    <s v=""/>
    <x v="2"/>
    <n v="3106185"/>
    <s v=""/>
    <s v="Motorcycle"/>
    <x v="1"/>
    <s v="2026-07-14 21:59:57"/>
    <s v="2026-07-15 08:30:00"/>
    <s v="2026-07-15 08:40:40"/>
    <s v="NULL"/>
    <s v="2026-07-15 08:44:06"/>
    <s v=""/>
    <s v="106.4946645"/>
    <s v="10.6118377"/>
    <s v="106.8023397"/>
    <s v="11.0762325"/>
    <n v="323244"/>
    <n v="250589"/>
    <n v="72655"/>
    <s v="Cash"/>
    <s v="Lô C1, H, KCN Thuận Đạo Mở Rộng, 2 Đường Số 1, Long Định, Cần Đước, Long An, Việt NamChi nhánh Long An , Công ty TNHH Nutreco International Việt Nam (Nutreco Long An)"/>
    <s v="Tân Uyen bình dương, Tân Uyên, Hồ Chí Minh, Việt NamTân Uyen bình dương"/>
    <n v="1"/>
    <x v="0"/>
    <x v="3"/>
    <d v="1899-12-30T21:59:57"/>
    <x v="43"/>
  </r>
  <r>
    <s v="3539510635786359616"/>
    <s v=""/>
    <x v="2"/>
    <n v="0"/>
    <s v=""/>
    <s v="NULL"/>
    <x v="0"/>
    <s v="2026-07-14 22:02:33"/>
    <s v="2026-07-15 08:33:00"/>
    <s v="NULL"/>
    <s v="NULL"/>
    <s v="2026-07-15 10:33:00"/>
    <s v=""/>
    <s v="106.4951745"/>
    <s v="10.6017856"/>
    <s v="106.682188"/>
    <s v="10.948222"/>
    <n v="246564"/>
    <n v="0"/>
    <n v="246564"/>
    <s v="Cash"/>
    <s v="Lô F4,1, Lô F4,2 Đường Số 13, KCN Thuận Đạo mở rộng, Cần Đước, Long An, Việt NamCông ty TNHH Quick Pack Việt Nam"/>
    <s v="Thuận An, Hồ Chí Minh, Việt NamThuận An"/>
    <n v="1"/>
    <x v="0"/>
    <x v="3"/>
    <d v="1899-12-30T22:02:33"/>
    <x v="44"/>
  </r>
  <r>
    <s v="3539510635786359743"/>
    <s v=""/>
    <x v="2"/>
    <n v="0"/>
    <s v=""/>
    <s v="NULL"/>
    <x v="0"/>
    <s v="2026-07-14 22:04:05"/>
    <s v="2026-07-15 09:34:00"/>
    <s v="NULL"/>
    <s v="NULL"/>
    <s v="2026-07-15 11:34:00"/>
    <s v=""/>
    <s v="106.4898855"/>
    <s v="10.6028007"/>
    <s v="106.7518574"/>
    <s v="10.9205741"/>
    <n v="232524"/>
    <n v="0"/>
    <n v="232524"/>
    <s v="Cash"/>
    <s v="Unnamed, Road, Cần Đước, Long An, Việt NamCông ty CP Kim khí Nam Hưng CN Thuận Đạo"/>
    <s v="Dĩ An, Bình Dương, Dĩ An, Tân Đông Hiệp, Hồ Chí Minh, Việt NamDĩ An, Bình Dương"/>
    <n v="1"/>
    <x v="0"/>
    <x v="3"/>
    <d v="1899-12-30T22:04:05"/>
    <x v="45"/>
  </r>
  <r>
    <s v="3539510635786359762"/>
    <s v=""/>
    <x v="2"/>
    <n v="0"/>
    <s v=""/>
    <s v="NULL"/>
    <x v="0"/>
    <s v="2026-07-14 22:04:19"/>
    <s v="2026-07-15 09:35:00"/>
    <s v="NULL"/>
    <s v="NULL"/>
    <s v="2026-07-15 11:35:00"/>
    <s v=""/>
    <s v="106.4898855"/>
    <s v="10.6028007"/>
    <s v="106.7518574"/>
    <s v="10.9205741"/>
    <n v="221724"/>
    <n v="0"/>
    <n v="221724"/>
    <s v="Cash"/>
    <s v="Unnamed, Road, Cần Đước, Long An, Việt NamCông ty CP Kim khí Nam Hưng CN Thuận Đạo"/>
    <s v="Dĩ An, Bình Dương, Dĩ An, Tân Đông Hiệp, Hồ Chí Minh, Việt NamDĩ An, Bình Dương"/>
    <n v="1"/>
    <x v="0"/>
    <x v="3"/>
    <d v="1899-12-30T22:04:19"/>
    <x v="46"/>
  </r>
  <r>
    <s v="3539512161053401955"/>
    <s v=""/>
    <x v="2"/>
    <n v="0"/>
    <s v=""/>
    <s v="NULL"/>
    <x v="0"/>
    <s v="2026-07-14 21:53:02"/>
    <s v="2026-07-15 08:23:00"/>
    <s v="NULL"/>
    <s v="NULL"/>
    <s v="2026-07-15 10:31:33"/>
    <s v=""/>
    <s v="106.5022924"/>
    <s v="10.5769605"/>
    <s v="106.9004472"/>
    <s v="10.745397"/>
    <n v="275292"/>
    <n v="0"/>
    <n v="275292"/>
    <s v="Cash"/>
    <s v="KCN Long Định, Xã Long Cang, Huyện Cần Đước, Long Cang, Bến Lức, Long An 82420, Việt NamALLYBUILD VN , Nhà máy Long An"/>
    <s v="Nhơn Trạch, Đồng Nai, Việt NamNhơn Trạch"/>
    <n v="1"/>
    <x v="0"/>
    <x v="3"/>
    <d v="1899-12-30T21:53:02"/>
    <x v="47"/>
  </r>
  <r>
    <s v="3539512161070174676"/>
    <s v=""/>
    <x v="2"/>
    <n v="0"/>
    <s v=""/>
    <s v="NULL"/>
    <x v="0"/>
    <s v="2026-07-14 22:01:33"/>
    <s v="2026-07-15 08:32:00"/>
    <s v="NULL"/>
    <s v="NULL"/>
    <s v="2026-07-15 10:32:00"/>
    <s v=""/>
    <s v="106.4946645"/>
    <s v="10.6118377"/>
    <s v="106.6586052"/>
    <s v="10.9713673"/>
    <n v="196776"/>
    <n v="0"/>
    <n v="196776"/>
    <s v="Cash"/>
    <s v="Lô C1, H, KCN Thuận Đạo Mở Rộng, 2 Đường Số 1, Long Định, Cần Đước, Long An, Việt NamChi nhánh Long An , Công ty TNHH Nutreco International Việt Nam (Nutreco Long An)"/>
    <s v="Thủ Dầu Một, Hồ Chí Minh, Việt NamThủ Dầu Một"/>
    <n v="1"/>
    <x v="0"/>
    <x v="3"/>
    <d v="1899-12-30T22:01:33"/>
    <x v="44"/>
  </r>
  <r>
    <s v="3539512161070175177"/>
    <s v=""/>
    <x v="2"/>
    <n v="0"/>
    <s v=""/>
    <s v="NULL"/>
    <x v="0"/>
    <s v="2026-07-14 22:08:42"/>
    <s v="2026-07-15 08:39:00"/>
    <s v="NULL"/>
    <s v="NULL"/>
    <s v="2026-07-15 10:39:00"/>
    <s v=""/>
    <s v="106.50134301938476"/>
    <s v="10.62292731657329"/>
    <s v="106.590819"/>
    <s v="10.7924374"/>
    <n v="111996"/>
    <n v="0"/>
    <n v="111996"/>
    <s v="Cash"/>
    <s v="JGF2+5G Bến Lức, Long An, Việt NamJGF2+5G Bến Lức, Long An, Việt Nam"/>
    <s v="Bình Tân, Hồ Chí Minh, Việt NamBình Tân"/>
    <n v="1"/>
    <x v="0"/>
    <x v="3"/>
    <d v="1899-12-30T22:08:42"/>
    <x v="48"/>
  </r>
  <r>
    <s v="3539514814034571392"/>
    <s v=""/>
    <x v="2"/>
    <n v="0"/>
    <s v=""/>
    <s v="NULL"/>
    <x v="0"/>
    <s v="2026-07-14 21:40:15"/>
    <s v="2026-07-15 09:11:00"/>
    <s v="NULL"/>
    <s v="NULL"/>
    <s v="2026-07-15 11:11:00"/>
    <s v=""/>
    <s v="106.5023824"/>
    <s v="10.5809064"/>
    <s v="106.59865492435912"/>
    <s v="10.888822769823918"/>
    <n v="248292"/>
    <n v="0"/>
    <n v="248292"/>
    <s v="Cash"/>
    <s v="Cầu Ô Binh, Long Cang, Cần Đước, Long An, Việt NamCông Ty Cổ Phần Tâp Đoàn Hưng Long"/>
    <s v="Tổ 65, 1/138 Tổ 64 Khu Phố 7, Khu Phố 6, Hóc Môn, Hồ Chí Minh, Việt NamTổ 65, 1/138 Tổ 64 Khu Phố 7, Khu Phố 6, Hóc Môn, Hồ Chí Minh, Việt Nam"/>
    <n v="1"/>
    <x v="0"/>
    <x v="3"/>
    <d v="1899-12-30T21:40:15"/>
    <x v="49"/>
  </r>
  <r>
    <s v="3539514814034571570"/>
    <s v=""/>
    <x v="2"/>
    <n v="0"/>
    <s v=""/>
    <s v="NULL"/>
    <x v="0"/>
    <s v="2026-07-14 21:42:11"/>
    <s v="2026-07-15 09:13:00"/>
    <s v="NULL"/>
    <s v="NULL"/>
    <s v="2026-07-15 11:13:00"/>
    <s v=""/>
    <s v="106.5067944"/>
    <s v="10.5783864"/>
    <s v="106.67168113041073"/>
    <s v="10.832560642707772"/>
    <n v="244512"/>
    <n v="0"/>
    <n v="244512"/>
    <s v="Cash"/>
    <s v="Xã Long Cang, Huyện Cần Đước, Long An, Việt NamCông Ty Sino Pacific"/>
    <s v="A28 Đ. Số 7, Gò Vấp, Hồ Chí Minh, Việt NamA28 Đ. Số 7, Gò Vấp, Hồ Chí Minh, Việt Nam"/>
    <n v="1"/>
    <x v="0"/>
    <x v="3"/>
    <d v="1899-12-30T21:42:11"/>
    <x v="50"/>
  </r>
  <r>
    <s v="3539514814034571958"/>
    <s v=""/>
    <x v="2"/>
    <n v="4442556"/>
    <s v=""/>
    <s v="Motorcycle"/>
    <x v="2"/>
    <s v="2026-07-14 21:46:36"/>
    <s v="2026-07-15 09:00:00"/>
    <s v="2026-07-15 10:25:12"/>
    <s v="NULL"/>
    <s v=""/>
    <s v=""/>
    <s v="106.4999555"/>
    <s v="10.5783561"/>
    <s v="106.63672864260556"/>
    <s v="10.940925282518837"/>
    <n v="211788"/>
    <n v="164185"/>
    <n v="47603"/>
    <s v="Cash"/>
    <s v="Công Ty TNHH Vôi Thành Đô Long An, Nguyễn Trung Trực, Long Cang, Tây Ninh, Việt NamCông Ty TNHH Vôi Thành Đô Long An"/>
    <s v="51A Đ. 164, ấp 5, Bình Mỹ, Hồ Chí Minh, Việt Nam51A Đ. 164, ấp 5, Bình Mỹ, Hồ Chí Minh, Việt Nam"/>
    <n v="1"/>
    <x v="0"/>
    <x v="3"/>
    <d v="1899-12-30T21:46:36"/>
    <x v="14"/>
  </r>
  <r>
    <s v="3539515745212003222"/>
    <s v=""/>
    <x v="2"/>
    <n v="0"/>
    <s v=""/>
    <s v="NULL"/>
    <x v="0"/>
    <s v="2026-07-14 21:51:05"/>
    <s v="2026-07-15 09:21:00"/>
    <s v="NULL"/>
    <s v="NULL"/>
    <s v="2026-07-15 11:21:00"/>
    <s v=""/>
    <s v="106.5060105"/>
    <s v="10.5814134"/>
    <s v="106.7908848614075"/>
    <s v="10.845495351052016"/>
    <n v="208980"/>
    <n v="0"/>
    <n v="208980"/>
    <s v="Cash"/>
    <s v="Unnamed Road, Long Cang, Cần Đước, Long An, Việt NamCông ty TNHH XNK NHỰA TIẾN PHÁT 2"/>
    <s v="A5/2 Đ. Lê Văn Việt, Tăng Nhơn Phú, Hồ Chí Minh, Việt NamA5/2 Đ. Lê Văn Việt, Tăng Nhơn Phú, Hồ Chí Minh, Việt Nam"/>
    <n v="1"/>
    <x v="0"/>
    <x v="3"/>
    <d v="1899-12-30T21:51:05"/>
    <x v="45"/>
  </r>
  <r>
    <s v="3539515745237164546"/>
    <s v=""/>
    <x v="2"/>
    <n v="3443850"/>
    <s v=""/>
    <s v="Motorcycle"/>
    <x v="2"/>
    <s v="2026-07-14 21:58:56"/>
    <s v="2026-07-15 09:29:00"/>
    <s v="2026-07-15 12:10:43"/>
    <s v="NULL"/>
    <s v=""/>
    <s v=""/>
    <s v="106.4883825"/>
    <s v="10.6224357"/>
    <s v="106.8045949"/>
    <s v="10.9364413"/>
    <n v="228096"/>
    <n v="176827"/>
    <n v="51269"/>
    <s v="Cash"/>
    <s v="Lô A4 Đường Số 1, TT. Bến Lức, Bến Lức, Long An, Việt NamCông Ty Tnhh Koda Sài Gòn"/>
    <s v="Biên Hòa, Đồng Nai, Việt NamBiên Hòa"/>
    <n v="1"/>
    <x v="0"/>
    <x v="3"/>
    <d v="1899-12-30T21:58:56"/>
    <x v="14"/>
  </r>
  <r>
    <s v="3539518415289151561"/>
    <s v=""/>
    <x v="2"/>
    <n v="0"/>
    <s v=""/>
    <s v="NULL"/>
    <x v="0"/>
    <s v="2026-07-14 21:47:27"/>
    <s v="2026-07-15 09:01:00"/>
    <s v="NULL"/>
    <s v="NULL"/>
    <s v="2026-07-15 11:01:01"/>
    <s v=""/>
    <s v="106.5077574"/>
    <s v="10.5779655"/>
    <s v="106.7050458690643"/>
    <s v="10.813110843401649"/>
    <n v="172584"/>
    <n v="0"/>
    <n v="172584"/>
    <s v="Cash"/>
    <s v="Long Cang, Cần Đước, Long An, Việt NamCông Ty TNHH Dinh Dưỡng Động Vật Eh Long An Việt Nam"/>
    <s v="49 Đường số 17, Bình Thạnh, Hồ Chí Minh, Việt Nam49 Đường số 17, Bình Thạnh, Hồ Chí Minh, Việt Nam"/>
    <n v="1"/>
    <x v="0"/>
    <x v="3"/>
    <d v="1899-12-30T21:47:27"/>
    <x v="51"/>
  </r>
  <r>
    <s v="3539518415289151772"/>
    <s v=""/>
    <x v="2"/>
    <n v="0"/>
    <s v=""/>
    <s v="NULL"/>
    <x v="0"/>
    <s v="2026-07-14 21:49:39"/>
    <s v="2026-07-15 09:05:00"/>
    <s v="NULL"/>
    <s v="NULL"/>
    <s v="2026-07-15 11:05:00"/>
    <s v=""/>
    <s v="106.5060105"/>
    <s v="10.5814134"/>
    <s v="106.71182242670594"/>
    <s v="10.838859237978344"/>
    <n v="195372"/>
    <n v="0"/>
    <n v="195372"/>
    <s v="Cash"/>
    <s v="Unnamed Road, Long Cang, Cần Đước, Long An, Việt NamCông ty TNHH XNK NHỰA TIẾN PHÁT 2"/>
    <s v="RPQ6+MV6, Hiệp Bình, Hồ Chí Minh, Việt NamRPQ6+MV6, Hiệp Bình, Hồ Chí Minh, Việt Nam"/>
    <n v="1"/>
    <x v="0"/>
    <x v="3"/>
    <d v="1899-12-30T21:49:39"/>
    <x v="52"/>
  </r>
  <r>
    <s v="3539518415289152393"/>
    <s v=""/>
    <x v="2"/>
    <n v="0"/>
    <s v=""/>
    <s v="NULL"/>
    <x v="0"/>
    <s v="2026-07-14 21:57:42"/>
    <s v="2026-07-15 09:08:00"/>
    <s v="NULL"/>
    <s v="NULL"/>
    <s v="2026-07-15 11:08:00"/>
    <s v=""/>
    <s v="106.4883825"/>
    <s v="10.6224357"/>
    <s v="106.6263666"/>
    <s v="11.0899974"/>
    <n v="290844"/>
    <n v="0"/>
    <n v="290844"/>
    <s v="Cash"/>
    <s v="Lô A4 Đường Số 1, TT. Bến Lức, Bến Lức, Long An, Việt NamCông Ty Tnhh Koda Sài Gòn"/>
    <s v="Bến cát Bình Dương, Quốc lộ 13, Thới Hòa, Hồ Chí Minh, Việt NamBến cát Bình Dương"/>
    <n v="1"/>
    <x v="0"/>
    <x v="3"/>
    <d v="1899-12-30T21:57:42"/>
    <x v="53"/>
  </r>
  <r>
    <s v="3539518415322701977"/>
    <s v=""/>
    <x v="2"/>
    <n v="0"/>
    <s v=""/>
    <s v="NULL"/>
    <x v="0"/>
    <s v="2026-07-14 22:01:01"/>
    <s v="2026-07-15 08:31:00"/>
    <s v="NULL"/>
    <s v="NULL"/>
    <s v="2026-07-15 10:31:00"/>
    <s v=""/>
    <s v="106.4946645"/>
    <s v="10.6118377"/>
    <s v="106.6586052"/>
    <s v="10.9713673"/>
    <n v="243324"/>
    <n v="0"/>
    <n v="243324"/>
    <s v="Cash"/>
    <s v="Lô C1, H, KCN Thuận Đạo Mở Rộng, 2 Đường Số 1, Long Định, Cần Đước, Long An, Việt NamChi nhánh Long An , Công ty TNHH Nutreco International Việt Nam (Nutreco Long An)"/>
    <s v="Thủ Dầu Một, Hồ Chí Minh, Việt NamThủ Dầu Một"/>
    <n v="1"/>
    <x v="0"/>
    <x v="3"/>
    <d v="1899-12-30T22:01:01"/>
    <x v="54"/>
  </r>
  <r>
    <s v="3539518415322702528"/>
    <s v=""/>
    <x v="2"/>
    <n v="4629882"/>
    <s v=""/>
    <s v="Motorcycle"/>
    <x v="2"/>
    <s v="2026-07-14 22:09:03"/>
    <s v="2026-07-15 08:39:00"/>
    <s v="2026-07-15 08:14:12"/>
    <s v="NULL"/>
    <s v=""/>
    <s v=""/>
    <s v="106.50134301938476"/>
    <s v="10.62292731657329"/>
    <s v="106.590819"/>
    <s v="10.7924374"/>
    <n v="141696"/>
    <n v="109847"/>
    <n v="31849"/>
    <s v="Cash"/>
    <s v="JGF2+5G Bến Lức, Long An, Việt NamJGF2+5G Bến Lức, Long An, Việt Nam"/>
    <s v="Bình Tân, Hồ Chí Minh, Việt NamBình Tân"/>
    <n v="1"/>
    <x v="0"/>
    <x v="3"/>
    <d v="1899-12-30T22:09:03"/>
    <x v="14"/>
  </r>
  <r>
    <s v="3539518415322702672"/>
    <s v=""/>
    <x v="2"/>
    <n v="0"/>
    <s v=""/>
    <s v="NULL"/>
    <x v="0"/>
    <s v="2026-07-14 22:11:07"/>
    <s v="2026-07-15 09:41:00"/>
    <s v="NULL"/>
    <s v="NULL"/>
    <s v="2026-07-15 11:41:00"/>
    <s v=""/>
    <s v="106.51481843747558"/>
    <s v="10.62267423738934"/>
    <s v="106.7371475"/>
    <s v="10.7944654"/>
    <n v="142452"/>
    <n v="0"/>
    <n v="142452"/>
    <s v="Cash"/>
    <s v="JGF7+3W Mỹ Yên, Long An, Việt NamJGF7+3W Mỹ Yên, Long An, Việt Nam"/>
    <s v="quận 2, Đường Số 3, An Khánh, Hồ Chí Minh, Việt Namquận 2"/>
    <n v="1"/>
    <x v="0"/>
    <x v="3"/>
    <d v="1899-12-30T22:11:07"/>
    <x v="55"/>
  </r>
  <r>
    <s v="3539518415339475377"/>
    <s v=""/>
    <x v="2"/>
    <n v="0"/>
    <s v=""/>
    <s v="NULL"/>
    <x v="0"/>
    <s v="2026-07-14 22:19:57"/>
    <s v="2026-07-15 08:50:00"/>
    <s v="NULL"/>
    <s v="NULL"/>
    <s v="2026-07-15 10:50:00"/>
    <s v=""/>
    <s v="106.49803853787841"/>
    <s v="10.638238216969443"/>
    <s v="106.682188"/>
    <s v="10.948222"/>
    <n v="228528"/>
    <n v="0"/>
    <n v="228528"/>
    <s v="Cash"/>
    <s v="JFQX+892, Bến Lức, Tây Ninh 83000, Việt NamJFQX+892, Bến Lức, Tây Ninh 83000, Việt Nam"/>
    <s v="Thuận An, Hồ Chí Minh, Việt NamThuận An"/>
    <n v="1"/>
    <x v="0"/>
    <x v="3"/>
    <d v="1899-12-30T22:19:57"/>
    <x v="56"/>
  </r>
  <r>
    <s v="3539519200337031358"/>
    <s v=""/>
    <x v="2"/>
    <n v="0"/>
    <s v=""/>
    <s v="NULL"/>
    <x v="0"/>
    <s v="2026-07-14 21:50:27"/>
    <s v="2026-07-15 09:09:00"/>
    <s v="NULL"/>
    <s v="NULL"/>
    <s v="2026-07-15 11:09:00"/>
    <s v=""/>
    <s v="106.5060105"/>
    <s v="10.5814134"/>
    <s v="106.71743366986698"/>
    <s v="10.83077161276968"/>
    <n v="177768"/>
    <n v="0"/>
    <n v="177768"/>
    <s v="Cash"/>
    <s v="Unnamed Road, Long Cang, Cần Đước, Long An, Việt NamCông ty TNHH XNK NHỰA TIẾN PHÁT 2"/>
    <s v="73 D. So 6, khu phố 2, Hiệp Bình, Hồ Chí Minh, Việt Nam73 D. So 6, khu phố 2, Hiệp Bình, Hồ Chí Minh, Việt Nam"/>
    <n v="1"/>
    <x v="0"/>
    <x v="3"/>
    <d v="1899-12-30T21:50:27"/>
    <x v="57"/>
  </r>
  <r>
    <s v="3539519200362193599"/>
    <s v=""/>
    <x v="2"/>
    <n v="0"/>
    <s v=""/>
    <s v="NULL"/>
    <x v="0"/>
    <s v="2026-07-14 22:11:25"/>
    <s v="2026-07-15 08:42:00"/>
    <s v="NULL"/>
    <s v="NULL"/>
    <s v="2026-07-15 10:42:00"/>
    <s v=""/>
    <s v="106.51481843747558"/>
    <s v="10.62267423738934"/>
    <s v="106.7371475"/>
    <s v="10.7944654"/>
    <n v="184356"/>
    <n v="0"/>
    <n v="184356"/>
    <s v="Cash"/>
    <s v="JGF7+3W Mỹ Yên, Long An, Việt NamJGF7+3W Mỹ Yên, Long An, Việt Nam"/>
    <s v="quận 2, Đường Số 3, An Khánh, Hồ Chí Minh, Việt Namquận 2"/>
    <n v="1"/>
    <x v="0"/>
    <x v="3"/>
    <d v="1899-12-30T22:11:25"/>
    <x v="58"/>
  </r>
  <r>
    <s v="3539521895848435939"/>
    <s v=""/>
    <x v="2"/>
    <n v="0"/>
    <s v=""/>
    <s v="NULL"/>
    <x v="0"/>
    <s v="2026-07-14 21:58:25"/>
    <s v="2026-07-15 09:29:00"/>
    <s v="NULL"/>
    <s v="NULL"/>
    <s v="2026-07-15 11:29:00"/>
    <s v=""/>
    <s v="106.4883825"/>
    <s v="10.6224357"/>
    <s v="106.8045949"/>
    <s v="10.9364413"/>
    <n v="238896"/>
    <n v="0"/>
    <n v="238896"/>
    <s v="Cash"/>
    <s v="Lô A4 Đường Số 1, TT. Bến Lức, Bến Lức, Long An, Việt NamCông Ty Tnhh Koda Sài Gòn"/>
    <s v="Biên Hòa, Đồng Nai, Việt NamBiên Hòa"/>
    <n v="1"/>
    <x v="0"/>
    <x v="3"/>
    <d v="1899-12-30T21:58:25"/>
    <x v="59"/>
  </r>
  <r>
    <s v="3539521895848436446"/>
    <s v=""/>
    <x v="2"/>
    <n v="0"/>
    <s v=""/>
    <s v="NULL"/>
    <x v="0"/>
    <s v="2026-07-14 22:05:18"/>
    <s v="2026-07-15 08:36:00"/>
    <s v="NULL"/>
    <s v="NULL"/>
    <s v="2026-07-15 10:36:00"/>
    <s v=""/>
    <s v="106.4898855"/>
    <s v="10.6028007"/>
    <s v="106.6733441"/>
    <s v="10.8314858"/>
    <n v="156492"/>
    <n v="0"/>
    <n v="156492"/>
    <s v="Cash"/>
    <s v="Unnamed, Road, Cần Đước, Long An, Việt NamCông ty CP Kim khí Nam Hưng CN Thuận Đạo"/>
    <s v="Gò Vấp, Hồ Chí Minh, Việt NamGò Vấp"/>
    <n v="1"/>
    <x v="0"/>
    <x v="3"/>
    <d v="1899-12-30T22:05:18"/>
    <x v="60"/>
  </r>
  <r>
    <s v="3539521895848436476"/>
    <s v=""/>
    <x v="2"/>
    <n v="0"/>
    <s v=""/>
    <s v="NULL"/>
    <x v="0"/>
    <s v="2026-07-14 22:05:51"/>
    <s v="2026-07-15 08:56:00"/>
    <s v="NULL"/>
    <s v="NULL"/>
    <s v="2026-07-15 10:56:00"/>
    <s v=""/>
    <s v="106.4898855"/>
    <s v="10.6028007"/>
    <s v="106.6733441"/>
    <s v="10.8314858"/>
    <n v="214812"/>
    <n v="0"/>
    <n v="214812"/>
    <s v="Cash"/>
    <s v="Unnamed, Road, Cần Đước, Long An, Việt NamCông ty CP Kim khí Nam Hưng CN Thuận Đạo"/>
    <s v="Gò Vấp, Hồ Chí Minh, Việt NamGò Vấp"/>
    <n v="1"/>
    <x v="0"/>
    <x v="3"/>
    <d v="1899-12-30T22:05:51"/>
    <x v="61"/>
  </r>
  <r>
    <s v="3539521895865209206"/>
    <s v=""/>
    <x v="2"/>
    <n v="4613954"/>
    <s v=""/>
    <s v="Motorcycle"/>
    <x v="2"/>
    <s v="2026-07-14 22:13:15"/>
    <s v="2026-07-15 08:43:00"/>
    <s v="2026-07-15 09:50:51"/>
    <s v="NULL"/>
    <s v=""/>
    <s v=""/>
    <s v="106.52945256986084"/>
    <s v="10.62617514748829"/>
    <s v="106.702825"/>
    <s v="10.8135113"/>
    <n v="169452"/>
    <n v="131365"/>
    <n v="38087"/>
    <s v="Cash"/>
    <s v="JGGH+FQ Mỹ Yên, Long An, Việt NamJGGH+FQ Mỹ Yên, Long An, Việt Nam"/>
    <s v="Bình Thạnh, Hồ Chí Minh, Việt NamBình Thạnh"/>
    <n v="1"/>
    <x v="0"/>
    <x v="3"/>
    <d v="1899-12-30T22:13:15"/>
    <x v="14"/>
  </r>
  <r>
    <s v="3539521895865209357"/>
    <s v=""/>
    <x v="2"/>
    <n v="0"/>
    <s v=""/>
    <s v="NULL"/>
    <x v="0"/>
    <s v="2026-07-14 22:15:20"/>
    <s v="2026-07-15 08:46:00"/>
    <s v="NULL"/>
    <s v="NULL"/>
    <s v="2026-07-15 10:46:00"/>
    <s v=""/>
    <s v="106.51468969144287"/>
    <s v="10.640431451092626"/>
    <s v="106.682188"/>
    <s v="10.948222"/>
    <n v="221724"/>
    <n v="0"/>
    <n v="221724"/>
    <s v="Cash"/>
    <s v="JGR7+5V Mỹ Yên, Long An, Việt NamJGR7+5V Mỹ Yên, Long An, Việt Nam"/>
    <s v="Thuận An, Hồ Chí Minh, Việt NamThuận An"/>
    <n v="1"/>
    <x v="0"/>
    <x v="3"/>
    <d v="1899-12-30T22:15:20"/>
    <x v="62"/>
  </r>
  <r>
    <s v="3539521895865209637"/>
    <s v=""/>
    <x v="2"/>
    <n v="0"/>
    <s v=""/>
    <s v="NULL"/>
    <x v="0"/>
    <s v="2026-07-14 22:19:03"/>
    <s v="2026-07-15 08:49:00"/>
    <s v="NULL"/>
    <s v="NULL"/>
    <s v="2026-07-15 10:49:00"/>
    <s v=""/>
    <s v="106.53640485562744"/>
    <s v="10.624066170306412"/>
    <s v="106.7371475"/>
    <s v="10.7944654"/>
    <n v="135864"/>
    <n v="0"/>
    <n v="135864"/>
    <s v="Cash"/>
    <s v="JGFP+RV2, Mỹ Yên, Tây Ninh, Việt NamJGFP+RV2, Mỹ Yên, Tây Ninh, Việt Nam"/>
    <s v="quận 2, Đường Số 3, An Khánh, Hồ Chí Minh, Việt Namquận 2"/>
    <n v="1"/>
    <x v="0"/>
    <x v="3"/>
    <d v="1899-12-30T22:19:03"/>
    <x v="63"/>
  </r>
  <r>
    <s v="3539522561417371814"/>
    <s v=""/>
    <x v="2"/>
    <n v="0"/>
    <s v=""/>
    <s v="NULL"/>
    <x v="0"/>
    <s v="2026-07-14 22:12:34"/>
    <s v="2026-07-15 08:43:00"/>
    <s v="NULL"/>
    <s v="NULL"/>
    <s v="2026-07-15 10:43:00"/>
    <s v=""/>
    <s v="106.52945256986084"/>
    <s v="10.62617514748829"/>
    <s v="106.702825"/>
    <s v="10.8135113"/>
    <n v="131868"/>
    <n v="0"/>
    <n v="131868"/>
    <s v="Cash"/>
    <s v="JGGH+FQ Mỹ Yên, Long An, Việt NamJGGH+FQ Mỹ Yên, Long An, Việt Nam"/>
    <s v="Bình Thạnh, Hồ Chí Minh, Việt NamBình Thạnh"/>
    <n v="1"/>
    <x v="0"/>
    <x v="3"/>
    <d v="1899-12-30T22:12:34"/>
    <x v="64"/>
  </r>
  <r>
    <s v="3539522864564887578"/>
    <s v=""/>
    <x v="2"/>
    <n v="4179701"/>
    <s v=""/>
    <s v="Motorcycle"/>
    <x v="1"/>
    <s v="2026-07-14 21:58:00"/>
    <s v="2026-07-15 09:28:00"/>
    <s v="2026-07-15 08:59:46"/>
    <s v="NULL"/>
    <s v="2026-07-15 09:08:03"/>
    <s v=""/>
    <s v="106.4883825"/>
    <s v="10.6224357"/>
    <s v="106.62844799419555"/>
    <s v="11.090934433979537"/>
    <n v="267300"/>
    <n v="219409"/>
    <n v="47891"/>
    <s v="Cash"/>
    <s v="Lô A4 Đường Số 1, TT. Bến Lức, Bến Lức, Long An, Việt NamCông Ty Tnhh Koda Sài Gòn"/>
    <s v="3JQG+RWX, Thới Hòa, Hồ Chí Minh, Việt Nam3JQG+RWX, Thới Hòa, Hồ Chí Minh, Việt Nam"/>
    <n v="1"/>
    <x v="0"/>
    <x v="3"/>
    <d v="1899-12-30T21:58:00"/>
    <x v="65"/>
  </r>
  <r>
    <s v="3539522864564888152"/>
    <s v=""/>
    <x v="2"/>
    <n v="0"/>
    <s v=""/>
    <s v="NULL"/>
    <x v="0"/>
    <s v="2026-07-14 22:06:09"/>
    <s v="2026-07-15 08:37:00"/>
    <s v="NULL"/>
    <s v="NULL"/>
    <s v="2026-07-15 10:37:00"/>
    <s v=""/>
    <s v="106.4898855"/>
    <s v="10.6028007"/>
    <s v="106.6419476"/>
    <s v="10.799048"/>
    <n v="130032"/>
    <n v="0"/>
    <n v="130032"/>
    <s v="Cash"/>
    <s v="Unnamed, Road, Cần Đước, Long An, Việt NamCông ty CP Kim khí Nam Hưng CN Thuận Đạo"/>
    <s v="Tân Bình, Hồ Chí Minh, Việt NamTân Bình"/>
    <n v="1"/>
    <x v="0"/>
    <x v="3"/>
    <d v="1899-12-30T22:06:09"/>
    <x v="66"/>
  </r>
  <r>
    <s v="3539522864590050181"/>
    <s v=""/>
    <x v="2"/>
    <n v="0"/>
    <s v=""/>
    <s v="NULL"/>
    <x v="0"/>
    <s v="2026-07-14 22:24:14"/>
    <s v="2026-07-15 08:55:00"/>
    <s v="NULL"/>
    <s v="NULL"/>
    <s v="2026-07-15 10:55:00"/>
    <s v=""/>
    <s v="106.5083382204956"/>
    <s v="10.63317684727272"/>
    <s v="106.7371475"/>
    <s v="10.7944654"/>
    <n v="183384"/>
    <n v="0"/>
    <n v="183384"/>
    <s v="Cash"/>
    <s v="275 QL1A, Bến Lức, Tây Ninh, Việt Nam275 QL1A, Bến Lức, Tây Ninh, Việt Nam"/>
    <s v="quận 2, Đường Số 3, An Khánh, Hồ Chí Minh, Việt Namquận 2"/>
    <n v="1"/>
    <x v="0"/>
    <x v="3"/>
    <d v="1899-12-30T22:24:14"/>
    <x v="67"/>
  </r>
  <r>
    <s v="3539525944719143268"/>
    <s v=""/>
    <x v="2"/>
    <n v="3241501"/>
    <s v=""/>
    <s v="Motorcycle"/>
    <x v="3"/>
    <s v="2026-07-14 22:09:43"/>
    <s v="2026-07-15 08:40:00"/>
    <s v="2026-07-15 08:29:06"/>
    <s v="NULL"/>
    <s v=""/>
    <s v="2026-07-15 08:57:57"/>
    <s v="106.50134301938476"/>
    <s v="10.62292731657329"/>
    <s v="106.6350013"/>
    <s v="10.9399035"/>
    <n v="272916"/>
    <n v="211573"/>
    <n v="61343"/>
    <s v="Cash"/>
    <s v="JGF2+5G Bến Lức, Long An, Việt NamJGF2+5G Bến Lức, Long An, Việt Nam"/>
    <s v="Củ chi, Bình Mỹ, Hồ Chí Minh, Việt NamCủ chi"/>
    <n v="1"/>
    <x v="0"/>
    <x v="3"/>
    <d v="1899-12-30T22:09:43"/>
    <x v="68"/>
  </r>
  <r>
    <s v="3539527374221832370"/>
    <s v=""/>
    <x v="2"/>
    <n v="3439533"/>
    <s v=""/>
    <s v="Motorcycle"/>
    <x v="2"/>
    <s v="2026-07-14 22:10:32"/>
    <s v="2026-07-15 09:41:00"/>
    <s v="2026-07-15 10:01:18"/>
    <s v="2026-07-15 10:23:31"/>
    <s v=""/>
    <s v=""/>
    <s v="106.50134301938476"/>
    <s v="10.62292731657329"/>
    <s v="106.702825"/>
    <s v="10.8135113"/>
    <n v="186840"/>
    <n v="144844"/>
    <n v="41996"/>
    <s v="Cash"/>
    <s v="JGF2+5G Bến Lức, Long An, Việt NamJGF2+5G Bến Lức, Long An, Việt Nam"/>
    <s v="Bình Thạnh, Hồ Chí Minh, Việt NamBình Thạnh"/>
    <n v="1"/>
    <x v="0"/>
    <x v="3"/>
    <d v="1899-12-30T22:10:32"/>
    <x v="14"/>
  </r>
  <r>
    <s v="3539527374221832605"/>
    <s v=""/>
    <x v="2"/>
    <n v="0"/>
    <s v=""/>
    <s v="NULL"/>
    <x v="0"/>
    <s v="2026-07-14 22:13:59"/>
    <s v="2026-07-15 08:44:00"/>
    <s v="NULL"/>
    <s v="NULL"/>
    <s v="2026-07-15 10:44:00"/>
    <s v=""/>
    <s v="106.52945256986084"/>
    <s v="10.62617514748829"/>
    <s v="106.6350013"/>
    <s v="10.9399035"/>
    <n v="195804"/>
    <n v="0"/>
    <n v="195804"/>
    <s v="Cash"/>
    <s v="JGGH+FQ Mỹ Yên, Long An, Việt NamJGGH+FQ Mỹ Yên, Long An, Việt Nam"/>
    <s v="Củ chi, Bình Mỹ, Hồ Chí Minh, Việt NamCủ chi"/>
    <n v="1"/>
    <x v="0"/>
    <x v="3"/>
    <d v="1899-12-30T22:13:59"/>
    <x v="69"/>
  </r>
  <r>
    <s v="3539527374221832637"/>
    <s v=""/>
    <x v="2"/>
    <n v="0"/>
    <s v=""/>
    <s v="NULL"/>
    <x v="0"/>
    <s v="2026-07-14 22:14:33"/>
    <s v="2026-07-15 08:45:00"/>
    <s v="NULL"/>
    <s v="NULL"/>
    <s v="2026-07-15 10:45:00"/>
    <s v=""/>
    <s v="106.52945256986084"/>
    <s v="10.62617514748829"/>
    <s v="106.6350013"/>
    <s v="10.9399035"/>
    <n v="185004"/>
    <n v="0"/>
    <n v="185004"/>
    <s v="Cash"/>
    <s v="JGGH+FQ Mỹ Yên, Long An, Việt NamJGGH+FQ Mỹ Yên, Long An, Việt Nam"/>
    <s v="Củ chi, Bình Mỹ, Hồ Chí Minh, Việt NamCủ chi"/>
    <n v="1"/>
    <x v="0"/>
    <x v="3"/>
    <d v="1899-12-30T22:14:33"/>
    <x v="44"/>
  </r>
  <r>
    <s v="3539527374221832716"/>
    <s v=""/>
    <x v="2"/>
    <n v="3974295"/>
    <s v=""/>
    <s v="Motorcycle"/>
    <x v="1"/>
    <s v="2026-07-14 22:15:41"/>
    <s v="2026-07-15 08:46:00"/>
    <s v="2026-07-15 08:47:50"/>
    <s v="NULL"/>
    <s v="2026-07-15 09:31:58"/>
    <s v=""/>
    <s v="106.51468969144287"/>
    <s v="10.640431451092626"/>
    <s v="106.7528749"/>
    <s v="10.8963726"/>
    <n v="190512"/>
    <n v="147691"/>
    <n v="42821"/>
    <s v="Cash"/>
    <s v="JGR7+5V Mỹ Yên, Long An, Việt NamJGR7+5V Mỹ Yên, Long An, Việt Nam"/>
    <s v="Dĩ An, Bình Dương, Việt NamDĩ An"/>
    <n v="1"/>
    <x v="0"/>
    <x v="3"/>
    <d v="1899-12-30T22:15:41"/>
    <x v="70"/>
  </r>
  <r>
    <s v="3539527374221833074"/>
    <s v=""/>
    <x v="2"/>
    <n v="0"/>
    <s v=""/>
    <s v="NULL"/>
    <x v="0"/>
    <s v="2026-07-14 22:20:44"/>
    <s v="2026-07-15 08:51:00"/>
    <s v="NULL"/>
    <s v="NULL"/>
    <s v="2026-07-15 10:51:01"/>
    <s v=""/>
    <s v="106.49803853787841"/>
    <s v="10.638238216969443"/>
    <s v="106.6263666"/>
    <s v="11.0899974"/>
    <n v="268056"/>
    <n v="0"/>
    <n v="268056"/>
    <s v="Cash"/>
    <s v="JFQX+892, Bến Lức, Tây Ninh 83000, Việt NamJFQX+892, Bến Lức, Tây Ninh 83000, Việt Nam"/>
    <s v="Bến cát Bình Dương, Quốc lộ 13, Thới Hòa, Hồ Chí Minh, Việt NamBến cát Bình Dương"/>
    <n v="1"/>
    <x v="0"/>
    <x v="3"/>
    <d v="1899-12-30T22:20:44"/>
    <x v="71"/>
  </r>
  <r>
    <s v="3539531445565616176"/>
    <s v=""/>
    <x v="2"/>
    <n v="0"/>
    <s v=""/>
    <s v="NULL"/>
    <x v="0"/>
    <s v="2026-07-14 22:17:49"/>
    <s v="2026-07-15 08:48:00"/>
    <s v="NULL"/>
    <s v="NULL"/>
    <s v="2026-07-15 10:48:00"/>
    <s v=""/>
    <s v="106.53640485562744"/>
    <s v="10.624066170306412"/>
    <s v="106.6745776"/>
    <s v="10.865126"/>
    <n v="191592"/>
    <n v="0"/>
    <n v="191592"/>
    <s v="Cash"/>
    <s v="JGFP+RV2, Mỹ Yên, Tây Ninh, Việt NamJGFP+RV2, Mỹ Yên, Tây Ninh, Việt Nam"/>
    <s v="Quận 12, Thới An, Hồ Chí Minh, Việt NamQuận 12"/>
    <n v="1"/>
    <x v="0"/>
    <x v="3"/>
    <d v="1899-12-30T22:17:49"/>
    <x v="72"/>
  </r>
  <r>
    <s v="3539531445565616220"/>
    <s v=""/>
    <x v="2"/>
    <n v="0"/>
    <s v=""/>
    <s v="NULL"/>
    <x v="0"/>
    <s v="2026-07-14 22:18:37"/>
    <s v="2026-07-15 08:49:00"/>
    <s v="NULL"/>
    <s v="NULL"/>
    <s v="2026-07-15 10:49:00"/>
    <s v=""/>
    <s v="106.53640485562744"/>
    <s v="10.624066170306412"/>
    <s v="107.0303221"/>
    <s v="10.7925089"/>
    <n v="286092"/>
    <n v="0"/>
    <n v="286092"/>
    <s v="Cash"/>
    <s v="JGFP+RV2, Mỹ Yên, Tây Ninh, Việt NamJGFP+RV2, Mỹ Yên, Tây Ninh, Việt Nam"/>
    <s v="Long Thành, Đồng Nai, Việt NamLong Thành"/>
    <n v="1"/>
    <x v="0"/>
    <x v="3"/>
    <d v="1899-12-30T22:18:37"/>
    <x v="73"/>
  </r>
  <r>
    <s v="3539532428500758866"/>
    <s v=""/>
    <x v="2"/>
    <n v="0"/>
    <s v=""/>
    <s v="NULL"/>
    <x v="0"/>
    <s v="2026-07-14 22:23:50"/>
    <s v="2026-07-15 08:54:00"/>
    <s v="NULL"/>
    <s v="NULL"/>
    <s v="2026-07-15 10:54:00"/>
    <s v=""/>
    <s v="106.5083382204956"/>
    <s v="10.63317684727272"/>
    <s v="106.7889751285889"/>
    <s v="10.845906301539326"/>
    <n v="258984"/>
    <n v="0"/>
    <n v="258984"/>
    <s v="Cash"/>
    <s v="275 QL1A, Bến Lức, Tây Ninh, Việt Nam275 QL1A, Bến Lức, Tây Ninh, Việt Nam"/>
    <s v="39753 Đ. Lê Văn Việt, Tăng Nhơn Phú, Hồ Chí Minh, Việt Nam39753 Đ. Lê Văn Việt, Tăng Nhơn Phú, Hồ Chí Minh, Việt Nam"/>
    <n v="1"/>
    <x v="0"/>
    <x v="3"/>
    <d v="1899-12-30T22:23:50"/>
    <x v="74"/>
  </r>
  <r>
    <s v="3539601279234036387"/>
    <s v=""/>
    <x v="2"/>
    <n v="4446339"/>
    <s v=""/>
    <s v="Motorcycle"/>
    <x v="2"/>
    <s v="2026-07-15 05:40:40"/>
    <s v="2026-07-15 10:11:00"/>
    <s v="2026-07-15 10:28:38"/>
    <s v="NULL"/>
    <s v=""/>
    <s v=""/>
    <s v="106.5101334"/>
    <s v="10.6367997"/>
    <s v="106.8045949"/>
    <s v="10.9364413"/>
    <n v="222588"/>
    <n v="172557"/>
    <n v="50031"/>
    <s v="Cash"/>
    <s v="Lô D2,4, Đường Vl2, Khu Công Nghiệp Vĩnh Lộc 2, Ấp Vôi Lá, Lương Hoà, Bến Lức, Long An, Việt NamCông Ty Cổ Phần Kim Khí Nam Hưng"/>
    <s v="Biên Hòa, Đồng Nai, Việt NamBiên Hòa"/>
    <n v="1"/>
    <x v="0"/>
    <x v="4"/>
    <d v="1899-12-30T05:40:40"/>
    <x v="14"/>
  </r>
  <r>
    <s v="3539601279234036703"/>
    <s v=""/>
    <x v="2"/>
    <n v="2099731"/>
    <s v=""/>
    <s v="Motorcycle"/>
    <x v="2"/>
    <s v="2026-07-15 05:49:08"/>
    <s v="2026-07-15 09:00:00"/>
    <s v="2026-07-15 08:34:29"/>
    <s v="NULL"/>
    <s v=""/>
    <s v=""/>
    <s v="106.5532354"/>
    <s v="10.6378417"/>
    <s v="106.6263666"/>
    <s v="11.0899974"/>
    <n v="247320"/>
    <n v="191730"/>
    <n v="55590"/>
    <s v="Cash"/>
    <s v="36 Đường Mười Cày, Phước Lý, Cần Giuộc, Long An, Việt NamCÔNG TY TNHH SẢN XUẤT TRANG TRÍ NỘI THẤT NHẬT PHI"/>
    <s v="Bến cát Bình Dương, Quốc lộ 13, Thới Hòa, Hồ Chí Minh, Việt NamBến cát Bình Dương"/>
    <n v="1"/>
    <x v="0"/>
    <x v="4"/>
    <d v="1899-12-30T05:49:08"/>
    <x v="14"/>
  </r>
  <r>
    <s v="3539618904664138738"/>
    <s v=""/>
    <x v="2"/>
    <n v="0"/>
    <s v=""/>
    <s v="NULL"/>
    <x v="0"/>
    <s v="2026-07-15 05:36:36"/>
    <s v="2026-07-15 09:58:00"/>
    <s v="NULL"/>
    <s v="NULL"/>
    <s v="2026-07-15 11:58:00"/>
    <s v=""/>
    <s v="106.5038994"/>
    <s v="10.6432606"/>
    <s v="106.7027847"/>
    <s v="10.8134919"/>
    <n v="142452"/>
    <n v="0"/>
    <n v="142452"/>
    <s v="Cash"/>
    <s v="Lô D3, 1, 4 Đường VL7, KCN Vĩnh Lộc 2 X, Bến Lức, Long An 77777, Việt NamCông Ty Cổ Phần Nosafood , Nhà máy Bến Lức"/>
    <s v="Bình Thạnh, Hồ Chí Minh, Việt NamBình Thạnh"/>
    <n v="1"/>
    <x v="0"/>
    <x v="4"/>
    <d v="1899-12-30T05:36:36"/>
    <x v="75"/>
  </r>
  <r>
    <s v="3539618904664138809"/>
    <s v=""/>
    <x v="2"/>
    <n v="4107547"/>
    <s v=""/>
    <s v="Motorcycle"/>
    <x v="2"/>
    <s v="2026-07-15 05:39:06"/>
    <s v="2026-07-15 09:00:00"/>
    <s v="2026-07-15 09:11:45"/>
    <s v="NULL"/>
    <s v=""/>
    <s v=""/>
    <s v="106.5101334"/>
    <s v="10.6367997"/>
    <s v="106.7866577"/>
    <s v="10.8450844"/>
    <n v="181008"/>
    <n v="140323"/>
    <n v="40685"/>
    <s v="Cash"/>
    <s v="Lô D2,4, Đường Vl2, Khu Công Nghiệp Vĩnh Lộc 2, Ấp Vôi Lá, Lương Hoà, Bến Lức, Long An, Việt NamCông Ty Cổ Phần Kim Khí Nam Hưng"/>
    <s v="Quận 9, Tăng Nhơn Phú, Hồ Chí Minh, Việt NamQuận 9"/>
    <n v="1"/>
    <x v="0"/>
    <x v="4"/>
    <d v="1899-12-30T05:39:06"/>
    <x v="14"/>
  </r>
  <r>
    <s v="3539618904680910940"/>
    <s v=""/>
    <x v="2"/>
    <n v="0"/>
    <s v=""/>
    <s v="NULL"/>
    <x v="0"/>
    <s v="2026-07-15 05:41:46"/>
    <s v="2026-07-15 09:00:00"/>
    <s v="NULL"/>
    <s v="NULL"/>
    <s v="2026-07-15 11:00:01"/>
    <s v=""/>
    <s v="106.5101334"/>
    <s v="10.6367997"/>
    <s v="107.0303221"/>
    <s v="10.7925089"/>
    <n v="280044"/>
    <n v="0"/>
    <n v="280044"/>
    <s v="Cash"/>
    <s v="Lô D2,4, Đường Vl2, Khu Công Nghiệp Vĩnh Lộc 2, Ấp Vôi Lá, Lương Hoà, Bến Lức, Long An, Việt NamCông Ty Cổ Phần Kim Khí Nam Hưng"/>
    <s v="Long Thành, Đồng Nai, Việt NamLong Thành"/>
    <n v="1"/>
    <x v="0"/>
    <x v="4"/>
    <d v="1899-12-30T05:41:46"/>
    <x v="76"/>
  </r>
  <r>
    <s v="3539618904680911395"/>
    <s v=""/>
    <x v="2"/>
    <n v="4522767"/>
    <s v=""/>
    <s v="Motorcycle"/>
    <x v="1"/>
    <s v="2026-07-15 05:54:14"/>
    <s v="2026-07-15 09:00:00"/>
    <s v="2026-07-15 06:31:06"/>
    <s v="NULL"/>
    <s v="2026-07-15 07:15:09"/>
    <s v=""/>
    <s v="106.5502011"/>
    <s v="10.6534976"/>
    <s v="106.6733441"/>
    <s v="10.8314858"/>
    <n v="111132"/>
    <n v="86153"/>
    <n v="24979"/>
    <s v="Cash"/>
    <s v="Cty TNHH MTV SX TM CB Thực phẩm Vĩ Huy, Mỹ Yên, Tây Ninh, Việt NamCty TNHH MTV SX TM CB Thực phẩm Vĩ Huy"/>
    <s v="Gò Vấp, Hồ Chí Minh, Việt NamGò Vấp"/>
    <n v="1"/>
    <x v="0"/>
    <x v="4"/>
    <d v="1899-12-30T05:54:14"/>
    <x v="77"/>
  </r>
  <r>
    <s v="3539626075632132894"/>
    <s v=""/>
    <x v="2"/>
    <n v="0"/>
    <s v=""/>
    <s v="NULL"/>
    <x v="0"/>
    <s v="2026-07-15 05:37:44"/>
    <s v="2026-07-15 08:51:00"/>
    <s v="NULL"/>
    <s v="NULL"/>
    <s v="2026-07-15 10:51:00"/>
    <s v=""/>
    <s v="106.5038994"/>
    <s v="10.6432606"/>
    <s v="106.7558686"/>
    <s v="10.8378718"/>
    <n v="185004"/>
    <n v="0"/>
    <n v="185004"/>
    <s v="Cash"/>
    <s v="Lô D3, 1, 4 Đường VL7, KCN Vĩnh Lộc 2 X, Bến Lức, Long An 77777, Việt NamCông Ty Cổ Phần Nosafood , Nhà máy Bến Lức"/>
    <s v="Thủ Đức, Hồ Chí Minh, Việt NamThủ Đức"/>
    <n v="1"/>
    <x v="0"/>
    <x v="4"/>
    <d v="1899-12-30T05:37:44"/>
    <x v="78"/>
  </r>
  <r>
    <s v="3539626075632133089"/>
    <s v=""/>
    <x v="2"/>
    <n v="4190254"/>
    <s v=""/>
    <s v="Motorcycle"/>
    <x v="2"/>
    <s v="2026-07-15 05:44:17"/>
    <s v="2026-07-15 09:58:00"/>
    <s v="2026-07-15 10:37:03"/>
    <s v="NULL"/>
    <s v=""/>
    <s v=""/>
    <s v="106.5424234"/>
    <s v="10.6455987"/>
    <s v="107.0303221"/>
    <s v="10.7925089"/>
    <n v="272052"/>
    <n v="210903"/>
    <n v="61149"/>
    <s v="Cash"/>
    <s v="58 QL1A, Mỹ Yên, Bến Lức, Long An, Việt NamCông Ty TNHH Đế Vương"/>
    <s v="Long Thành, Đồng Nai, Việt NamLong Thành"/>
    <n v="1"/>
    <x v="0"/>
    <x v="4"/>
    <d v="1899-12-30T05:44:17"/>
    <x v="14"/>
  </r>
  <r>
    <s v="3539626075632133116"/>
    <s v=""/>
    <x v="2"/>
    <n v="3106185"/>
    <s v=""/>
    <s v="Motorcycle"/>
    <x v="1"/>
    <s v="2026-07-15 05:44:54"/>
    <s v="2026-07-15 09:56:00"/>
    <s v="2026-07-15 09:38:35"/>
    <s v="NULL"/>
    <s v="2026-07-15 09:48:24"/>
    <s v=""/>
    <s v="106.5424234"/>
    <s v="10.6455987"/>
    <s v="106.7559004"/>
    <s v="10.8378053"/>
    <n v="147312"/>
    <n v="114201"/>
    <n v="33111"/>
    <s v="Cash"/>
    <s v="58 QL1A, Mỹ Yên, Bến Lức, Long An, Việt NamCông Ty TNHH Đế Vương"/>
    <s v="Thủ Đức, Hồ Chí Minh, Việt NamThủ Đức"/>
    <n v="1"/>
    <x v="0"/>
    <x v="4"/>
    <d v="1899-12-30T05:44:54"/>
    <x v="79"/>
  </r>
  <r>
    <s v="3539626075648905570"/>
    <s v=""/>
    <x v="2"/>
    <n v="2338269"/>
    <s v=""/>
    <s v="Motorcycle"/>
    <x v="2"/>
    <s v="2026-07-15 05:53:33"/>
    <s v="2026-07-15 09:13:00"/>
    <s v="2026-07-15 10:30:42"/>
    <s v="2026-07-15 10:46:07"/>
    <s v=""/>
    <s v=""/>
    <s v="106.5502011"/>
    <s v="10.6534976"/>
    <s v="106.5922924"/>
    <s v="10.8863934"/>
    <n v="118152"/>
    <n v="91595"/>
    <n v="26557"/>
    <s v="Cash"/>
    <s v="Cty TNHH MTV SX TM CB Thực phẩm Vĩ Huy, Mỹ Yên, Tây Ninh, Việt NamCty TNHH MTV SX TM CB Thực phẩm Vĩ Huy"/>
    <s v="Hóc Môn, Hồ Chí Minh, Việt NamHóc Môn"/>
    <n v="1"/>
    <x v="0"/>
    <x v="4"/>
    <d v="1899-12-30T05:53:33"/>
    <x v="14"/>
  </r>
  <r>
    <s v="3539646846639231579"/>
    <s v=""/>
    <x v="2"/>
    <n v="1841005"/>
    <s v=""/>
    <s v="Motorcycle"/>
    <x v="2"/>
    <s v="2026-07-15 05:45:27"/>
    <s v="2026-07-15 09:56:00"/>
    <s v="2026-07-15 09:55:20"/>
    <s v="NULL"/>
    <s v=""/>
    <s v=""/>
    <s v="106.5424234"/>
    <s v="10.6455987"/>
    <s v="106.7866577"/>
    <s v="10.8450844"/>
    <n v="150012"/>
    <n v="116294"/>
    <n v="33718"/>
    <s v="Cash"/>
    <s v="58 QL1A, Mỹ Yên, Bến Lức, Long An, Việt NamCông Ty TNHH Đế Vương"/>
    <s v="Quận 9, Tăng Nhơn Phú, Hồ Chí Minh, Việt NamQuận 9"/>
    <n v="1"/>
    <x v="0"/>
    <x v="4"/>
    <d v="1899-12-30T05:45:27"/>
    <x v="14"/>
  </r>
  <r>
    <s v="3539653594284515580"/>
    <s v=""/>
    <x v="2"/>
    <n v="0"/>
    <s v=""/>
    <s v="NULL"/>
    <x v="0"/>
    <s v="2026-07-15 05:37:07"/>
    <s v="2026-07-15 10:00:00"/>
    <s v="NULL"/>
    <s v="NULL"/>
    <s v="2026-07-15 12:00:01"/>
    <s v=""/>
    <s v="106.5038994"/>
    <s v="10.6432606"/>
    <s v="106.7371475"/>
    <s v="10.7944654"/>
    <n v="132840"/>
    <n v="0"/>
    <n v="132840"/>
    <s v="Cash"/>
    <s v="Lô D3, 1, 4 Đường VL7, KCN Vĩnh Lộc 2 X, Bến Lức, Long An 77777, Việt NamCông Ty Cổ Phần Nosafood , Nhà máy Bến Lức"/>
    <s v="quận 2, Đường Số 3, An Khánh, Hồ Chí Minh, Việt Namquận 2"/>
    <n v="1"/>
    <x v="0"/>
    <x v="4"/>
    <d v="1899-12-30T05:37:07"/>
    <x v="80"/>
  </r>
  <r>
    <s v="3539653594284515892"/>
    <s v=""/>
    <x v="2"/>
    <n v="2935586"/>
    <s v=""/>
    <s v="Motorcycle"/>
    <x v="2"/>
    <s v="2026-07-15 05:46:39"/>
    <s v="2026-07-15 09:10:00"/>
    <s v="2026-07-15 10:02:53"/>
    <s v="NULL"/>
    <s v=""/>
    <s v=""/>
    <s v="106.5424234"/>
    <s v="10.6455987"/>
    <s v="106.7371475"/>
    <s v="10.7944654"/>
    <n v="111888"/>
    <n v="86739"/>
    <n v="25149"/>
    <s v="Cash"/>
    <s v="58 QL1A, Mỹ Yên, Bến Lức, Long An, Việt NamCông Ty TNHH Đế Vương"/>
    <s v="quận 2, Đường Số 3, An Khánh, Hồ Chí Minh, Việt Namquận 2"/>
    <n v="1"/>
    <x v="0"/>
    <x v="4"/>
    <d v="1899-12-30T05:46:39"/>
    <x v="14"/>
  </r>
  <r>
    <s v="3539653594284516230"/>
    <s v=""/>
    <x v="2"/>
    <n v="4522767"/>
    <s v=""/>
    <s v="Motorcycle"/>
    <x v="1"/>
    <s v="2026-07-15 05:55:19"/>
    <s v="2026-07-15 09:03:00"/>
    <s v="2026-07-15 06:30:50"/>
    <s v="NULL"/>
    <s v="2026-07-15 07:13:18"/>
    <s v=""/>
    <s v="106.5502011"/>
    <s v="10.6534976"/>
    <s v="106.5908874"/>
    <s v="10.7924296"/>
    <n v="78408"/>
    <n v="60784"/>
    <n v="17624"/>
    <s v="Cash"/>
    <s v="Cty TNHH MTV SX TM CB Thực phẩm Vĩ Huy, Mỹ Yên, Tây Ninh, Việt NamCty TNHH MTV SX TM CB Thực phẩm Vĩ Huy"/>
    <s v="Bình Tân, Hồ Chí Minh, Việt NamBình Tân"/>
    <n v="1"/>
    <x v="0"/>
    <x v="4"/>
    <d v="1899-12-30T05:55:19"/>
    <x v="81"/>
  </r>
  <r>
    <s v="3539663435044447157"/>
    <s v=""/>
    <x v="2"/>
    <n v="0"/>
    <s v=""/>
    <s v="NULL"/>
    <x v="0"/>
    <s v="2026-07-15 05:33:49"/>
    <s v="2026-07-15 10:04:00"/>
    <s v="NULL"/>
    <s v="NULL"/>
    <s v="2026-07-15 12:04:00"/>
    <s v=""/>
    <s v="106.5139924"/>
    <s v="10.6327756"/>
    <s v="106.6419476"/>
    <s v="10.799048"/>
    <n v="96768"/>
    <n v="0"/>
    <n v="96768"/>
    <s v="Cash"/>
    <s v="Km 1930, Voi Lá, ấp QL1A, Long Hiệp, Bến Lức, Long An 82619, Việt NamCông ty TNHH Bao Bì Xuất Khẩu và Thương Mại Vạn Thành"/>
    <s v="Tân Bình, Hồ Chí Minh, Việt NamTân Bình"/>
    <n v="1"/>
    <x v="0"/>
    <x v="4"/>
    <d v="1899-12-30T05:33:49"/>
    <x v="82"/>
  </r>
  <r>
    <s v="3539684815936909805"/>
    <s v=""/>
    <x v="2"/>
    <n v="4605696"/>
    <s v=""/>
    <s v="Motorcycle"/>
    <x v="2"/>
    <s v="2026-07-15 05:29:45"/>
    <s v="2026-07-15 08:26:00"/>
    <s v="2026-07-15 09:40:49"/>
    <s v="NULL"/>
    <s v=""/>
    <s v=""/>
    <s v="106.5139924"/>
    <s v="10.6327756"/>
    <s v="106.682188"/>
    <s v="10.948222"/>
    <n v="208116"/>
    <n v="161338"/>
    <n v="46778"/>
    <s v="Cash"/>
    <s v="Km 1930, Voi Lá, ấp QL1A, Long Hiệp, Bến Lức, Long An 82619, Việt NamCông ty TNHH Bao Bì Xuất Khẩu và Thương Mại Vạn Thành"/>
    <s v="Thuận An, Hồ Chí Minh, Việt NamThuận An"/>
    <n v="1"/>
    <x v="0"/>
    <x v="4"/>
    <d v="1899-12-30T05:29:45"/>
    <x v="14"/>
  </r>
  <r>
    <s v="3539708641471066129"/>
    <s v=""/>
    <x v="2"/>
    <n v="4629882"/>
    <s v=""/>
    <s v="Motorcycle"/>
    <x v="2"/>
    <s v="2026-07-15 05:31:26"/>
    <s v="2026-07-15 09:02:00"/>
    <s v="2026-07-15 09:00:44"/>
    <s v="NULL"/>
    <s v=""/>
    <s v=""/>
    <s v="106.5139924"/>
    <s v="10.6327756"/>
    <s v="106.6586052"/>
    <s v="10.9713673"/>
    <n v="208980"/>
    <n v="162008"/>
    <n v="46972"/>
    <s v="Cash"/>
    <s v="Km 1930, Voi Lá, ấp QL1A, Long Hiệp, Bến Lức, Long An 82619, Việt NamCông ty TNHH Bao Bì Xuất Khẩu và Thương Mại Vạn Thành"/>
    <s v="Thủ Dầu Một, Hồ Chí Minh, Việt NamThủ Dầu Một"/>
    <n v="1"/>
    <x v="0"/>
    <x v="4"/>
    <d v="1899-12-30T05:31:26"/>
    <x v="14"/>
  </r>
  <r>
    <s v="3539708641471066750"/>
    <s v=""/>
    <x v="2"/>
    <n v="4241180"/>
    <s v=""/>
    <s v="Motorcycle"/>
    <x v="2"/>
    <s v="2026-07-15 05:50:32"/>
    <s v="2026-07-15 09:21:00"/>
    <s v="2026-07-15 10:04:15"/>
    <s v="NULL"/>
    <s v=""/>
    <s v=""/>
    <s v="106.5532354"/>
    <s v="10.6378417"/>
    <s v="106.682188"/>
    <s v="10.948222"/>
    <n v="197316"/>
    <n v="161964"/>
    <n v="35352"/>
    <s v="Cash"/>
    <s v="36 Đường Mười Cày, Phước Lý, Cần Giuộc, Long An, Việt NamCÔNG TY TNHH SẢN XUẤT TRANG TRÍ NỘI THẤT NHẬT PHI"/>
    <s v="Thuận An, Hồ Chí Minh, Việt NamThuận An"/>
    <n v="1"/>
    <x v="0"/>
    <x v="4"/>
    <d v="1899-12-30T05:50:32"/>
    <x v="14"/>
  </r>
  <r>
    <s v="3539777959827296850"/>
    <s v=""/>
    <x v="2"/>
    <n v="3746341"/>
    <s v=""/>
    <s v="Motorcycle"/>
    <x v="1"/>
    <s v="2026-07-15 07:01:51"/>
    <s v="2026-07-15 07:11:50"/>
    <s v="2026-07-15 07:02:55"/>
    <s v="NULL"/>
    <s v="2026-07-15 07:10:41"/>
    <s v=""/>
    <s v="106.4565394"/>
    <s v="10.6698277"/>
    <s v="106.6263666"/>
    <s v="11.0899974"/>
    <n v="284472"/>
    <n v="233504"/>
    <n v="50968"/>
    <s v="Cash"/>
    <s v="47C, Provincial Road 830/2 Commune, Hamlet 3, Bến Lức, Long An 850000, Việt NamCÔNG TY TNHH MTV HÒA THÀNH LONG AN"/>
    <s v="Bến cát Bình Dương, Quốc lộ 13, Thới Hòa, Hồ Chí Minh, Việt NamBến cát Bình Dương"/>
    <n v="1"/>
    <x v="0"/>
    <x v="4"/>
    <d v="1899-12-30T07:01:51"/>
    <x v="83"/>
  </r>
  <r>
    <s v="3539777959827297038"/>
    <s v=""/>
    <x v="2"/>
    <n v="0"/>
    <s v=""/>
    <s v="NULL"/>
    <x v="0"/>
    <s v="2026-07-15 07:03:25"/>
    <s v="2026-07-15 07:13:24"/>
    <s v="NULL"/>
    <s v="NULL"/>
    <s v="2026-07-15 09:13:24"/>
    <s v=""/>
    <s v="106.4565394"/>
    <s v="10.6698277"/>
    <s v="106.7528749"/>
    <s v="10.8963726"/>
    <n v="208116"/>
    <n v="0"/>
    <n v="208116"/>
    <s v="Cash"/>
    <s v="47C, Provincial Road 830/2 Commune, Hamlet 3, Bến Lức, Long An 850000, Việt NamCÔNG TY TNHH MTV HÒA THÀNH LONG AN"/>
    <s v="Dĩ An, Bình Dương, Việt NamDĩ An"/>
    <n v="1"/>
    <x v="0"/>
    <x v="4"/>
    <d v="1899-12-30T07:03:25"/>
    <x v="9"/>
  </r>
  <r>
    <s v="3539784141207982455"/>
    <s v=""/>
    <x v="2"/>
    <n v="0"/>
    <s v=""/>
    <s v="NULL"/>
    <x v="0"/>
    <s v="2026-07-15 07:05:56"/>
    <s v="2026-07-15 07:15:55"/>
    <s v="NULL"/>
    <s v="NULL"/>
    <s v="2026-07-15 09:15:55"/>
    <s v=""/>
    <s v="106.5033511"/>
    <s v="10.6243758"/>
    <s v="107.0303221"/>
    <s v="10.7925089"/>
    <n v="295704"/>
    <n v="0"/>
    <n v="295704"/>
    <s v="Cash"/>
    <s v="Cong Ty TNHH MTV Tu Van Xay Dung Thien Kim, Ap Lo Gach, Bến Lức, Tây Ninh, Việt NamCong Ty TNHH MTV Tu Van Xay Dung Thien Kim"/>
    <s v="Long Thành, Đồng Nai, Việt NamLong Thành"/>
    <n v="1"/>
    <x v="0"/>
    <x v="4"/>
    <d v="1899-12-30T07:05:56"/>
    <x v="9"/>
  </r>
  <r>
    <s v="3539785046523334735"/>
    <s v=""/>
    <x v="2"/>
    <n v="0"/>
    <s v=""/>
    <s v="NULL"/>
    <x v="0"/>
    <s v="2026-07-15 07:04:10"/>
    <s v="2026-07-15 07:14:09"/>
    <s v="NULL"/>
    <s v="NULL"/>
    <s v="2026-07-15 09:14:09"/>
    <s v=""/>
    <s v="106.5033511"/>
    <s v="10.6243758"/>
    <s v="106.8023397"/>
    <s v="11.0762325"/>
    <n v="289656"/>
    <n v="0"/>
    <n v="289656"/>
    <s v="Cash"/>
    <s v="Cong Ty TNHH MTV Tu Van Xay Dung Thien Kim, Ap Lo Gach, Bến Lức, Tây Ninh, Việt NamCong Ty TNHH MTV Tu Van Xay Dung Thien Kim"/>
    <s v="Tân Uyen bình dương, Tân Uyên, Hồ Chí Minh, Việt NamTân Uyen bình dương"/>
    <n v="1"/>
    <x v="0"/>
    <x v="4"/>
    <d v="1899-12-30T07:04:10"/>
    <x v="9"/>
  </r>
  <r>
    <s v="3539785046523334798"/>
    <s v=""/>
    <x v="2"/>
    <n v="0"/>
    <s v=""/>
    <s v="NULL"/>
    <x v="0"/>
    <s v="2026-07-15 07:04:40"/>
    <s v="2026-07-15 07:14:39"/>
    <s v="NULL"/>
    <s v="NULL"/>
    <s v="2026-07-15 09:14:39"/>
    <s v=""/>
    <s v="106.5033511"/>
    <s v="10.6243758"/>
    <s v="106.6586052"/>
    <s v="10.9713673"/>
    <n v="229716"/>
    <n v="0"/>
    <n v="229716"/>
    <s v="Cash"/>
    <s v="Cong Ty TNHH MTV Tu Van Xay Dung Thien Kim, Ap Lo Gach, Bến Lức, Tây Ninh, Việt NamCong Ty TNHH MTV Tu Van Xay Dung Thien Kim"/>
    <s v="Thủ Dầu Một, Hồ Chí Minh, Việt NamThủ Dầu Một"/>
    <n v="1"/>
    <x v="0"/>
    <x v="4"/>
    <d v="1899-12-30T07:04:40"/>
    <x v="9"/>
  </r>
  <r>
    <s v="3539785046523334814"/>
    <s v=""/>
    <x v="2"/>
    <n v="4455168"/>
    <s v=""/>
    <s v="Motorcycle"/>
    <x v="2"/>
    <s v="2026-07-15 07:04:53"/>
    <s v="2026-07-15 07:14:53"/>
    <s v="2026-07-15 12:21:08"/>
    <s v="NULL"/>
    <s v=""/>
    <s v=""/>
    <s v="106.5033511"/>
    <s v="10.6243758"/>
    <s v="106.6586052"/>
    <s v="10.9713673"/>
    <n v="306504"/>
    <n v="237612"/>
    <n v="68892"/>
    <s v="Cash"/>
    <s v="Cong Ty TNHH MTV Tu Van Xay Dung Thien Kim, Ap Lo Gach, Bến Lức, Tây Ninh, Việt NamCong Ty TNHH MTV Tu Van Xay Dung Thien Kim"/>
    <s v="Thủ Dầu Một, Hồ Chí Minh, Việt NamThủ Dầu Một"/>
    <n v="1"/>
    <x v="0"/>
    <x v="4"/>
    <d v="1899-12-30T07:04:53"/>
    <x v="14"/>
  </r>
  <r>
    <s v="3539789726963950247"/>
    <s v=""/>
    <x v="2"/>
    <n v="2625118"/>
    <s v=""/>
    <s v="Motorcycle"/>
    <x v="2"/>
    <s v="2026-07-15 07:05:41"/>
    <s v="2026-07-15 07:15:40"/>
    <s v="2026-07-15 08:30:55"/>
    <s v="NULL"/>
    <s v=""/>
    <s v=""/>
    <s v="106.5033511"/>
    <s v="10.6243758"/>
    <s v="106.8045949"/>
    <s v="10.9364413"/>
    <n v="327780"/>
    <n v="254105"/>
    <n v="73675"/>
    <s v="Cash"/>
    <s v="Cong Ty TNHH MTV Tu Van Xay Dung Thien Kim, Ap Lo Gach, Bến Lức, Tây Ninh, Việt NamCong Ty TNHH MTV Tu Van Xay Dung Thien Kim"/>
    <s v="Biên Hòa, Đồng Nai, Việt NamBiên Hòa"/>
    <n v="1"/>
    <x v="0"/>
    <x v="4"/>
    <d v="1899-12-30T07:05:41"/>
    <x v="14"/>
  </r>
  <r>
    <s v="3539794616155071162"/>
    <s v=""/>
    <x v="2"/>
    <n v="0"/>
    <s v=""/>
    <s v="NULL"/>
    <x v="0"/>
    <s v="2026-07-15 07:02:57"/>
    <s v="2026-07-15 07:12:56"/>
    <s v="NULL"/>
    <s v="NULL"/>
    <s v="2026-07-15 09:12:56"/>
    <s v=""/>
    <s v="106.4565394"/>
    <s v="10.6698277"/>
    <s v="106.682188"/>
    <s v="10.948222"/>
    <n v="240948"/>
    <n v="0"/>
    <n v="240948"/>
    <s v="Cash"/>
    <s v="47C, Provincial Road 830/2 Commune, Hamlet 3, Bến Lức, Long An 850000, Việt NamCÔNG TY TNHH MTV HÒA THÀNH LONG AN"/>
    <s v="Thuận An, Hồ Chí Minh, Việt NamThuận An"/>
    <n v="1"/>
    <x v="0"/>
    <x v="4"/>
    <d v="1899-12-30T07:02:57"/>
    <x v="9"/>
  </r>
  <r>
    <s v="3539794616197017853"/>
    <s v=""/>
    <x v="2"/>
    <n v="4652091"/>
    <s v=""/>
    <s v="Motorcycle"/>
    <x v="2"/>
    <s v="2026-07-15 07:15:56"/>
    <s v="2026-07-15 07:25:55"/>
    <s v="2026-07-15 08:38:00"/>
    <s v="NULL"/>
    <s v=""/>
    <s v=""/>
    <s v="106.5123574"/>
    <s v="10.6383727"/>
    <s v="106.6798923"/>
    <s v="11.0139846"/>
    <n v="314928"/>
    <n v="244142"/>
    <n v="70786"/>
    <s v="Cash"/>
    <s v="Đường VL2, Long Hiệp, Bến Lức, Long An, Việt NamKho lạnh HP chi nhánh hồ chí minh"/>
    <s v="Thủ dầu một, Đường ĐX-025, Bình Dương, Hồ Chí Minh, Việt NamThủ dầu một"/>
    <n v="1"/>
    <x v="0"/>
    <x v="4"/>
    <d v="1899-12-30T07:15:56"/>
    <x v="14"/>
  </r>
  <r>
    <s v="3539794616197017948"/>
    <s v=""/>
    <x v="2"/>
    <n v="3746341"/>
    <s v=""/>
    <s v="Motorcycle"/>
    <x v="1"/>
    <s v="2026-07-15 07:16:40"/>
    <s v="2026-07-15 07:26:39"/>
    <s v="2026-07-15 08:52:35"/>
    <s v="NULL"/>
    <s v="2026-07-15 08:54:43"/>
    <s v=""/>
    <s v="106.5083764"/>
    <s v="10.6428357"/>
    <s v="106.8023397"/>
    <s v="11.0762325"/>
    <n v="293652"/>
    <n v="241039"/>
    <n v="52613"/>
    <s v="Cash"/>
    <s v="CÔNG TY TNHH BIBICA MIỀN TÂY, 9 VL3, KCN Vĩnh Lộc 2, Long Hiệp, Bến Lức, Long An, Việt NamCÔNG TY TNHH BIBICA MIỀN TÂY"/>
    <s v="Tân Uyen bình dương, Tân Uyên, Hồ Chí Minh, Việt NamTân Uyen bình dương"/>
    <n v="1"/>
    <x v="0"/>
    <x v="4"/>
    <d v="1899-12-30T07:16:40"/>
    <x v="84"/>
  </r>
  <r>
    <s v="3539794729149625136"/>
    <s v=""/>
    <x v="2"/>
    <n v="0"/>
    <s v=""/>
    <s v="NULL"/>
    <x v="0"/>
    <s v="2026-07-15 07:04:26"/>
    <s v="2026-07-15 07:14:25"/>
    <s v="NULL"/>
    <s v="NULL"/>
    <s v="2026-07-15 10:58:46"/>
    <s v=""/>
    <s v="106.5033511"/>
    <s v="10.6243758"/>
    <s v="106.8023397"/>
    <s v="11.0762325"/>
    <n v="278856"/>
    <n v="0"/>
    <n v="278856"/>
    <s v="Cash"/>
    <s v="Cong Ty TNHH MTV Tu Van Xay Dung Thien Kim, Ap Lo Gach, Bến Lức, Tây Ninh, Việt NamCong Ty TNHH MTV Tu Van Xay Dung Thien Kim"/>
    <s v="Tân Uyen bình dương, Tân Uyên, Hồ Chí Minh, Việt NamTân Uyen bình dương"/>
    <n v="1"/>
    <x v="0"/>
    <x v="4"/>
    <d v="1899-12-30T07:04:26"/>
    <x v="85"/>
  </r>
  <r>
    <s v="3539794729149625252"/>
    <s v=""/>
    <x v="2"/>
    <n v="0"/>
    <s v=""/>
    <s v="NULL"/>
    <x v="0"/>
    <s v="2026-07-15 07:05:19"/>
    <s v="2026-07-15 07:15:18"/>
    <s v="NULL"/>
    <s v="NULL"/>
    <s v="2026-07-15 09:15:18"/>
    <s v=""/>
    <s v="106.5033511"/>
    <s v="10.6243758"/>
    <s v="106.8045949"/>
    <s v="10.9364413"/>
    <n v="244944"/>
    <n v="0"/>
    <n v="244944"/>
    <s v="Cash"/>
    <s v="Cong Ty TNHH MTV Tu Van Xay Dung Thien Kim, Ap Lo Gach, Bến Lức, Tây Ninh, Việt NamCong Ty TNHH MTV Tu Van Xay Dung Thien Kim"/>
    <s v="Biên Hòa, Đồng Nai, Việt NamBiên Hòa"/>
    <n v="1"/>
    <x v="0"/>
    <x v="4"/>
    <d v="1899-12-30T07:05:19"/>
    <x v="9"/>
  </r>
  <r>
    <s v="3539794729166398100"/>
    <s v=""/>
    <x v="2"/>
    <n v="0"/>
    <s v=""/>
    <s v="NULL"/>
    <x v="0"/>
    <s v="2026-07-15 07:11:34"/>
    <s v="2026-07-15 07:21:33"/>
    <s v="NULL"/>
    <s v="NULL"/>
    <s v="2026-07-15 09:21:33"/>
    <s v=""/>
    <s v="106.5139264"/>
    <s v="10.6292206"/>
    <s v="106.702825"/>
    <s v="10.8135113"/>
    <n v="134244"/>
    <n v="0"/>
    <n v="134244"/>
    <s v="Cash"/>
    <s v="Lô B7, Đường số 4, KCN, Phúc Long, Long Hiệp, Bến Lức, Long An, Việt NamCông Ty TNHH MTV Cellutane Việt Nam"/>
    <s v="Bình Thạnh, Hồ Chí Minh, Việt NamBình Thạnh"/>
    <n v="1"/>
    <x v="0"/>
    <x v="4"/>
    <d v="1899-12-30T07:11:34"/>
    <x v="9"/>
  </r>
  <r>
    <s v="3539794729166398280"/>
    <s v=""/>
    <x v="2"/>
    <n v="0"/>
    <s v=""/>
    <s v="NULL"/>
    <x v="0"/>
    <s v="2026-07-15 07:12:47"/>
    <s v="2026-07-15 07:22:46"/>
    <s v="NULL"/>
    <s v="NULL"/>
    <s v="2026-07-15 09:22:46"/>
    <s v=""/>
    <s v="106.5078604"/>
    <s v="10.6267066"/>
    <s v="106.7371475"/>
    <s v="10.7944654"/>
    <n v="193644"/>
    <n v="0"/>
    <n v="193644"/>
    <s v="Cash"/>
    <s v="Long Hiệp, Bến Lức, Long An, Việt NamCông Ty TNHH Rượu Đệ Nhất Gò Đen"/>
    <s v="quận 2, Đường Số 3, An Khánh, Hồ Chí Minh, Việt Namquận 2"/>
    <n v="1"/>
    <x v="0"/>
    <x v="4"/>
    <d v="1899-12-30T07:12:47"/>
    <x v="9"/>
  </r>
  <r>
    <s v="3539794729166398432"/>
    <s v=""/>
    <x v="2"/>
    <n v="0"/>
    <s v=""/>
    <s v="NULL"/>
    <x v="0"/>
    <s v="2026-07-15 07:14:06"/>
    <s v="2026-07-15 07:24:05"/>
    <s v="NULL"/>
    <s v="NULL"/>
    <s v="2026-07-15 09:24:05"/>
    <s v=""/>
    <s v="106.5089814"/>
    <s v="10.6378936"/>
    <s v="106.6263666"/>
    <s v="11.0899974"/>
    <n v="274104"/>
    <n v="0"/>
    <n v="274104"/>
    <s v="Cash"/>
    <s v="Lô A1, Nhà xưởng G1, 20 Đường VL2, Khu công nghiệp, Mỹ Yên, Tây Ninh, Việt NamCÔNG TY TNHH VIETNAM WIN TEXTILES"/>
    <s v="Bến cát Bình Dương, Quốc lộ 13, Thới Hòa, Hồ Chí Minh, Việt NamBến cát Bình Dương"/>
    <n v="1"/>
    <x v="0"/>
    <x v="4"/>
    <d v="1899-12-30T07:14:06"/>
    <x v="9"/>
  </r>
  <r>
    <s v="3539796042218431417"/>
    <s v=""/>
    <x v="2"/>
    <n v="0"/>
    <s v=""/>
    <s v="NULL"/>
    <x v="0"/>
    <s v="2026-07-15 07:07:56"/>
    <s v="2026-07-15 07:17:55"/>
    <s v="NULL"/>
    <s v="NULL"/>
    <s v="2026-07-15 09:17:55"/>
    <s v=""/>
    <s v="106.5110835"/>
    <s v="10.6189887"/>
    <s v="106.7167379"/>
    <s v="10.8450997"/>
    <n v="215460"/>
    <n v="0"/>
    <n v="215460"/>
    <s v="Cash"/>
    <s v="lô H5 – đường số 8 KCN Phuc Long X.Long Hiep H, Long Hiệp, Bến Lức, Long An, Việt NamCông ty cổ phần Sơn và Chống thấm Việt Nhật"/>
    <s v="9/QL13/31 Tổ 8, Khu Phố 5, Hiệp Bình, Hồ Chí Minh, Việt Nam9/QL13/31 Tổ 8, Khu Phố 5, Hiệp Bình, Hồ Chí Minh, Việt Nam"/>
    <n v="1"/>
    <x v="0"/>
    <x v="4"/>
    <d v="1899-12-30T07:07:56"/>
    <x v="9"/>
  </r>
  <r>
    <s v="3539796042218431469"/>
    <s v=""/>
    <x v="2"/>
    <n v="0"/>
    <s v=""/>
    <s v="NULL"/>
    <x v="0"/>
    <s v="2026-07-15 07:08:22"/>
    <s v="2026-07-15 07:18:21"/>
    <s v="NULL"/>
    <s v="NULL"/>
    <s v="2026-07-15 09:19:11"/>
    <s v=""/>
    <s v="106.5110835"/>
    <s v="10.6189887"/>
    <s v="106.7866577"/>
    <s v="10.8450844"/>
    <n v="184140"/>
    <n v="0"/>
    <n v="184140"/>
    <s v="Cash"/>
    <s v="lô H5 – đường số 8 KCN Phuc Long X.Long Hiep H, Long Hiệp, Bến Lức, Long An, Việt NamCông ty cổ phần Sơn và Chống thấm Việt Nhật"/>
    <s v="Quận 9, Tăng Nhơn Phú, Hồ Chí Minh, Việt NamQuận 9"/>
    <n v="1"/>
    <x v="0"/>
    <x v="4"/>
    <d v="1899-12-30T07:08:22"/>
    <x v="86"/>
  </r>
  <r>
    <s v="3539796042243592261"/>
    <s v=""/>
    <x v="2"/>
    <n v="0"/>
    <s v=""/>
    <s v="NULL"/>
    <x v="0"/>
    <s v="2026-07-15 07:08:34"/>
    <s v="2026-07-15 07:18:33"/>
    <s v="NULL"/>
    <s v="NULL"/>
    <s v="2026-07-15 09:18:33"/>
    <s v=""/>
    <s v="106.5110835"/>
    <s v="10.6189887"/>
    <s v="106.7866577"/>
    <s v="10.8450844"/>
    <n v="257796"/>
    <n v="0"/>
    <n v="257796"/>
    <s v="Cash"/>
    <s v="lô H5 – đường số 8 KCN Phuc Long X.Long Hiep H, Long Hiệp, Bến Lức, Long An, Việt NamCông ty cổ phần Sơn và Chống thấm Việt Nhật"/>
    <s v="Quận 9, Tăng Nhơn Phú, Hồ Chí Minh, Việt NamQuận 9"/>
    <n v="1"/>
    <x v="0"/>
    <x v="4"/>
    <d v="1899-12-30T07:08:34"/>
    <x v="9"/>
  </r>
  <r>
    <s v="3539796042260377844"/>
    <s v=""/>
    <x v="2"/>
    <n v="0"/>
    <s v=""/>
    <s v="NULL"/>
    <x v="0"/>
    <s v="2026-07-15 07:18:00"/>
    <s v="2026-07-15 07:27:59"/>
    <s v="NULL"/>
    <s v="NULL"/>
    <s v="2026-07-15 11:10:31"/>
    <s v=""/>
    <s v="106.5038994"/>
    <s v="10.6432606"/>
    <s v="106.6586052"/>
    <s v="10.9713673"/>
    <n v="228960"/>
    <n v="0"/>
    <n v="228960"/>
    <s v="Cash"/>
    <s v="Lô D3, 1, 4 Đường VL7, KCN Vĩnh Lộc 2 X, Bến Lức, Long An 77777, Việt NamCông Ty Cổ Phần Nosafood , Nhà máy Bến Lức"/>
    <s v="Thủ Dầu Một, Hồ Chí Minh, Việt NamThủ Dầu Một"/>
    <n v="1"/>
    <x v="0"/>
    <x v="4"/>
    <d v="1899-12-30T07:18:00"/>
    <x v="87"/>
  </r>
  <r>
    <s v="3539796042260378492"/>
    <s v=""/>
    <x v="2"/>
    <n v="0"/>
    <s v=""/>
    <s v="NULL"/>
    <x v="0"/>
    <s v="2026-07-15 07:22:33"/>
    <s v="2026-07-15 07:32:32"/>
    <s v="NULL"/>
    <s v="NULL"/>
    <s v="2026-07-15 09:32:32"/>
    <s v=""/>
    <s v="106.5173754"/>
    <s v="10.6461136"/>
    <s v="106.7371475"/>
    <s v="10.7944654"/>
    <n v="128412"/>
    <n v="0"/>
    <n v="128412"/>
    <s v="Cash"/>
    <s v="Factory 1A, Lot B2,15, VL7 Street, Vinh Loc 2 Industrial Zone, Voi La Hamlet Long Hiep Commune, Ben Luc District, Long A Province, Long Hiệp, Ho chi minh city, Long An 82619, Việt NamDM TEXTILES COMPANY LTD."/>
    <s v="quận 2, Đường Số 3, An Khánh, Hồ Chí Minh, Việt Namquận 2"/>
    <n v="1"/>
    <x v="0"/>
    <x v="4"/>
    <d v="1899-12-30T07:22:33"/>
    <x v="9"/>
  </r>
  <r>
    <s v="3539797911108022767"/>
    <s v=""/>
    <x v="2"/>
    <n v="0"/>
    <s v=""/>
    <s v="NULL"/>
    <x v="0"/>
    <s v="2026-07-15 07:06:19"/>
    <s v="2026-07-15 07:16:19"/>
    <s v="NULL"/>
    <s v="NULL"/>
    <s v="2026-07-15 09:16:19"/>
    <s v=""/>
    <s v="106.5033511"/>
    <s v="10.6243758"/>
    <s v="107.0303221"/>
    <s v="10.7925089"/>
    <n v="284904"/>
    <n v="0"/>
    <n v="284904"/>
    <s v="Cash"/>
    <s v="Cong Ty TNHH MTV Tu Van Xay Dung Thien Kim, Ap Lo Gach, Bến Lức, Tây Ninh, Việt NamCong Ty TNHH MTV Tu Van Xay Dung Thien Kim"/>
    <s v="Long Thành, Đồng Nai, Việt NamLong Thành"/>
    <n v="1"/>
    <x v="0"/>
    <x v="4"/>
    <d v="1899-12-30T07:06:19"/>
    <x v="4"/>
  </r>
  <r>
    <s v="3539797911133184444"/>
    <s v=""/>
    <x v="2"/>
    <n v="4729280"/>
    <s v=""/>
    <s v="Motorcycle"/>
    <x v="1"/>
    <s v="2026-07-15 07:14:18"/>
    <s v="2026-07-15 07:24:17"/>
    <s v="2026-07-15 08:44:51"/>
    <s v="NULL"/>
    <s v="2026-07-15 08:48:35"/>
    <s v=""/>
    <s v="106.5089814"/>
    <s v="10.6378936"/>
    <s v="106.6263666"/>
    <s v="11.0899974"/>
    <n v="379404"/>
    <n v="294126"/>
    <n v="85278"/>
    <s v="Cash"/>
    <s v="Lô A1, Nhà xưởng G1, 20 Đường VL2, Khu công nghiệp, Mỹ Yên, Tây Ninh, Việt NamCÔNG TY TNHH VIETNAM WIN TEXTILES"/>
    <s v="Bến cát Bình Dương, Quốc lộ 13, Thới Hòa, Hồ Chí Minh, Việt NamBến cát Bình Dương"/>
    <n v="1"/>
    <x v="0"/>
    <x v="4"/>
    <d v="1899-12-30T07:14:18"/>
    <x v="88"/>
  </r>
  <r>
    <s v="3539800216431718648"/>
    <s v=""/>
    <x v="2"/>
    <n v="3106185"/>
    <s v=""/>
    <s v="Motorcycle"/>
    <x v="1"/>
    <s v="2026-07-15 07:07:24"/>
    <s v="2026-07-15 07:17:24"/>
    <s v="2026-07-15 08:05:19"/>
    <s v="NULL"/>
    <s v="2026-07-15 08:10:41"/>
    <s v=""/>
    <s v="106.5110835"/>
    <s v="10.6189887"/>
    <s v="106.71197263041077"/>
    <s v="10.841398748547151"/>
    <n v="215244"/>
    <n v="166864"/>
    <n v="48380"/>
    <s v="Cash"/>
    <s v="lô H5 – đường số 8 KCN Phuc Long X.Long Hiep H, Long Hiệp, Bến Lức, Long An, Việt NamCông ty cổ phần Sơn và Chống thấm Việt Nhật"/>
    <s v="71 Đ. Số 5, Khu đô Thị Vạn Phúc, Hiệp Bình, Hồ Chí Minh 70000, Việt Nam71 Đ. Số 5, Khu đô Thị Vạn Phúc, Hiệp Bình, Hồ Chí Minh 70000, Việt Nam"/>
    <n v="1"/>
    <x v="0"/>
    <x v="4"/>
    <d v="1899-12-30T07:07:24"/>
    <x v="89"/>
  </r>
  <r>
    <s v="3539800216431719155"/>
    <s v=""/>
    <x v="2"/>
    <n v="0"/>
    <s v=""/>
    <s v="NULL"/>
    <x v="0"/>
    <s v="2026-07-15 07:11:47"/>
    <s v="2026-07-15 07:21:46"/>
    <s v="NULL"/>
    <s v="NULL"/>
    <s v="2026-07-15 09:21:46"/>
    <s v=""/>
    <s v="106.5139264"/>
    <s v="10.6292206"/>
    <s v="106.702825"/>
    <s v="10.8135113"/>
    <n v="187920"/>
    <n v="0"/>
    <n v="187920"/>
    <s v="Cash"/>
    <s v="Lô B7, Đường số 4, KCN, Phúc Long, Long Hiệp, Bến Lức, Long An, Việt NamCông Ty TNHH MTV Cellutane Việt Nam"/>
    <s v="Bình Thạnh, Hồ Chí Minh, Việt NamBình Thạnh"/>
    <n v="1"/>
    <x v="0"/>
    <x v="4"/>
    <d v="1899-12-30T07:11:47"/>
    <x v="9"/>
  </r>
  <r>
    <s v="3539800216431719345"/>
    <s v=""/>
    <x v="2"/>
    <n v="0"/>
    <s v=""/>
    <s v="NULL"/>
    <x v="0"/>
    <s v="2026-07-15 07:13:12"/>
    <s v="2026-07-15 07:23:11"/>
    <s v="NULL"/>
    <s v="NULL"/>
    <s v="2026-07-15 09:23:11"/>
    <s v=""/>
    <s v="106.5078604"/>
    <s v="10.6267066"/>
    <s v="106.737878"/>
    <s v="10.795368"/>
    <n v="182844"/>
    <n v="0"/>
    <n v="182844"/>
    <s v="Cash"/>
    <s v="Long Hiệp, Bến Lức, Long An, Việt NamCông Ty TNHH Rượu Đệ Nhất Gò Đen"/>
    <s v="2/15D Trần Não, Khu đô thị An Phú An Khánh, An Khánh, Hồ Chí Minh, Việt Nam2/15D Trần Não, Khu đô thị An Phú An Khánh, An Khánh, Hồ Chí Minh, Việt Nam"/>
    <n v="1"/>
    <x v="0"/>
    <x v="4"/>
    <d v="1899-12-30T07:13:12"/>
    <x v="9"/>
  </r>
  <r>
    <s v="3539800216448491643"/>
    <s v=""/>
    <x v="2"/>
    <n v="4179701"/>
    <s v=""/>
    <s v="Motorcycle"/>
    <x v="1"/>
    <s v="2026-07-15 07:14:42"/>
    <s v="2026-07-15 07:24:41"/>
    <s v="2026-07-15 08:51:28"/>
    <s v="NULL"/>
    <s v="2026-07-15 08:59:27"/>
    <s v=""/>
    <s v="106.5089814"/>
    <s v="10.6378936"/>
    <s v="106.6263666"/>
    <s v="11.0899974"/>
    <n v="368604"/>
    <n v="302562"/>
    <n v="66042"/>
    <s v="Cash"/>
    <s v="Lô A1, Nhà xưởng G1, 20 Đường VL2, Khu công nghiệp, Mỹ Yên, Tây Ninh, Việt NamCÔNG TY TNHH VIETNAM WIN TEXTILES"/>
    <s v="Bến cát Bình Dương, Quốc lộ 13, Thới Hòa, Hồ Chí Minh, Việt NamBến cát Bình Dương"/>
    <n v="1"/>
    <x v="0"/>
    <x v="4"/>
    <d v="1899-12-30T07:14:42"/>
    <x v="90"/>
  </r>
  <r>
    <s v="3539800216448491762"/>
    <s v=""/>
    <x v="2"/>
    <n v="4424389"/>
    <s v=""/>
    <s v="Motorcycle"/>
    <x v="2"/>
    <s v="2026-07-15 07:15:34"/>
    <s v="2026-07-15 07:25:33"/>
    <s v="2026-07-15 09:49:16"/>
    <s v="NULL"/>
    <s v=""/>
    <s v=""/>
    <s v="106.5123574"/>
    <s v="10.6383727"/>
    <s v="106.6798923"/>
    <s v="11.0139846"/>
    <n v="325728"/>
    <n v="252515"/>
    <n v="73213"/>
    <s v="Cash"/>
    <s v="Đường VL2, Long Hiệp, Bến Lức, Long An, Việt NamKho lạnh HP chi nhánh hồ chí minh"/>
    <s v="Thủ dầu một, Đường ĐX-025, Bình Dương, Hồ Chí Minh, Việt NamThủ dầu một"/>
    <n v="1"/>
    <x v="0"/>
    <x v="4"/>
    <d v="1899-12-30T07:15:34"/>
    <x v="14"/>
  </r>
  <r>
    <s v="3539800216448492137"/>
    <s v=""/>
    <x v="2"/>
    <n v="1724020"/>
    <s v=""/>
    <s v="Motorcycle"/>
    <x v="2"/>
    <s v="2026-07-15 07:18:23"/>
    <s v="2026-07-15 07:28:22"/>
    <s v="2026-07-15 09:39:54"/>
    <s v="2026-07-15 09:47:36"/>
    <s v=""/>
    <s v=""/>
    <s v="106.5038994"/>
    <s v="10.6432606"/>
    <s v="106.6586052"/>
    <s v="10.9713673"/>
    <n v="218160"/>
    <n v="169124"/>
    <n v="49036"/>
    <s v="Cash"/>
    <s v="Lô D3, 1, 4 Đường VL7, KCN Vĩnh Lộc 2 X, Bến Lức, Long An 77777, Việt NamCông Ty Cổ Phần Nosafood , Nhà máy Bến Lức"/>
    <s v="Thủ Dầu Một, Hồ Chí Minh, Việt NamThủ Dầu Một"/>
    <n v="1"/>
    <x v="0"/>
    <x v="4"/>
    <d v="1899-12-30T07:18:23"/>
    <x v="14"/>
  </r>
  <r>
    <s v="3539800216473653271"/>
    <s v=""/>
    <x v="2"/>
    <n v="0"/>
    <s v=""/>
    <s v="NULL"/>
    <x v="0"/>
    <s v="2026-07-15 07:21:40"/>
    <s v="2026-07-15 07:31:39"/>
    <s v="NULL"/>
    <s v="NULL"/>
    <s v="2026-07-15 09:31:39"/>
    <s v=""/>
    <s v="106.5173754"/>
    <s v="10.6461136"/>
    <s v="107.0303221"/>
    <s v="10.7925089"/>
    <n v="280044"/>
    <n v="0"/>
    <n v="280044"/>
    <s v="Cash"/>
    <s v="Factory 1A, Lot B2,15, VL7 Street, Vinh Loc 2 Industrial Zone, Voi La Hamlet Long Hiep Commune, Ben Luc District, Long A Province, Long Hiệp, Ho chi minh city, Long An 82619, Việt NamDM TEXTILES COMPANY LTD."/>
    <s v="Long Thành, Đồng Nai, Việt NamLong Thành"/>
    <n v="1"/>
    <x v="0"/>
    <x v="4"/>
    <d v="1899-12-30T07:21:40"/>
    <x v="9"/>
  </r>
  <r>
    <s v="3539803592519283211"/>
    <s v=""/>
    <x v="2"/>
    <n v="0"/>
    <s v=""/>
    <s v="NULL"/>
    <x v="0"/>
    <s v="2026-07-15 07:15:23"/>
    <s v="2026-07-15 07:25:23"/>
    <s v="NULL"/>
    <s v="NULL"/>
    <s v="2026-07-15 09:25:23"/>
    <s v=""/>
    <s v="106.5123574"/>
    <s v="10.6383727"/>
    <s v="106.6798923"/>
    <s v="11.0139846"/>
    <n v="235764"/>
    <n v="0"/>
    <n v="235764"/>
    <s v="Cash"/>
    <s v="Đường VL2, Long Hiệp, Bến Lức, Long An, Việt NamKho lạnh HP chi nhánh hồ chí minh"/>
    <s v="Thủ dầu một, Đường ĐX-025, Bình Dương, Hồ Chí Minh, Việt NamThủ dầu một"/>
    <n v="1"/>
    <x v="0"/>
    <x v="4"/>
    <d v="1899-12-30T07:15:23"/>
    <x v="4"/>
  </r>
  <r>
    <s v="3539803592519283407"/>
    <s v=""/>
    <x v="2"/>
    <n v="0"/>
    <s v=""/>
    <s v="NULL"/>
    <x v="0"/>
    <s v="2026-07-15 07:16:51"/>
    <s v="2026-07-15 07:26:50"/>
    <s v="NULL"/>
    <s v="NULL"/>
    <s v="2026-07-15 09:26:50"/>
    <s v=""/>
    <s v="106.5083764"/>
    <s v="10.6428357"/>
    <s v="106.8023397"/>
    <s v="11.0762325"/>
    <n v="282852"/>
    <n v="0"/>
    <n v="282852"/>
    <s v="Cash"/>
    <s v="CÔNG TY TNHH BIBICA MIỀN TÂY, 9 VL3, KCN Vĩnh Lộc 2, Long Hiệp, Bến Lức, Long An, Việt NamCÔNG TY TNHH BIBICA MIỀN TÂY"/>
    <s v="Tân Uyen bình dương, Tân Uyên, Hồ Chí Minh, Việt NamTân Uyen bình dương"/>
    <n v="1"/>
    <x v="0"/>
    <x v="4"/>
    <d v="1899-12-30T07:16:51"/>
    <x v="9"/>
  </r>
  <r>
    <s v="3539803592536055905"/>
    <s v=""/>
    <x v="2"/>
    <n v="0"/>
    <s v=""/>
    <s v="NULL"/>
    <x v="0"/>
    <s v="2026-07-15 07:19:06"/>
    <s v="2026-07-15 07:29:05"/>
    <s v="NULL"/>
    <s v="NULL"/>
    <s v="2026-07-15 10:01:54"/>
    <s v=""/>
    <s v="106.5178464"/>
    <s v="10.6429186"/>
    <s v="106.682188"/>
    <s v="10.948222"/>
    <n v="210924"/>
    <n v="0"/>
    <n v="210924"/>
    <s v="Cash"/>
    <s v="Đường VL2, Long Hiệp, Bến Lức, Long An, Việt NamCty cổ phần tập đoàn kim đức"/>
    <s v="Thuận An, Hồ Chí Minh, Việt NamThuận An"/>
    <n v="1"/>
    <x v="0"/>
    <x v="4"/>
    <d v="1899-12-30T07:19:06"/>
    <x v="91"/>
  </r>
  <r>
    <s v="3539803592536056231"/>
    <s v=""/>
    <x v="2"/>
    <n v="0"/>
    <s v=""/>
    <s v="NULL"/>
    <x v="0"/>
    <s v="2026-07-15 07:21:28"/>
    <s v="2026-07-15 07:31:27"/>
    <s v="NULL"/>
    <s v="NULL"/>
    <s v="2026-07-15 09:31:27"/>
    <s v=""/>
    <s v="106.5173754"/>
    <s v="10.6461136"/>
    <s v="107.0303221"/>
    <s v="10.7925089"/>
    <n v="290844"/>
    <n v="0"/>
    <n v="290844"/>
    <s v="Cash"/>
    <s v="Factory 1A, Lot B2,15, VL7 Street, Vinh Loc 2 Industrial Zone, Voi La Hamlet Long Hiep Commune, Ben Luc District, Long A Province, Long Hiệp, Ho chi minh city, Long An 82619, Việt NamDM TEXTILES COMPANY LTD."/>
    <s v="Long Thành, Đồng Nai, Việt NamLong Thành"/>
    <n v="1"/>
    <x v="0"/>
    <x v="4"/>
    <d v="1899-12-30T07:21:28"/>
    <x v="9"/>
  </r>
  <r>
    <s v="3539804246612603013"/>
    <s v=""/>
    <x v="2"/>
    <n v="0"/>
    <s v=""/>
    <s v="NULL"/>
    <x v="0"/>
    <s v="2026-07-15 07:13:00"/>
    <s v="2026-07-15 07:22:59"/>
    <s v="NULL"/>
    <s v="NULL"/>
    <s v="2026-07-15 09:22:59"/>
    <s v=""/>
    <s v="106.5078604"/>
    <s v="10.6267066"/>
    <s v="106.73804872222902"/>
    <s v="10.795350674110054"/>
    <n v="131004"/>
    <n v="0"/>
    <n v="131004"/>
    <s v="Cash"/>
    <s v="Long Hiệp, Bến Lức, Long An, Việt NamCông Ty TNHH Rượu Đệ Nhất Gò Đen"/>
    <s v="2/15D Trần Não, Khu đô thị An Phú An Khánh, An Khánh, Hồ Chí Minh, Việt Nam2/15D Trần Não, Khu đô thị An Phú An Khánh, An Khánh, Hồ Chí Minh, Việt Nam"/>
    <n v="1"/>
    <x v="0"/>
    <x v="4"/>
    <d v="1899-12-30T07:13:00"/>
    <x v="9"/>
  </r>
  <r>
    <s v="3539804246612603355"/>
    <s v=""/>
    <x v="2"/>
    <n v="4620372"/>
    <s v=""/>
    <s v="Motorcycle"/>
    <x v="2"/>
    <s v="2026-07-15 07:15:45"/>
    <s v="2026-07-15 07:25:44"/>
    <s v="2026-07-15 15:01:04"/>
    <s v="2026-07-15 15:06:43"/>
    <s v=""/>
    <s v=""/>
    <s v="106.5123574"/>
    <s v="10.6383727"/>
    <s v="106.6798923"/>
    <s v="11.0139846"/>
    <n v="224964"/>
    <n v="174399"/>
    <n v="50565"/>
    <s v="Cash"/>
    <s v="Đường VL2, Long Hiệp, Bến Lức, Long An, Việt NamKho lạnh HP chi nhánh hồ chí minh"/>
    <s v="Thủ dầu một, Đường ĐX-025, Bình Dương, Hồ Chí Minh, Việt NamThủ dầu một"/>
    <n v="1"/>
    <x v="0"/>
    <x v="4"/>
    <d v="1899-12-30T07:15:45"/>
    <x v="14"/>
  </r>
  <r>
    <s v="3539804246637764943"/>
    <s v=""/>
    <x v="2"/>
    <n v="0"/>
    <s v=""/>
    <s v="NULL"/>
    <x v="0"/>
    <s v="2026-07-15 07:22:08"/>
    <s v="2026-07-15 07:32:07"/>
    <s v="NULL"/>
    <s v="NULL"/>
    <s v="2026-07-15 09:32:07"/>
    <s v=""/>
    <s v="106.5173754"/>
    <s v="10.6461136"/>
    <s v="106.7559004"/>
    <s v="10.8378053"/>
    <n v="181008"/>
    <n v="0"/>
    <n v="181008"/>
    <s v="Cash"/>
    <s v="Factory 1A, Lot B2,15, VL7 Street, Vinh Loc 2 Industrial Zone, Voi La Hamlet Long Hiep Commune, Ben Luc District, Long A Province, Long Hiệp, Ho chi minh city, Long An 82619, Việt NamDM TEXTILES COMPANY LTD."/>
    <s v="Thủ Đức, Hồ Chí Minh, Việt NamThủ Đức"/>
    <n v="1"/>
    <x v="0"/>
    <x v="4"/>
    <d v="1899-12-30T07:22:08"/>
    <x v="9"/>
  </r>
  <r>
    <s v="3539804246654537818"/>
    <s v=""/>
    <x v="0"/>
    <n v="0"/>
    <s v=""/>
    <s v="NULL"/>
    <x v="0"/>
    <s v="2026-07-15 07:26:53"/>
    <s v="2026-07-15 07:36:54"/>
    <s v="NULL"/>
    <s v="NULL"/>
    <s v="2026-07-15 09:41:36"/>
    <s v=""/>
    <s v="106.6047527"/>
    <s v="10.5077325"/>
    <s v="106.6745776"/>
    <s v="10.865126"/>
    <n v="197748"/>
    <n v="0"/>
    <n v="197748"/>
    <s v="Cash"/>
    <s v="Cần Đước High School, Khu 1B, Cần Đước, Tây Ninh, Việt NamCần Đước High School"/>
    <s v="Quận 12, Thới An, Hồ Chí Minh, Việt NamQuận 12"/>
    <n v="1"/>
    <x v="0"/>
    <x v="4"/>
    <d v="1899-12-30T07:26:53"/>
    <x v="92"/>
  </r>
  <r>
    <s v="3539804246654537985"/>
    <s v=""/>
    <x v="0"/>
    <n v="0"/>
    <s v=""/>
    <s v="NULL"/>
    <x v="0"/>
    <s v="2026-07-15 07:27:55"/>
    <s v="2026-07-15 07:37:56"/>
    <s v="NULL"/>
    <s v="NULL"/>
    <s v="2026-07-15 09:56:20"/>
    <s v=""/>
    <s v="106.6047527"/>
    <s v="10.5077325"/>
    <s v="106.6727587"/>
    <s v="10.7604736"/>
    <n v="134460"/>
    <n v="0"/>
    <n v="134460"/>
    <s v="Cash"/>
    <s v="Cần Đước High School, Khu 1B, Cần Đước, Tây Ninh, Việt NamCần Đước High School"/>
    <s v="Quận 10, Đường Nguyễn Chí Thanh, An Đông, Hồ Chí Minh, Việt NamQuận 10"/>
    <n v="1"/>
    <x v="0"/>
    <x v="4"/>
    <d v="1899-12-30T07:27:55"/>
    <x v="93"/>
  </r>
  <r>
    <s v="3539807011749458915"/>
    <s v=""/>
    <x v="2"/>
    <n v="0"/>
    <s v=""/>
    <s v="NULL"/>
    <x v="0"/>
    <s v="2026-07-15 07:23:53"/>
    <s v="2026-07-15 07:33:52"/>
    <s v="NULL"/>
    <s v="NULL"/>
    <s v="2026-07-15 09:33:52"/>
    <s v=""/>
    <s v="106.4933144"/>
    <s v="10.6397674"/>
    <s v="106.5922924"/>
    <s v="10.8863934"/>
    <n v="139968"/>
    <n v="0"/>
    <n v="139968"/>
    <s v="Cash"/>
    <s v="CN. CÔNG TY CPXD MINH LONG, Đường Số 2, Bến Lức, Tây Ninh, Việt NamCN. CÔNG TY CPXD MINH LONG"/>
    <s v="Hóc Môn, Hồ Chí Minh, Việt NamHóc Môn"/>
    <n v="1"/>
    <x v="0"/>
    <x v="4"/>
    <d v="1899-12-30T07:23:53"/>
    <x v="9"/>
  </r>
  <r>
    <s v="3539807011766231290"/>
    <s v=""/>
    <x v="0"/>
    <n v="0"/>
    <s v=""/>
    <s v="NULL"/>
    <x v="0"/>
    <s v="2026-07-15 07:25:04"/>
    <s v="2026-07-15 07:35:05"/>
    <s v="NULL"/>
    <s v="NULL"/>
    <s v="2026-07-15 09:35:05"/>
    <s v=""/>
    <s v="106.5231879"/>
    <s v="10.6277377"/>
    <s v="106.8023397"/>
    <s v="11.0762325"/>
    <n v="286524"/>
    <n v="0"/>
    <n v="286524"/>
    <s v="Cash"/>
    <s v="Công ty Lavie Long An - Nhà phân phối nước khoáng lavie cửa hàng 24/24, Ấp Chánh, Mỹ Yên, Tây Ninh, Việt NamCông ty Lavie Long An - Nhà phân phối nước khoáng lavie cửa hàng 24/24"/>
    <s v="Tân Uyen bình dương, Tân Uyên, Hồ Chí Minh, Việt NamTân Uyen bình dương"/>
    <n v="1"/>
    <x v="0"/>
    <x v="4"/>
    <d v="1899-12-30T07:25:04"/>
    <x v="0"/>
  </r>
  <r>
    <s v="3539807011783004674"/>
    <s v=""/>
    <x v="0"/>
    <n v="3428843"/>
    <s v=""/>
    <s v="Motorcycle"/>
    <x v="2"/>
    <s v="2026-07-15 07:33:23"/>
    <s v="2026-07-15 07:43:24"/>
    <s v="2026-07-15 08:19:01"/>
    <s v="NULL"/>
    <s v=""/>
    <s v=""/>
    <s v="106.6114474"/>
    <s v="10.6361703"/>
    <s v="106.690788"/>
    <s v="10.793931"/>
    <n v="166644"/>
    <n v="129188"/>
    <n v="37456"/>
    <s v="Cash"/>
    <s v="Phước Lý, Tây Ninh, Việt NamPhước Lý"/>
    <s v="Quận 1, Đường Trần Khắc Chân, Tân Định, Hồ Chí Minh, Việt NamQuận 1"/>
    <n v="1"/>
    <x v="0"/>
    <x v="4"/>
    <d v="1899-12-30T07:33:23"/>
    <x v="14"/>
  </r>
  <r>
    <s v="3539807985817842224"/>
    <s v=""/>
    <x v="2"/>
    <n v="0"/>
    <s v=""/>
    <s v="NULL"/>
    <x v="0"/>
    <s v="2026-07-15 07:21:52"/>
    <s v="2026-07-15 07:31:51"/>
    <s v="NULL"/>
    <s v="NULL"/>
    <s v="2026-07-15 09:31:51"/>
    <s v=""/>
    <s v="106.5173754"/>
    <s v="10.6461136"/>
    <s v="106.7866577"/>
    <s v="10.8450844"/>
    <n v="191808"/>
    <n v="0"/>
    <n v="191808"/>
    <s v="Cash"/>
    <s v="Factory 1A, Lot B2,15, VL7 Street, Vinh Loc 2 Industrial Zone, Voi La Hamlet Long Hiep Commune, Ben Luc District, Long A Province, Long Hiệp, Ho chi minh city, Long An 82619, Việt NamDM TEXTILES COMPANY LTD."/>
    <s v="Quận 9, Tăng Nhơn Phú, Hồ Chí Minh, Việt NamQuận 9"/>
    <n v="1"/>
    <x v="0"/>
    <x v="4"/>
    <d v="1899-12-30T07:21:52"/>
    <x v="9"/>
  </r>
  <r>
    <s v="3539807985834615033"/>
    <s v=""/>
    <x v="0"/>
    <n v="0"/>
    <s v=""/>
    <s v="NULL"/>
    <x v="0"/>
    <s v="2026-07-15 07:26:33"/>
    <s v="2026-07-15 07:36:34"/>
    <s v="NULL"/>
    <s v="NULL"/>
    <s v="2026-07-15 10:01:14"/>
    <s v=""/>
    <s v="106.6047527"/>
    <s v="10.5077325"/>
    <s v="106.6216471"/>
    <s v="10.8750776"/>
    <n v="197748"/>
    <n v="0"/>
    <n v="197748"/>
    <s v="Cash"/>
    <s v="Cần Đước High School, Khu 1B, Cần Đước, Tây Ninh, Việt NamCần Đước High School"/>
    <s v="Hoc mon, Thới Tam Thôn 17, Đông Thạnh, Hồ Chí Minh, Việt NamHoc mon"/>
    <n v="1"/>
    <x v="0"/>
    <x v="4"/>
    <d v="1899-12-30T07:26:33"/>
    <x v="94"/>
  </r>
  <r>
    <s v="3539807985851388347"/>
    <s v=""/>
    <x v="0"/>
    <n v="4522767"/>
    <s v=""/>
    <s v="Motorcycle"/>
    <x v="1"/>
    <s v="2026-07-15 07:33:46"/>
    <s v="2026-07-15 07:43:47"/>
    <s v="2026-07-15 07:37:58"/>
    <s v="NULL"/>
    <s v="2026-07-15 07:47:39"/>
    <s v=""/>
    <s v="106.6114474"/>
    <s v="10.6361703"/>
    <s v="106.730817218056"/>
    <s v="10.793521983679"/>
    <n v="177660"/>
    <n v="137728"/>
    <n v="39932"/>
    <s v="Cash"/>
    <s v="Phước Lý, Tây Ninh, Việt NamPhước Lý"/>
    <s v="Quận 2an Khánhhồ Chí Minhviệt NamQuận 2"/>
    <n v="1"/>
    <x v="0"/>
    <x v="4"/>
    <d v="1899-12-30T07:33:46"/>
    <x v="95"/>
  </r>
  <r>
    <s v="3539809918192415025"/>
    <s v=""/>
    <x v="0"/>
    <n v="3548399"/>
    <s v=""/>
    <s v="Motorcycle"/>
    <x v="2"/>
    <s v="2026-07-15 07:36:03"/>
    <s v="2026-07-15 07:46:04"/>
    <s v="2026-07-15 09:08:02"/>
    <s v="NULL"/>
    <s v=""/>
    <s v=""/>
    <s v="106.5853853"/>
    <s v="10.6453917"/>
    <s v="106.6727587"/>
    <s v="10.7604736"/>
    <n v="129600"/>
    <n v="100470"/>
    <n v="29130"/>
    <s v="Cash"/>
    <s v="ĐT835B, Phước Lý, Tây Ninh, Việt NamĐT835B"/>
    <s v="Quận 10, Đường Nguyễn Chí Thanh, An Đông, Hồ Chí Minh, Việt NamQuận 10"/>
    <n v="1"/>
    <x v="0"/>
    <x v="4"/>
    <d v="1899-12-30T07:36:03"/>
    <x v="14"/>
  </r>
  <r>
    <s v="3539810167652831701"/>
    <s v=""/>
    <x v="0"/>
    <n v="3089644"/>
    <s v=""/>
    <s v="Motorcycle"/>
    <x v="2"/>
    <s v="2026-07-15 07:39:18"/>
    <s v="2026-07-15 07:49:19"/>
    <s v="2026-07-15 08:47:18"/>
    <s v="NULL"/>
    <s v=""/>
    <s v=""/>
    <s v="106.5853853"/>
    <s v="10.6453917"/>
    <s v="106.6483066"/>
    <s v="10.7589406"/>
    <n v="127440"/>
    <n v="98795"/>
    <n v="28645"/>
    <s v="Cash"/>
    <s v="ĐT835B, Phước Lý, Tây Ninh, Việt NamĐT835B"/>
    <s v="Quận 11, Đường Xóm Đất, Bình Thới, Hồ Chí Minh, Việt NamQuận 11"/>
    <n v="1"/>
    <x v="0"/>
    <x v="4"/>
    <d v="1899-12-30T07:39:18"/>
    <x v="14"/>
  </r>
  <r>
    <s v="3539810942617608356"/>
    <s v=""/>
    <x v="0"/>
    <n v="0"/>
    <s v=""/>
    <s v="NULL"/>
    <x v="0"/>
    <s v="2026-07-15 07:24:01"/>
    <s v="2026-07-15 07:34:02"/>
    <s v="NULL"/>
    <s v="NULL"/>
    <s v="2026-07-15 09:34:02"/>
    <s v=""/>
    <s v="106.5231879"/>
    <s v="10.6277377"/>
    <s v="106.7497022"/>
    <s v="10.9267968"/>
    <n v="208980"/>
    <n v="0"/>
    <n v="208980"/>
    <s v="Cash"/>
    <s v="Công ty Lavie Long An - Nhà phân phối nước khoáng lavie cửa hàng 24/24, Ấp Chánh, Mỹ Yên, Tây Ninh, Việt NamCông ty Lavie Long An - Nhà phân phối nước khoáng lavie cửa hàng 24/24"/>
    <s v="DI AN BINH DUONG, Đường tỉnh 743, kp Chiêu Liêu, Dĩ An, An Phú, Hồ Chí Minh, Việt NamDI AN BINH DUONG"/>
    <n v="1"/>
    <x v="0"/>
    <x v="4"/>
    <d v="1899-12-30T07:24:01"/>
    <x v="0"/>
  </r>
  <r>
    <s v="3539810942634382310"/>
    <s v=""/>
    <x v="0"/>
    <n v="3811776"/>
    <s v=""/>
    <s v="Motorcycle"/>
    <x v="2"/>
    <s v="2026-07-15 07:35:39"/>
    <s v="2026-07-15 07:45:40"/>
    <s v="2026-07-15 10:03:33"/>
    <s v="NULL"/>
    <s v=""/>
    <s v=""/>
    <s v="106.5853853"/>
    <s v="10.6453917"/>
    <s v="106.6216471"/>
    <s v="10.8750776"/>
    <n v="168696"/>
    <n v="130778"/>
    <n v="37918"/>
    <s v="Cash"/>
    <s v="ĐT835B, Phước Lý, Tây Ninh, Việt NamĐT835B"/>
    <s v="Hoc mon, Thới Tam Thôn 17, Đông Thạnh, Hồ Chí Minh, Việt NamHoc mon"/>
    <n v="1"/>
    <x v="0"/>
    <x v="4"/>
    <d v="1899-12-30T07:35:39"/>
    <x v="14"/>
  </r>
  <r>
    <s v="3539812096017658515"/>
    <s v=""/>
    <x v="0"/>
    <n v="0"/>
    <s v=""/>
    <s v="NULL"/>
    <x v="0"/>
    <s v="2026-07-15 07:28:54"/>
    <s v="2026-07-15 07:38:55"/>
    <s v="NULL"/>
    <s v="NULL"/>
    <s v="2026-07-15 09:38:55"/>
    <s v=""/>
    <s v="106.6047527"/>
    <s v="10.5077325"/>
    <s v="106.690788"/>
    <s v="10.793931"/>
    <n v="151308"/>
    <n v="0"/>
    <n v="151308"/>
    <s v="Cash"/>
    <s v="Cần Đước High School, Khu 1B, Cần Đước, Tây Ninh, Việt NamCần Đước High School"/>
    <s v="Quận 1, Đường Trần Khắc Chân, Tân Định, Hồ Chí Minh, Việt NamQuận 1"/>
    <n v="1"/>
    <x v="0"/>
    <x v="4"/>
    <d v="1899-12-30T07:28:54"/>
    <x v="0"/>
  </r>
  <r>
    <s v="3539813597804982964"/>
    <s v=""/>
    <x v="0"/>
    <n v="0"/>
    <s v=""/>
    <s v="NULL"/>
    <x v="0"/>
    <s v="2026-07-15 07:31:43"/>
    <s v="2026-07-15 07:41:44"/>
    <s v="NULL"/>
    <s v="NULL"/>
    <s v="2026-07-15 09:41:44"/>
    <s v=""/>
    <s v="106.5109555"/>
    <s v="10.6319069"/>
    <s v="106.6746036"/>
    <s v="10.7504578"/>
    <n v="168912"/>
    <n v="0"/>
    <n v="168912"/>
    <s v="Cash"/>
    <s v="Khu công nghiệp Phúc Long, KCN Phúc Long, Quốc lộ 1A, KP9, Mỹ Yên, Tây Ninh, Việt NamKhu công nghiệp Phúc Long"/>
    <s v="Quận 5, Trần Tuấn Khải, An Đông, Hồ Chí Minh, Việt NamQuận 5"/>
    <n v="1"/>
    <x v="0"/>
    <x v="4"/>
    <d v="1899-12-30T07:31:43"/>
    <x v="0"/>
  </r>
  <r>
    <s v="3539818364371431759"/>
    <s v=""/>
    <x v="0"/>
    <n v="4522767"/>
    <s v=""/>
    <s v="Motorcycle"/>
    <x v="1"/>
    <s v="2026-07-15 07:37:39"/>
    <s v="2026-07-15 07:47:40"/>
    <s v="2026-07-15 07:38:26"/>
    <s v="NULL"/>
    <s v="2026-07-15 07:49:25"/>
    <s v=""/>
    <s v="106.5853853"/>
    <s v="10.6453917"/>
    <s v="106.730817218056"/>
    <s v="10.793521983679"/>
    <n v="173988"/>
    <n v="134881"/>
    <n v="39107"/>
    <s v="Cash"/>
    <s v="ĐT835B, Phước Lý, Tây Ninh, Việt NamĐT835B"/>
    <s v="Quận 2an Khánhhồ Chí Minhviệt NamQuận 2"/>
    <n v="1"/>
    <x v="0"/>
    <x v="4"/>
    <d v="1899-12-30T07:37:39"/>
    <x v="96"/>
  </r>
  <r>
    <s v="3539818364371431862"/>
    <s v=""/>
    <x v="0"/>
    <n v="3089644"/>
    <s v=""/>
    <s v="Motorcycle"/>
    <x v="2"/>
    <s v="2026-07-15 07:38:09"/>
    <s v="2026-07-15 07:48:10"/>
    <s v="2026-07-15 08:02:42"/>
    <s v="NULL"/>
    <s v=""/>
    <s v=""/>
    <s v="106.5853853"/>
    <s v="10.6453917"/>
    <s v="106.6745776"/>
    <s v="10.865126"/>
    <n v="189432"/>
    <n v="146854"/>
    <n v="42578"/>
    <s v="Cash"/>
    <s v="ĐT835B, Phước Lý, Tây Ninh, Việt NamĐT835B"/>
    <s v="Quận 12, Thới An, Hồ Chí Minh, Việt NamQuận 12"/>
    <n v="1"/>
    <x v="0"/>
    <x v="4"/>
    <d v="1899-12-30T07:38:09"/>
    <x v="14"/>
  </r>
  <r>
    <s v="3539818364371431915"/>
    <s v=""/>
    <x v="0"/>
    <n v="2417027"/>
    <s v=""/>
    <s v="Motorcycle"/>
    <x v="1"/>
    <s v="2026-07-15 07:38:29"/>
    <s v="2026-07-15 07:48:30"/>
    <s v="2026-07-15 16:48:15"/>
    <s v="2026-07-15 16:57:43"/>
    <s v="2026-07-15 17:31:30"/>
    <s v=""/>
    <s v="106.5853853"/>
    <s v="10.6453917"/>
    <s v="106.6745776"/>
    <s v="10.865126"/>
    <n v="178632"/>
    <n v="138481"/>
    <n v="40151"/>
    <s v="Cash"/>
    <s v="ĐT835B, Phước Lý, Tây Ninh, Việt NamĐT835B"/>
    <s v="Quận 12, Thới An, Hồ Chí Minh, Việt NamQuận 12"/>
    <n v="1"/>
    <x v="0"/>
    <x v="4"/>
    <d v="1899-12-30T07:38:29"/>
    <x v="97"/>
  </r>
  <r>
    <s v="3540486933325239342"/>
    <s v="uyên phương"/>
    <x v="3"/>
    <n v="0"/>
    <s v=""/>
    <s v="NULL"/>
    <x v="0"/>
    <s v="2026-07-16 06:52:22"/>
    <s v="2026-07-16 08:23:00"/>
    <s v="NULL"/>
    <s v="NULL"/>
    <s v="2026-07-16 10:23:00"/>
    <s v=""/>
    <s v="106.4922768"/>
    <s v="10.6041638"/>
    <s v="106.6594396"/>
    <s v="10.9804599"/>
    <n v="336960"/>
    <n v="0"/>
    <n v="336960"/>
    <s v="Cash"/>
    <s v="CÔNG TY TNHH SAN LEN C VIỆT NAM, Đường số 13, KCN Thuận Đạo mở rộng, Long Cang, Tây Ninh, Việt NamCÔNG TY TNHH SAN LEN C VIỆT NAM"/>
    <s v="Công ty TNHH MTV Nhựa Ngọc Thắng, Đường Chùa Hội Khánh, Phường, Thủ Dầu Một, Hồ Chí Minh, Việt NamCông ty TNHH MTV Nhựa Ngọc Thắng"/>
    <n v="1"/>
    <x v="0"/>
    <x v="5"/>
    <d v="1899-12-30T06:52:22"/>
    <x v="98"/>
  </r>
  <r>
    <s v="3540488675580404104"/>
    <s v="uyên phương"/>
    <x v="3"/>
    <n v="0"/>
    <s v=""/>
    <s v="NULL"/>
    <x v="0"/>
    <s v="2026-07-16 06:46:53"/>
    <s v="2026-07-16 08:17:00"/>
    <s v="NULL"/>
    <s v="NULL"/>
    <s v="2026-07-16 10:17:00"/>
    <s v=""/>
    <s v="106.5004737"/>
    <s v="10.6023939"/>
    <s v="106.5998907"/>
    <s v="11.1261863"/>
    <n v="299700"/>
    <n v="0"/>
    <n v="299700"/>
    <s v="Cash"/>
    <s v="Công ty Cổ Phần CNG Việt Nam - Trạm Cấp Khí Trung Tâm KCN Thuận Đạo - Long An, Thang, Long Cang, Tây Ninh, Việt NamCông ty Cổ Phần CNG Việt Nam - Trạm Cấp Khí Trung Tâm KCN Thuận Đạo - Long An"/>
    <s v="Diamond Viet Nam Co.,Ltd, Đường N6, Bến Cát, Hồ Chí Minh, Việt NamDiamond Viet Nam Co.,Ltd"/>
    <n v="1"/>
    <x v="0"/>
    <x v="5"/>
    <d v="1899-12-30T06:46:53"/>
    <x v="99"/>
  </r>
  <r>
    <s v="3540491486544229380"/>
    <s v="uyên phương"/>
    <x v="3"/>
    <n v="916713"/>
    <s v=""/>
    <s v="Motorcycle"/>
    <x v="1"/>
    <s v="2026-07-16 06:45:26"/>
    <s v="2026-07-16 09:16:00"/>
    <s v="2026-07-16 13:15:59"/>
    <s v="NULL"/>
    <s v="2026-07-16 13:27:57"/>
    <s v=""/>
    <s v="106.5004737"/>
    <s v="10.6023939"/>
    <s v="106.547103"/>
    <s v="11.1133992"/>
    <n v="323244"/>
    <n v="250589"/>
    <n v="72655"/>
    <s v="Cash"/>
    <s v="Công ty Cổ Phần CNG Việt Nam - Trạm Cấp Khí Trung Tâm KCN Thuận Đạo - Long An, Thang, Long Cang, Tây Ninh, Việt NamCông ty Cổ Phần CNG Việt Nam - Trạm Cấp Khí Trung Tâm KCN Thuận Đạo - Long An"/>
    <s v="Công ty TNHH Chinh Long Bến Cát, Tây Nam, Hồ Chí Minh, Việt NamCông ty TNHH Chinh Long Bến Cát"/>
    <n v="1"/>
    <x v="0"/>
    <x v="5"/>
    <d v="1899-12-30T06:45:26"/>
    <x v="100"/>
  </r>
  <r>
    <s v="3540491486561001839"/>
    <s v="uyên phương"/>
    <x v="3"/>
    <n v="4729280"/>
    <s v=""/>
    <s v="Motorcycle"/>
    <x v="1"/>
    <s v="2026-07-16 06:49:28"/>
    <s v="2026-07-16 09:20:00"/>
    <s v="2026-07-16 08:18:10"/>
    <s v="NULL"/>
    <s v="2026-07-16 08:21:54"/>
    <s v=""/>
    <s v="106.4951467"/>
    <s v="10.6033893"/>
    <s v="106.7818405"/>
    <s v="11.0982515"/>
    <n v="440964"/>
    <n v="341849"/>
    <n v="99115"/>
    <s v="Cash"/>
    <s v="CÔNG TY TNHH MTV PARAMOUNT BRIGHT HOLDING LIMITED (PARK BRIGHT HOLDING LIMITED), Long Cang, Long An Province Việt NamCÔNG TY TNHH MTV PARAMOUNT BRIGHT HOLDING LIMITED (PARK BRIGHT HOLDING LIMITED)"/>
    <s v="Công ty TNHH XinHui, Tân Uyên, Hồ Chí Minh, Việt NamCông ty TNHH XinHui"/>
    <n v="1"/>
    <x v="0"/>
    <x v="5"/>
    <d v="1899-12-30T06:49:28"/>
    <x v="101"/>
  </r>
  <r>
    <s v="3540491486561002141"/>
    <s v="uyên phương"/>
    <x v="3"/>
    <n v="0"/>
    <s v=""/>
    <s v="NULL"/>
    <x v="0"/>
    <s v="2026-07-16 06:52:58"/>
    <s v="2026-07-16 08:23:00"/>
    <s v="NULL"/>
    <s v="NULL"/>
    <s v="2026-07-16 10:23:00"/>
    <s v=""/>
    <s v="106.4922768"/>
    <s v="10.6041638"/>
    <s v="106.6594396"/>
    <s v="10.9804599"/>
    <n v="326160"/>
    <n v="0"/>
    <n v="326160"/>
    <s v="Cash"/>
    <s v="CÔNG TY TNHH SAN LEN C VIỆT NAM, Đường số 13, KCN Thuận Đạo mở rộng, Long Cang, Tây Ninh, Việt NamCÔNG TY TNHH SAN LEN C VIỆT NAM"/>
    <s v="Công ty TNHH MTV Nhựa Ngọc Thắng, Đường Chùa Hội Khánh, Phường, Thủ Dầu Một, Hồ Chí Minh, Việt NamCông ty TNHH MTV Nhựa Ngọc Thắng"/>
    <n v="1"/>
    <x v="0"/>
    <x v="5"/>
    <d v="1899-12-30T06:52:58"/>
    <x v="102"/>
  </r>
  <r>
    <s v="3540491486561002365"/>
    <s v="uyên phương"/>
    <x v="3"/>
    <n v="3185359"/>
    <s v=""/>
    <s v="Motorcycle"/>
    <x v="2"/>
    <s v="2026-07-16 06:55:35"/>
    <s v="2026-07-16 09:26:00"/>
    <s v="2026-07-16 10:55:21"/>
    <s v="NULL"/>
    <s v=""/>
    <s v=""/>
    <s v="106.4946141"/>
    <s v="10.6118874"/>
    <s v="106.7238529"/>
    <s v="10.965328"/>
    <n v="339012"/>
    <n v="262813"/>
    <n v="76199"/>
    <s v="Cash"/>
    <s v="Chi nhánh Long An - Công ty TNHH Nutreco International Việt Nam (Nutreco Long An), H, Đường Số 1, Long Cang, Tây Ninh, Việt NamChi nhánh Long An - Công ty TNHH Nutreco International Việt Nam (Nutreco Long An)"/>
    <s v="Công Ty Bách Thuận 佰順噴漆廠, Unnamed, Road, Thuận Giao, Hồ Chí Minh, Việt NamCông Ty Bách Thuận 佰順噴漆廠"/>
    <n v="1"/>
    <x v="0"/>
    <x v="5"/>
    <d v="1899-12-30T06:55:35"/>
    <x v="14"/>
  </r>
  <r>
    <s v="3540503167873806443"/>
    <s v="uyên phương"/>
    <x v="3"/>
    <n v="3227083"/>
    <s v=""/>
    <s v="Motorcycle"/>
    <x v="1"/>
    <s v="2026-07-16 06:46:23"/>
    <s v="2026-07-16 09:17:00"/>
    <s v="2026-07-16 09:33:23"/>
    <s v="NULL"/>
    <s v="2026-07-16 10:42:26"/>
    <s v=""/>
    <s v="106.5004737"/>
    <s v="10.6023939"/>
    <s v="106.5998907"/>
    <s v="11.1261863"/>
    <n v="299700"/>
    <n v="246004"/>
    <n v="53696"/>
    <s v="Cash"/>
    <s v="Công ty Cổ Phần CNG Việt Nam - Trạm Cấp Khí Trung Tâm KCN Thuận Đạo - Long An, Thang, Long Cang, Tây Ninh, Việt NamCông ty Cổ Phần CNG Việt Nam - Trạm Cấp Khí Trung Tâm KCN Thuận Đạo - Long An"/>
    <s v="Diamond Viet Nam Co.,Ltd, Đường N6, Bến Cát, Hồ Chí Minh, Việt NamDiamond Viet Nam Co.,Ltd"/>
    <n v="1"/>
    <x v="0"/>
    <x v="5"/>
    <d v="1899-12-30T06:46:23"/>
    <x v="103"/>
  </r>
  <r>
    <s v="3540503167873806934"/>
    <s v="uyên phương"/>
    <x v="3"/>
    <n v="0"/>
    <s v=""/>
    <s v="NULL"/>
    <x v="0"/>
    <s v="2026-07-16 06:51:39"/>
    <s v="2026-07-16 08:22:00"/>
    <s v="NULL"/>
    <s v="NULL"/>
    <s v="2026-07-16 10:22:00"/>
    <s v=""/>
    <s v="106.4922768"/>
    <s v="10.6041638"/>
    <s v="106.6594396"/>
    <s v="10.9804599"/>
    <n v="336960"/>
    <n v="0"/>
    <n v="336960"/>
    <s v="Cash"/>
    <s v="CÔNG TY TNHH SAN LEN C VIỆT NAM, Đường số 13, KCN Thuận Đạo mở rộng, Long Cang, Tây Ninh, Việt NamCÔNG TY TNHH SAN LEN C VIỆT NAM"/>
    <s v="Công ty TNHH MTV Nhựa Ngọc Thắng, Đường Chùa Hội Khánh, Phường, Thủ Dầu Một, Hồ Chí Minh, Việt NamCông ty TNHH MTV Nhựa Ngọc Thắng"/>
    <n v="1"/>
    <x v="0"/>
    <x v="5"/>
    <d v="1899-12-30T06:51:39"/>
    <x v="104"/>
  </r>
  <r>
    <s v="3540503167890579515"/>
    <s v="uyên phương"/>
    <x v="3"/>
    <n v="0"/>
    <s v=""/>
    <s v="NULL"/>
    <x v="0"/>
    <s v="2026-07-16 06:57:12"/>
    <s v="2026-07-16 08:28:00"/>
    <s v="NULL"/>
    <s v="NULL"/>
    <s v="2026-07-16 10:28:00"/>
    <s v=""/>
    <s v="106.4950919"/>
    <s v="10.6128057"/>
    <s v="106.7464376"/>
    <s v="10.8958555"/>
    <n v="218916"/>
    <n v="0"/>
    <n v="218916"/>
    <s v="Cash"/>
    <s v="CÔNG TY TNHH ĐẠI THẾ GIỚI LONG AN, Long Cang, Tây Ninh, Việt NamCÔNG TY TNHH ĐẠI THẾ GIỚI LONG AN"/>
    <s v="Công Ty TNHH Eins Vina Co., Ltd, Thống Nhất, Quận, Dĩ An, Hồ Chí Minh, Việt NamCông Ty TNHH Eins Vina Co., Ltd"/>
    <n v="1"/>
    <x v="0"/>
    <x v="5"/>
    <d v="1899-12-30T06:57:12"/>
    <x v="105"/>
  </r>
  <r>
    <s v="3540503167890579830"/>
    <s v="uyên phương"/>
    <x v="3"/>
    <n v="0"/>
    <s v=""/>
    <s v="NULL"/>
    <x v="0"/>
    <s v="2026-07-16 07:00:22"/>
    <s v="2026-07-16 08:31:00"/>
    <s v="NULL"/>
    <s v="NULL"/>
    <s v="2026-07-16 10:31:01"/>
    <s v=""/>
    <s v="106.4914421"/>
    <s v="10.6249528"/>
    <s v="106.88914826986695"/>
    <s v="10.937880561196147"/>
    <n v="363744"/>
    <n v="0"/>
    <n v="363744"/>
    <s v="Cash"/>
    <s v="Cty giày chingluh việt nam, Nguyễn Trung Trực, Bến Lức, Tây Ninh, Việt NamCty giày chingluh việt nam"/>
    <s v="118/4 Khu Công Nghiệp Amata, Long Bình, Đồng Nai 70000, Việt Nam118/4 Khu Công Nghiệp Amata, Long Bình, Đồng Nai 70000, Việt Nam"/>
    <n v="1"/>
    <x v="0"/>
    <x v="5"/>
    <d v="1899-12-30T07:00:22"/>
    <x v="106"/>
  </r>
  <r>
    <s v="3540507203993826203"/>
    <s v="uyên phương"/>
    <x v="3"/>
    <n v="2962489"/>
    <s v=""/>
    <s v="Motorcycle"/>
    <x v="2"/>
    <s v="2026-07-16 06:49:09"/>
    <s v="2026-07-16 09:19:00"/>
    <s v="2026-07-16 10:16:13"/>
    <s v="2026-07-16 10:26:47"/>
    <s v=""/>
    <s v=""/>
    <s v="106.4951467"/>
    <s v="10.6033893"/>
    <s v="106.7818405"/>
    <s v="11.0982515"/>
    <n v="318060"/>
    <n v="246570"/>
    <n v="71490"/>
    <s v="Cash"/>
    <s v="CÔNG TY TNHH MTV PARAMOUNT BRIGHT HOLDING LIMITED (PARK BRIGHT HOLDING LIMITED), Long Cang, Long An Province Việt NamCÔNG TY TNHH MTV PARAMOUNT BRIGHT HOLDING LIMITED (PARK BRIGHT HOLDING LIMITED)"/>
    <s v="Công ty TNHH XinHui, Tân Uyên, Hồ Chí Minh, Việt NamCông ty TNHH XinHui"/>
    <n v="1"/>
    <x v="0"/>
    <x v="5"/>
    <d v="1899-12-30T06:49:09"/>
    <x v="14"/>
  </r>
  <r>
    <s v="3540507204010598532"/>
    <s v="uyên phương"/>
    <x v="3"/>
    <n v="0"/>
    <s v=""/>
    <s v="NULL"/>
    <x v="0"/>
    <s v="2026-07-16 06:51:17"/>
    <s v="2026-07-16 09:22:00"/>
    <s v="NULL"/>
    <s v="NULL"/>
    <s v="2026-07-16 11:22:00"/>
    <s v=""/>
    <s v="106.4922768"/>
    <s v="10.6041638"/>
    <s v="106.6594396"/>
    <s v="10.9804599"/>
    <n v="243756"/>
    <n v="0"/>
    <n v="243756"/>
    <s v="Cash"/>
    <s v="CÔNG TY TNHH SAN LEN C VIỆT NAM, Đường số 13, KCN Thuận Đạo mở rộng, Long Cang, Tây Ninh, Việt NamCÔNG TY TNHH SAN LEN C VIỆT NAM"/>
    <s v="Công ty TNHH MTV Nhựa Ngọc Thắng, Đường Chùa Hội Khánh, Phường, Thủ Dầu Một, Hồ Chí Minh, Việt NamCông ty TNHH MTV Nhựa Ngọc Thắng"/>
    <n v="1"/>
    <x v="0"/>
    <x v="5"/>
    <d v="1899-12-30T06:51:17"/>
    <x v="107"/>
  </r>
  <r>
    <s v="3540507204010599166"/>
    <s v="uyên phương"/>
    <x v="3"/>
    <n v="3849371"/>
    <s v=""/>
    <s v="Motorcycle"/>
    <x v="1"/>
    <s v="2026-07-16 06:58:06"/>
    <s v="2026-07-16 09:28:00"/>
    <s v="2026-07-16 10:52:41"/>
    <s v="NULL"/>
    <s v="2026-07-16 11:17:56"/>
    <s v=""/>
    <s v="106.4950919"/>
    <s v="10.6128057"/>
    <s v="106.7585602"/>
    <s v="10.9003816"/>
    <n v="213732"/>
    <n v="165692"/>
    <n v="48040"/>
    <s v="Cash"/>
    <s v="CÔNG TY TNHH ĐẠI THẾ GIỚI LONG AN, Long Cang, Tây Ninh, Việt NamCÔNG TY TNHH ĐẠI THẾ GIỚI LONG AN"/>
    <s v="Công ty May Esprinta VN - KCN SÓNG THẦN 2, Đường số 12 2, Khu Công Nghiệp Sóng Thần, Dĩ An, Hồ Chí Minh, Việt NamCông ty May Esprinta VN - KCN SÓNG THẦN 2"/>
    <n v="1"/>
    <x v="0"/>
    <x v="5"/>
    <d v="1899-12-30T06:58:06"/>
    <x v="108"/>
  </r>
  <r>
    <s v="3540510486254809563"/>
    <s v="uyên phương"/>
    <x v="3"/>
    <n v="4020532"/>
    <s v=""/>
    <s v="Motorcycle"/>
    <x v="1"/>
    <s v="2026-07-16 07:07:34"/>
    <s v="2026-07-16 09:38:00"/>
    <s v="2026-07-16 09:11:59"/>
    <s v="NULL"/>
    <s v="2026-07-16 10:44:30"/>
    <s v=""/>
    <s v="106.4971215"/>
    <s v="10.6226478"/>
    <s v="106.5909085"/>
    <s v="10.8728107"/>
    <n v="182844"/>
    <n v="141746"/>
    <n v="41098"/>
    <s v="Cash"/>
    <s v="CÔNG TY TNHH MTV HÒA THÀNH LONG AN, Đường Phan Văn Mãng, Khu Phố 9, Bến Lức, Tây Ninh, Việt NamCÔNG TY TNHH MTV HÒA THÀNH LONG AN"/>
    <s v="BMFE CORP-Công Ty Cổ Phần BMFE, Xuân Thới 14, Xuân Thới Sơn, Hồ Chí Minh, Việt NamBMFE CORP-Công Ty Cổ Phần BMFE"/>
    <n v="1"/>
    <x v="0"/>
    <x v="5"/>
    <d v="1899-12-30T07:07:34"/>
    <x v="109"/>
  </r>
  <r>
    <s v="3540516693740843266"/>
    <s v="uyên phương"/>
    <x v="3"/>
    <n v="0"/>
    <s v=""/>
    <s v="NULL"/>
    <x v="0"/>
    <s v="2026-07-16 06:54:25"/>
    <s v="2026-07-16 08:25:00"/>
    <s v="NULL"/>
    <s v="NULL"/>
    <s v="2026-07-16 10:25:00"/>
    <s v=""/>
    <s v="106.4946141"/>
    <s v="10.6118874"/>
    <s v="106.7093672"/>
    <s v="10.9399942"/>
    <n v="240516"/>
    <n v="0"/>
    <n v="240516"/>
    <s v="Cash"/>
    <s v="Chi nhánh Long An - Công ty TNHH Nutreco International Việt Nam (Nutreco Long An), H, Đường Số 1, Long Cang, Tây Ninh, Việt NamChi nhánh Long An - Công ty TNHH Nutreco International Việt Nam (Nutreco Long An)"/>
    <s v="Công Ty Cổ Phần Chế Biến Gỗ Thuận An, Đại lộ Bình Dương, Thuận Giao, Hồ Chí Minh, Việt NamCông Ty Cổ Phần Chế Biến Gỗ Thuận An"/>
    <n v="1"/>
    <x v="0"/>
    <x v="5"/>
    <d v="1899-12-30T06:54:25"/>
    <x v="110"/>
  </r>
  <r>
    <s v="3540516693740843332"/>
    <s v="uyên phương"/>
    <x v="3"/>
    <n v="3370641"/>
    <s v=""/>
    <s v="Motorcycle"/>
    <x v="2"/>
    <s v="2026-07-16 06:55:17"/>
    <s v="2026-07-16 09:26:00"/>
    <s v="2026-07-16 11:47:41"/>
    <s v="NULL"/>
    <s v=""/>
    <s v=""/>
    <s v="106.4946141"/>
    <s v="10.6118874"/>
    <s v="106.7238529"/>
    <s v="10.965328"/>
    <n v="242136"/>
    <n v="187711"/>
    <n v="54425"/>
    <s v="Cash"/>
    <s v="Chi nhánh Long An - Công ty TNHH Nutreco International Việt Nam (Nutreco Long An), H, Đường Số 1, Long Cang, Tây Ninh, Việt NamChi nhánh Long An - Công ty TNHH Nutreco International Việt Nam (Nutreco Long An)"/>
    <s v="Công Ty Bách Thuận 佰順噴漆廠, Unnamed, Road, Thuận Giao, Hồ Chí Minh, Việt NamCông Ty Bách Thuận 佰順噴漆廠"/>
    <n v="1"/>
    <x v="0"/>
    <x v="5"/>
    <d v="1899-12-30T06:55:17"/>
    <x v="14"/>
  </r>
  <r>
    <s v="3540516693766004861"/>
    <s v="uyên phương"/>
    <x v="3"/>
    <n v="0"/>
    <s v=""/>
    <s v="NULL"/>
    <x v="0"/>
    <s v="2026-07-16 07:03:52"/>
    <s v="2026-07-16 09:01:00"/>
    <s v="NULL"/>
    <s v="NULL"/>
    <s v="2026-07-16 11:01:01"/>
    <s v=""/>
    <s v="106.493598"/>
    <s v="10.631643"/>
    <s v="106.9219537"/>
    <s v="10.8153073"/>
    <n v="275292"/>
    <n v="0"/>
    <n v="275292"/>
    <s v="Cash"/>
    <s v="Công Ty Liên Doanh Phát Triển Đầu Tư KCN Thuận Đạo, Bến Lức, Tây Ninh, Việt NamCông Ty Liên Doanh Phát Triển Đầu Tư KCN Thuận Đạo"/>
    <s v="Công Ty TNHH SX - TM Thiên Long Long Thành, Đường số 7, An Phước, Đồng Nai, Việt NamCông Ty TNHH SX - TM Thiên Long Long Thành"/>
    <n v="1"/>
    <x v="0"/>
    <x v="5"/>
    <d v="1899-12-30T07:03:52"/>
    <x v="111"/>
  </r>
  <r>
    <s v="3540517716857409541"/>
    <s v="uyên phương"/>
    <x v="3"/>
    <n v="0"/>
    <s v=""/>
    <s v="NULL"/>
    <x v="0"/>
    <s v="2026-07-16 06:54:43"/>
    <s v="2026-07-16 08:25:00"/>
    <s v="NULL"/>
    <s v="NULL"/>
    <s v="2026-07-17 11:29:18"/>
    <s v=""/>
    <s v="106.4946141"/>
    <s v="10.6118874"/>
    <s v="106.7093672"/>
    <s v="10.9399942"/>
    <n v="332424"/>
    <n v="0"/>
    <n v="332424"/>
    <s v="Cash"/>
    <s v="Chi nhánh Long An - Công ty TNHH Nutreco International Việt Nam (Nutreco Long An), H, Đường Số 1, Long Cang, Tây Ninh, Việt NamChi nhánh Long An - Công ty TNHH Nutreco International Việt Nam (Nutreco Long An)"/>
    <s v="Công Ty Cổ Phần Chế Biến Gỗ Thuận An, Đại lộ Bình Dương, Thuận Giao, Hồ Chí Minh, Việt NamCông Ty Cổ Phần Chế Biến Gỗ Thuận An"/>
    <n v="1"/>
    <x v="0"/>
    <x v="5"/>
    <d v="1899-12-30T06:54:43"/>
    <x v="112"/>
  </r>
  <r>
    <s v="3540517716890968294"/>
    <s v="uyên phương"/>
    <x v="3"/>
    <n v="4399383"/>
    <s v=""/>
    <s v="Motorcycle"/>
    <x v="2"/>
    <s v="2026-07-16 07:13:38"/>
    <s v="2026-07-16 09:32:00"/>
    <s v="2026-07-16 11:40:49"/>
    <s v="2026-07-16 11:42:22"/>
    <s v=""/>
    <s v=""/>
    <s v="106.5003853"/>
    <s v="10.632966"/>
    <s v="106.65495466535947"/>
    <s v="10.809603310418508"/>
    <n v="155628"/>
    <n v="120648"/>
    <n v="34980"/>
    <s v="Cash"/>
    <s v="Công Ty Tnhh Sản Xuất Giày Toàn Cầu Elite Việt Nam, Quốc lộ 1A, ấp 3, Bến Lức, Tây Ninh, Việt NamCông Ty Tnhh Sản Xuất Giày Toàn Cầu Elite Việt Nam"/>
    <s v="16a đường 18, Tân Sơn Nhất, Hồ Chí Minh, Việt Nam16a đường 18, Tân Sơn Nhất, Hồ Chí Minh, Việt Nam"/>
    <n v="1"/>
    <x v="0"/>
    <x v="5"/>
    <d v="1899-12-30T07:13:38"/>
    <x v="14"/>
  </r>
  <r>
    <s v="3540519004634574901"/>
    <s v="uyên phương"/>
    <x v="3"/>
    <n v="0"/>
    <s v=""/>
    <s v="NULL"/>
    <x v="0"/>
    <s v="2026-07-16 07:06:12"/>
    <s v="2026-07-16 08:36:00"/>
    <s v="NULL"/>
    <s v="NULL"/>
    <s v="2026-07-16 10:36:00"/>
    <s v=""/>
    <s v="106.4971215"/>
    <s v="10.6226478"/>
    <s v="106.5919873"/>
    <s v="10.8787181"/>
    <n v="143208"/>
    <n v="0"/>
    <n v="143208"/>
    <s v="Cash"/>
    <s v="CÔNG TY TNHH MTV HÒA THÀNH LONG AN, Đường Phan Văn Mãng, Khu Phố 9, Bến Lức, Tây Ninh, Việt NamCÔNG TY TNHH MTV HÒA THÀNH LONG AN"/>
    <s v="Công ty Cổ Phần Thương mại Hóc Môn (HOTRACO), Bà Triệu, Hóc Môn, Hồ Chí Minh, Việt NamCông ty Cổ Phần Thương mại Hóc Môn (HOTRACO)"/>
    <n v="1"/>
    <x v="0"/>
    <x v="5"/>
    <d v="1899-12-30T07:06:12"/>
    <x v="113"/>
  </r>
  <r>
    <s v="3540519004634575566"/>
    <s v="uyên phương"/>
    <x v="3"/>
    <n v="0"/>
    <s v=""/>
    <s v="NULL"/>
    <x v="0"/>
    <s v="2026-07-16 07:11:36"/>
    <s v="2026-07-16 08:23:00"/>
    <s v="NULL"/>
    <s v="NULL"/>
    <s v="2026-07-16 10:40:27"/>
    <s v=""/>
    <s v="106.5003853"/>
    <s v="10.632966"/>
    <s v="106.6419476"/>
    <s v="10.799048"/>
    <n v="113076"/>
    <n v="0"/>
    <n v="113076"/>
    <s v="Cash"/>
    <s v="Công Ty Tnhh Sản Xuất Giày Toàn Cầu Elite Việt Nam, Quốc lộ 1A, ấp 3, Bến Lức, Tây Ninh, Việt NamCông Ty Tnhh Sản Xuất Giày Toàn Cầu Elite Việt Nam"/>
    <s v="Tân Bình, Hồ Chí Minh, Việt NamTân Bình"/>
    <n v="1"/>
    <x v="0"/>
    <x v="5"/>
    <d v="1899-12-30T07:11:36"/>
    <x v="114"/>
  </r>
  <r>
    <s v="3540519004651348148"/>
    <s v="uyên phương"/>
    <x v="3"/>
    <n v="4565411"/>
    <s v=""/>
    <s v="Motorcycle"/>
    <x v="2"/>
    <s v="2026-07-16 07:14:55"/>
    <s v="2026-07-16 08:29:00"/>
    <s v="2026-07-16 10:11:35"/>
    <s v="NULL"/>
    <s v=""/>
    <s v=""/>
    <s v="106.4861436"/>
    <s v="10.6206926"/>
    <s v="106.5922566"/>
    <s v="10.7697428"/>
    <n v="103572"/>
    <n v="80292"/>
    <n v="23280"/>
    <s v="Cash"/>
    <s v="Công Ty Cổ Phần Bourbon Bến Lức, Nguyễn Trung Trực, Khu Phố 6, Bến Lức, Tây Ninh, Việt NamCông Ty Cổ Phần Bourbon Bến Lức"/>
    <s v="CÔNG TY TNHH SX HTD BÌNH TÂN, Hương lộ 2, Bình Trị Đông, Hồ Chí Minh, Việt NamCÔNG TY TNHH SX HTD BÌNH TÂN"/>
    <n v="1"/>
    <x v="0"/>
    <x v="5"/>
    <d v="1899-12-30T07:14:55"/>
    <x v="14"/>
  </r>
  <r>
    <s v="3540519317252821972"/>
    <s v="uyên phương"/>
    <x v="3"/>
    <n v="1339205"/>
    <s v=""/>
    <s v="Motorcycle"/>
    <x v="2"/>
    <s v="2026-07-16 07:20:11"/>
    <s v="2026-07-16 09:35:00"/>
    <s v="2026-07-16 11:27:32"/>
    <s v="NULL"/>
    <s v=""/>
    <s v=""/>
    <s v="106.4933144"/>
    <s v="10.6397674"/>
    <s v="106.7533776"/>
    <s v="10.8495118"/>
    <n v="256932"/>
    <n v="199182"/>
    <n v="57750"/>
    <s v="Cash"/>
    <s v="CN. CÔNG TY CPXD MINH LONG, Đường Số 2, Bến Lức, Tây Ninh, Việt NamCN. CÔNG TY CPXD MINH LONG"/>
    <s v="CÔNG TY TNHH TM-DV THỦ ĐỨC, Dương Văn Cam, P, Linh Xuân, Hồ Chí Minh, Việt NamCÔNG TY TNHH TM-DV THỦ ĐỨC"/>
    <n v="1"/>
    <x v="0"/>
    <x v="5"/>
    <d v="1899-12-30T07:20:11"/>
    <x v="14"/>
  </r>
  <r>
    <s v="3540522106565653357"/>
    <s v="uyên phương"/>
    <x v="3"/>
    <n v="3185359"/>
    <s v=""/>
    <s v="Motorcycle"/>
    <x v="2"/>
    <s v="2026-07-16 07:15:42"/>
    <s v="2026-07-16 08:34:00"/>
    <s v="2026-07-16 10:50:57"/>
    <s v="2026-07-16 10:56:11"/>
    <s v=""/>
    <s v=""/>
    <s v="106.4861436"/>
    <s v="10.6206926"/>
    <s v="106.590205"/>
    <s v="10.8092331"/>
    <n v="110808"/>
    <n v="85902"/>
    <n v="24906"/>
    <s v="Cash"/>
    <s v="Công Ty Cổ Phần Bourbon Bến Lức, Nguyễn Trung Trực, Khu Phố 6, Bến Lức, Tây Ninh, Việt NamCông Ty Cổ Phần Bourbon Bến Lức"/>
    <s v="Cty TNHH AN BÌNH VN, Đường 12A, Bình Tân, Hồ Chí Minh, Việt NamCty TNHH AN BÌNH VN"/>
    <n v="1"/>
    <x v="0"/>
    <x v="5"/>
    <d v="1899-12-30T07:15:42"/>
    <x v="14"/>
  </r>
  <r>
    <s v="3540522106582426419"/>
    <s v="uyên phương"/>
    <x v="3"/>
    <n v="0"/>
    <s v=""/>
    <s v="NULL"/>
    <x v="0"/>
    <s v="2026-07-16 07:22:35"/>
    <s v="2026-07-16 08:33:00"/>
    <s v="NULL"/>
    <s v="NULL"/>
    <s v="2026-07-16 10:33:00"/>
    <s v=""/>
    <s v="106.4933144"/>
    <s v="10.6397674"/>
    <s v="106.73360671543152"/>
    <s v="10.794185941590401"/>
    <n v="142452"/>
    <n v="0"/>
    <n v="142452"/>
    <s v="Cash"/>
    <s v="CN. CÔNG TY CPXD MINH LONG, Đường Số 2, Bến Lức, Tây Ninh, Việt NamCN. CÔNG TY CPXD MINH LONG"/>
    <s v="57 Đ. Số 8, Khu Phố 4, An Khánh, Hồ Chí Minh, Việt Nam57 Đ. Số 8, Khu Phố 4, An Khánh, Hồ Chí Minh, Việt Nam"/>
    <n v="1"/>
    <x v="0"/>
    <x v="5"/>
    <d v="1899-12-30T07:22:35"/>
    <x v="115"/>
  </r>
  <r>
    <s v="3540522106582426555"/>
    <s v="uyên phương"/>
    <x v="3"/>
    <n v="0"/>
    <s v=""/>
    <s v="NULL"/>
    <x v="0"/>
    <s v="2026-07-16 07:23:26"/>
    <s v="2026-07-16 08:54:00"/>
    <s v="NULL"/>
    <s v="NULL"/>
    <s v="2026-07-16 10:54:00"/>
    <s v=""/>
    <s v="106.4933144"/>
    <s v="10.6397674"/>
    <s v="106.70465963096616"/>
    <s v="10.813563991617887"/>
    <n v="149472"/>
    <n v="0"/>
    <n v="149472"/>
    <s v="Cash"/>
    <s v="CN. CÔNG TY CPXD MINH LONG, Đường Số 2, Bến Lức, Tây Ninh, Việt NamCN. CÔNG TY CPXD MINH LONG"/>
    <s v="79/H53 Đ. Nguyễn Xí, Bình Thạnh, Hồ Chí Minh, Việt Nam79/H53 Đ. Nguyễn Xí, Bình Thạnh, Hồ Chí Minh, Việt Nam"/>
    <n v="1"/>
    <x v="0"/>
    <x v="5"/>
    <d v="1899-12-30T07:23:26"/>
    <x v="116"/>
  </r>
  <r>
    <s v="3540524844011713124"/>
    <s v="uyên phương"/>
    <x v="3"/>
    <n v="0"/>
    <s v=""/>
    <s v="NULL"/>
    <x v="0"/>
    <s v="2026-07-16 07:17:42"/>
    <s v="2026-07-16 08:48:00"/>
    <s v="NULL"/>
    <s v="NULL"/>
    <s v="2026-07-16 10:48:00"/>
    <s v=""/>
    <s v="106.4861436"/>
    <s v="10.6206926"/>
    <s v="106.9405288"/>
    <s v="10.7198991"/>
    <n v="270108"/>
    <n v="0"/>
    <n v="270108"/>
    <s v="Cash"/>
    <s v="Công Ty Cổ Phần Bourbon Bến Lức, Nguyễn Trung Trực, Khu Phố 6, Bến Lức, Tây Ninh, Việt NamCông Ty Cổ Phần Bourbon Bến Lức"/>
    <s v="Công ty TNHH Palm Paper, Đường C-15, KCN Nhơn Trạch, Nhơn Trạch, Đồng Nai, Việt NamCông ty TNHH Palm Paper"/>
    <n v="1"/>
    <x v="0"/>
    <x v="5"/>
    <d v="1899-12-30T07:17:42"/>
    <x v="117"/>
  </r>
  <r>
    <s v="3540529294822564445"/>
    <s v="uyên phương"/>
    <x v="3"/>
    <n v="2406273"/>
    <s v=""/>
    <s v="Motorcycle"/>
    <x v="2"/>
    <s v="2026-07-16 07:16:01"/>
    <s v="2026-07-16 09:30:00"/>
    <s v="2026-07-16 12:03:53"/>
    <s v="2026-07-16 12:12:34"/>
    <s v=""/>
    <s v=""/>
    <s v="106.4861436"/>
    <s v="10.6206926"/>
    <s v="106.590205"/>
    <s v="10.8092331"/>
    <n v="155088"/>
    <n v="120229"/>
    <n v="34859"/>
    <s v="Cash"/>
    <s v="Công Ty Cổ Phần Bourbon Bến Lức, Nguyễn Trung Trực, Khu Phố 6, Bến Lức, Tây Ninh, Việt NamCông Ty Cổ Phần Bourbon Bến Lức"/>
    <s v="Cty TNHH AN BÌNH VN, Đường 12A, Bình Tân, Hồ Chí Minh, Việt NamCty TNHH AN BÌNH VN"/>
    <n v="1"/>
    <x v="0"/>
    <x v="5"/>
    <d v="1899-12-30T07:16:01"/>
    <x v="14"/>
  </r>
  <r>
    <s v="3540529294847725720"/>
    <s v="uyên phương"/>
    <x v="3"/>
    <n v="647565"/>
    <s v=""/>
    <s v="Motorcycle"/>
    <x v="2"/>
    <s v="2026-07-16 07:20:33"/>
    <s v="2026-07-16 08:51:00"/>
    <s v="2026-07-16 09:37:43"/>
    <s v="2026-07-16 09:46:52"/>
    <s v=""/>
    <s v=""/>
    <s v="106.4933144"/>
    <s v="10.6397674"/>
    <s v="106.75296990422972"/>
    <s v="10.85112396547801"/>
    <n v="175824"/>
    <n v="136304"/>
    <n v="39520"/>
    <s v="Cash"/>
    <s v="CN. CÔNG TY CPXD MINH LONG, Đường Số 2, Bến Lức, Tây Ninh, Việt NamCN. CÔNG TY CPXD MINH LONG"/>
    <s v="23/7 Đặng Thị Rành, Linh Xuân, Hồ Chí Minh, Việt Nam23/7 Đặng Thị Rành, Linh Xuân, Hồ Chí Minh, Việt Nam"/>
    <n v="1"/>
    <x v="0"/>
    <x v="5"/>
    <d v="1899-12-30T07:20:33"/>
    <x v="14"/>
  </r>
  <r>
    <s v="3540533194099225113"/>
    <s v="uyên phương"/>
    <x v="3"/>
    <n v="4177117"/>
    <s v=""/>
    <s v="Motorcycle"/>
    <x v="1"/>
    <s v="2026-07-16 07:21:59"/>
    <s v="2026-07-16 08:31:00"/>
    <s v="2026-07-16 10:28:38"/>
    <s v="2026-07-16 10:38:00"/>
    <s v="2026-07-16 11:36:33"/>
    <s v=""/>
    <s v="106.4933144"/>
    <s v="10.6397674"/>
    <s v="106.7856918452606"/>
    <s v="10.848735209866073"/>
    <n v="190512"/>
    <n v="147691"/>
    <n v="42821"/>
    <s v="Cash"/>
    <s v="CN. CÔNG TY CPXD MINH LONG, Đường Số 2, Bến Lức, Tây Ninh, Việt NamCN. CÔNG TY CPXD MINH LONG"/>
    <s v="99 Man Thiện, Tăng Nhơn Phú, Hồ Chí Minh, Việt Nam99 Man Thiện, Tăng Nhơn Phú, Hồ Chí Minh, Việt Nam"/>
    <n v="1"/>
    <x v="0"/>
    <x v="5"/>
    <d v="1899-12-30T07:21:59"/>
    <x v="118"/>
  </r>
  <r>
    <s v="3540533194115998215"/>
    <s v="uyên phương"/>
    <x v="3"/>
    <n v="0"/>
    <s v=""/>
    <s v="NULL"/>
    <x v="0"/>
    <s v="2026-07-16 07:28:06"/>
    <s v="2026-07-16 07:38:06"/>
    <s v="NULL"/>
    <s v="NULL"/>
    <s v="2026-07-16 09:38:06"/>
    <s v=""/>
    <s v="106.5108578"/>
    <s v="10.6229679"/>
    <s v="106.7724256"/>
    <s v="10.9983167"/>
    <n v="260064"/>
    <n v="0"/>
    <n v="260064"/>
    <s v="Cash"/>
    <s v="Công ty TNHH EUROPEAN SNACK FOOD (VIỆT NAM), Đường Số 6, KCN, Mỹ Yên, Tây Ninh, Việt NamCông ty TNHH EUROPEAN SNACK FOOD (VIỆT NAM)"/>
    <s v="A New Day Glamping Tân Uyên, Đường Thạnh Phước 26, Phường, Tân Khánh, Hồ Chí Minh, Việt NamA New Day Glamping Tân Uyên"/>
    <n v="1"/>
    <x v="0"/>
    <x v="5"/>
    <d v="1899-12-30T07:28:06"/>
    <x v="4"/>
  </r>
  <r>
    <s v="3540533194115998596"/>
    <s v="uyên phương"/>
    <x v="3"/>
    <n v="0"/>
    <s v=""/>
    <s v="NULL"/>
    <x v="0"/>
    <s v="2026-07-16 07:30:30"/>
    <s v="2026-07-16 07:40:30"/>
    <s v="NULL"/>
    <s v="NULL"/>
    <s v="2026-07-16 09:40:30"/>
    <s v=""/>
    <s v="106.5144144"/>
    <s v="10.6231774"/>
    <s v="106.6798923"/>
    <s v="11.0139846"/>
    <n v="322704"/>
    <n v="0"/>
    <n v="322704"/>
    <s v="Cash"/>
    <s v="CÔNG TY TNHH SẢN XUẤT NGŨ KIM HUNG HING HONG KONG (VIỆT NAM), Mỹ Yên, Tây Ninh, Việt NamCÔNG TY TNHH SẢN XUẤT NGŨ KIM HUNG HING HONG KONG (VIỆT NAM)"/>
    <s v="Thủ dầu một, Đường ĐX-025, Bình Dương, Hồ Chí Minh, Việt NamThủ dầu một"/>
    <n v="1"/>
    <x v="0"/>
    <x v="5"/>
    <d v="1899-12-30T07:30:30"/>
    <x v="4"/>
  </r>
  <r>
    <s v="3540533661403410555"/>
    <s v="uyên phương"/>
    <x v="3"/>
    <n v="0"/>
    <s v=""/>
    <s v="NULL"/>
    <x v="0"/>
    <s v="2026-07-16 07:26:37"/>
    <s v="2026-07-16 07:36:37"/>
    <s v="NULL"/>
    <s v="NULL"/>
    <s v="2026-07-16 09:36:37"/>
    <s v=""/>
    <s v="106.5108578"/>
    <s v="10.6229679"/>
    <s v="106.547103"/>
    <s v="11.1133992"/>
    <n v="308448"/>
    <n v="0"/>
    <n v="308448"/>
    <s v="Cash"/>
    <s v="Công ty TNHH EUROPEAN SNACK FOOD (VIỆT NAM), Đường Số 6, KCN, Mỹ Yên, Tây Ninh, Việt NamCông ty TNHH EUROPEAN SNACK FOOD (VIỆT NAM)"/>
    <s v="Công ty TNHH Chinh Long Bến Cát, Tây Nam, Hồ Chí Minh, Việt NamCông ty TNHH Chinh Long Bến Cát"/>
    <n v="1"/>
    <x v="0"/>
    <x v="5"/>
    <d v="1899-12-30T07:26:37"/>
    <x v="4"/>
  </r>
  <r>
    <s v="3540533661420184433"/>
    <s v="uyên phương"/>
    <x v="3"/>
    <n v="0"/>
    <s v=""/>
    <s v="NULL"/>
    <x v="0"/>
    <s v="2026-07-16 07:36:52"/>
    <s v="2026-07-16 07:46:52"/>
    <s v="NULL"/>
    <s v="NULL"/>
    <s v="2026-07-16 09:46:52"/>
    <s v=""/>
    <s v="106.5141744"/>
    <s v="10.6325718"/>
    <s v="106.61220669895019"/>
    <s v="10.72219655850343"/>
    <n v="84024"/>
    <n v="0"/>
    <n v="84024"/>
    <s v="Cash"/>
    <s v="Công ty TNHH Bao Bì Xuất Khẩu và Thương Mại Vạn Thành, Quốc lộ 1A, Mỹ Yên, Tây Ninh, Việt NamCông ty TNHH Bao Bì Xuất Khẩu và Thương Mại Vạn Thành"/>
    <s v="61a Võ Văn Kiệt, An Lạc, Hồ Chí Minh, Việt Nam61a Võ Văn Kiệt, An Lạc, Hồ Chí Minh, Việt Nam"/>
    <n v="1"/>
    <x v="0"/>
    <x v="5"/>
    <d v="1899-12-30T07:36:52"/>
    <x v="4"/>
  </r>
  <r>
    <s v="3540534477774344752"/>
    <s v="uyên phương"/>
    <x v="3"/>
    <n v="0"/>
    <s v=""/>
    <s v="NULL"/>
    <x v="0"/>
    <s v="2026-07-16 07:23:46"/>
    <s v="2026-07-16 08:43:00"/>
    <s v="NULL"/>
    <s v="NULL"/>
    <s v="2026-07-16 10:43:00"/>
    <s v=""/>
    <s v="106.4933144"/>
    <s v="10.6397674"/>
    <s v="106.70173758728026"/>
    <s v="10.815584042765186"/>
    <n v="200232"/>
    <n v="0"/>
    <n v="200232"/>
    <s v="Cash"/>
    <s v="CN. CÔNG TY CPXD MINH LONG, Đường Số 2, Bến Lức, Tây Ninh, Việt NamCN. CÔNG TY CPXD MINH LONG"/>
    <s v="2a Phan Chu Trinh, Bình Thạnh, Hồ Chí Minh, Việt Nam2a Phan Chu Trinh, Bình Thạnh, Hồ Chí Minh, Việt Nam"/>
    <n v="1"/>
    <x v="0"/>
    <x v="5"/>
    <d v="1899-12-30T07:23:46"/>
    <x v="119"/>
  </r>
  <r>
    <s v="3540534611924967715"/>
    <s v="uyên phương"/>
    <x v="3"/>
    <n v="0"/>
    <s v=""/>
    <s v="NULL"/>
    <x v="0"/>
    <s v="2026-07-16 07:28:54"/>
    <s v="2026-07-16 07:38:53"/>
    <s v="NULL"/>
    <s v="NULL"/>
    <s v="2026-07-16 09:38:53"/>
    <s v=""/>
    <s v="106.5108578"/>
    <s v="10.6229679"/>
    <s v="106.7238529"/>
    <s v="10.965328"/>
    <n v="238896"/>
    <n v="0"/>
    <n v="238896"/>
    <s v="Cash"/>
    <s v="Công ty TNHH EUROPEAN SNACK FOOD (VIỆT NAM), Đường Số 6, KCN, Mỹ Yên, Tây Ninh, Việt NamCông ty TNHH EUROPEAN SNACK FOOD (VIỆT NAM)"/>
    <s v="Công Ty Bách Thuận 佰順噴漆廠, Unnamed, Road, Thuận Giao, Hồ Chí Minh, Việt NamCông Ty Bách Thuận 佰順噴漆廠"/>
    <n v="1"/>
    <x v="0"/>
    <x v="5"/>
    <d v="1899-12-30T07:28:54"/>
    <x v="9"/>
  </r>
  <r>
    <s v="3540534611941740715"/>
    <s v="uyên phương"/>
    <x v="3"/>
    <n v="0"/>
    <s v=""/>
    <s v="NULL"/>
    <x v="0"/>
    <s v="2026-07-16 07:34:37"/>
    <s v="2026-07-16 07:44:36"/>
    <s v="NULL"/>
    <s v="NULL"/>
    <s v="2026-07-16 09:45:57"/>
    <s v=""/>
    <s v="106.5141744"/>
    <s v="10.6325718"/>
    <s v="106.78776942065429"/>
    <s v="10.845670704651766"/>
    <n v="248832"/>
    <n v="0"/>
    <n v="248832"/>
    <s v="Cash"/>
    <s v="Công ty TNHH Bao Bì Xuất Khẩu và Thương Mại Vạn Thành, Quốc lộ 1A, Mỹ Yên, Tây Ninh, Việt NamCông ty TNHH Bao Bì Xuất Khẩu và Thương Mại Vạn Thành"/>
    <s v="343 Đ. Lê Văn Việt, Tăng Nhơn Phú, Hồ Chí Minh, Việt Nam343 Đ. Lê Văn Việt, Tăng Nhơn Phú, Hồ Chí Minh, Việt Nam"/>
    <n v="1"/>
    <x v="0"/>
    <x v="5"/>
    <d v="1899-12-30T07:34:37"/>
    <x v="120"/>
  </r>
  <r>
    <s v="3540538198096835575"/>
    <s v="uyên phương"/>
    <x v="3"/>
    <n v="3051084"/>
    <s v=""/>
    <s v="Motorcycle"/>
    <x v="2"/>
    <s v="2026-07-16 07:33:19"/>
    <s v="2026-07-16 07:43:19"/>
    <s v="2026-07-16 08:37:31"/>
    <s v="2026-07-16 08:41:00"/>
    <s v=""/>
    <s v=""/>
    <s v="106.5141744"/>
    <s v="10.6325718"/>
    <s v="106.8857365"/>
    <s v="10.937396"/>
    <n v="343008"/>
    <n v="281552"/>
    <n v="61456"/>
    <s v="Cash"/>
    <s v="Công ty TNHH Bao Bì Xuất Khẩu và Thương Mại Vạn Thành, Quốc lộ 1A, Mỹ Yên, Tây Ninh, Việt NamCông ty TNHH Bao Bì Xuất Khẩu và Thương Mại Vạn Thành"/>
    <s v="CÔNG TY TNHH BÌNH TIÊN BIÊN HÒA, Khu Công Nghiệp Amata, Long Bình, Đồng Nai, Việt NamCÔNG TY TNHH BÌNH TIÊN BIÊN HÒA"/>
    <n v="1"/>
    <x v="0"/>
    <x v="5"/>
    <d v="1899-12-30T07:33:19"/>
    <x v="14"/>
  </r>
  <r>
    <s v="3540538280229687965"/>
    <s v="uyên phương"/>
    <x v="3"/>
    <n v="0"/>
    <s v=""/>
    <s v="NULL"/>
    <x v="0"/>
    <s v="2026-07-16 07:31:30"/>
    <s v="2026-07-16 07:41:30"/>
    <s v="NULL"/>
    <s v="NULL"/>
    <s v="2026-07-16 09:41:30"/>
    <s v=""/>
    <s v="106.5144144"/>
    <s v="10.6231774"/>
    <s v="106.7550816"/>
    <s v="10.9058533"/>
    <n v="292680"/>
    <n v="0"/>
    <n v="292680"/>
    <s v="Cash"/>
    <s v="CÔNG TY TNHH SẢN XUẤT NGŨ KIM HUNG HING HONG KONG (VIỆT NAM), Mỹ Yên, Tây Ninh, Việt NamCÔNG TY TNHH SẢN XUẤT NGŨ KIM HUNG HING HONG KONG (VIỆT NAM)"/>
    <s v="Công ty bất động sản Phú Thượng-TP Dĩ An-Bình Dương, Khu Phố Thống Nhất 1, Dĩ An, Hồ Chí Minh, Việt NamCông ty bất động sản Phú Thượng-TP Dĩ An-Bình Dương"/>
    <n v="1"/>
    <x v="0"/>
    <x v="5"/>
    <d v="1899-12-30T07:31:30"/>
    <x v="4"/>
  </r>
  <r>
    <s v="3540538280254861380"/>
    <s v="uyên phương"/>
    <x v="3"/>
    <n v="0"/>
    <s v=""/>
    <s v="NULL"/>
    <x v="0"/>
    <s v="2026-07-16 07:33:41"/>
    <s v="2026-07-16 07:43:41"/>
    <s v="NULL"/>
    <s v="NULL"/>
    <s v="2026-07-16 09:43:41"/>
    <s v=""/>
    <s v="106.5141744"/>
    <s v="10.6325718"/>
    <s v="106.8639492"/>
    <s v="10.9729363"/>
    <n v="254880"/>
    <n v="0"/>
    <n v="254880"/>
    <s v="Cash"/>
    <s v="Công ty TNHH Bao Bì Xuất Khẩu và Thương Mại Vạn Thành, Quốc lộ 1A, Mỹ Yên, Tây Ninh, Việt NamCông ty TNHH Bao Bì Xuất Khẩu và Thương Mại Vạn Thành"/>
    <s v="Công ty TNHH XD TM DV Biên Hòa, Trảng Dài, Đồng Nai, Việt NamCông ty TNHH XD TM DV Biên Hòa"/>
    <n v="1"/>
    <x v="0"/>
    <x v="5"/>
    <d v="1899-12-30T07:33:41"/>
    <x v="4"/>
  </r>
  <r>
    <s v="3540538280254861745"/>
    <s v="uyên phương"/>
    <x v="3"/>
    <n v="0"/>
    <s v=""/>
    <s v="NULL"/>
    <x v="0"/>
    <s v="2026-07-16 07:35:49"/>
    <s v="2026-07-16 07:45:49"/>
    <s v="NULL"/>
    <s v="NULL"/>
    <s v="2026-07-16 09:45:49"/>
    <s v=""/>
    <s v="106.5141744"/>
    <s v="10.6325718"/>
    <s v="106.5922924"/>
    <s v="10.8863934"/>
    <n v="182844"/>
    <n v="0"/>
    <n v="182844"/>
    <s v="Cash"/>
    <s v="Công ty TNHH Bao Bì Xuất Khẩu và Thương Mại Vạn Thành, Quốc lộ 1A, Mỹ Yên, Tây Ninh, Việt NamCông ty TNHH Bao Bì Xuất Khẩu và Thương Mại Vạn Thành"/>
    <s v="Hóc Môn, Hồ Chí Minh, Việt NamHóc Môn"/>
    <n v="1"/>
    <x v="0"/>
    <x v="5"/>
    <d v="1899-12-30T07:35:49"/>
    <x v="4"/>
  </r>
  <r>
    <s v="3540539682452623835"/>
    <s v="uyên phương"/>
    <x v="3"/>
    <n v="0"/>
    <s v=""/>
    <s v="NULL"/>
    <x v="0"/>
    <s v="2026-07-16 07:43:35"/>
    <s v="2026-07-16 07:53:35"/>
    <s v="NULL"/>
    <s v="NULL"/>
    <s v="2026-07-16 09:53:35"/>
    <s v=""/>
    <s v="106.5083845"/>
    <s v="10.6428394"/>
    <s v="106.6259675"/>
    <s v="11.0694349"/>
    <n v="359748"/>
    <n v="0"/>
    <n v="359748"/>
    <s v="Cash"/>
    <s v="CÔNG TY TNHH BIBICA MIỀN TÂY, 9 VL3, KCN Vĩnh Lộc 2, Mỹ Yên, Tây Ninh, Việt NamCÔNG TY TNHH BIBICA MIỀN TÂY"/>
    <s v="Công ty Bến Cát Event, Hòa Lợi, Hồ Chí Minh, Việt NamCông ty Bến Cát Event"/>
    <n v="1"/>
    <x v="0"/>
    <x v="5"/>
    <d v="1899-12-30T07:43:35"/>
    <x v="4"/>
  </r>
  <r>
    <s v="3540540834367890045"/>
    <s v="uyên phương"/>
    <x v="3"/>
    <n v="0"/>
    <s v=""/>
    <s v="NULL"/>
    <x v="0"/>
    <s v="2026-07-16 07:35:32"/>
    <s v="2026-07-16 07:45:32"/>
    <s v="NULL"/>
    <s v="NULL"/>
    <s v="2026-07-16 09:45:32"/>
    <s v=""/>
    <s v="106.5141744"/>
    <s v="10.6325718"/>
    <s v="106.5230542"/>
    <s v="10.962533"/>
    <n v="266760"/>
    <n v="0"/>
    <n v="266760"/>
    <s v="Cash"/>
    <s v="Công ty TNHH Bao Bì Xuất Khẩu và Thương Mại Vạn Thành, Quốc lộ 1A, Mỹ Yên, Tây Ninh, Việt NamCông ty TNHH Bao Bì Xuất Khẩu và Thương Mại Vạn Thành"/>
    <s v="Củ Chi, Hồ Chí Minh, Việt NamCủ Chi"/>
    <n v="1"/>
    <x v="0"/>
    <x v="5"/>
    <d v="1899-12-30T07:35:32"/>
    <x v="4"/>
  </r>
  <r>
    <s v="3540540834367890189"/>
    <s v="uyên phương"/>
    <x v="3"/>
    <n v="0"/>
    <s v=""/>
    <s v="NULL"/>
    <x v="0"/>
    <s v="2026-07-16 07:36:29"/>
    <s v="2026-07-16 07:46:29"/>
    <s v="NULL"/>
    <s v="NULL"/>
    <s v="2026-07-16 09:46:29"/>
    <s v=""/>
    <s v="106.5141744"/>
    <s v="10.6325718"/>
    <s v="106.64439377462155"/>
    <s v="10.799100694156765"/>
    <n v="146880"/>
    <n v="0"/>
    <n v="146880"/>
    <s v="Cash"/>
    <s v="Công ty TNHH Bao Bì Xuất Khẩu và Thương Mại Vạn Thành, Quốc lộ 1A, Mỹ Yên, Tây Ninh, Việt NamCông ty TNHH Bao Bì Xuất Khẩu và Thương Mại Vạn Thành"/>
    <s v="2n Bình Giã, Tân Bình, Hồ Chí Minh, Việt Nam2n Bình Giã, Tân Bình, Hồ Chí Minh, Việt Nam"/>
    <n v="1"/>
    <x v="0"/>
    <x v="5"/>
    <d v="1899-12-30T07:36:29"/>
    <x v="4"/>
  </r>
  <r>
    <s v="3540540834409837351"/>
    <s v="uyên phương"/>
    <x v="3"/>
    <n v="3145626"/>
    <s v=""/>
    <s v="Motorcycle"/>
    <x v="2"/>
    <s v="2026-07-16 07:46:55"/>
    <s v="2026-07-16 07:56:55"/>
    <s v="2026-07-16 10:29:19"/>
    <s v="2026-07-16 10:37:23"/>
    <s v=""/>
    <s v=""/>
    <s v="106.5171232"/>
    <s v="10.6425146"/>
    <s v="106.8272646"/>
    <s v="11.0918947"/>
    <n v="285228"/>
    <n v="221118"/>
    <n v="64110"/>
    <s v="Cash"/>
    <s v="CÔNG TY CỔ PHẦN TẬP ĐOÀN KIM ĐỨC, Đường VL1, KCN Vĩnh, Mỹ Yên, Tây Ninh, Việt NamCÔNG TY CỔ PHẦN TẬP ĐOÀN KIM ĐỨC"/>
    <s v="Công ty CP khoáng sản XD Tân Uyên Fico, Bắc Tân Uyên, Hồ Chí Minh, Việt NamCông ty CP khoáng sản XD Tân Uyên Fico"/>
    <n v="1"/>
    <x v="0"/>
    <x v="5"/>
    <d v="1899-12-30T07:46:55"/>
    <x v="14"/>
  </r>
  <r>
    <s v="3540543764902924318"/>
    <s v="uyên phương"/>
    <x v="3"/>
    <n v="0"/>
    <s v=""/>
    <s v="NULL"/>
    <x v="0"/>
    <s v="2026-07-16 07:47:47"/>
    <s v="2026-07-16 07:57:47"/>
    <s v="NULL"/>
    <s v="NULL"/>
    <s v="2026-07-16 09:57:47"/>
    <s v=""/>
    <s v="106.5162847"/>
    <s v="10.6451341"/>
    <s v="106.6985062"/>
    <s v="10.9031763"/>
    <n v="195372"/>
    <n v="0"/>
    <n v="195372"/>
    <s v="Cash"/>
    <s v="CÔNG TY CỔ PHẦN TKMB, Đường VL1, KCN Vĩnh Lộc 2, Mỹ Yên, Tây Ninh, Việt NamCÔNG TY CỔ PHẦN TKMB"/>
    <s v="Công Ty Cổ Phần Thương Mại Tổng Hợp Thuận An, Châu Văn Tiếp, Lái Thiêu, Hồ Chí Minh, Việt NamCông Ty Cổ Phần Thương Mại Tổng Hợp Thuận An"/>
    <n v="1"/>
    <x v="0"/>
    <x v="5"/>
    <d v="1899-12-30T07:47:47"/>
    <x v="4"/>
  </r>
  <r>
    <s v="3540543764902925117"/>
    <s v="uyên phương"/>
    <x v="3"/>
    <n v="0"/>
    <s v=""/>
    <s v="NULL"/>
    <x v="0"/>
    <s v="2026-07-16 07:51:32"/>
    <s v="2026-07-16 08:01:32"/>
    <s v="NULL"/>
    <s v="NULL"/>
    <s v="2026-07-16 10:01:32"/>
    <s v=""/>
    <s v="106.5121615"/>
    <s v="10.6382124"/>
    <s v="106.8729589"/>
    <s v="10.9505035"/>
    <n v="349164"/>
    <n v="0"/>
    <n v="349164"/>
    <s v="Cash"/>
    <s v="Phi Long Food Manufactory Co.,LTD, Đường VL2, KCN, Mỹ Yên, Tây Ninh, Việt NamPhi Long Food Manufactory Co.,LTD"/>
    <s v="Công ty Cổ phần Đô thị Amata Biên Hoà (Amata), Amata, Long Bình, Đồng Nai, Việt NamCông ty Cổ phần Đô thị Amata Biên Hoà (Amata)"/>
    <n v="1"/>
    <x v="0"/>
    <x v="5"/>
    <d v="1899-12-30T07:51:32"/>
    <x v="4"/>
  </r>
  <r>
    <s v="3540543764902925157"/>
    <s v="uyên phương"/>
    <x v="3"/>
    <n v="0"/>
    <s v=""/>
    <s v="NULL"/>
    <x v="0"/>
    <s v="2026-07-16 07:51:45"/>
    <s v="2026-07-16 08:01:45"/>
    <s v="NULL"/>
    <s v="NULL"/>
    <s v="2026-07-16 10:01:45"/>
    <s v=""/>
    <s v="106.5121615"/>
    <s v="10.6382124"/>
    <s v="106.8729589"/>
    <s v="10.9505035"/>
    <n v="338364"/>
    <n v="0"/>
    <n v="338364"/>
    <s v="Cash"/>
    <s v="Phi Long Food Manufactory Co.,LTD, Đường VL2, KCN, Mỹ Yên, Tây Ninh, Việt NamPhi Long Food Manufactory Co.,LTD"/>
    <s v="Công ty Cổ phần Đô thị Amata Biên Hoà (Amata), Amata, Long Bình, Đồng Nai, Việt NamCông ty Cổ phần Đô thị Amata Biên Hoà (Amata)"/>
    <n v="1"/>
    <x v="0"/>
    <x v="5"/>
    <d v="1899-12-30T07:51:45"/>
    <x v="4"/>
  </r>
  <r>
    <s v="3540544193141370938"/>
    <s v="uyên phương"/>
    <x v="3"/>
    <n v="0"/>
    <s v=""/>
    <s v="NULL"/>
    <x v="0"/>
    <s v="2026-07-16 07:43:21"/>
    <s v="2026-07-16 07:53:21"/>
    <s v="NULL"/>
    <s v="NULL"/>
    <s v="2026-07-16 09:53:21"/>
    <s v=""/>
    <s v="106.5083845"/>
    <s v="10.6428394"/>
    <s v="106.6259675"/>
    <s v="11.0694349"/>
    <n v="260064"/>
    <n v="0"/>
    <n v="260064"/>
    <s v="Cash"/>
    <s v="CÔNG TY TNHH BIBICA MIỀN TÂY, 9 VL3, KCN Vĩnh Lộc 2, Mỹ Yên, Tây Ninh, Việt NamCÔNG TY TNHH BIBICA MIỀN TÂY"/>
    <s v="Công ty Bến Cát Event, Hòa Lợi, Hồ Chí Minh, Việt NamCông ty Bến Cát Event"/>
    <n v="1"/>
    <x v="0"/>
    <x v="5"/>
    <d v="1899-12-30T07:43:21"/>
    <x v="4"/>
  </r>
  <r>
    <s v="3540544193141371219"/>
    <s v="uyên phương"/>
    <x v="3"/>
    <n v="0"/>
    <s v=""/>
    <s v="NULL"/>
    <x v="0"/>
    <s v="2026-07-16 07:44:49"/>
    <s v="2026-07-16 07:54:48"/>
    <s v="NULL"/>
    <s v="NULL"/>
    <s v="2026-07-16 09:54:48"/>
    <s v=""/>
    <s v="106.5161509"/>
    <s v="10.6456886"/>
    <s v="106.6189835"/>
    <s v="11.3503227"/>
    <n v="394740"/>
    <n v="0"/>
    <n v="394740"/>
    <s v="Cash"/>
    <s v="Công ty Cổ Phần In DICA, Đường VL1, KCN Vĩnh Lộc 2, Mỹ Yên, Tây Ninh, Việt NamCông ty Cổ Phần In DICA"/>
    <s v="Công Ty Cổ Phần Nước Thủ Dầu Một(Nhà Máy Nước Thô Bàu Bàng), Trừ Văn Thố, Hồ Chí Minh, Việt NamCông Ty Cổ Phần Nước Thủ Dầu Một(Nhà Máy Nước Thô Bàu Bàng)"/>
    <n v="1"/>
    <x v="0"/>
    <x v="5"/>
    <d v="1899-12-30T07:44:49"/>
    <x v="9"/>
  </r>
  <r>
    <s v="3540544673850553029"/>
    <s v="uyên phương"/>
    <x v="3"/>
    <n v="0"/>
    <s v=""/>
    <s v="NULL"/>
    <x v="0"/>
    <s v="2026-07-16 07:47:59"/>
    <s v="2026-07-16 07:57:59"/>
    <s v="NULL"/>
    <s v="NULL"/>
    <s v="2026-07-16 09:57:59"/>
    <s v=""/>
    <s v="106.5162847"/>
    <s v="10.6451341"/>
    <s v="106.6985062"/>
    <s v="10.9031763"/>
    <n v="269244"/>
    <n v="0"/>
    <n v="269244"/>
    <s v="Cash"/>
    <s v="CÔNG TY CỔ PHẦN TKMB, Đường VL1, KCN Vĩnh Lộc 2, Mỹ Yên, Tây Ninh, Việt NamCÔNG TY CỔ PHẦN TKMB"/>
    <s v="Công Ty Cổ Phần Thương Mại Tổng Hợp Thuận An, Châu Văn Tiếp, Lái Thiêu, Hồ Chí Minh, Việt NamCông Ty Cổ Phần Thương Mại Tổng Hợp Thuận An"/>
    <n v="1"/>
    <x v="0"/>
    <x v="5"/>
    <d v="1899-12-30T07:47:59"/>
    <x v="4"/>
  </r>
  <r>
    <s v="3540544673867325629"/>
    <s v="uyên phương"/>
    <x v="3"/>
    <n v="0"/>
    <s v=""/>
    <s v="NULL"/>
    <x v="0"/>
    <s v="2026-07-16 07:49:54"/>
    <s v="2026-07-16 07:59:53"/>
    <s v="NULL"/>
    <s v="NULL"/>
    <s v="2026-07-16 09:59:53"/>
    <s v=""/>
    <s v="106.5039447"/>
    <s v="10.6433253"/>
    <s v="106.75408381824647"/>
    <s v="10.904557483968697"/>
    <n v="281880"/>
    <n v="0"/>
    <n v="281880"/>
    <s v="Cash"/>
    <s v="Công Ty Cổ Phần Nosafood - Nhà máy Bến Lức, Đường VL7, KCN Vĩnh Lộc 2 X, Mỹ Yên, Tây Ninh, Việt NamCông Ty Cổ Phần Nosafood - Nhà máy Bến Lức"/>
    <s v="25 Đường số 8 TĐC, Dĩ An, Hồ Chí Minh, Việt Nam25 Đường số 8 TĐC, Dĩ An, Hồ Chí Minh, Việt Nam"/>
    <n v="1"/>
    <x v="0"/>
    <x v="5"/>
    <d v="1899-12-30T07:49:54"/>
    <x v="9"/>
  </r>
  <r>
    <s v="3540544673867326333"/>
    <s v="uyên phương"/>
    <x v="3"/>
    <n v="0"/>
    <s v=""/>
    <s v="NULL"/>
    <x v="0"/>
    <s v="2026-07-16 07:53:14"/>
    <s v="2026-07-16 08:03:13"/>
    <s v="NULL"/>
    <s v="NULL"/>
    <s v="2026-07-16 10:03:13"/>
    <s v=""/>
    <s v="106.5093823"/>
    <s v="10.6419116"/>
    <s v="106.9833759"/>
    <s v="10.7944043"/>
    <n v="256932"/>
    <n v="0"/>
    <n v="256932"/>
    <s v="Cash"/>
    <s v="Công ty TNHH Công Nghiệp Lixeton, nhà xưởng 2, Đường VL3, Khu Công nghiệp, Mỹ Yên, Tây Ninh, Việt NamCông ty TNHH Công Nghiệp Lixeton"/>
    <s v="Cong Ty Changshin Long Thanh, Long Thành, Đồng Nai, Việt NamCong Ty Changshin Long Thanh"/>
    <n v="1"/>
    <x v="0"/>
    <x v="5"/>
    <d v="1899-12-30T07:53:14"/>
    <x v="9"/>
  </r>
  <r>
    <s v="3540544955909103698"/>
    <s v="uyên phương"/>
    <x v="3"/>
    <n v="3106185"/>
    <s v=""/>
    <s v="Motorcycle"/>
    <x v="1"/>
    <s v="2026-07-16 07:45:01"/>
    <s v="2026-07-16 07:55:01"/>
    <s v="2026-07-16 08:31:11"/>
    <s v="NULL"/>
    <s v="2026-07-16 08:36:32"/>
    <s v=""/>
    <s v="106.5161509"/>
    <s v="10.6456886"/>
    <s v="106.6189835"/>
    <s v="11.3503227"/>
    <n v="537516"/>
    <n v="416699"/>
    <n v="120817"/>
    <s v="Cash"/>
    <s v="Công ty Cổ Phần In DICA, Đường VL1, KCN Vĩnh Lộc 2, Mỹ Yên, Tây Ninh, Việt NamCông ty Cổ Phần In DICA"/>
    <s v="Công Ty Cổ Phần Nước Thủ Dầu Một(Nhà Máy Nước Thô Bàu Bàng), Trừ Văn Thố, Hồ Chí Minh, Việt NamCông Ty Cổ Phần Nước Thủ Dầu Một(Nhà Máy Nước Thô Bàu Bàng)"/>
    <n v="1"/>
    <x v="0"/>
    <x v="5"/>
    <d v="1899-12-30T07:45:01"/>
    <x v="121"/>
  </r>
  <r>
    <s v="3540546260119540274"/>
    <s v="uyên phương"/>
    <x v="3"/>
    <n v="0"/>
    <s v=""/>
    <s v="NULL"/>
    <x v="0"/>
    <s v="2026-07-16 07:44:13"/>
    <s v="2026-07-16 07:54:12"/>
    <s v="NULL"/>
    <s v="NULL"/>
    <s v="2026-07-16 09:54:12"/>
    <s v=""/>
    <s v="106.5083845"/>
    <s v="10.6428394"/>
    <s v="106.6320003"/>
    <s v="11.1229655"/>
    <n v="384156"/>
    <n v="0"/>
    <n v="384156"/>
    <s v="Cash"/>
    <s v="CÔNG TY TNHH BIBICA MIỀN TÂY, 9 VL3, KCN Vĩnh Lộc 2, Mỹ Yên, Tây Ninh, Việt NamCÔNG TY TNHH BIBICA MIỀN TÂY"/>
    <s v="Công Ty TNHH Yakult Việt Nam Tại Bình Dương - Cửa Hàng Bến Cát, Khu phố 6, Chánh Phú Hòa, Thới Hòa, Hồ Chí Minh, Việt NamCông Ty TNHH Yakult Việt Nam Tại Bình Dương - Cửa Hàng Bến Cát"/>
    <n v="1"/>
    <x v="0"/>
    <x v="5"/>
    <d v="1899-12-30T07:44:13"/>
    <x v="9"/>
  </r>
  <r>
    <s v="3540546260119540713"/>
    <s v="uyên phương"/>
    <x v="3"/>
    <n v="0"/>
    <s v=""/>
    <s v="NULL"/>
    <x v="0"/>
    <s v="2026-07-16 07:46:30"/>
    <s v="2026-07-16 07:56:29"/>
    <s v="NULL"/>
    <s v="NULL"/>
    <s v="2026-07-16 09:56:29"/>
    <s v=""/>
    <s v="106.5171232"/>
    <s v="10.6425146"/>
    <s v="106.8272646"/>
    <s v="11.0918947"/>
    <n v="296028"/>
    <n v="0"/>
    <n v="296028"/>
    <s v="Cash"/>
    <s v="CÔNG TY CỔ PHẦN TẬP ĐOÀN KIM ĐỨC, Đường VL1, KCN Vĩnh, Mỹ Yên, Tây Ninh, Việt NamCÔNG TY CỔ PHẦN TẬP ĐOÀN KIM ĐỨC"/>
    <s v="Công ty CP khoáng sản XD Tân Uyên Fico, Bắc Tân Uyên, Hồ Chí Minh, Việt NamCông ty CP khoáng sản XD Tân Uyên Fico"/>
    <n v="1"/>
    <x v="0"/>
    <x v="5"/>
    <d v="1899-12-30T07:46:30"/>
    <x v="9"/>
  </r>
  <r>
    <s v="3540547721792545049"/>
    <s v="uyên phương"/>
    <x v="3"/>
    <n v="0"/>
    <s v=""/>
    <s v="NULL"/>
    <x v="0"/>
    <s v="2026-07-16 07:52:48"/>
    <s v="2026-07-16 08:02:47"/>
    <s v="NULL"/>
    <s v="NULL"/>
    <s v="2026-07-16 10:02:47"/>
    <s v=""/>
    <s v="106.5093823"/>
    <s v="10.6419116"/>
    <s v="106.9833759"/>
    <s v="10.7944043"/>
    <n v="267732"/>
    <n v="0"/>
    <n v="267732"/>
    <s v="Cash"/>
    <s v="Công ty TNHH Công Nghiệp Lixeton, nhà xưởng 2, Đường VL3, Khu Công nghiệp, Mỹ Yên, Tây Ninh, Việt NamCông ty TNHH Công Nghiệp Lixeton"/>
    <s v="Cong Ty Changshin Long Thanh, Long Thành, Đồng Nai, Việt NamCong Ty Changshin Long Thanh"/>
    <n v="1"/>
    <x v="0"/>
    <x v="5"/>
    <d v="1899-12-30T07:52:48"/>
    <x v="9"/>
  </r>
  <r>
    <s v="3540547721809318425"/>
    <s v="uyên phương"/>
    <x v="3"/>
    <n v="0"/>
    <s v=""/>
    <s v="NULL"/>
    <x v="0"/>
    <s v="2026-07-16 07:56:08"/>
    <s v="2026-07-16 08:06:07"/>
    <s v="NULL"/>
    <s v="NULL"/>
    <s v="2026-07-16 10:06:07"/>
    <s v=""/>
    <s v="106.5171391"/>
    <s v="10.6461325"/>
    <s v="106.71646801271973"/>
    <s v="10.83851150248838"/>
    <n v="187920"/>
    <n v="0"/>
    <n v="187920"/>
    <s v="Cash"/>
    <s v="DM TEXTILES COMPANY LTD., VL7 Street Commune, Vinh Loc 2 Industrial Zone, Voi La Hamlet, Mỹ Yên, Tây Ninh, Việt NamDM TEXTILES COMPANY LTD."/>
    <s v="486 QL13, Hiệp Bình, Hồ Chí Minh, Việt Nam486 QL13, Hiệp Bình, Hồ Chí Minh, Việt Nam"/>
    <n v="1"/>
    <x v="0"/>
    <x v="5"/>
    <d v="1899-12-30T07:56:08"/>
    <x v="9"/>
  </r>
  <r>
    <s v="3540547721809318541"/>
    <s v="uyên phương"/>
    <x v="3"/>
    <n v="3625078"/>
    <s v=""/>
    <s v="Motorcycle"/>
    <x v="1"/>
    <s v="2026-07-16 07:56:36"/>
    <s v="2026-07-16 08:06:36"/>
    <s v="2026-07-16 08:51:01"/>
    <s v="NULL"/>
    <s v="2026-07-16 09:29:16"/>
    <s v=""/>
    <s v="106.5171391"/>
    <s v="10.6461325"/>
    <s v="106.5930994"/>
    <s v="10.886455"/>
    <n v="183816"/>
    <n v="150882"/>
    <n v="32934"/>
    <s v="Cash"/>
    <s v="DM TEXTILES COMPANY LTD., VL7 Street Commune, Vinh Loc 2 Industrial Zone, Voi La Hamlet, Mỹ Yên, Tây Ninh, Việt NamDM TEXTILES COMPANY LTD."/>
    <s v="1B 32, Tổ 8, Hóc Môn, Hồ Chí Minh, Việt Nam1B 32, Tổ 8, Hóc Môn, Hồ Chí Minh, Việt Nam"/>
    <n v="1"/>
    <x v="0"/>
    <x v="5"/>
    <d v="1899-12-30T07:56:36"/>
    <x v="122"/>
  </r>
  <r>
    <s v="3540547721809318952"/>
    <s v="uyên phương"/>
    <x v="3"/>
    <n v="0"/>
    <s v=""/>
    <s v="NULL"/>
    <x v="0"/>
    <s v="2026-07-16 07:58:15"/>
    <s v="2026-07-16 08:08:14"/>
    <s v="NULL"/>
    <s v="NULL"/>
    <s v="2026-07-16 10:08:14"/>
    <s v=""/>
    <s v="106.5171391"/>
    <s v="10.6461325"/>
    <s v="106.4615963"/>
    <s v="11.141591"/>
    <n v="404892"/>
    <n v="0"/>
    <n v="404892"/>
    <s v="Cash"/>
    <s v="DM TEXTILES COMPANY LTD., VL7 Street Commune, Vinh Loc 2 Industrial Zone, Voi La Hamlet, Mỹ Yên, Tây Ninh, Việt NamDM TEXTILES COMPANY LTD."/>
    <s v="Cu Chi Tunnel, Phú Hiệp, An Nhơn Tây, Củ Chi, Hồ Chí Minh, Việt NamCu Chi Tunnel"/>
    <n v="1"/>
    <x v="0"/>
    <x v="5"/>
    <d v="1899-12-30T07:58:15"/>
    <x v="9"/>
  </r>
  <r>
    <s v="3540547799261336405"/>
    <s v="uyên phương"/>
    <x v="3"/>
    <n v="0"/>
    <s v=""/>
    <s v="NULL"/>
    <x v="0"/>
    <s v="2026-07-16 07:48:12"/>
    <s v="2026-07-16 07:58:12"/>
    <s v="NULL"/>
    <s v="NULL"/>
    <s v="2026-07-16 09:58:12"/>
    <s v=""/>
    <s v="106.5162847"/>
    <s v="10.6451341"/>
    <s v="106.6985062"/>
    <s v="10.9031763"/>
    <n v="184572"/>
    <n v="0"/>
    <n v="184572"/>
    <s v="Cash"/>
    <s v="CÔNG TY CỔ PHẦN TKMB, Đường VL1, KCN Vĩnh Lộc 2, Mỹ Yên, Tây Ninh, Việt NamCÔNG TY CỔ PHẦN TKMB"/>
    <s v="Công Ty Cổ Phần Thương Mại Tổng Hợp Thuận An, Châu Văn Tiếp, Lái Thiêu, Hồ Chí Minh, Việt NamCông Ty Cổ Phần Thương Mại Tổng Hợp Thuận An"/>
    <n v="1"/>
    <x v="0"/>
    <x v="5"/>
    <d v="1899-12-30T07:48:12"/>
    <x v="4"/>
  </r>
  <r>
    <s v="3540547799261336434"/>
    <s v="uyên phương"/>
    <x v="3"/>
    <n v="4244705"/>
    <s v=""/>
    <s v="Motorcycle"/>
    <x v="1"/>
    <s v="2026-07-16 07:48:23"/>
    <s v="2026-07-16 07:58:23"/>
    <s v="2026-07-16 09:00:01"/>
    <s v="NULL"/>
    <s v="2026-07-16 09:15:46"/>
    <s v=""/>
    <s v="106.5162847"/>
    <s v="10.6451341"/>
    <s v="106.6985062"/>
    <s v="10.9031763"/>
    <n v="258444"/>
    <n v="200354"/>
    <n v="58090"/>
    <s v="Cash"/>
    <s v="CÔNG TY CỔ PHẦN TKMB, Đường VL1, KCN Vĩnh Lộc 2, Mỹ Yên, Tây Ninh, Việt NamCÔNG TY CỔ PHẦN TKMB"/>
    <s v="Công Ty Cổ Phần Thương Mại Tổng Hợp Thuận An, Châu Văn Tiếp, Lái Thiêu, Hồ Chí Minh, Việt NamCông Ty Cổ Phần Thương Mại Tổng Hợp Thuận An"/>
    <n v="1"/>
    <x v="0"/>
    <x v="5"/>
    <d v="1899-12-30T07:48:23"/>
    <x v="123"/>
  </r>
  <r>
    <s v="3540547799303282871"/>
    <s v="uyên phương"/>
    <x v="3"/>
    <n v="4153228"/>
    <s v=""/>
    <s v="Motorcycle"/>
    <x v="1"/>
    <s v="2026-07-16 07:54:31"/>
    <s v="2026-07-16 08:04:30"/>
    <s v="2026-07-16 08:12:18"/>
    <s v="NULL"/>
    <s v="2026-07-16 08:15:24"/>
    <s v=""/>
    <s v="106.5171391"/>
    <s v="10.6461325"/>
    <s v="106.730817218056"/>
    <s v="10.793521983679"/>
    <n v="136620"/>
    <n v="105912"/>
    <n v="30708"/>
    <s v="Cash"/>
    <s v="DM TEXTILES COMPANY LTD., VL7 Street Commune, Vinh Loc 2 Industrial Zone, Voi La Hamlet, Mỹ Yên, Tây Ninh, Việt NamDM TEXTILES COMPANY LTD."/>
    <s v="Quận 2an Khánhhồ Chí Minhviệt NamQuận 2"/>
    <n v="1"/>
    <x v="0"/>
    <x v="5"/>
    <d v="1899-12-30T07:54:31"/>
    <x v="124"/>
  </r>
  <r>
    <s v="3540549839513408191"/>
    <s v="uyên phương"/>
    <x v="3"/>
    <n v="0"/>
    <s v=""/>
    <s v="NULL"/>
    <x v="0"/>
    <s v="2026-07-16 07:55:53"/>
    <s v="2026-07-16 08:05:53"/>
    <s v="NULL"/>
    <s v="NULL"/>
    <s v="2026-07-16 10:05:53"/>
    <s v=""/>
    <s v="106.5171391"/>
    <s v="10.6461325"/>
    <s v="106.7136356"/>
    <s v="10.838933"/>
    <n v="209628"/>
    <n v="0"/>
    <n v="209628"/>
    <s v="Cash"/>
    <s v="DM TEXTILES COMPANY LTD., VL7 Street Commune, Vinh Loc 2 Industrial Zone, Voi La Hamlet, Mỹ Yên, Tây Ninh, Việt NamDM TEXTILES COMPANY LTD."/>
    <s v="Thủ Đức Garden Homes, Đường Số 3, Hiệp Bình, Hồ Chí Minh, Việt NamThủ Đức Garden Homes"/>
    <n v="1"/>
    <x v="0"/>
    <x v="5"/>
    <d v="1899-12-30T07:55:53"/>
    <x v="4"/>
  </r>
  <r>
    <s v="3540552180346089693"/>
    <s v="uyên phương"/>
    <x v="3"/>
    <n v="4255849"/>
    <s v=""/>
    <s v="Motorcycle"/>
    <x v="1"/>
    <s v="2026-07-16 07:53:28"/>
    <s v="2026-07-16 08:03:28"/>
    <s v="2026-07-16 10:35:30"/>
    <s v="NULL"/>
    <s v="2026-07-16 11:07:51"/>
    <s v=""/>
    <s v="106.5093823"/>
    <s v="10.6419116"/>
    <s v="106.9833759"/>
    <s v="10.7944043"/>
    <n v="359748"/>
    <n v="278888"/>
    <n v="80860"/>
    <s v="Cash"/>
    <s v="Công ty TNHH Công Nghiệp Lixeton, nhà xưởng 2, Đường VL3, Khu Công nghiệp, Mỹ Yên, Tây Ninh, Việt NamCông ty TNHH Công Nghiệp Lixeton"/>
    <s v="Cong Ty Changshin Long Thanh, Long Thành, Đồng Nai, Việt NamCong Ty Changshin Long Thanh"/>
    <n v="1"/>
    <x v="0"/>
    <x v="5"/>
    <d v="1899-12-30T07:53:28"/>
    <x v="125"/>
  </r>
  <r>
    <s v="3540552570198249525"/>
    <s v="uyên phương"/>
    <x v="3"/>
    <n v="0"/>
    <s v=""/>
    <s v="NULL"/>
    <x v="0"/>
    <s v="2026-07-16 07:53:01"/>
    <s v="2026-07-16 08:03:01"/>
    <s v="NULL"/>
    <s v="NULL"/>
    <s v="2026-07-16 10:03:01"/>
    <s v=""/>
    <s v="106.5093823"/>
    <s v="10.6419116"/>
    <s v="106.9833759"/>
    <s v="10.7944043"/>
    <n v="370548"/>
    <n v="0"/>
    <n v="370548"/>
    <s v="Cash"/>
    <s v="Công ty TNHH Công Nghiệp Lixeton, nhà xưởng 2, Đường VL3, Khu Công nghiệp, Mỹ Yên, Tây Ninh, Việt NamCông ty TNHH Công Nghiệp Lixeton"/>
    <s v="Cong Ty Changshin Long Thanh, Long Thành, Đồng Nai, Việt NamCong Ty Changshin Long Thanh"/>
    <n v="1"/>
    <x v="0"/>
    <x v="5"/>
    <d v="1899-12-30T07:53:01"/>
    <x v="4"/>
  </r>
  <r>
    <s v="3540554217477591139"/>
    <s v="uyên phương"/>
    <x v="3"/>
    <n v="0"/>
    <s v=""/>
    <s v="NULL"/>
    <x v="0"/>
    <s v="2026-07-16 07:56:23"/>
    <s v="2026-07-16 08:06:23"/>
    <s v="NULL"/>
    <s v="NULL"/>
    <s v="2026-07-16 10:06:23"/>
    <s v=""/>
    <s v="106.5171391"/>
    <s v="10.6461325"/>
    <s v="106.5932579952454"/>
    <s v="10.886319649702079"/>
    <n v="142128"/>
    <n v="0"/>
    <n v="142128"/>
    <s v="Cash"/>
    <s v="DM TEXTILES COMPANY LTD., VL7 Street Commune, Vinh Loc 2 Industrial Zone, Voi La Hamlet, Mỹ Yên, Tây Ninh, Việt NamDM TEXTILES COMPANY LTD."/>
    <s v="1B 32, Tổ 8, Hóc Môn, Hồ Chí Minh, Việt Nam1B 32, Tổ 8, Hóc Môn, Hồ Chí Minh, Việt Nam"/>
    <n v="1"/>
    <x v="0"/>
    <x v="5"/>
    <d v="1899-12-30T07:56:23"/>
    <x v="4"/>
  </r>
  <r>
    <s v="3540554217485979732"/>
    <s v="uyên phương"/>
    <x v="3"/>
    <n v="3376402"/>
    <s v=""/>
    <s v="Motorcycle"/>
    <x v="2"/>
    <s v="2026-07-16 07:57:08"/>
    <s v="2026-07-16 08:07:08"/>
    <s v="2026-07-16 11:24:04"/>
    <s v="2026-07-16 11:33:43"/>
    <s v=""/>
    <s v=""/>
    <s v="106.5171391"/>
    <s v="10.6461325"/>
    <s v="106.67919190080259"/>
    <s v="10.845891906586756"/>
    <n v="185328"/>
    <n v="143672"/>
    <n v="41656"/>
    <s v="Cash"/>
    <s v="DM TEXTILES COMPANY LTD., VL7 Street Commune, Vinh Loc 2 Industrial Zone, Voi La Hamlet, Mỹ Yên, Tây Ninh, Việt NamDM TEXTILES COMPANY LTD."/>
    <s v="Phòng 11, Hẻm/3 Tổ 19, Khu Phố 3, An Nhơn, Hồ Chí Minh, Việt NamPhòng 11, Hẻm/3 Tổ 19, Khu Phố 3, An Nhơn, Hồ Chí Minh, Việt Nam"/>
    <n v="1"/>
    <x v="0"/>
    <x v="5"/>
    <d v="1899-12-30T07:57:08"/>
    <x v="14"/>
  </r>
  <r>
    <s v="3541246354301083966"/>
    <s v="chị hồng nhung"/>
    <x v="4"/>
    <n v="4426818"/>
    <s v=""/>
    <s v="Motorcycle"/>
    <x v="4"/>
    <s v="2026-07-17 07:16:24"/>
    <s v="2026-07-17 07:26:23"/>
    <s v="2026-07-17 09:05:27"/>
    <s v="NULL"/>
    <s v="2026-07-27 07:27:23"/>
    <s v=""/>
    <s v="106.4949754"/>
    <s v="10.6041049"/>
    <s v="106.6006234"/>
    <s v="11.1300848"/>
    <n v="302832"/>
    <n v="234765"/>
    <n v="68067"/>
    <s v="Cash"/>
    <s v="Cty TNHH MTV Benkan Việt Nam 1, Đạo mỡ rộng, đường số 01, KCN Thuận, Long Cang, Tây Ninh, Việt NamCty TNHH MTV Benkan Việt Nam 1"/>
    <s v="Tans (Vietnam) Co.,Ltd, Đường D1, Khu công nghiệp Mỹ Phước1, Bến Cát, Hồ Chí Minh, Việt NamTans (Vietnam) Co.,Ltd"/>
    <n v="1"/>
    <x v="0"/>
    <x v="6"/>
    <d v="1899-12-30T07:16:24"/>
    <x v="15"/>
  </r>
  <r>
    <s v="3541248452216447615"/>
    <s v="chị hồng nhung"/>
    <x v="4"/>
    <n v="470750"/>
    <s v=""/>
    <s v="Motorcycle"/>
    <x v="2"/>
    <s v="2026-07-17 07:16:56"/>
    <s v="2026-07-17 08:50:00"/>
    <s v="2026-07-17 10:49:58"/>
    <s v="NULL"/>
    <s v=""/>
    <s v=""/>
    <s v="106.4949754"/>
    <s v="10.6041049"/>
    <s v="106.547103"/>
    <s v="11.1133992"/>
    <n v="440748"/>
    <n v="341682"/>
    <n v="99066"/>
    <s v="Cash"/>
    <s v="Cty TNHH MTV Benkan Việt Nam 1, Đạo mỡ rộng, đường số 01, KCN Thuận, Long Cang, Tây Ninh, Việt NamCty TNHH MTV Benkan Việt Nam 1"/>
    <s v="Công ty TNHH Chinh Long Bến Cát, Tây Nam, Hồ Chí Minh, Việt NamCông ty TNHH Chinh Long Bến Cát"/>
    <n v="1"/>
    <x v="0"/>
    <x v="6"/>
    <d v="1899-12-30T07:16:56"/>
    <x v="14"/>
  </r>
  <r>
    <s v="3541248452233220912"/>
    <s v="chị hồng nhung"/>
    <x v="4"/>
    <n v="0"/>
    <s v=""/>
    <s v="NULL"/>
    <x v="0"/>
    <s v="2026-07-17 07:21:49"/>
    <s v="2026-07-17 07:31:48"/>
    <s v="NULL"/>
    <s v="NULL"/>
    <s v="2026-07-17 09:31:48"/>
    <s v=""/>
    <s v="106.4951938"/>
    <s v="10.6017891"/>
    <s v="106.7369988"/>
    <s v="10.9322267"/>
    <n v="237276"/>
    <n v="0"/>
    <n v="237276"/>
    <s v="Cash"/>
    <s v="Công ty TNHH Quick Pack Việt Nam, Đường Số 13, KCN Thuận Đạo mở rộng, Long Cang, Tây Ninh, Việt NamCông ty TNHH Quick Pack Việt Nam"/>
    <s v="Công ty vinata 19 đường số 10. Kcn vsip1. Thuận an. Bình Dương, Đường số 10, An Phú, Hồ Chí Minh, Việt NamCông ty vinata 19 đường số 10. Kcn vsip1. Thuận an. Bình Dương"/>
    <n v="1"/>
    <x v="0"/>
    <x v="6"/>
    <d v="1899-12-30T07:21:49"/>
    <x v="9"/>
  </r>
  <r>
    <s v="3541251113972093695"/>
    <s v="chị hồng nhung"/>
    <x v="4"/>
    <n v="4405426"/>
    <s v=""/>
    <s v="Motorcycle"/>
    <x v="2"/>
    <s v="2026-07-17 07:18:53"/>
    <s v="2026-07-17 08:49:00"/>
    <s v="2026-07-17 10:53:58"/>
    <s v="NULL"/>
    <s v=""/>
    <s v=""/>
    <s v="106.4943096"/>
    <s v="10.6126435"/>
    <s v="106.8300866"/>
    <s v="11.0830711"/>
    <n v="456948"/>
    <n v="354240"/>
    <n v="102708"/>
    <s v="Cash"/>
    <s v="Công Ty TNHH MTV San-Ei VN (有限会社三栄ベトナム）, Long Cang, Tây Ninh, Việt NamCông Ty TNHH MTV San-Ei VN (有限会社三栄ベトナム）"/>
    <s v="3RMJ+62V, ĐH414, Tân Uyên, Hồ Chí Minh, Việt Nam3RMJ+62V, ĐH414, Tân Uyên, Hồ Chí Minh, Việt Nam"/>
    <n v="1"/>
    <x v="0"/>
    <x v="6"/>
    <d v="1899-12-30T07:18:53"/>
    <x v="14"/>
  </r>
  <r>
    <s v="3541251113988878350"/>
    <s v="chị hồng nhung"/>
    <x v="4"/>
    <n v="4633939"/>
    <s v=""/>
    <s v="Motorcycle"/>
    <x v="2"/>
    <s v="2026-07-17 07:20:43"/>
    <s v="2026-07-17 08:30:00"/>
    <s v="2026-07-17 10:13:19"/>
    <s v="NULL"/>
    <s v=""/>
    <s v=""/>
    <s v="106.4934381"/>
    <s v="10.6118595"/>
    <s v="106.61958431481932"/>
    <s v="11.350901244602372"/>
    <n v="566676"/>
    <n v="439305"/>
    <n v="127371"/>
    <s v="Cash"/>
    <s v="Cong ty Nutreco, Long Cang, Tây Ninh, Việt NamCong ty Nutreco"/>
    <s v="9J29+4HH, Trừ Văn Thố, Hồ Chí Minh, Việt Nam9J29+4HH, Trừ Văn Thố, Hồ Chí Minh, Việt Nam"/>
    <n v="1"/>
    <x v="0"/>
    <x v="6"/>
    <d v="1899-12-30T07:20:43"/>
    <x v="14"/>
  </r>
  <r>
    <s v="3541251137879630537"/>
    <s v="chị hồng nhung"/>
    <x v="4"/>
    <n v="3746341"/>
    <s v=""/>
    <s v="Motorcycle"/>
    <x v="1"/>
    <s v="2026-07-17 07:18:39"/>
    <s v="2026-07-17 09:49:00"/>
    <s v="2026-07-17 07:19:01"/>
    <s v="NULL"/>
    <s v="2026-07-17 07:22:59"/>
    <s v=""/>
    <s v="106.4943096"/>
    <s v="10.6126435"/>
    <s v="106.8293179790985"/>
    <s v="11.083008418360363"/>
    <n v="326808"/>
    <n v="268255"/>
    <n v="58553"/>
    <s v="Cash"/>
    <s v="Công Ty TNHH MTV San-Ei VN (有限会社三栄ベトナム）, Long Cang, Tây Ninh, Việt NamCông Ty TNHH MTV San-Ei VN (有限会社三栄ベトナム）"/>
    <s v="3RMJ+62V, ĐH414, Tân Uyên, Hồ Chí Minh, Việt Nam3RMJ+62V, ĐH414, Tân Uyên, Hồ Chí Minh, Việt Nam"/>
    <n v="1"/>
    <x v="0"/>
    <x v="6"/>
    <d v="1899-12-30T07:18:39"/>
    <x v="126"/>
  </r>
  <r>
    <s v="3541254792661918348"/>
    <s v="chị hồng nhung"/>
    <x v="4"/>
    <n v="0"/>
    <s v=""/>
    <s v="NULL"/>
    <x v="0"/>
    <s v="2026-07-17 07:22:48"/>
    <s v="2026-07-17 07:32:47"/>
    <s v="NULL"/>
    <s v="NULL"/>
    <s v="2026-07-17 09:40:09"/>
    <s v=""/>
    <s v="106.4951938"/>
    <s v="10.6017891"/>
    <s v="106.713602065841"/>
    <s v="10.928878749697"/>
    <n v="230904"/>
    <n v="0"/>
    <n v="230904"/>
    <s v="Cash"/>
    <s v="Công ty TNHH Quick Pack Việt Nam, Đường Số 13, KCN Thuận Đạo mở rộng, Long Cang, Tây Ninh, Việt NamCông ty TNHH Quick Pack Việt Nam"/>
    <s v="Căn Hộ C2 P09.03 Chung Cư The Canery Heights, Thuận Giao, Hồ Chí Minh, VietnamCăn Hộ C2 P09.03 Chung Cư The Canery Heights"/>
    <n v="1"/>
    <x v="0"/>
    <x v="6"/>
    <d v="1899-12-30T07:22:48"/>
    <x v="127"/>
  </r>
  <r>
    <s v="3541254792678691084"/>
    <s v="chị hồng nhung"/>
    <x v="4"/>
    <n v="4458430"/>
    <s v=""/>
    <s v="Motorcycle"/>
    <x v="1"/>
    <s v="2026-07-17 07:26:45"/>
    <s v="2026-07-17 08:57:00"/>
    <s v="2026-07-17 07:55:13"/>
    <s v="NULL"/>
    <s v="2026-07-17 08:36:08"/>
    <s v=""/>
    <s v="106.496357"/>
    <s v="10.6127034"/>
    <s v="106.85176563306582"/>
    <s v="10.91144023782168"/>
    <n v="336096"/>
    <n v="260552"/>
    <n v="75544"/>
    <s v="Cash"/>
    <s v="Công ty TNHH Công Nghệ CRM ( Việt Nam ) - CRM(越南)化工科技有限公司, đường số 14, Long Cang, Tây Ninh, Việt NamCông ty TNHH Công Nghệ CRM ( Việt Nam ) - CRM(越南)化工科技有限公司"/>
    <s v="7 Đường số 1, Khu Công nghiệp Biên, Trấn Biên, Đồng Nai 810000, Việt Nam7 Đường số 1, Khu Công nghiệp Biên, Trấn Biên, Đồng Nai 810000, Việt Nam"/>
    <n v="1"/>
    <x v="0"/>
    <x v="6"/>
    <d v="1899-12-30T07:26:45"/>
    <x v="128"/>
  </r>
  <r>
    <s v="3541254792678691556"/>
    <s v="chị hồng nhung"/>
    <x v="4"/>
    <n v="0"/>
    <s v=""/>
    <s v="NULL"/>
    <x v="0"/>
    <s v="2026-07-17 07:29:38"/>
    <s v="2026-07-17 07:39:38"/>
    <s v="NULL"/>
    <s v="NULL"/>
    <s v="2026-07-17 09:39:38"/>
    <s v=""/>
    <s v="106.4998332"/>
    <s v="10.6088996"/>
    <s v="106.8203904"/>
    <s v="10.8058417"/>
    <n v="283716"/>
    <n v="0"/>
    <n v="283716"/>
    <s v="Cash"/>
    <s v="CÔNG TY TNHH IN ẤN PHỤ LIỆU MAY MẶC SAMSON (VIỆT NAM), Đường số 15, KCN Thuận Đạo mở rộng, Long Cang, Tây Ninh, Việt NamCÔNG TY TNHH IN ẤN PHỤ LIỆU MAY MẶC SAMSON (VIỆT NAM)"/>
    <s v="Công Ty Cổ Phần Du Lịch Và Truyền Thông Thủ Đức, Đường Nguyễn Duy Trinh, Khu phố 3, Long Trường, Hồ Chí Minh, Việt NamCông Ty Cổ Phần Du Lịch Và Truyền Thông Thủ Đức"/>
    <n v="1"/>
    <x v="0"/>
    <x v="6"/>
    <d v="1899-12-30T07:29:38"/>
    <x v="4"/>
  </r>
  <r>
    <s v="3541259460309901601"/>
    <s v="chị hồng nhung"/>
    <x v="4"/>
    <n v="0"/>
    <s v=""/>
    <s v="NULL"/>
    <x v="0"/>
    <s v="2026-07-17 07:28:07"/>
    <s v="2026-07-17 08:59:00"/>
    <s v="NULL"/>
    <s v="NULL"/>
    <s v="2026-07-17 10:59:00"/>
    <s v=""/>
    <s v="106.4979375"/>
    <s v="10.6135625"/>
    <s v="106.9852427"/>
    <s v="10.7944359"/>
    <n v="286524"/>
    <n v="0"/>
    <n v="286524"/>
    <s v="Cash"/>
    <s v="BW Thuan Dao Logistics Park, Long Cang, Tây Ninh, Việt NamBW Thuan Dao Logistics Park"/>
    <s v="QXVP+Q3 Long Thành, Đồng Nai, Việt NamQXVP+Q3 Long Thành, Đồng Nai, Việt Nam"/>
    <n v="1"/>
    <x v="0"/>
    <x v="6"/>
    <d v="1899-12-30T07:28:07"/>
    <x v="129"/>
  </r>
  <r>
    <s v="3541259460326674911"/>
    <s v="chị hồng nhung"/>
    <x v="4"/>
    <n v="3443850"/>
    <s v=""/>
    <s v="Motorcycle"/>
    <x v="2"/>
    <s v="2026-07-17 07:34:10"/>
    <s v="2026-07-17 09:05:00"/>
    <s v="2026-07-17 11:40:16"/>
    <s v="2026-07-17 11:43:38"/>
    <s v=""/>
    <s v=""/>
    <s v="106.4973945"/>
    <s v="10.6090006"/>
    <s v="106.7011807"/>
    <s v="10.8184353"/>
    <n v="236628"/>
    <n v="183441"/>
    <n v="53187"/>
    <s v="Cash"/>
    <s v="CÔNG TY TNHH KUZCO VIỆT NAM, Long Cang, Tây Ninh, Việt NamCÔNG TY TNHH KUZCO VIỆT NAM"/>
    <s v="372/13 Hẻm 372 Nơ Trang Long, Bình Lợi Trung, Hồ Chí Minh, Việt Nam372/13 Hẻm 372 Nơ Trang Long, Bình Lợi Trung, Hồ Chí Minh, Việt Nam"/>
    <n v="1"/>
    <x v="0"/>
    <x v="6"/>
    <d v="1899-12-30T07:34:10"/>
    <x v="14"/>
  </r>
  <r>
    <s v="3541259788883288078"/>
    <s v="chị hồng nhung"/>
    <x v="4"/>
    <n v="0"/>
    <s v=""/>
    <s v="NULL"/>
    <x v="0"/>
    <s v="2026-07-17 07:32:53"/>
    <s v="2026-07-17 07:42:52"/>
    <s v="NULL"/>
    <s v="NULL"/>
    <s v="2026-07-17 09:42:52"/>
    <s v=""/>
    <s v="106.4973945"/>
    <s v="10.6090006"/>
    <s v="106.73387493633301"/>
    <s v="10.79443887755176"/>
    <n v="234576"/>
    <n v="0"/>
    <n v="234576"/>
    <s v="Cash"/>
    <s v="CÔNG TY TNHH KUZCO VIỆT NAM, Long Cang, Tây Ninh, Việt NamCÔNG TY TNHH KUZCO VIỆT NAM"/>
    <s v="QPWM+3M6, 30 Đ. Số 3, Khu Phố 4, An Khánh, Hồ Chí Minh, Việt NamQPWM+3M6, 30 Đ. Số 3, Khu Phố 4, An Khánh, Hồ Chí Minh, Việt Nam"/>
    <n v="1"/>
    <x v="0"/>
    <x v="6"/>
    <d v="1899-12-30T07:32:53"/>
    <x v="9"/>
  </r>
  <r>
    <s v="3541260143394255631"/>
    <s v="chị hồng nhung"/>
    <x v="4"/>
    <n v="0"/>
    <s v=""/>
    <s v="NULL"/>
    <x v="0"/>
    <s v="2026-07-17 07:25:59"/>
    <s v="2026-07-17 07:35:58"/>
    <s v="NULL"/>
    <s v="NULL"/>
    <s v="2026-07-17 10:00:24"/>
    <s v=""/>
    <s v="106.496357"/>
    <s v="10.6127034"/>
    <s v="106.8708835"/>
    <s v="10.9513205"/>
    <n v="378216"/>
    <n v="0"/>
    <n v="378216"/>
    <s v="Cash"/>
    <s v="Công ty TNHH Công Nghệ CRM ( Việt Nam ) - CRM(越南)化工科技有限公司, đường số 14, Long Cang, Tây Ninh, Việt NamCông ty TNHH Công Nghệ CRM ( Việt Nam ) - CRM(越南)化工科技有限公司"/>
    <s v="Công ty Mesa - Biên Hòa, Đường Đồng Khởi, Tam Hiệp, Đồng Nai, Việt NamCông ty Mesa - Biên Hòa"/>
    <n v="1"/>
    <x v="0"/>
    <x v="6"/>
    <d v="1899-12-30T07:25:59"/>
    <x v="130"/>
  </r>
  <r>
    <s v="3541260143427801223"/>
    <s v="chị hồng nhung"/>
    <x v="4"/>
    <n v="0"/>
    <s v=""/>
    <s v="NULL"/>
    <x v="0"/>
    <s v="2026-07-17 07:33:34"/>
    <s v="2026-07-17 07:43:34"/>
    <s v="NULL"/>
    <s v="NULL"/>
    <s v="2026-07-17 09:43:34"/>
    <s v=""/>
    <s v="106.4973945"/>
    <s v="10.6090006"/>
    <s v="106.70321123809812"/>
    <s v="10.815397654154268"/>
    <n v="174636"/>
    <n v="0"/>
    <n v="174636"/>
    <s v="Cash"/>
    <s v="CÔNG TY TNHH KUZCO VIỆT NAM, Long Cang, Tây Ninh, Việt NamCÔNG TY TNHH KUZCO VIỆT NAM"/>
    <s v="RP83+65F, Bình Thạnh, Hồ Chí Minh, Việt NamRP83+65F, Bình Thạnh, Hồ Chí Minh, Việt Nam"/>
    <n v="1"/>
    <x v="0"/>
    <x v="6"/>
    <d v="1899-12-30T07:33:34"/>
    <x v="4"/>
  </r>
  <r>
    <s v="3541260143427801309"/>
    <s v="chị hồng nhung"/>
    <x v="4"/>
    <n v="0"/>
    <s v=""/>
    <s v="NULL"/>
    <x v="0"/>
    <s v="2026-07-17 07:33:58"/>
    <s v="2026-07-17 09:04:00"/>
    <s v="NULL"/>
    <s v="NULL"/>
    <s v="2026-07-17 11:04:00"/>
    <s v=""/>
    <s v="106.4973945"/>
    <s v="10.6090006"/>
    <s v="106.70122088623049"/>
    <s v="10.818449967265684"/>
    <n v="169344"/>
    <n v="0"/>
    <n v="169344"/>
    <s v="Cash"/>
    <s v="CÔNG TY TNHH KUZCO VIỆT NAM, Long Cang, Tây Ninh, Việt NamCÔNG TY TNHH KUZCO VIỆT NAM"/>
    <s v="372/13 Hẻm 372 Nơ Trang Long, Bình Lợi Trung, Hồ Chí Minh, Việt Nam372/13 Hẻm 372 Nơ Trang Long, Bình Lợi Trung, Hồ Chí Minh, Việt Nam"/>
    <n v="1"/>
    <x v="0"/>
    <x v="6"/>
    <d v="1899-12-30T07:33:58"/>
    <x v="102"/>
  </r>
  <r>
    <s v="3541260143427801702"/>
    <s v="chị hồng nhung"/>
    <x v="4"/>
    <n v="0"/>
    <s v=""/>
    <s v="NULL"/>
    <x v="0"/>
    <s v="2026-07-17 07:36:13"/>
    <s v="2026-07-17 09:07:00"/>
    <s v="NULL"/>
    <s v="NULL"/>
    <s v="2026-07-17 11:07:00"/>
    <s v=""/>
    <s v="106.4945620872803"/>
    <s v="10.609000600000003"/>
    <s v="106.67773742939148"/>
    <s v="10.833136888599151"/>
    <n v="144504"/>
    <n v="0"/>
    <n v="144504"/>
    <s v="Cash"/>
    <s v="JF5V+JR Long Cang, Long An, Việt NamJF5V+JR Long Cang, Long An, Việt Nam"/>
    <s v="13 Đ. Lê Thị Hồng, Gò Vấp, Hồ Chí Minh, Việt Nam13 Đ. Lê Thị Hồng, Gò Vấp, Hồ Chí Minh, Việt Nam"/>
    <n v="1"/>
    <x v="0"/>
    <x v="6"/>
    <d v="1899-12-30T07:36:13"/>
    <x v="131"/>
  </r>
  <r>
    <s v="3541261238191485337"/>
    <s v="chị hồng nhung"/>
    <x v="4"/>
    <n v="0"/>
    <s v=""/>
    <s v="NULL"/>
    <x v="0"/>
    <s v="2026-07-17 07:25:49"/>
    <s v="2026-07-17 07:35:48"/>
    <s v="NULL"/>
    <s v="NULL"/>
    <s v="2026-07-17 09:35:48"/>
    <s v=""/>
    <s v="106.496357"/>
    <s v="10.6127034"/>
    <s v="106.8708835"/>
    <s v="10.9513205"/>
    <n v="273240"/>
    <n v="0"/>
    <n v="273240"/>
    <s v="Cash"/>
    <s v="Công ty TNHH Công Nghệ CRM ( Việt Nam ) - CRM(越南)化工科技有限公司, đường số 14, Long Cang, Tây Ninh, Việt NamCông ty TNHH Công Nghệ CRM ( Việt Nam ) - CRM(越南)化工科技有限公司"/>
    <s v="Công ty Mesa - Biên Hòa, Đường Đồng Khởi, Tam Hiệp, Đồng Nai, Việt NamCông ty Mesa - Biên Hòa"/>
    <n v="1"/>
    <x v="0"/>
    <x v="6"/>
    <d v="1899-12-30T07:25:49"/>
    <x v="9"/>
  </r>
  <r>
    <s v="3541261238191485458"/>
    <s v="chị hồng nhung"/>
    <x v="4"/>
    <n v="2000937"/>
    <s v=""/>
    <s v="Motorcycle"/>
    <x v="2"/>
    <s v="2026-07-17 07:26:30"/>
    <s v="2026-07-17 08:57:00"/>
    <s v="2026-07-17 11:09:16"/>
    <s v="NULL"/>
    <s v=""/>
    <s v=""/>
    <s v="106.496357"/>
    <s v="10.6127034"/>
    <s v="106.8521626"/>
    <s v="10.9102814"/>
    <n v="240084"/>
    <n v="186121"/>
    <n v="53963"/>
    <s v="Cash"/>
    <s v="Công ty TNHH Công Nghệ CRM ( Việt Nam ) - CRM(越南)化工科技有限公司, đường số 14, Long Cang, Tây Ninh, Việt NamCông ty TNHH Công Nghệ CRM ( Việt Nam ) - CRM(越南)化工科技有限公司"/>
    <s v="Công ty Bibica Biên Hoà, Đường số 1, KCN Biên, Trấn Biên, Đồng Nai, Việt NamCông ty Bibica Biên Hoà"/>
    <n v="1"/>
    <x v="0"/>
    <x v="6"/>
    <d v="1899-12-30T07:26:30"/>
    <x v="14"/>
  </r>
  <r>
    <s v="3541262948821594376"/>
    <s v="chị hồng nhung"/>
    <x v="4"/>
    <n v="3931651"/>
    <s v=""/>
    <s v="Motorcycle"/>
    <x v="2"/>
    <s v="2026-07-17 07:27:53"/>
    <s v="2026-07-17 08:58:00"/>
    <s v="2026-07-17 10:52:13"/>
    <s v="NULL"/>
    <s v=""/>
    <s v=""/>
    <s v="106.4979375"/>
    <s v="10.6135625"/>
    <s v="106.98524271747435"/>
    <s v="10.794435916983845"/>
    <n v="275724"/>
    <n v="213750"/>
    <n v="61974"/>
    <s v="Cash"/>
    <s v="BW Thuan Dao Logistics Park, Long Cang, Tây Ninh, Việt NamBW Thuan Dao Logistics Park"/>
    <s v="QXVP+Q3 Long Thành, Đồng Nai, Việt NamQXVP+Q3 Long Thành, Đồng Nai, Việt Nam"/>
    <n v="1"/>
    <x v="0"/>
    <x v="6"/>
    <d v="1899-12-30T07:27:53"/>
    <x v="14"/>
  </r>
  <r>
    <s v="3541262948821594962"/>
    <s v="chị hồng nhung"/>
    <x v="4"/>
    <n v="0"/>
    <s v=""/>
    <s v="NULL"/>
    <x v="0"/>
    <s v="2026-07-17 07:31:09"/>
    <s v="2026-07-17 07:41:09"/>
    <s v="NULL"/>
    <s v="NULL"/>
    <s v="2026-07-17 10:17:06"/>
    <s v=""/>
    <s v="106.4992702"/>
    <s v="10.606825"/>
    <s v="106.78829921191715"/>
    <s v="10.845537499845936"/>
    <n v="214920"/>
    <n v="0"/>
    <n v="214920"/>
    <s v="Cash"/>
    <s v="Cty Phước Hưng LA ( Phân Bón Đầu Bò ), Long Cang, Tây Ninh, Việt NamCty Phước Hưng LA ( Phân Bón Đầu Bò )"/>
    <s v="3A Đ. Lê Văn Việt, Tăng Nhơn Phú, Hồ Chí Minh, Việt Nam3A Đ. Lê Văn Việt, Tăng Nhơn Phú, Hồ Chí Minh, Việt Nam"/>
    <n v="1"/>
    <x v="0"/>
    <x v="6"/>
    <d v="1899-12-30T07:31:09"/>
    <x v="132"/>
  </r>
  <r>
    <s v="3541262948863529766"/>
    <s v="chị hồng nhung"/>
    <x v="4"/>
    <n v="0"/>
    <s v=""/>
    <s v="NULL"/>
    <x v="0"/>
    <s v="2026-07-17 07:41:18"/>
    <s v="2026-07-17 07:51:18"/>
    <s v="NULL"/>
    <s v="NULL"/>
    <s v="2026-07-17 09:51:18"/>
    <s v=""/>
    <s v="106.5108578"/>
    <s v="10.6229679"/>
    <s v="106.7369988"/>
    <s v="10.9322267"/>
    <n v="219780"/>
    <n v="0"/>
    <n v="219780"/>
    <s v="Cash"/>
    <s v="Công ty TNHH EUROPEAN SNACK FOOD (VIỆT NAM), Đường Số 6, KCN, Mỹ Yên, Tây Ninh, Việt NamCông ty TNHH EUROPEAN SNACK FOOD (VIỆT NAM)"/>
    <s v="Công ty vinata 19 đường số 10. Kcn vsip1. Thuận an. Bình Dương, Đường số 10, An Phú, Hồ Chí Minh, Việt NamCông ty vinata 19 đường số 10. Kcn vsip1. Thuận an. Bình Dương"/>
    <n v="1"/>
    <x v="0"/>
    <x v="6"/>
    <d v="1899-12-30T07:41:18"/>
    <x v="4"/>
  </r>
  <r>
    <s v="3541262948863529829"/>
    <s v="chị hồng nhung"/>
    <x v="4"/>
    <n v="4142943"/>
    <s v=""/>
    <s v="Motorcycle"/>
    <x v="2"/>
    <s v="2026-07-17 07:41:38"/>
    <s v="2026-07-17 09:12:00"/>
    <s v="2026-07-17 10:28:04"/>
    <s v="2026-07-17 10:33:34"/>
    <s v=""/>
    <s v=""/>
    <s v="106.5108578"/>
    <s v="10.6229679"/>
    <s v="106.73876905794982"/>
    <s v="10.931984414881835"/>
    <n v="208548"/>
    <n v="161673"/>
    <n v="46875"/>
    <s v="Cash"/>
    <s v="Công ty TNHH EUROPEAN SNACK FOOD (VIỆT NAM), Đường Số 6, KCN, Mỹ Yên, Tây Ninh, Việt NamCông ty TNHH EUROPEAN SNACK FOOD (VIỆT NAM)"/>
    <s v="WPJQ+QG An Phú, Bình Dương, Việt NamWPJQ+QG An Phú, Bình Dương, Việt Nam"/>
    <n v="1"/>
    <x v="0"/>
    <x v="6"/>
    <d v="1899-12-30T07:41:38"/>
    <x v="14"/>
  </r>
  <r>
    <s v="3541263015066423606"/>
    <s v="chị hồng nhung"/>
    <x v="4"/>
    <n v="0"/>
    <s v=""/>
    <s v="NULL"/>
    <x v="0"/>
    <s v="2026-07-17 07:33:44"/>
    <s v="2026-07-17 07:43:43"/>
    <s v="NULL"/>
    <s v="NULL"/>
    <s v="2026-07-17 09:43:43"/>
    <s v=""/>
    <s v="106.4973945"/>
    <s v="10.6090006"/>
    <s v="106.7029375"/>
    <s v="10.8155625"/>
    <n v="240192"/>
    <n v="0"/>
    <n v="240192"/>
    <s v="Cash"/>
    <s v="CÔNG TY TNHH KUZCO VIỆT NAM, Long Cang, Tây Ninh, Việt NamCÔNG TY TNHH KUZCO VIỆT NAM"/>
    <s v="RP83+65F, Bình Thạnh, Hồ Chí Minh, Việt NamRP83+65F, Bình Thạnh, Hồ Chí Minh, Việt Nam"/>
    <n v="1"/>
    <x v="0"/>
    <x v="6"/>
    <d v="1899-12-30T07:33:44"/>
    <x v="9"/>
  </r>
  <r>
    <s v="3541264454367007702"/>
    <s v="chị hồng nhung"/>
    <x v="4"/>
    <n v="4179701"/>
    <s v=""/>
    <s v="Motorcycle"/>
    <x v="1"/>
    <s v="2026-07-17 07:39:41"/>
    <s v="2026-07-17 07:49:40"/>
    <s v="2026-07-17 07:43:44"/>
    <s v="NULL"/>
    <s v="2026-07-17 07:47:04"/>
    <s v=""/>
    <s v="106.5108578"/>
    <s v="10.6229679"/>
    <s v="106.6320003"/>
    <s v="11.1229655"/>
    <n v="289224"/>
    <n v="237405"/>
    <n v="51819"/>
    <s v="Cash"/>
    <s v="Công ty TNHH EUROPEAN SNACK FOOD (VIỆT NAM), Đường Số 6, KCN, Mỹ Yên, Tây Ninh, Việt NamCông ty TNHH EUROPEAN SNACK FOOD (VIỆT NAM)"/>
    <s v="Công Ty TNHH Yakult Việt Nam Tại Bình Dương - Cửa Hàng Bến Cát, Khu phố 6, Chánh Phú Hòa, Thới Hòa, Hồ Chí Minh, Việt NamCông Ty TNHH Yakult Việt Nam Tại Bình Dương - Cửa Hàng Bến Cát"/>
    <n v="1"/>
    <x v="0"/>
    <x v="6"/>
    <d v="1899-12-30T07:39:41"/>
    <x v="133"/>
  </r>
  <r>
    <s v="3541264454383792371"/>
    <s v="chị hồng nhung"/>
    <x v="4"/>
    <n v="0"/>
    <s v=""/>
    <s v="NULL"/>
    <x v="0"/>
    <s v="2026-07-17 07:40:56"/>
    <s v="2026-07-17 07:50:56"/>
    <s v="NULL"/>
    <s v="NULL"/>
    <s v="2026-07-17 09:50:56"/>
    <s v=""/>
    <s v="106.5108578"/>
    <s v="10.6229679"/>
    <s v="106.7369988"/>
    <s v="10.9322267"/>
    <n v="219780"/>
    <n v="0"/>
    <n v="219780"/>
    <s v="Cash"/>
    <s v="Công ty TNHH EUROPEAN SNACK FOOD (VIỆT NAM), Đường Số 6, KCN, Mỹ Yên, Tây Ninh, Việt NamCông ty TNHH EUROPEAN SNACK FOOD (VIỆT NAM)"/>
    <s v="Công ty vinata 19 đường số 10. Kcn vsip1. Thuận an. Bình Dương, Đường số 10, An Phú, Hồ Chí Minh, Việt NamCông ty vinata 19 đường số 10. Kcn vsip1. Thuận an. Bình Dương"/>
    <n v="1"/>
    <x v="0"/>
    <x v="6"/>
    <d v="1899-12-30T07:40:56"/>
    <x v="4"/>
  </r>
  <r>
    <s v="3541265388505624803"/>
    <s v="chị hồng nhung"/>
    <x v="4"/>
    <n v="0"/>
    <s v=""/>
    <s v="NULL"/>
    <x v="0"/>
    <s v="2026-07-17 07:31:59"/>
    <s v="2026-07-17 07:41:58"/>
    <s v="NULL"/>
    <s v="NULL"/>
    <s v="2026-07-17 10:01:06"/>
    <s v=""/>
    <s v="106.4992702"/>
    <s v="10.606825"/>
    <s v="106.8009646296997"/>
    <s v="10.857061675213279"/>
    <n v="297000"/>
    <n v="0"/>
    <n v="297000"/>
    <s v="Cash"/>
    <s v="Cty Phước Hưng LA ( Phân Bón Đầu Bò ), Long Cang, Tây Ninh, Việt NamCty Phước Hưng LA ( Phân Bón Đầu Bò )"/>
    <s v="130 Đ. Nam Cao, Tăng Nhơn Phú, Hồ Chí Minh, Việt Nam130 Đ. Nam Cao, Tăng Nhơn Phú, Hồ Chí Minh, Việt Nam"/>
    <n v="1"/>
    <x v="0"/>
    <x v="6"/>
    <d v="1899-12-30T07:31:59"/>
    <x v="134"/>
  </r>
  <r>
    <s v="3541269029094387751"/>
    <s v="chị hồng nhung"/>
    <x v="4"/>
    <n v="4221159"/>
    <s v=""/>
    <s v="Motorcycle"/>
    <x v="1"/>
    <s v="2026-07-17 07:37:34"/>
    <s v="2026-07-17 09:08:00"/>
    <s v="2026-07-17 11:01:21"/>
    <s v="NULL"/>
    <s v="2026-07-17 11:07:06"/>
    <s v=""/>
    <s v="106.4945620872803"/>
    <s v="10.609000600000003"/>
    <s v="106.6453858113922"/>
    <s v="10.799521871718646"/>
    <n v="168480"/>
    <n v="130611"/>
    <n v="37869"/>
    <s v="Cash"/>
    <s v="JF5V+JR Long Cang, Long An, Việt NamJF5V+JR Long Cang, Long An, Việt Nam"/>
    <s v="2/5/12 B Bình Giã, Tân Bình, Hồ Chí Minh, Việt Nam2/5/12 B Bình Giã, Tân Bình, Hồ Chí Minh, Việt Nam"/>
    <n v="1"/>
    <x v="0"/>
    <x v="6"/>
    <d v="1899-12-30T07:37:34"/>
    <x v="135"/>
  </r>
  <r>
    <s v="3541269029111161303"/>
    <s v="chị hồng nhung"/>
    <x v="4"/>
    <n v="3443850"/>
    <s v=""/>
    <s v="Motorcycle"/>
    <x v="2"/>
    <s v="2026-07-17 07:44:38"/>
    <s v="2026-07-17 09:15:00"/>
    <s v="2026-07-17 12:08:46"/>
    <s v="NULL"/>
    <s v=""/>
    <s v=""/>
    <s v="106.5144144"/>
    <s v="10.6231774"/>
    <s v="106.8521626"/>
    <s v="10.9102814"/>
    <n v="224532"/>
    <n v="174064"/>
    <n v="50468"/>
    <s v="Cash"/>
    <s v="CÔNG TY TNHH SẢN XUẤT NGŨ KIM HUNG HING HONG KONG (VIỆT NAM), Mỹ Yên, Tây Ninh, Việt NamCÔNG TY TNHH SẢN XUẤT NGŨ KIM HUNG HING HONG KONG (VIỆT NAM)"/>
    <s v="Công ty Bibica Biên Hoà, Đường số 1, KCN Biên, Trấn Biên, Đồng Nai, Việt NamCông ty Bibica Biên Hoà"/>
    <n v="1"/>
    <x v="0"/>
    <x v="6"/>
    <d v="1899-12-30T07:44:38"/>
    <x v="14"/>
  </r>
  <r>
    <s v="3541269324927029645"/>
    <s v="chị hồng nhung"/>
    <x v="4"/>
    <n v="0"/>
    <s v=""/>
    <s v="NULL"/>
    <x v="0"/>
    <s v="2026-07-17 07:39:56"/>
    <s v="2026-07-17 07:49:56"/>
    <s v="NULL"/>
    <s v="NULL"/>
    <s v="2026-07-17 12:09:07"/>
    <s v=""/>
    <s v="106.5108578"/>
    <s v="10.6229679"/>
    <s v="106.6320003"/>
    <s v="11.1229655"/>
    <n v="278424"/>
    <n v="0"/>
    <n v="278424"/>
    <s v="Cash"/>
    <s v="Công ty TNHH EUROPEAN SNACK FOOD (VIỆT NAM), Đường Số 6, KCN, Mỹ Yên, Tây Ninh, Việt NamCông ty TNHH EUROPEAN SNACK FOOD (VIỆT NAM)"/>
    <s v="Công Ty TNHH Yakult Việt Nam Tại Bình Dương - Cửa Hàng Bến Cát, Khu phố 6, Chánh Phú Hòa, Thới Hòa, Hồ Chí Minh, Việt NamCông Ty TNHH Yakult Việt Nam Tại Bình Dương - Cửa Hàng Bến Cát"/>
    <n v="1"/>
    <x v="0"/>
    <x v="6"/>
    <d v="1899-12-30T07:39:56"/>
    <x v="136"/>
  </r>
  <r>
    <s v="3541269324943814902"/>
    <s v="chị hồng nhung"/>
    <x v="4"/>
    <n v="0"/>
    <s v=""/>
    <s v="NULL"/>
    <x v="0"/>
    <s v="2026-07-17 07:44:17"/>
    <s v="2026-07-17 07:54:16"/>
    <s v="NULL"/>
    <s v="NULL"/>
    <s v="2026-07-17 10:14:19"/>
    <s v=""/>
    <s v="106.5144144"/>
    <s v="10.6231774"/>
    <s v="106.8521626"/>
    <s v="10.9102814"/>
    <n v="325188"/>
    <n v="0"/>
    <n v="325188"/>
    <s v="Cash"/>
    <s v="CÔNG TY TNHH SẢN XUẤT NGŨ KIM HUNG HING HONG KONG (VIỆT NAM), Mỹ Yên, Tây Ninh, Việt NamCÔNG TY TNHH SẢN XUẤT NGŨ KIM HUNG HING HONG KONG (VIỆT NAM)"/>
    <s v="Công ty Bibica Biên Hoà, Đường số 1, KCN Biên, Trấn Biên, Đồng Nai, Việt NamCông ty Bibica Biên Hoà"/>
    <n v="1"/>
    <x v="0"/>
    <x v="6"/>
    <d v="1899-12-30T07:44:17"/>
    <x v="137"/>
  </r>
  <r>
    <s v="3541269324943815306"/>
    <s v="chị hồng nhung"/>
    <x v="4"/>
    <n v="4458430"/>
    <s v=""/>
    <s v="Motorcycle"/>
    <x v="1"/>
    <s v="2026-07-17 07:46:15"/>
    <s v="2026-07-17 09:17:00"/>
    <s v="2026-07-17 07:49:47"/>
    <s v="NULL"/>
    <s v="2026-07-17 08:33:06"/>
    <s v=""/>
    <s v="106.5144144"/>
    <s v="10.6231774"/>
    <s v="106.9667823"/>
    <s v="10.7928312"/>
    <n v="352944"/>
    <n v="273613"/>
    <n v="79331"/>
    <s v="Cash"/>
    <s v="CÔNG TY TNHH SẢN XUẤT NGŨ KIM HUNG HING HONG KONG (VIỆT NAM), Mỹ Yên, Tây Ninh, Việt NamCÔNG TY TNHH SẢN XUẤT NGŨ KIM HUNG HING HONG KONG (VIỆT NAM)"/>
    <s v="QXV8+5P2, ĐT769, Long Thành, Đồng Nai, Việt NamQXV8+5P2, ĐT769, Long Thành, Đồng Nai, Việt Nam"/>
    <n v="1"/>
    <x v="0"/>
    <x v="6"/>
    <d v="1899-12-30T07:46:15"/>
    <x v="138"/>
  </r>
  <r>
    <s v="3541269546637943632"/>
    <s v="chị hồng nhung"/>
    <x v="4"/>
    <n v="0"/>
    <s v=""/>
    <s v="NULL"/>
    <x v="0"/>
    <s v="2026-07-17 07:47:18"/>
    <s v="2026-07-17 07:57:17"/>
    <s v="NULL"/>
    <s v="NULL"/>
    <s v="2026-07-17 09:57:17"/>
    <s v=""/>
    <s v="106.5139871"/>
    <s v="10.6277752"/>
    <s v="106.8045347"/>
    <s v="10.7835451"/>
    <n v="243540"/>
    <n v="0"/>
    <n v="243540"/>
    <s v="Cash"/>
    <s v="CÔNG TY TNHH ISHIKAWA KIKOU VIỆT NAM, Đ. Số 13, KCN Phúc Long, Mỹ Yên, Tây Ninh, Việt NamCÔNG TY TNHH ISHIKAWA KIKOU VIỆT NAM"/>
    <s v="Công Ty Thủ Đức Land, Gò Cát, Long Trường, Hồ Chí Minh, Việt NamCông Ty Thủ Đức Land"/>
    <n v="1"/>
    <x v="0"/>
    <x v="6"/>
    <d v="1899-12-30T07:47:18"/>
    <x v="9"/>
  </r>
  <r>
    <s v="3541269546654716228"/>
    <s v="chị hồng nhung"/>
    <x v="4"/>
    <n v="3104174"/>
    <s v=""/>
    <s v="Motorcycle"/>
    <x v="2"/>
    <s v="2026-07-17 07:49:47"/>
    <s v="2026-07-17 07:59:46"/>
    <s v="2026-07-17 10:00:15"/>
    <s v="NULL"/>
    <s v=""/>
    <s v=""/>
    <s v="106.5139871"/>
    <s v="10.6277752"/>
    <s v="106.6419476"/>
    <s v="10.799048"/>
    <n v="150012"/>
    <n v="116294"/>
    <n v="33718"/>
    <s v="Cash"/>
    <s v="CÔNG TY TNHH ISHIKAWA KIKOU VIỆT NAM, Đ. Số 13, KCN Phúc Long, Mỹ Yên, Tây Ninh, Việt NamCÔNG TY TNHH ISHIKAWA KIKOU VIỆT NAM"/>
    <s v="Tân Bình, Hồ Chí Minh, Việt NamTân Bình"/>
    <n v="1"/>
    <x v="0"/>
    <x v="6"/>
    <d v="1899-12-30T07:49:47"/>
    <x v="14"/>
  </r>
  <r>
    <s v="3541270327416025629"/>
    <s v="chị hồng nhung"/>
    <x v="4"/>
    <n v="0"/>
    <s v=""/>
    <s v="NULL"/>
    <x v="0"/>
    <s v="2026-07-17 07:42:33"/>
    <s v="2026-07-17 07:52:33"/>
    <s v="NULL"/>
    <s v="NULL"/>
    <s v="2026-07-17 09:58:52"/>
    <s v=""/>
    <s v="106.5108578"/>
    <s v="10.6229679"/>
    <s v="106.7550816"/>
    <s v="10.9058533"/>
    <n v="294300"/>
    <n v="0"/>
    <n v="294300"/>
    <s v="Cash"/>
    <s v="Công ty TNHH EUROPEAN SNACK FOOD (VIỆT NAM), Đường Số 6, KCN, Mỹ Yên, Tây Ninh, Việt NamCông ty TNHH EUROPEAN SNACK FOOD (VIỆT NAM)"/>
    <s v="Công ty bất động sản Phú Thượng-TP Dĩ An-Bình Dương, Khu Phố Thống Nhất 1, Dĩ An, Hồ Chí Minh, Việt NamCông ty bất động sản Phú Thượng-TP Dĩ An-Bình Dương"/>
    <n v="1"/>
    <x v="0"/>
    <x v="6"/>
    <d v="1899-12-30T07:42:33"/>
    <x v="139"/>
  </r>
  <r>
    <s v="3541271770214658203"/>
    <s v="chị hồng nhung"/>
    <x v="4"/>
    <n v="0"/>
    <s v=""/>
    <s v="NULL"/>
    <x v="0"/>
    <s v="2026-07-17 07:43:13"/>
    <s v="2026-07-17 09:14:00"/>
    <s v="NULL"/>
    <s v="NULL"/>
    <s v="2026-07-24 09:28:09"/>
    <s v=""/>
    <s v="106.5108578"/>
    <s v="10.6229679"/>
    <s v="106.76047097224429"/>
    <s v="10.906338418759038"/>
    <n v="283500"/>
    <n v="0"/>
    <n v="283500"/>
    <s v="Cash"/>
    <s v="Công ty TNHH EUROPEAN SNACK FOOD (VIỆT NAM), Đường Số 6, KCN, Mỹ Yên, Tây Ninh, Việt NamCông ty TNHH EUROPEAN SNACK FOOD (VIỆT NAM)"/>
    <s v="WQ46+H69, Dĩ An, Hồ Chí Minh, Việt NamWQ46+H69, Dĩ An, Hồ Chí Minh, Việt Nam"/>
    <n v="1"/>
    <x v="0"/>
    <x v="6"/>
    <d v="1899-12-30T07:43:13"/>
    <x v="140"/>
  </r>
  <r>
    <s v="3541271770231432145"/>
    <s v="chị hồng nhung"/>
    <x v="4"/>
    <n v="0"/>
    <s v=""/>
    <s v="NULL"/>
    <x v="0"/>
    <s v="2026-07-17 07:51:41"/>
    <s v="2026-07-17 08:01:40"/>
    <s v="NULL"/>
    <s v="NULL"/>
    <s v="2026-07-17 10:01:40"/>
    <s v=""/>
    <s v="106.5039447"/>
    <s v="10.6433253"/>
    <s v="106.7369988"/>
    <s v="10.9322267"/>
    <n v="276156"/>
    <n v="0"/>
    <n v="276156"/>
    <s v="Cash"/>
    <s v="Công Ty Cổ Phần Nosafood - Nhà máy Bến Lức, Đường VL7, KCN Vĩnh Lộc 2 X, Mỹ Yên, Tây Ninh, Việt NamCông Ty Cổ Phần Nosafood - Nhà máy Bến Lức"/>
    <s v="Công ty vinata 19 đường số 10. Kcn vsip1. Thuận an. Bình Dương, Đường số 10, An Phú, Hồ Chí Minh, Việt NamCông ty vinata 19 đường số 10. Kcn vsip1. Thuận an. Bình Dương"/>
    <n v="1"/>
    <x v="0"/>
    <x v="6"/>
    <d v="1899-12-30T07:51:41"/>
    <x v="9"/>
  </r>
  <r>
    <s v="3541271770248205252"/>
    <s v="chị hồng nhung"/>
    <x v="4"/>
    <n v="4114293"/>
    <s v=""/>
    <s v="Motorcycle"/>
    <x v="1"/>
    <s v="2026-07-17 07:55:59"/>
    <s v="2026-07-17 08:05:59"/>
    <s v="2026-07-17 08:25:08"/>
    <s v="NULL"/>
    <s v="2026-07-17 08:28:46"/>
    <s v=""/>
    <s v="106.5162847"/>
    <s v="10.6451341"/>
    <s v="106.68045741957397"/>
    <s v="10.816831951923314"/>
    <n v="221616"/>
    <n v="171804"/>
    <n v="49812"/>
    <s v="Cash"/>
    <s v="CÔNG TY CỔ PHẦN TKMB, Đường VL1, KCN Vĩnh Lộc 2, Mỹ Yên, Tây Ninh, Việt NamCÔNG TY CỔ PHẦN TKMB"/>
    <s v="80 - 90Đ Đ. Nguyễn Thái Sơn, Hạnh Thông, Hồ Chí Minh, Việt Nam80 - 90Đ Đ. Nguyễn Thái Sơn, Hạnh Thông, Hồ Chí Minh, Việt Nam"/>
    <n v="1"/>
    <x v="0"/>
    <x v="6"/>
    <d v="1899-12-30T07:55:59"/>
    <x v="141"/>
  </r>
  <r>
    <s v="3541271881078497920"/>
    <s v="chị hồng nhung"/>
    <x v="4"/>
    <n v="3106185"/>
    <s v=""/>
    <s v="Motorcycle"/>
    <x v="1"/>
    <s v="2026-07-17 07:45:41"/>
    <s v="2026-07-17 09:16:00"/>
    <s v="2026-07-17 09:01:57"/>
    <s v="NULL"/>
    <s v="2026-07-17 09:24:17"/>
    <s v=""/>
    <s v="106.5144144"/>
    <s v="10.6231774"/>
    <s v="106.9654191"/>
    <s v="10.7938397"/>
    <n v="375516"/>
    <n v="291112"/>
    <n v="84404"/>
    <s v="Cash"/>
    <s v="CÔNG TY TNHH SẢN XUẤT NGŨ KIM HUNG HING HONG KONG (VIỆT NAM), Mỹ Yên, Tây Ninh, Việt NamCÔNG TY TNHH SẢN XUẤT NGŨ KIM HUNG HING HONG KONG (VIỆT NAM)"/>
    <s v="Công ty TNNHH TMDV LONG THANH FLY, Ấp Bình Lâm, Long Thành, Đồng Nai, Việt NamCông ty TNNHH TMDV LONG THANH FLY"/>
    <n v="1"/>
    <x v="0"/>
    <x v="6"/>
    <d v="1899-12-30T07:45:41"/>
    <x v="142"/>
  </r>
  <r>
    <s v="3541271881145610595"/>
    <s v="chị hồng nhung"/>
    <x v="4"/>
    <n v="4754401"/>
    <s v=""/>
    <s v="Motorcycle"/>
    <x v="2"/>
    <s v="2026-07-17 07:53:03"/>
    <s v="2026-07-17 08:03:02"/>
    <s v="2026-07-17 13:02:01"/>
    <s v="NULL"/>
    <s v=""/>
    <s v=""/>
    <s v="106.5039447"/>
    <s v="10.6433253"/>
    <s v="106.68364739262086"/>
    <s v="11.011151688958382"/>
    <n v="291384"/>
    <n v="225890"/>
    <n v="65494"/>
    <s v="Cash"/>
    <s v="Công Ty Cổ Phần Nosafood - Nhà máy Bến Lức, Đường VL7, KCN Vĩnh Lộc 2 X, Mỹ Yên, Tây Ninh, Việt NamCông Ty Cổ Phần Nosafood - Nhà máy Bến Lức"/>
    <s v="43 Đx 2, Bình Dương, Hồ Chí Minh, Việt Nam43 Đx 2, Bình Dương, Hồ Chí Minh, Việt Nam"/>
    <n v="1"/>
    <x v="0"/>
    <x v="6"/>
    <d v="1899-12-30T07:53:03"/>
    <x v="14"/>
  </r>
  <r>
    <s v="3541273104036881054"/>
    <s v="chị hồng nhung"/>
    <x v="4"/>
    <n v="0"/>
    <s v=""/>
    <s v="NULL"/>
    <x v="0"/>
    <s v="2026-07-17 07:47:58"/>
    <s v="2026-07-17 09:18:00"/>
    <s v="NULL"/>
    <s v="NULL"/>
    <s v="2026-07-21 11:47:02"/>
    <s v=""/>
    <s v="106.5139871"/>
    <s v="10.6277752"/>
    <s v="106.8081819"/>
    <s v="10.7844249"/>
    <n v="247212"/>
    <n v="0"/>
    <n v="247212"/>
    <s v="Cash"/>
    <s v="CÔNG TY TNHH ISHIKAWA KIKOU VIỆT NAM, Đ. Số 13, KCN Phúc Long, Mỹ Yên, Tây Ninh, Việt NamCÔNG TY TNHH ISHIKAWA KIKOU VIỆT NAM"/>
    <s v="QRM5+Q7C, Long Trường, Hồ Chí Minh, Việt NamQRM5+Q7C, Long Trường, Hồ Chí Minh, Việt Nam"/>
    <n v="1"/>
    <x v="0"/>
    <x v="6"/>
    <d v="1899-12-30T07:47:58"/>
    <x v="143"/>
  </r>
  <r>
    <s v="3541273104036881326"/>
    <s v="chị hồng nhung"/>
    <x v="4"/>
    <n v="0"/>
    <s v=""/>
    <s v="NULL"/>
    <x v="0"/>
    <s v="2026-07-17 07:49:12"/>
    <s v="2026-07-17 07:59:12"/>
    <s v="NULL"/>
    <s v="NULL"/>
    <s v="2026-07-17 09:59:12"/>
    <s v=""/>
    <s v="106.5139871"/>
    <s v="10.6277752"/>
    <s v="106.5922924"/>
    <s v="10.8863934"/>
    <n v="155736"/>
    <n v="0"/>
    <n v="155736"/>
    <s v="Cash"/>
    <s v="CÔNG TY TNHH ISHIKAWA KIKOU VIỆT NAM, Đ. Số 13, KCN Phúc Long, Mỹ Yên, Tây Ninh, Việt NamCÔNG TY TNHH ISHIKAWA KIKOU VIỆT NAM"/>
    <s v="Hóc Môn, Hồ Chí Minh, Việt NamHóc Môn"/>
    <n v="1"/>
    <x v="0"/>
    <x v="6"/>
    <d v="1899-12-30T07:49:12"/>
    <x v="4"/>
  </r>
  <r>
    <s v="3541273104053653930"/>
    <s v="chị hồng nhung"/>
    <x v="4"/>
    <n v="0"/>
    <s v=""/>
    <s v="NULL"/>
    <x v="0"/>
    <s v="2026-07-17 07:51:08"/>
    <s v="2026-07-17 08:01:07"/>
    <s v="NULL"/>
    <s v="NULL"/>
    <s v="2026-07-17 12:10:07"/>
    <s v=""/>
    <s v="106.5039447"/>
    <s v="10.6433253"/>
    <s v="106.6320003"/>
    <s v="11.1229655"/>
    <n v="340524"/>
    <n v="0"/>
    <n v="340524"/>
    <s v="Cash"/>
    <s v="Công Ty Cổ Phần Nosafood - Nhà máy Bến Lức, Đường VL7, KCN Vĩnh Lộc 2 X, Mỹ Yên, Tây Ninh, Việt NamCông Ty Cổ Phần Nosafood - Nhà máy Bến Lức"/>
    <s v="Công Ty TNHH Yakult Việt Nam Tại Bình Dương - Cửa Hàng Bến Cát, Khu phố 6, Chánh Phú Hòa, Thới Hòa, Hồ Chí Minh, Việt NamCông Ty TNHH Yakult Việt Nam Tại Bình Dương - Cửa Hàng Bến Cát"/>
    <n v="1"/>
    <x v="0"/>
    <x v="6"/>
    <d v="1899-12-30T07:51:08"/>
    <x v="144"/>
  </r>
  <r>
    <s v="3541273104078827685"/>
    <s v="chị hồng nhung"/>
    <x v="4"/>
    <n v="0"/>
    <s v=""/>
    <s v="NULL"/>
    <x v="0"/>
    <s v="2026-07-17 07:55:45"/>
    <s v="2026-07-17 08:05:44"/>
    <s v="NULL"/>
    <s v="NULL"/>
    <s v="2026-07-17 12:10:32"/>
    <s v=""/>
    <s v="106.5162847"/>
    <s v="10.6451341"/>
    <s v="106.6808222"/>
    <s v="10.8160732"/>
    <n v="185436"/>
    <n v="0"/>
    <n v="185436"/>
    <s v="Cash"/>
    <s v="CÔNG TY CỔ PHẦN TKMB, Đường VL1, KCN Vĩnh Lộc 2, Mỹ Yên, Tây Ninh, Việt NamCÔNG TY CỔ PHẦN TKMB"/>
    <s v="Gò Vấp Highschool, Đường Nguyễn Thái Sơn, Hạnh Thông, Hồ Chí Minh, Việt NamGò Vấp Highschool"/>
    <n v="1"/>
    <x v="0"/>
    <x v="6"/>
    <d v="1899-12-30T07:55:45"/>
    <x v="145"/>
  </r>
  <r>
    <s v="3541273309775884452"/>
    <s v="chị hồng nhung"/>
    <x v="4"/>
    <n v="3746922"/>
    <s v=""/>
    <s v="Motorcycle"/>
    <x v="2"/>
    <s v="2026-07-17 07:45:59"/>
    <s v="2026-07-17 09:16:00"/>
    <s v="2026-07-17 11:43:06"/>
    <s v="NULL"/>
    <s v=""/>
    <s v=""/>
    <s v="106.5144144"/>
    <s v="10.6231774"/>
    <s v="106.96702842540894"/>
    <s v="10.792163991948781"/>
    <n v="252936"/>
    <n v="196084"/>
    <n v="56852"/>
    <s v="Cash"/>
    <s v="CÔNG TY TNHH SẢN XUẤT NGŨ KIM HUNG HING HONG KONG (VIỆT NAM), Mỹ Yên, Tây Ninh, Việt NamCÔNG TY TNHH SẢN XUẤT NGŨ KIM HUNG HING HONG KONG (VIỆT NAM)"/>
    <s v="QXV8+5P2, ĐT769, Long Thành, Đồng Nai, Việt NamQXV8+5P2, ĐT769, Long Thành, Đồng Nai, Việt Nam"/>
    <n v="1"/>
    <x v="0"/>
    <x v="6"/>
    <d v="1899-12-30T07:45:59"/>
    <x v="14"/>
  </r>
  <r>
    <s v="3541273309775884679"/>
    <s v="chị hồng nhung"/>
    <x v="4"/>
    <n v="0"/>
    <s v=""/>
    <s v="NULL"/>
    <x v="0"/>
    <s v="2026-07-17 07:47:05"/>
    <s v="2026-07-17 07:57:04"/>
    <s v="NULL"/>
    <s v="NULL"/>
    <s v="2026-07-17 09:57:04"/>
    <s v=""/>
    <s v="106.5139871"/>
    <s v="10.6277752"/>
    <s v="106.8045347"/>
    <s v="10.7835451"/>
    <n v="177012"/>
    <n v="0"/>
    <n v="177012"/>
    <s v="Cash"/>
    <s v="CÔNG TY TNHH ISHIKAWA KIKOU VIỆT NAM, Đ. Số 13, KCN Phúc Long, Mỹ Yên, Tây Ninh, Việt NamCÔNG TY TNHH ISHIKAWA KIKOU VIỆT NAM"/>
    <s v="Công Ty Thủ Đức Land, Gò Cát, Long Trường, Hồ Chí Minh, Việt NamCông Ty Thủ Đức Land"/>
    <n v="1"/>
    <x v="0"/>
    <x v="6"/>
    <d v="1899-12-30T07:47:05"/>
    <x v="9"/>
  </r>
  <r>
    <s v="3541273309801046721"/>
    <s v="chị hồng nhung"/>
    <x v="4"/>
    <n v="1802383"/>
    <s v=""/>
    <s v="Motorcycle"/>
    <x v="1"/>
    <s v="2026-07-17 07:52:46"/>
    <s v="2026-07-17 08:02:46"/>
    <s v="2026-07-17 08:35:06"/>
    <s v="NULL"/>
    <s v="2026-07-17 08:39:26"/>
    <s v=""/>
    <s v="106.5039447"/>
    <s v="10.6433253"/>
    <s v="106.6798923"/>
    <s v="11.0139846"/>
    <n v="293328"/>
    <n v="240773"/>
    <n v="52555"/>
    <s v="Cash"/>
    <s v="Công Ty Cổ Phần Nosafood - Nhà máy Bến Lức, Đường VL7, KCN Vĩnh Lộc 2 X, Mỹ Yên, Tây Ninh, Việt NamCông Ty Cổ Phần Nosafood - Nhà máy Bến Lức"/>
    <s v="Thủ dầu một, Đường ĐX-025, Bình Dương, Hồ Chí Minh, Việt NamThủ dầu một"/>
    <n v="1"/>
    <x v="0"/>
    <x v="6"/>
    <d v="1899-12-30T07:52:46"/>
    <x v="146"/>
  </r>
  <r>
    <s v="3541273309817819399"/>
    <s v="chị hồng nhung"/>
    <x v="4"/>
    <n v="4190489"/>
    <s v=""/>
    <s v="Motorcycle"/>
    <x v="1"/>
    <s v="2026-07-17 07:55:12"/>
    <s v="2026-07-17 08:05:12"/>
    <s v="2026-07-17 09:51:56"/>
    <s v="2026-07-17 09:52:14"/>
    <s v="2026-07-17 10:02:09"/>
    <s v=""/>
    <s v="106.5162847"/>
    <s v="10.6451341"/>
    <s v="106.6216471"/>
    <s v="10.8750776"/>
    <n v="193860"/>
    <n v="159127"/>
    <n v="34733"/>
    <s v="Cash"/>
    <s v="CÔNG TY CỔ PHẦN TKMB, Đường VL1, KCN Vĩnh Lộc 2, Mỹ Yên, Tây Ninh, Việt NamCÔNG TY CỔ PHẦN TKMB"/>
    <s v="Hoc mon, Thới Tam Thôn 17, Đông Thạnh, Hồ Chí Minh, Việt NamHoc mon"/>
    <n v="1"/>
    <x v="0"/>
    <x v="6"/>
    <d v="1899-12-30T07:55:12"/>
    <x v="147"/>
  </r>
  <r>
    <s v="3541273923100565837"/>
    <s v="chị hồng nhung"/>
    <x v="4"/>
    <n v="3439367"/>
    <s v=""/>
    <s v="Motorcycle"/>
    <x v="2"/>
    <s v="2026-07-17 07:52:26"/>
    <s v="2026-07-17 08:02:26"/>
    <s v="2026-07-17 10:02:59"/>
    <s v="NULL"/>
    <s v=""/>
    <s v=""/>
    <s v="106.5039447"/>
    <s v="10.6433253"/>
    <s v="106.8023397"/>
    <s v="11.0762325"/>
    <n v="343332"/>
    <n v="266162"/>
    <n v="77170"/>
    <s v="Cash"/>
    <s v="Công Ty Cổ Phần Nosafood - Nhà máy Bến Lức, Đường VL7, KCN Vĩnh Lộc 2 X, Mỹ Yên, Tây Ninh, Việt NamCông Ty Cổ Phần Nosafood - Nhà máy Bến Lức"/>
    <s v="Tân Uyen bình dương, Tân Uyên, Hồ Chí Minh, Việt NamTân Uyen bình dương"/>
    <n v="1"/>
    <x v="0"/>
    <x v="6"/>
    <d v="1899-12-30T07:52:26"/>
    <x v="14"/>
  </r>
  <r>
    <s v="3541273923117339657"/>
    <s v="chị hồng nhung"/>
    <x v="4"/>
    <n v="3711577"/>
    <s v=""/>
    <s v="Motorcycle"/>
    <x v="1"/>
    <s v="2026-07-17 07:59:14"/>
    <s v="2026-07-17 08:09:13"/>
    <s v="2026-07-17 08:02:53"/>
    <s v="NULL"/>
    <s v="2026-07-17 08:05:53"/>
    <s v=""/>
    <s v="106.5083845"/>
    <s v="10.6428394"/>
    <s v="106.9833759"/>
    <s v="10.7944043"/>
    <n v="427140"/>
    <n v="350611"/>
    <n v="76529"/>
    <s v="Cash"/>
    <s v="CÔNG TY TNHH BIBICA MIỀN TÂY, 9 VL3, KCN Vĩnh Lộc 2, Mỹ Yên, Tây Ninh, Việt NamCÔNG TY TNHH BIBICA MIỀN TÂY"/>
    <s v="Cong Ty Changshin Long Thanh, Long Thành, Đồng Nai, Việt NamCong Ty Changshin Long Thanh"/>
    <n v="1"/>
    <x v="0"/>
    <x v="6"/>
    <d v="1899-12-30T07:59:14"/>
    <x v="148"/>
  </r>
  <r>
    <s v="3541277198650659096"/>
    <s v="chị hồng nhung"/>
    <x v="4"/>
    <n v="0"/>
    <s v=""/>
    <s v="NULL"/>
    <x v="0"/>
    <s v="2026-07-17 07:53:24"/>
    <s v="2026-07-17 08:03:24"/>
    <s v="NULL"/>
    <s v="NULL"/>
    <s v="2026-07-17 10:03:24"/>
    <s v=""/>
    <s v="106.5039447"/>
    <s v="10.6433253"/>
    <s v="106.7550816"/>
    <s v="10.9058533"/>
    <n v="269784"/>
    <n v="0"/>
    <n v="269784"/>
    <s v="Cash"/>
    <s v="Công Ty Cổ Phần Nosafood - Nhà máy Bến Lức, Đường VL7, KCN Vĩnh Lộc 2 X, Mỹ Yên, Tây Ninh, Việt NamCông Ty Cổ Phần Nosafood - Nhà máy Bến Lức"/>
    <s v="Công ty bất động sản Phú Thượng-TP Dĩ An-Bình Dương, Khu Phố Thống Nhất 1, Dĩ An, Hồ Chí Minh, Việt NamCông ty bất động sản Phú Thượng-TP Dĩ An-Bình Dương"/>
    <n v="1"/>
    <x v="0"/>
    <x v="6"/>
    <d v="1899-12-30T07:53:24"/>
    <x v="4"/>
  </r>
  <r>
    <s v="3541278103487865154"/>
    <s v="chị hồng nhung"/>
    <x v="4"/>
    <n v="0"/>
    <s v=""/>
    <s v="NULL"/>
    <x v="0"/>
    <s v="2026-07-17 07:59:03"/>
    <s v="2026-07-17 08:09:03"/>
    <s v="NULL"/>
    <s v="NULL"/>
    <s v="2026-07-17 10:09:03"/>
    <s v=""/>
    <s v="106.5083845"/>
    <s v="10.6428394"/>
    <s v="106.9833759"/>
    <s v="10.7944043"/>
    <n v="324540"/>
    <n v="0"/>
    <n v="324540"/>
    <s v="Cash"/>
    <s v="CÔNG TY TNHH BIBICA MIỀN TÂY, 9 VL3, KCN Vĩnh Lộc 2, Mỹ Yên, Tây Ninh, Việt NamCÔNG TY TNHH BIBICA MIỀN TÂY"/>
    <s v="Cong Ty Changshin Long Thanh, Long Thành, Đồng Nai, Việt NamCong Ty Changshin Long Thanh"/>
    <n v="1"/>
    <x v="0"/>
    <x v="6"/>
    <d v="1899-12-30T07:59:03"/>
    <x v="4"/>
  </r>
  <r>
    <s v="3555810607947280657"/>
    <s v=""/>
    <x v="5"/>
    <n v="3187647"/>
    <s v=""/>
    <s v="Motorcycle"/>
    <x v="2"/>
    <s v="2026-08-06 09:06:23"/>
    <s v="2026-08-06 09:16:00"/>
    <s v="2026-08-06 10:18:38"/>
    <s v="NULL"/>
    <s v=""/>
    <s v=""/>
    <s v="106.35876595973969"/>
    <s v="10.47767355394537"/>
    <s v="106.69982861727476"/>
    <s v="10.822285068014995"/>
    <n v="209736"/>
    <n v="162594"/>
    <n v="47142"/>
    <s v="Cash"/>
    <s v="Việt Nam, Tien Giang, Châu Thành District, Tân Hương, IZLOT AIII,1 5 TAN HUONGYMUV CO., LTD"/>
    <s v="420 Cầu Rạch Lăng, Phường 13, Quận Bình Thạnh, Hồ Chí Minh, Việt Nam420 Cầu Rạch Lăng"/>
    <n v="1"/>
    <x v="1"/>
    <x v="7"/>
    <d v="1899-12-30T09:06:23"/>
    <x v="14"/>
  </r>
  <r>
    <s v="3555811090141245922"/>
    <s v=""/>
    <x v="5"/>
    <n v="4600219"/>
    <s v=""/>
    <s v="Motorcycle"/>
    <x v="2"/>
    <s v="2026-08-06 09:07:46"/>
    <s v="2026-08-06 09:17:00"/>
    <s v="2026-08-06 09:41:56"/>
    <s v="NULL"/>
    <s v=""/>
    <s v=""/>
    <s v="106.30591973662376"/>
    <s v="10.47547157545982"/>
    <s v="106.66079677641392"/>
    <s v="10.748307649294466"/>
    <n v="334476"/>
    <n v="259296"/>
    <n v="75180"/>
    <s v="Cash"/>
    <s v="Lô 55 , 55B, KCN Long Giang, Tân Lập 1, Tân Phước, Tiền Giang, Việt NamCông Ty Nissei Tiền Giang"/>
    <s v="331 Đ. Bình Đông, Phường Xóm Củi, Quận 8, Thành phố Hồ Chí Minh, Việt Nam331 Đường Bình Đông"/>
    <n v="1"/>
    <x v="1"/>
    <x v="7"/>
    <d v="1899-12-30T09:07:46"/>
    <x v="14"/>
  </r>
  <r>
    <s v="3555812321018467251"/>
    <s v=""/>
    <x v="5"/>
    <n v="1528635"/>
    <s v=""/>
    <s v="Motorcycle"/>
    <x v="2"/>
    <s v="2026-08-06 09:11:07"/>
    <s v="2026-08-06 09:21:00"/>
    <s v="2026-08-06 09:41:24"/>
    <s v="NULL"/>
    <s v=""/>
    <s v=""/>
    <s v="106.40396486967802"/>
    <s v="10.540829274870623"/>
    <s v="106.5066804"/>
    <s v="10.9583608"/>
    <n v="258876"/>
    <n v="200689"/>
    <n v="58187"/>
    <s v="Cash"/>
    <s v="Đường Hùng Vương,82111Dịch Vụ Du Lịch MQ"/>
    <s v="Chi Nhánh Củ Chi, Quốc lộ 22, Ấp Thượng, Tân Thông Hội, Củ Chi, Hồ Chí Minh, Việt NamCu Chi Branch"/>
    <n v="1"/>
    <x v="1"/>
    <x v="7"/>
    <d v="1899-12-30T09:11:07"/>
    <x v="14"/>
  </r>
  <r>
    <s v="3555812321035252098"/>
    <s v=""/>
    <x v="5"/>
    <n v="4190254"/>
    <s v=""/>
    <s v="Motorcycle"/>
    <x v="2"/>
    <s v="2026-08-06 09:11:56"/>
    <s v="2026-08-06 09:21:00"/>
    <s v="2026-08-06 10:17:22"/>
    <s v="NULL"/>
    <s v=""/>
    <s v=""/>
    <s v="106.36431645601988"/>
    <s v="10.547799633593456"/>
    <s v="106.6745497"/>
    <s v="10.7638036"/>
    <n v="201744"/>
    <n v="156398"/>
    <n v="45346"/>
    <s v="Cash"/>
    <s v="Lô F1, Khu F, Cụm Công Nghiệp Lợi Bình Nhơn, Ấp Rạch Chanh, Xã Lợi Bình Nhơn, Thành Phố Tân An, Tỉnh Long An, Lợi Bình Nhơn, Tân An, Long An, Việt NamCông Ty TNHH TEXRAY"/>
    <s v="Can Đước Long An, Phường 2, Quận 10, Hồ Chí Minh, Việt NamCan Đước Long An"/>
    <n v="1"/>
    <x v="1"/>
    <x v="7"/>
    <d v="1899-12-30T09:11:56"/>
    <x v="14"/>
  </r>
  <r>
    <s v="3555814273114661912"/>
    <s v=""/>
    <x v="5"/>
    <n v="4749242"/>
    <s v=""/>
    <s v="Motorcycle"/>
    <x v="2"/>
    <s v="2026-08-06 09:16:57"/>
    <s v="2026-08-06 09:26:00"/>
    <s v="2026-08-06 10:41:53"/>
    <s v="NULL"/>
    <s v=""/>
    <s v=""/>
    <s v="106.3077949360013"/>
    <s v="10.471455619625091"/>
    <s v="106.6079746"/>
    <s v="10.6980736"/>
    <n v="207360"/>
    <n v="160752"/>
    <n v="46608"/>
    <s v="Cash"/>
    <s v="Ebisuya Vietnam co, ltd., Tân Lập 1, Tân Phước, Tiền Giang, Việt NamEbisuya Vietnam co, ltd."/>
    <s v="Phường 7, Quận 8, Hồ Chí Minh, Việt NamBen Luc KDC"/>
    <n v="1"/>
    <x v="1"/>
    <x v="7"/>
    <d v="1899-12-30T09:16:57"/>
    <x v="14"/>
  </r>
  <r>
    <s v="3555818294881772340"/>
    <s v=""/>
    <x v="5"/>
    <n v="2738333"/>
    <s v=""/>
    <s v="Motorcycle"/>
    <x v="2"/>
    <s v="2026-08-06 09:20:41"/>
    <s v="2026-08-06 09:30:00"/>
    <s v="2026-08-06 10:16:59"/>
    <s v="NULL"/>
    <s v=""/>
    <s v=""/>
    <s v="106.37618087232113"/>
    <s v="10.496396497023365"/>
    <s v="106.8426249"/>
    <s v="10.9574859"/>
    <n v="337608"/>
    <n v="261724"/>
    <n v="75884"/>
    <s v="Cash"/>
    <s v="QL1A, Khánh Hậu, Tp. Tân An, Long An, Việt NamCông Ty Tnhh Tiền Vệ"/>
    <s v="Tp. Biên Hòa, Đồng Nai, Việt NamBien Hoa"/>
    <n v="1"/>
    <x v="1"/>
    <x v="7"/>
    <d v="1899-12-30T09:20:41"/>
    <x v="14"/>
  </r>
  <r>
    <s v="3555819706164404450"/>
    <s v=""/>
    <x v="5"/>
    <n v="4629889"/>
    <s v=""/>
    <s v="Motorcycle"/>
    <x v="1"/>
    <s v="2026-08-06 09:22:14"/>
    <s v="2026-08-06 09:32:00"/>
    <s v="2026-08-06 09:22:46"/>
    <s v="NULL"/>
    <s v="2026-08-06 09:50:04"/>
    <s v=""/>
    <s v="106.42009936273098"/>
    <s v="10.5610193798503"/>
    <s v="106.3282402"/>
    <s v="10.3435132"/>
    <n v="109296"/>
    <n v="84730"/>
    <n v="24566"/>
    <s v="Cash"/>
    <s v="11 Mai Bá Hương, Phường 5, Tân An, Long An, Việt Nam11 Mai Bá Hương"/>
    <s v="MY THO ASPHALT BERTH, Đường tỉnh 864, Trung An, Đồng Tháp, Việt NamMY THO ASPHALT BERTH"/>
    <n v="1"/>
    <x v="1"/>
    <x v="7"/>
    <d v="1899-12-30T09:22:14"/>
    <x v="149"/>
  </r>
  <r>
    <s v="3555820977189515536"/>
    <s v=""/>
    <x v="5"/>
    <n v="3187647"/>
    <s v=""/>
    <s v="Motorcycle"/>
    <x v="2"/>
    <s v="2026-08-06 09:28:21"/>
    <s v="2026-08-06 09:38:00"/>
    <s v="2026-08-06 10:30:04"/>
    <s v="NULL"/>
    <s v=""/>
    <s v=""/>
    <s v="106.35678179562092"/>
    <s v="10.483534320844804"/>
    <s v="106.664118"/>
    <s v="10.812805"/>
    <n v="244512"/>
    <n v="189553"/>
    <n v="54959"/>
    <s v="Cash"/>
    <s v="Đường D5, Tân Hương, Châu Thành, Tiền Giang, Việt NamCông Ty Tnhh Nhựa Việt Hoa"/>
    <s v="Phường Tân, Sơn Hoà, Ho Chi Minh City, VietnamSân Bay Tân Sơn Nhất Nhà Ga T1 - Đón Trả Khách Xe Máy"/>
    <n v="1"/>
    <x v="1"/>
    <x v="7"/>
    <d v="1899-12-30T09:28:21"/>
    <x v="14"/>
  </r>
  <r>
    <s v="3557214029799977633"/>
    <s v=""/>
    <x v="5"/>
    <n v="4442770"/>
    <s v=""/>
    <s v="Motorcycle"/>
    <x v="2"/>
    <s v="2026-08-08 07:51:42"/>
    <s v="2026-08-08 08:01:00"/>
    <s v="2026-08-08 08:15:30"/>
    <s v="NULL"/>
    <s v=""/>
    <s v=""/>
    <s v="106.40482183545828"/>
    <s v="10.538932645482333"/>
    <s v="106.4523684"/>
    <s v="10.7917876"/>
    <n v="207252"/>
    <n v="160668"/>
    <n v="46584"/>
    <s v="Cash"/>
    <s v="87 Đường Hùng Vương, Phường 2, Tân An, Long An, Việt Nam87 Đường Hùng Vương"/>
    <s v="Đức Hòa, Long An, Việt NamĐức Hòa"/>
    <n v="1"/>
    <x v="1"/>
    <x v="1"/>
    <d v="1899-12-30T07:51:42"/>
    <x v="14"/>
  </r>
  <r>
    <s v="3557215953643335911"/>
    <s v=""/>
    <x v="5"/>
    <n v="0"/>
    <s v=""/>
    <s v="NULL"/>
    <x v="0"/>
    <s v="2026-08-08 07:47:36"/>
    <s v="2026-08-08 07:57:00"/>
    <s v="NULL"/>
    <s v="NULL"/>
    <s v="2026-08-08 09:57:00"/>
    <s v=""/>
    <s v="106.30704157054424"/>
    <s v="10.475349261178936"/>
    <s v="106.71518325805664"/>
    <s v="10.965440296106818"/>
    <n v="373896"/>
    <n v="0"/>
    <n v="373896"/>
    <s v="Cash"/>
    <s v="Xã Tân Lập 1, Huyện Tân Phước, Tiền Giang, Việt NamNissei Electric Mytho"/>
    <s v="B5/14 khu phố Bình Thuận, Số 2, Thuận Giao, Thuận An, Bình Dương, Việt NamTrung Tâm Bán Trú Minh Trí"/>
    <n v="1"/>
    <x v="1"/>
    <x v="1"/>
    <d v="1899-12-30T07:47:36"/>
    <x v="150"/>
  </r>
  <r>
    <s v="3557219624204595372"/>
    <s v=""/>
    <x v="5"/>
    <n v="4830839"/>
    <s v=""/>
    <s v="Motorcycle"/>
    <x v="2"/>
    <s v="2026-08-08 07:48:34"/>
    <s v="2026-08-08 07:58:00"/>
    <s v="2026-08-08 09:33:10"/>
    <s v="NULL"/>
    <s v=""/>
    <s v=""/>
    <s v="106.34537369012833"/>
    <s v="10.49104366809813"/>
    <s v="106.5672462"/>
    <s v="10.6630417"/>
    <n v="167616"/>
    <n v="129941"/>
    <n v="37675"/>
    <s v="Cash"/>
    <s v="ĐT.866,84610Công Ty TNHH XD TTNT Thiên Long"/>
    <s v="Bình Chánh, Hồ Chí Minh, Việt NamBình Chánh"/>
    <n v="1"/>
    <x v="1"/>
    <x v="1"/>
    <d v="1899-12-30T07:48:34"/>
    <x v="14"/>
  </r>
  <r>
    <s v="3557219624229753040"/>
    <s v=""/>
    <x v="5"/>
    <n v="4546762"/>
    <s v=""/>
    <s v="Motorcycle"/>
    <x v="2"/>
    <s v="2026-08-08 07:57:48"/>
    <s v="2026-08-08 08:07:00"/>
    <s v="2026-08-08 08:24:23"/>
    <s v="NULL"/>
    <s v=""/>
    <s v=""/>
    <s v="106.43740430474281"/>
    <s v="10.598307019578503"/>
    <s v="106.4824395"/>
    <s v="10.9702698"/>
    <n v="277776"/>
    <n v="215341"/>
    <n v="62435"/>
    <s v="Cash"/>
    <s v="Thúy Quyên, Ấp 7, xã Nhị Thành, Huyện Thủ Thừa, Long An, Việt NamThúy Quyên"/>
    <s v="Xuyên Á, TT. Củ Chi, Củ Chi, Hồ Chí Minh, Việt NamChợ Củ Chi"/>
    <n v="1"/>
    <x v="1"/>
    <x v="1"/>
    <d v="1899-12-30T07:57:48"/>
    <x v="14"/>
  </r>
  <r>
    <s v="3557222551686177388"/>
    <s v=""/>
    <x v="5"/>
    <n v="2628447"/>
    <s v=""/>
    <s v="Motorcycle"/>
    <x v="2"/>
    <s v="2026-08-08 07:55:38"/>
    <s v="2026-08-08 08:05:00"/>
    <s v="2026-08-08 08:21:48"/>
    <s v="NULL"/>
    <s v=""/>
    <s v=""/>
    <s v="106.40680365264416"/>
    <s v="10.551649134157882"/>
    <s v="106.68053045868874"/>
    <s v="10.7601738352059"/>
    <n v="241056"/>
    <n v="186874"/>
    <n v="54182"/>
    <s v="Cash"/>
    <s v="Đường Nguyễn Thị Hạnh,82110Viet Hoa Co"/>
    <s v="Đường An Dương Vương,72711Cn3 Cong Ty Tnhh Thuong Mai Hung Thinh"/>
    <n v="1"/>
    <x v="1"/>
    <x v="1"/>
    <d v="1899-12-30T07:55:38"/>
    <x v="14"/>
  </r>
  <r>
    <s v="3558305772486221966"/>
    <s v=""/>
    <x v="5"/>
    <n v="4812588"/>
    <s v=""/>
    <s v="Motorcycle"/>
    <x v="1"/>
    <s v="2026-08-09 19:53:57"/>
    <s v="2026-08-09 20:03:00"/>
    <s v="2026-08-09 19:55:01"/>
    <s v="NULL"/>
    <s v="2026-08-09 20:03:05"/>
    <s v=""/>
    <s v="106.36265080422163"/>
    <s v="10.483945101157337"/>
    <s v="106.70368563383818"/>
    <s v="10.963277412743315"/>
    <n v="333180"/>
    <n v="258292"/>
    <n v="74888"/>
    <s v="Cash"/>
    <s v="Lồ,KI,1,KCN Tân Hương. Xã,Tân Hương,HChâu Thành, T, Tân Hương, Đồng Tháp, Việt NamQUANG VIET TIEN GIANG"/>
    <s v="10 Dc79, Phường, Thuận An, Bình Dương, Việt Nam10 Dc79"/>
    <n v="1"/>
    <x v="1"/>
    <x v="8"/>
    <d v="1899-12-30T19:53:57"/>
    <x v="151"/>
  </r>
  <r>
    <s v="3558641441897145039"/>
    <s v=""/>
    <x v="6"/>
    <n v="0"/>
    <s v=""/>
    <s v="NULL"/>
    <x v="0"/>
    <s v="2026-08-10 07:25:19"/>
    <s v="2026-08-10 07:35:19"/>
    <s v="NULL"/>
    <s v="NULL"/>
    <s v="2026-08-10 09:35:19"/>
    <s v=""/>
    <s v="106.4973945"/>
    <s v="10.6090006"/>
    <s v="106.7472637"/>
    <s v="10.7915587"/>
    <n v="158760"/>
    <n v="0"/>
    <n v="158760"/>
    <s v="Cash"/>
    <s v="CÔNG TY TNHH KUZCO VIỆT NAM, Long Cang, Tây Ninh, Việt NamCÔNG TY TNHH KUZCO VIỆT NAM"/>
    <s v="326C Lương Định Của, An Phú, Thành phố Thủ Đức, Thành phố Hồ Chí Minh, Việt NamCÔNG TY TNHH NBH GROUP"/>
    <n v="1"/>
    <x v="1"/>
    <x v="9"/>
    <d v="1899-12-30T07:25:19"/>
    <x v="4"/>
  </r>
  <r>
    <s v="3558643822080774599"/>
    <s v=""/>
    <x v="6"/>
    <n v="0"/>
    <s v=""/>
    <s v="NULL"/>
    <x v="0"/>
    <s v="2026-08-10 07:26:05"/>
    <s v="2026-08-10 07:36:04"/>
    <s v="NULL"/>
    <s v="NULL"/>
    <s v="2026-08-10 11:18:39"/>
    <s v=""/>
    <s v="106.4973945"/>
    <s v="10.6090006"/>
    <s v="106.5971334"/>
    <s v="10.8195378"/>
    <n v="177120"/>
    <n v="0"/>
    <n v="177120"/>
    <s v="Cash"/>
    <s v="CÔNG TY TNHH KUZCO VIỆT NAM, Long Cang, Tây Ninh, Việt NamCÔNG TY TNHH KUZCO VIỆT NAM"/>
    <s v="Đ. Số 4, khu công nghiệp vĩnh lộc, Bình Tân, Hồ Chí Minh 700000, Việt NamCông Ty TNHH Thang Máy Mitsu Nhật Bản"/>
    <n v="1"/>
    <x v="1"/>
    <x v="9"/>
    <d v="1899-12-30T07:26:05"/>
    <x v="152"/>
  </r>
  <r>
    <s v="3558645237146673873"/>
    <s v=""/>
    <x v="6"/>
    <n v="0"/>
    <s v=""/>
    <s v="NULL"/>
    <x v="0"/>
    <s v="2026-08-10 07:22:56"/>
    <s v="2026-08-10 07:32:56"/>
    <s v="NULL"/>
    <s v="NULL"/>
    <s v="2026-08-10 09:32:56"/>
    <s v=""/>
    <s v="106.4862504"/>
    <s v="10.6070757"/>
    <s v="106.8753459"/>
    <s v="10.9280319"/>
    <n v="272052"/>
    <n v="0"/>
    <n v="272052"/>
    <s v="Cash"/>
    <s v="Cụm Công Nghiệp Thị Trấn Bến Lức, Thị Trấn Bến Lức, Huyện Bến Lức, Long Cang, Tây Ninh, Việt NamCông Ty TNHH Sản Xuất Khuôn Đúc Chin Chen Fuh Việt Nam"/>
    <s v="14 Đường Số 19A, An Bình, Thành phố Biên Hòa, Đồng Nai, Việt NamCông Ty Cp Scavi Việt Nam"/>
    <n v="1"/>
    <x v="1"/>
    <x v="9"/>
    <d v="1899-12-30T07:22:56"/>
    <x v="4"/>
  </r>
  <r>
    <s v="3558645337818362360"/>
    <s v=""/>
    <x v="6"/>
    <n v="3746341"/>
    <s v=""/>
    <s v="Motorcycle"/>
    <x v="1"/>
    <s v="2026-08-10 07:20:59"/>
    <s v="2026-08-10 07:30:59"/>
    <s v="2026-08-10 07:52:49"/>
    <s v="NULL"/>
    <s v="2026-08-10 07:56:10"/>
    <s v=""/>
    <s v="106.4951745"/>
    <s v="10.6017856"/>
    <s v="106.7858547"/>
    <s v="11.0982788"/>
    <n v="319248"/>
    <n v="262049"/>
    <n v="57199"/>
    <s v="Cash"/>
    <s v="Lô F4,1, Lô F4,2 Đường Số 13, KCN Thuận Đạo mở rộng, Cần Đước, Long An, Việt NamCông ty TNHH Quick Pack Việt Nam"/>
    <s v="Phường Uyên Hưng, Thị Xã Tân Uyên, Bình Dương, Việt NamCông Ty Cổ Phần S Furniture"/>
    <n v="1"/>
    <x v="1"/>
    <x v="9"/>
    <d v="1899-12-30T07:20:59"/>
    <x v="153"/>
  </r>
  <r>
    <s v="3558645337835135228"/>
    <s v=""/>
    <x v="6"/>
    <n v="0"/>
    <s v=""/>
    <s v="NULL"/>
    <x v="0"/>
    <s v="2026-08-10 07:26:45"/>
    <s v="2026-08-10 07:36:45"/>
    <s v="NULL"/>
    <s v="NULL"/>
    <s v="2026-08-10 09:36:45"/>
    <s v=""/>
    <s v="106.4963994"/>
    <s v="10.6121206"/>
    <s v="106.7130717"/>
    <s v="10.8155619"/>
    <n v="213084"/>
    <n v="0"/>
    <n v="213084"/>
    <s v="Cash"/>
    <s v="Việt Nam, Long An, Cần Đước, Long Định, ROAD 14 LOT D1Công Ty Seapac Việt Nam"/>
    <s v="214 QL13, Phường 26, Bình Thạnh, Hồ Chí Minh, Việt NamCông Ty TNHH Việt Tân Phát"/>
    <n v="1"/>
    <x v="1"/>
    <x v="9"/>
    <d v="1899-12-30T07:26:45"/>
    <x v="4"/>
  </r>
  <r>
    <s v="3558649849832501932"/>
    <s v=""/>
    <x v="6"/>
    <n v="0"/>
    <s v=""/>
    <s v="NULL"/>
    <x v="0"/>
    <s v="2026-08-10 07:21:20"/>
    <s v="2026-08-10 07:31:20"/>
    <s v="NULL"/>
    <s v="NULL"/>
    <s v="2026-08-10 09:31:20"/>
    <s v=""/>
    <s v="106.4951745"/>
    <s v="10.6017856"/>
    <s v="106.7354427"/>
    <s v="10.9375918"/>
    <n v="243324"/>
    <n v="0"/>
    <n v="243324"/>
    <s v="Cash"/>
    <s v="Lô F4,1, Lô F4,2 Đường Số 13, KCN Thuận Đạo mở rộng, Cần Đước, Long An, Việt NamCông ty TNHH Quick Pack Việt Nam"/>
    <s v="40Vsip, Vietnam Singapore Industrial Part, Street No 6, An Phú, Thuận An, Bình Dương, Việt NamMidea Consumer Electric (Viet Nam) Co., Ltd"/>
    <n v="1"/>
    <x v="1"/>
    <x v="9"/>
    <d v="1899-12-30T07:21:20"/>
    <x v="4"/>
  </r>
  <r>
    <s v="3558649849849274490"/>
    <s v=""/>
    <x v="6"/>
    <n v="0"/>
    <s v=""/>
    <s v="NULL"/>
    <x v="0"/>
    <s v="2026-08-10 07:24:13"/>
    <s v="2026-08-10 07:34:13"/>
    <s v="NULL"/>
    <s v="NULL"/>
    <s v="2026-08-10 09:34:13"/>
    <s v=""/>
    <s v="106.4973945"/>
    <s v="10.6090006"/>
    <s v="106.9934938"/>
    <s v="10.7903866"/>
    <n v="287712"/>
    <n v="0"/>
    <n v="287712"/>
    <s v="Cash"/>
    <s v="CÔNG TY TNHH KUZCO VIỆT NAM, Long Cang, Tây Ninh, Việt NamCÔNG TY TNHH KUZCO VIỆT NAM"/>
    <s v="Long An, Long Thành, Đồng Nai, Việt NamCông ty TNHH Shin Heung Đồng Nai"/>
    <n v="1"/>
    <x v="1"/>
    <x v="9"/>
    <d v="1899-12-30T07:24:13"/>
    <x v="4"/>
  </r>
  <r>
    <s v="3558649849849274999"/>
    <s v=""/>
    <x v="6"/>
    <n v="3673691"/>
    <s v=""/>
    <s v="Motorcycle"/>
    <x v="2"/>
    <s v="2026-08-10 07:28:02"/>
    <s v="2026-08-10 07:38:02"/>
    <s v="2026-08-10 11:29:18"/>
    <s v="2026-08-10 11:51:07"/>
    <s v=""/>
    <s v=""/>
    <s v="106.4989894"/>
    <s v="10.6101417"/>
    <s v="106.6019287"/>
    <s v="11.13104801"/>
    <n v="429732"/>
    <n v="333142"/>
    <n v="96590"/>
    <s v="Cash"/>
    <s v="Long Định, Cần Đước, Long An, Việt NamOKIA OPTICAL VIETNAM"/>
    <s v="Đường D1, Mỹ Phước, Bến Cát, Bình Dương, Việt NamCông Ty Yazaki Eds Việt Nam Ltd"/>
    <n v="1"/>
    <x v="1"/>
    <x v="9"/>
    <d v="1899-12-30T07:28:02"/>
    <x v="14"/>
  </r>
  <r>
    <s v="3558654844485202287"/>
    <s v=""/>
    <x v="6"/>
    <n v="0"/>
    <s v=""/>
    <s v="NULL"/>
    <x v="0"/>
    <s v="2026-08-10 07:40:07"/>
    <s v="2026-08-10 07:50:06"/>
    <s v="NULL"/>
    <s v="NULL"/>
    <s v="2026-08-10 09:50:06"/>
    <s v=""/>
    <s v="106.5083764"/>
    <s v="10.6428357"/>
    <s v="106.8753459"/>
    <s v="10.9280319"/>
    <n v="246132"/>
    <n v="0"/>
    <n v="246132"/>
    <s v="Cash"/>
    <s v="CÔNG TY TNHH BIBICA MIỀN TÂY, 9 VL3, KCN Vĩnh Lộc 2, Long Hiệp, Bến Lức, Long An, Việt NamCÔNG TY TNHH BIBICA MIỀN TÂY"/>
    <s v="14 Đường Số 19A, An Bình, Thành phố Biên Hòa, Đồng Nai, Việt NamCông Ty Cp Scavi Việt Nam"/>
    <n v="1"/>
    <x v="1"/>
    <x v="9"/>
    <d v="1899-12-30T07:40:07"/>
    <x v="9"/>
  </r>
  <r>
    <s v="3558657311113433351"/>
    <s v=""/>
    <x v="6"/>
    <n v="4135833"/>
    <s v=""/>
    <s v="Motorcycle"/>
    <x v="2"/>
    <s v="2026-08-10 07:30:00"/>
    <s v="2026-08-10 07:39:59"/>
    <s v="2026-08-10 10:57:57"/>
    <s v="NULL"/>
    <s v=""/>
    <s v=""/>
    <s v="106.4878464"/>
    <s v="10.6193527"/>
    <s v="106.8021378"/>
    <s v="10.8263158"/>
    <n v="264600"/>
    <n v="205126"/>
    <n v="59474"/>
    <s v="Cash"/>
    <s v="Thị trấn, Bến Lức, Long An, Việt NamCÔNG TY TNHH RICHFIELD VN"/>
    <s v="2,1 Đ. D2, Tăng Nhơn Phú B, Quận 9, Hồ Chí Minh, Việt NamCông Ty TNHH MTV Daeyoung Electronics Vina"/>
    <n v="1"/>
    <x v="1"/>
    <x v="9"/>
    <d v="1899-12-30T07:30:00"/>
    <x v="14"/>
  </r>
  <r>
    <s v="3558657311146991909"/>
    <s v=""/>
    <x v="6"/>
    <n v="0"/>
    <s v=""/>
    <s v="NULL"/>
    <x v="0"/>
    <s v="2026-08-10 07:42:40"/>
    <s v="2026-08-10 07:52:40"/>
    <s v="NULL"/>
    <s v="NULL"/>
    <s v="2026-08-10 11:23:16"/>
    <s v=""/>
    <s v="106.5160984"/>
    <s v="10.6456516"/>
    <s v="106.6019287"/>
    <s v="11.13104801"/>
    <n v="222696"/>
    <n v="0"/>
    <n v="222696"/>
    <s v="Cash"/>
    <s v="Lô B2/1, 6 Đường VL1, KCN Vĩnh Lộc 2, Bến Lức, Long An, Việt NamCông ty Cổ Phần In DICA"/>
    <s v="Đường D1, Mỹ Phước, Bến Cát, Bình Dương, Việt NamCông Ty Yazaki Eds Việt Nam Ltd"/>
    <n v="1"/>
    <x v="1"/>
    <x v="9"/>
    <d v="1899-12-30T07:42:40"/>
    <x v="154"/>
  </r>
  <r>
    <s v="3558658020554789241"/>
    <s v=""/>
    <x v="6"/>
    <n v="0"/>
    <s v=""/>
    <s v="NULL"/>
    <x v="0"/>
    <s v="2026-08-10 07:31:29"/>
    <s v="2026-08-10 07:41:28"/>
    <s v="NULL"/>
    <s v="NULL"/>
    <s v="2026-08-10 09:41:28"/>
    <s v=""/>
    <s v="106.4888607"/>
    <s v="10.6238328"/>
    <s v="106.5971334"/>
    <s v="10.8195378"/>
    <n v="165888"/>
    <n v="0"/>
    <n v="165888"/>
    <s v="Cash"/>
    <s v="VP-Hiệp hội doanh nghiệp tỉnh Long An, Đường số 1, KCN Thuận Đạo, Bến Lức, Tây Ninh, Việt NamVP-Hiệp hội doanh nghiệp tỉnh Long An"/>
    <s v="Đ. Số 4, khu công nghiệp vĩnh lộc, Bình Tân, Hồ Chí Minh 700000, Việt NamCông Ty TNHH Thang Máy Mitsu Nhật Bản"/>
    <n v="1"/>
    <x v="1"/>
    <x v="9"/>
    <d v="1899-12-30T07:31:29"/>
    <x v="9"/>
  </r>
  <r>
    <s v="3558658020554789496"/>
    <s v=""/>
    <x v="6"/>
    <n v="0"/>
    <s v=""/>
    <s v="NULL"/>
    <x v="0"/>
    <s v="2026-08-10 07:33:10"/>
    <s v="2026-08-10 07:43:09"/>
    <s v="NULL"/>
    <s v="NULL"/>
    <s v="2026-08-10 09:43:09"/>
    <s v=""/>
    <s v="106.5144624"/>
    <s v="10.6231107"/>
    <s v="106.7130717"/>
    <s v="10.8155619"/>
    <n v="197640"/>
    <n v="0"/>
    <n v="197640"/>
    <s v="Cash"/>
    <s v="Lô E3,E4, Đường số 06, KCN Phúc, Bến Lức, Long An, Việt NamCÔNG TY TNHH SẢN XUẤT NGŨ KIM HUNG HING HONG KONG (VIỆT NAM)"/>
    <s v="214 QL13, Phường 26, Bình Thạnh, Hồ Chí Minh, Việt NamCông Ty TNHH Việt Tân Phát"/>
    <n v="1"/>
    <x v="1"/>
    <x v="9"/>
    <d v="1899-12-30T07:33:10"/>
    <x v="9"/>
  </r>
  <r>
    <s v="3558658020554789750"/>
    <s v=""/>
    <x v="6"/>
    <n v="0"/>
    <s v=""/>
    <s v="NULL"/>
    <x v="0"/>
    <s v="2026-08-10 07:34:44"/>
    <s v="2026-08-10 07:44:44"/>
    <s v="NULL"/>
    <s v="NULL"/>
    <s v="2026-08-10 09:44:44"/>
    <s v=""/>
    <s v="106.5138474"/>
    <s v="10.6194076"/>
    <s v="106.6653277"/>
    <s v="10.9741618"/>
    <n v="228960"/>
    <n v="0"/>
    <n v="228960"/>
    <s v="Cash"/>
    <s v="Lô F1, F2, F3, F4 Và Lô G1, G2 Đ. Số 1, Khu Công Nghiệp, Bến Lức, Long An, Việt NamCông ty TNHH MTV Dệt Công Nghệ Cao Yu Yuang Việt Nam"/>
    <s v="158 Ngô Gia Tự, Chánh Nghĩa, Thủ Dầu Một, Bình Dương 820000, Việt NamCông ty cổ phần Uniland"/>
    <n v="1"/>
    <x v="1"/>
    <x v="9"/>
    <d v="1899-12-30T07:34:44"/>
    <x v="4"/>
  </r>
  <r>
    <s v="3558658020571574888"/>
    <s v=""/>
    <x v="6"/>
    <n v="0"/>
    <s v=""/>
    <s v="NULL"/>
    <x v="0"/>
    <s v="2026-08-10 07:39:54"/>
    <s v="2026-08-10 07:49:53"/>
    <s v="NULL"/>
    <s v="NULL"/>
    <s v="2026-08-10 09:49:53"/>
    <s v=""/>
    <s v="106.5083764"/>
    <s v="10.6428357"/>
    <s v="106.7463687"/>
    <s v="10.8958149"/>
    <n v="201744"/>
    <n v="0"/>
    <n v="201744"/>
    <s v="Cash"/>
    <s v="CÔNG TY TNHH BIBICA MIỀN TÂY, 9 VL3, KCN Vĩnh Lộc 2, Long Hiệp, Bến Lức, Long An, Việt NamCÔNG TY TNHH BIBICA MIỀN TÂY"/>
    <s v="7A, Khu Công nghiệp sóng thần, 2 Thống Nhất, Quận, Dĩ An, Bình Dương, Việt NamCông Ty TNHH Eins Vina Co., Ltd"/>
    <n v="1"/>
    <x v="1"/>
    <x v="9"/>
    <d v="1899-12-30T07:39:54"/>
    <x v="9"/>
  </r>
  <r>
    <s v="3558658020571575077"/>
    <s v=""/>
    <x v="5"/>
    <n v="0"/>
    <s v=""/>
    <s v="NULL"/>
    <x v="0"/>
    <s v="2026-08-10 07:41:02"/>
    <s v="2026-08-10 07:51:00"/>
    <s v="NULL"/>
    <s v="NULL"/>
    <s v="2026-08-10 09:56:10"/>
    <s v=""/>
    <s v="106.36265080422163"/>
    <s v="10.483945101157337"/>
    <s v="106.58745411783457"/>
    <s v="10.887480290638445"/>
    <n v="269676"/>
    <n v="0"/>
    <n v="269676"/>
    <s v="Cash"/>
    <s v="Lồ,KI,1,KCN Tân Hương. Xã,Tân Hương,HChâu Thành, T, Tân Hương, Đồng Tháp, Việt NamQUANG VIET TIEN GIANG"/>
    <s v="47/3 Khu Phố 3, Hóc Môn, Hồ Chí Minh, Việt Nam3 Khu Phố 3"/>
    <n v="1"/>
    <x v="1"/>
    <x v="9"/>
    <d v="1899-12-30T07:41:02"/>
    <x v="155"/>
  </r>
  <r>
    <s v="3558658020588347614"/>
    <s v=""/>
    <x v="5"/>
    <n v="4411069"/>
    <s v=""/>
    <s v="Motorcycle"/>
    <x v="1"/>
    <s v="2026-08-10 07:43:08"/>
    <s v="2026-08-10 07:53:00"/>
    <s v="2026-08-10 08:08:52"/>
    <s v="NULL"/>
    <s v="2026-08-10 08:10:27"/>
    <s v=""/>
    <s v="106.30808964371681"/>
    <s v="10.457754294260605"/>
    <s v="106.75888884812593"/>
    <s v="10.89690368200605"/>
    <n v="354024"/>
    <n v="274451"/>
    <n v="79573"/>
    <s v="Cash"/>
    <s v="Xã Tân Lập 1, Huyện Tân Phước, Tiền Giang, Việt NamApache Rubber Room"/>
    <s v="Lô F, đường số 6, KCN Sóng thần 2, Dĩ An, Bình Dương, VietnamNippon Express Vietnam"/>
    <n v="1"/>
    <x v="1"/>
    <x v="9"/>
    <d v="1899-12-30T07:43:08"/>
    <x v="156"/>
  </r>
  <r>
    <s v="3558658020588348316"/>
    <s v=""/>
    <x v="6"/>
    <n v="0"/>
    <s v=""/>
    <s v="NULL"/>
    <x v="0"/>
    <s v="2026-08-10 07:47:05"/>
    <s v="2026-08-10 07:57:05"/>
    <s v="NULL"/>
    <s v="NULL"/>
    <s v="2026-08-10 09:57:05"/>
    <s v=""/>
    <s v="106.5576111"/>
    <s v="10.6433611"/>
    <s v="106.9934938"/>
    <s v="10.7903866"/>
    <n v="250560"/>
    <n v="0"/>
    <n v="250560"/>
    <s v="Cash"/>
    <s v="Công ty TNHH Manly, Đường tỉnh 835B, Ấp Phú Ân, Phước Lý, Tây Ninh, Việt NamCông ty TNHH Manly"/>
    <s v="Long An, Long Thành, Đồng Nai, Việt NamCông ty TNHH Shin Heung Đồng Nai"/>
    <n v="1"/>
    <x v="1"/>
    <x v="9"/>
    <d v="1899-12-30T07:47:05"/>
    <x v="4"/>
  </r>
  <r>
    <s v="3558658020588348464"/>
    <s v=""/>
    <x v="6"/>
    <n v="0"/>
    <s v=""/>
    <s v="NULL"/>
    <x v="0"/>
    <s v="2026-08-10 07:47:54"/>
    <s v="2026-08-10 07:57:54"/>
    <s v="NULL"/>
    <s v="NULL"/>
    <s v="2026-08-10 09:57:54"/>
    <s v=""/>
    <s v="106.55203210524901"/>
    <s v="10.648506653304972"/>
    <s v="106.645950950581"/>
    <s v="10.800682469083"/>
    <n v="129384"/>
    <n v="0"/>
    <n v="129384"/>
    <s v="Cash"/>
    <s v="JHX2+9WF, Phước Lý, Tây Ninh, Việt NamJHX2+9WF, Phước Lý, Tây Ninh, Việt Nam"/>
    <s v="2/5b Bình Giã, Tân Bình, Hồ Chí Minh, VietnamCông Ty Tnhh Thương Mại &amp; Dịch Vụ"/>
    <n v="1"/>
    <x v="1"/>
    <x v="9"/>
    <d v="1899-12-30T07:47:54"/>
    <x v="4"/>
  </r>
  <r>
    <s v="3558658787692999179"/>
    <s v=""/>
    <x v="6"/>
    <n v="0"/>
    <s v=""/>
    <s v="NULL"/>
    <x v="0"/>
    <s v="2026-08-10 07:33:37"/>
    <s v="2026-08-10 07:43:36"/>
    <s v="NULL"/>
    <s v="NULL"/>
    <s v="2026-08-10 09:43:36"/>
    <s v=""/>
    <s v="106.5144624"/>
    <s v="10.6231107"/>
    <s v="106.6221196"/>
    <s v="10.8241378"/>
    <n v="170964"/>
    <n v="0"/>
    <n v="170964"/>
    <s v="Cash"/>
    <s v="Lô E3,E4, Đường số 06, KCN Phúc, Bến Lức, Long An, Việt NamCÔNG TY TNHH SẢN XUẤT NGŨ KIM HUNG HING HONG KONG (VIỆT NAM)"/>
    <s v="26b Tân Thới Nhất 17, Tân Thới Nhất, Quận 12, Hồ Chí Minh 700000, Việt NamCông ty TNHH TM DV Trí Lực Việt"/>
    <n v="1"/>
    <x v="1"/>
    <x v="9"/>
    <d v="1899-12-30T07:33:37"/>
    <x v="9"/>
  </r>
  <r>
    <s v="3558658787692999280"/>
    <s v=""/>
    <x v="6"/>
    <n v="0"/>
    <s v=""/>
    <s v="NULL"/>
    <x v="0"/>
    <s v="2026-08-10 07:34:16"/>
    <s v="2026-08-10 07:44:16"/>
    <s v="NULL"/>
    <s v="NULL"/>
    <s v="2026-08-10 09:44:16"/>
    <s v=""/>
    <s v="106.5138474"/>
    <s v="10.6194076"/>
    <s v="106.7858547"/>
    <s v="11.0982788"/>
    <n v="287712"/>
    <n v="0"/>
    <n v="287712"/>
    <s v="Cash"/>
    <s v="Lô F1, F2, F3, F4 Và Lô G1, G2 Đ. Số 1, Khu Công Nghiệp, Bến Lức, Long An, Việt NamCông ty TNHH MTV Dệt Công Nghệ Cao Yu Yuang Việt Nam"/>
    <s v="Phường Uyên Hưng, Thị Xã Tân Uyên, Bình Dương, Việt NamCông Ty Cổ Phần S Furniture"/>
    <n v="1"/>
    <x v="1"/>
    <x v="9"/>
    <d v="1899-12-30T07:34:16"/>
    <x v="4"/>
  </r>
  <r>
    <s v="3558658787692999554"/>
    <s v=""/>
    <x v="6"/>
    <n v="0"/>
    <s v=""/>
    <s v="NULL"/>
    <x v="0"/>
    <s v="2026-08-10 07:35:57"/>
    <s v="2026-08-10 07:45:56"/>
    <s v="NULL"/>
    <s v="NULL"/>
    <s v="2026-08-10 09:45:56"/>
    <s v=""/>
    <s v="106.5121575"/>
    <s v="10.6216357"/>
    <s v="106.9934938"/>
    <s v="10.7903866"/>
    <n v="274104"/>
    <n v="0"/>
    <n v="274104"/>
    <s v="Cash"/>
    <s v="CÔNG TY TNHH SUNRICH VIỆT NAM, Đường Số 1, kcn Phúc, Long Hiệp, Bến Lức, Long An, Việt NamCÔNG TY TNHH SUNRICH VIỆT NAM"/>
    <s v="Long An, Long Thành, Đồng Nai, Việt NamCông ty TNHH Shin Heung Đồng Nai"/>
    <n v="1"/>
    <x v="1"/>
    <x v="9"/>
    <d v="1899-12-30T07:35:57"/>
    <x v="9"/>
  </r>
  <r>
    <s v="3558658787709772399"/>
    <s v=""/>
    <x v="6"/>
    <n v="0"/>
    <s v=""/>
    <s v="NULL"/>
    <x v="0"/>
    <s v="2026-08-10 07:40:19"/>
    <s v="2026-08-10 07:50:19"/>
    <s v="NULL"/>
    <s v="NULL"/>
    <s v="2026-08-10 09:50:19"/>
    <s v=""/>
    <s v="106.5083764"/>
    <s v="10.6428357"/>
    <s v="106.9934938"/>
    <s v="10.7903866"/>
    <n v="376056"/>
    <n v="0"/>
    <n v="376056"/>
    <s v="Cash"/>
    <s v="CÔNG TY TNHH BIBICA MIỀN TÂY, 9 VL3, KCN Vĩnh Lộc 2, Long Hiệp, Bến Lức, Long An, Việt NamCÔNG TY TNHH BIBICA MIỀN TÂY"/>
    <s v="Long An, Long Thành, Đồng Nai, Việt NamCông ty TNHH Shin Heung Đồng Nai"/>
    <n v="1"/>
    <x v="1"/>
    <x v="9"/>
    <d v="1899-12-30T07:40:19"/>
    <x v="4"/>
  </r>
  <r>
    <s v="3558659543791792718"/>
    <s v=""/>
    <x v="6"/>
    <n v="0"/>
    <s v=""/>
    <s v="NULL"/>
    <x v="0"/>
    <s v="2026-08-10 07:35:42"/>
    <s v="2026-08-10 07:45:42"/>
    <s v="NULL"/>
    <s v="NULL"/>
    <s v="2026-08-10 09:45:42"/>
    <s v=""/>
    <s v="106.5121575"/>
    <s v="10.6216357"/>
    <s v="106.8753459"/>
    <s v="10.9280319"/>
    <n v="248508"/>
    <n v="0"/>
    <n v="248508"/>
    <s v="Cash"/>
    <s v="CÔNG TY TNHH SUNRICH VIỆT NAM, Đường Số 1, kcn Phúc, Long Hiệp, Bến Lức, Long An, Việt NamCÔNG TY TNHH SUNRICH VIỆT NAM"/>
    <s v="14 Đường Số 19A, An Bình, Thành phố Biên Hòa, Đồng Nai, Việt NamCông Ty Cp Scavi Việt Nam"/>
    <n v="1"/>
    <x v="1"/>
    <x v="9"/>
    <d v="1899-12-30T07:35:42"/>
    <x v="4"/>
  </r>
  <r>
    <s v="3558659543833727263"/>
    <s v=""/>
    <x v="5"/>
    <n v="0"/>
    <s v="lay hang o cong so2"/>
    <s v="NULL"/>
    <x v="0"/>
    <s v="2026-08-10 07:45:50"/>
    <s v="2026-08-10 07:55:00"/>
    <s v="NULL"/>
    <s v="NULL"/>
    <s v="2026-08-10 10:14:38"/>
    <s v=""/>
    <s v="106.30853455513716"/>
    <s v="10.459037840403441"/>
    <s v="106.6707927"/>
    <s v="10.6103836"/>
    <n v="250884"/>
    <n v="0"/>
    <n v="250884"/>
    <s v="Cash"/>
    <s v="Tân Lập 1, Tân Phước, Tiền Giang, Việt NamCông ty TNHH Giay Apache Viet Nam"/>
    <s v="Trương Công Định, TT. Cần Giuộc, Cần Giuộc, Long An, Việt NamChợ Cần Giuộc"/>
    <n v="1"/>
    <x v="1"/>
    <x v="9"/>
    <d v="1899-12-30T07:45:50"/>
    <x v="157"/>
  </r>
  <r>
    <s v="3558659667188208124"/>
    <s v=""/>
    <x v="6"/>
    <n v="0"/>
    <s v=""/>
    <s v="NULL"/>
    <x v="0"/>
    <s v="2026-08-10 07:34:58"/>
    <s v="2026-08-10 07:44:58"/>
    <s v="NULL"/>
    <s v="NULL"/>
    <s v="2026-08-10 09:44:58"/>
    <s v=""/>
    <s v="106.5138474"/>
    <s v="10.6194076"/>
    <s v="106.7463687"/>
    <s v="10.8958149"/>
    <n v="278748"/>
    <n v="0"/>
    <n v="278748"/>
    <s v="Cash"/>
    <s v="Lô F1, F2, F3, F4 Và Lô G1, G2 Đ. Số 1, Khu Công Nghiệp, Bến Lức, Long An, Việt NamCông ty TNHH MTV Dệt Công Nghệ Cao Yu Yuang Việt Nam"/>
    <s v="7A, Khu Công nghiệp sóng thần, 2 Thống Nhất, Quận, Dĩ An, Bình Dương, Việt NamCông Ty TNHH Eins Vina Co., Ltd"/>
    <n v="1"/>
    <x v="1"/>
    <x v="9"/>
    <d v="1899-12-30T07:34:58"/>
    <x v="4"/>
  </r>
  <r>
    <s v="3558659667213382048"/>
    <s v=""/>
    <x v="6"/>
    <n v="0"/>
    <s v=""/>
    <s v="NULL"/>
    <x v="0"/>
    <s v="2026-08-10 07:40:48"/>
    <s v="2026-08-10 07:50:47"/>
    <s v="NULL"/>
    <s v="NULL"/>
    <s v="2026-08-10 09:50:47"/>
    <s v=""/>
    <s v="106.5116794"/>
    <s v="10.6375636"/>
    <s v="106.8021378"/>
    <s v="10.8263158"/>
    <n v="258012"/>
    <n v="0"/>
    <n v="258012"/>
    <s v="Cash"/>
    <s v="Lô D1 29,30, Đường VL2/Ấp Voi Lá, KCN Vĩnh Lộc 2, Bến Lức, Long An, Việt NamCÔNG TY TNHH NIPPOVINA"/>
    <s v="2,1 Đ. D2, Tăng Nhơn Phú B, Quận 9, Hồ Chí Minh, Việt NamCông Ty TNHH MTV Daeyoung Electronics Vina"/>
    <n v="1"/>
    <x v="1"/>
    <x v="9"/>
    <d v="1899-12-30T07:40:48"/>
    <x v="9"/>
  </r>
  <r>
    <s v="3558659667213382297"/>
    <s v=""/>
    <x v="6"/>
    <n v="0"/>
    <s v=""/>
    <s v="NULL"/>
    <x v="0"/>
    <s v="2026-08-10 07:42:12"/>
    <s v="2026-08-10 07:52:12"/>
    <s v="NULL"/>
    <s v="NULL"/>
    <s v="2026-08-10 09:52:12"/>
    <s v=""/>
    <s v="106.5160984"/>
    <s v="10.6456516"/>
    <s v="106.5814834"/>
    <s v="10.9037919"/>
    <n v="198720"/>
    <n v="0"/>
    <n v="198720"/>
    <s v="Cash"/>
    <s v="Lô B2/1, 6 Đường VL1, KCN Vĩnh Lộc 2, Bến Lức, Long An, Việt NamCông ty Cổ Phần In DICA"/>
    <s v="180/7B ấp Tân Thới 3, Tân Hiệp, Hóc Môn, Hồ Chí Minh, Việt NamThang Máng Cáp Bestray"/>
    <n v="1"/>
    <x v="1"/>
    <x v="9"/>
    <d v="1899-12-30T07:42:12"/>
    <x v="4"/>
  </r>
  <r>
    <s v="3558659760737973195"/>
    <s v=""/>
    <x v="6"/>
    <n v="0"/>
    <s v=""/>
    <s v="NULL"/>
    <x v="0"/>
    <s v="2026-08-10 07:38:01"/>
    <s v="2026-08-10 07:48:01"/>
    <s v="NULL"/>
    <s v="NULL"/>
    <s v="2026-08-10 09:48:01"/>
    <s v=""/>
    <s v="106.5140175"/>
    <s v="10.6283877"/>
    <s v="106.5814834"/>
    <s v="10.9037919"/>
    <n v="168588"/>
    <n v="0"/>
    <n v="168588"/>
    <s v="Cash"/>
    <s v="Lô B10, KCN Phúc Long, Đ. Số 13, Long Hiệp, Bến Lức, Long An, Việt NamCông ty TNHH Việt Nông Long An"/>
    <s v="180/7B ấp Tân Thới 3, Tân Hiệp, Hóc Môn, Hồ Chí Minh, Việt NamThang Máng Cáp Bestray"/>
    <n v="1"/>
    <x v="1"/>
    <x v="9"/>
    <d v="1899-12-30T07:38:01"/>
    <x v="4"/>
  </r>
  <r>
    <s v="3558659760763130605"/>
    <s v=""/>
    <x v="6"/>
    <n v="0"/>
    <s v=""/>
    <s v="NULL"/>
    <x v="0"/>
    <s v="2026-08-10 07:48:23"/>
    <s v="2026-08-10 07:58:22"/>
    <s v="NULL"/>
    <s v="NULL"/>
    <s v="2026-08-10 09:58:22"/>
    <s v=""/>
    <s v="106.55203210524901"/>
    <s v="10.648506653304972"/>
    <s v="106.7130717"/>
    <s v="10.8155619"/>
    <n v="166860"/>
    <n v="0"/>
    <n v="166860"/>
    <s v="Cash"/>
    <s v="JHX2+9WF, Phước Lý, Tây Ninh, Việt NamJHX2+9WF, Phước Lý, Tây Ninh, Việt Nam"/>
    <s v="214 QL13, Phường 26, Bình Thạnh, Hồ Chí Minh, Việt NamCông Ty TNHH Việt Tân Phát"/>
    <n v="1"/>
    <x v="1"/>
    <x v="9"/>
    <d v="1899-12-30T07:48:23"/>
    <x v="9"/>
  </r>
  <r>
    <s v="3558661427025896431"/>
    <s v=""/>
    <x v="6"/>
    <n v="0"/>
    <s v=""/>
    <s v="NULL"/>
    <x v="0"/>
    <s v="2026-08-10 07:41:17"/>
    <s v="2026-08-10 07:51:17"/>
    <s v="NULL"/>
    <s v="NULL"/>
    <s v="2026-08-10 09:51:17"/>
    <s v=""/>
    <s v="106.5116794"/>
    <s v="10.6375636"/>
    <s v="106.645950950581"/>
    <s v="10.800682469083"/>
    <n v="143208"/>
    <n v="0"/>
    <n v="143208"/>
    <s v="Cash"/>
    <s v="Lô D1 29,30, Đường VL2/Ấp Voi Lá, KCN Vĩnh Lộc 2, Bến Lức, Long An, Việt NamCÔNG TY TNHH NIPPOVINA"/>
    <s v="2/5b Bình Giã, Tân Bình, Hồ Chí Minh, VietnamCông Ty Tnhh Thương Mại &amp; Dịch Vụ"/>
    <n v="1"/>
    <x v="1"/>
    <x v="9"/>
    <d v="1899-12-30T07:41:17"/>
    <x v="4"/>
  </r>
  <r>
    <s v="3558661427042668741"/>
    <s v=""/>
    <x v="6"/>
    <n v="0"/>
    <s v=""/>
    <s v="NULL"/>
    <x v="0"/>
    <s v="2026-08-10 07:42:25"/>
    <s v="2026-08-10 07:52:25"/>
    <s v="NULL"/>
    <s v="NULL"/>
    <s v="2026-08-10 09:52:25"/>
    <s v=""/>
    <s v="106.5160984"/>
    <s v="10.6456516"/>
    <s v="106.6221196"/>
    <s v="10.8241378"/>
    <n v="160272"/>
    <n v="0"/>
    <n v="160272"/>
    <s v="Cash"/>
    <s v="Lô B2/1, 6 Đường VL1, KCN Vĩnh Lộc 2, Bến Lức, Long An, Việt NamCông ty Cổ Phần In DICA"/>
    <s v="26b Tân Thới Nhất 17, Tân Thới Nhất, Quận 12, Hồ Chí Minh 700000, Việt NamCông ty TNHH TM DV Trí Lực Việt"/>
    <n v="1"/>
    <x v="1"/>
    <x v="9"/>
    <d v="1899-12-30T07:42:25"/>
    <x v="4"/>
  </r>
  <r>
    <s v="3558662565678768832"/>
    <s v=""/>
    <x v="6"/>
    <n v="0"/>
    <s v=""/>
    <s v="NULL"/>
    <x v="0"/>
    <s v="2026-08-10 07:46:53"/>
    <s v="2026-08-10 07:56:52"/>
    <s v="NULL"/>
    <s v="NULL"/>
    <s v="2026-08-10 09:56:52"/>
    <s v=""/>
    <s v="106.5576111"/>
    <s v="10.6433611"/>
    <s v="106.8753459"/>
    <s v="10.9280319"/>
    <n v="224964"/>
    <n v="0"/>
    <n v="224964"/>
    <s v="Cash"/>
    <s v="Công ty TNHH Manly, Đường tỉnh 835B, Ấp Phú Ân, Phước Lý, Tây Ninh, Việt NamCông ty TNHH Manly"/>
    <s v="14 Đường Số 19A, An Bình, Thành phố Biên Hòa, Đồng Nai, Việt NamCông Ty Cp Scavi Việt Nam"/>
    <n v="1"/>
    <x v="1"/>
    <x v="9"/>
    <d v="1899-12-30T07:46:53"/>
    <x v="9"/>
  </r>
  <r>
    <s v="3558666359644840340"/>
    <s v=""/>
    <x v="6"/>
    <n v="4767625"/>
    <s v=""/>
    <s v="Motorcycle"/>
    <x v="4"/>
    <s v="2026-08-10 07:46:00"/>
    <s v="2026-08-10 07:55:59"/>
    <s v="2026-08-10 07:57:17"/>
    <s v="NULL"/>
    <s v="2026-08-20 07:56:59"/>
    <s v=""/>
    <s v="106.5732964"/>
    <s v="10.6491237"/>
    <s v="106.7354427"/>
    <s v="10.9375918"/>
    <n v="194940"/>
    <n v="151124"/>
    <n v="43816"/>
    <s v="Cash"/>
    <s v="CÔNG TY TNHH SX,TM NHỰA CHỢ LỚN, tổ 9, Phước Lý, Hồ Chí Minh, Long An, Việt NamCÔNG TY TNHH SX,TM NHỰA CHỢ LỚN"/>
    <s v="40Vsip, Vietnam Singapore Industrial Part, Street No 6, An Phú, Thuận An, Bình Dương, Việt NamMidea Consumer Electric (Viet Nam) Co., Ltd"/>
    <n v="1"/>
    <x v="1"/>
    <x v="9"/>
    <d v="1899-12-30T07:46:00"/>
    <x v="15"/>
  </r>
  <r>
    <s v="3558666359644840578"/>
    <s v=""/>
    <x v="6"/>
    <n v="0"/>
    <s v=""/>
    <s v="NULL"/>
    <x v="0"/>
    <s v="2026-08-10 07:47:18"/>
    <s v="2026-08-10 07:57:17"/>
    <s v="NULL"/>
    <s v="NULL"/>
    <s v="2026-08-10 09:57:17"/>
    <s v=""/>
    <s v="106.5576111"/>
    <s v="10.6433611"/>
    <s v="106.8021378"/>
    <s v="10.8263158"/>
    <n v="153468"/>
    <n v="0"/>
    <n v="153468"/>
    <s v="Cash"/>
    <s v="Công ty TNHH Manly, Đường tỉnh 835B, Ấp Phú Ân, Phước Lý, Tây Ninh, Việt NamCông ty TNHH Manly"/>
    <s v="2,1 Đ. D2, Tăng Nhơn Phú B, Quận 9, Hồ Chí Minh, Việt NamCông Ty TNHH MTV Daeyoung Electronics Vina"/>
    <n v="1"/>
    <x v="1"/>
    <x v="9"/>
    <d v="1899-12-30T07:47:18"/>
    <x v="9"/>
  </r>
  <r>
    <s v="3558666359678398690"/>
    <s v=""/>
    <x v="5"/>
    <n v="0"/>
    <s v=""/>
    <s v="NULL"/>
    <x v="0"/>
    <s v="2026-08-10 07:55:44"/>
    <s v="2026-08-10 08:05:00"/>
    <s v="NULL"/>
    <s v="NULL"/>
    <s v="2026-08-10 10:23:06"/>
    <s v=""/>
    <s v="106.34451605379581"/>
    <s v="10.490786524264962"/>
    <s v="106.5893895"/>
    <s v="10.8023818"/>
    <n v="235548"/>
    <n v="0"/>
    <n v="235548"/>
    <s v="Cash"/>
    <s v="ĐT.866,84610Công Ty TNHH XD TTNT Thiên Long"/>
    <s v="Khu Phố 5, Bình Hưng Hòa B, Bình Tân, Hồ Chí Minh, Việt NamBinh Chanh House"/>
    <n v="1"/>
    <x v="1"/>
    <x v="9"/>
    <d v="1899-12-30T07:55:44"/>
    <x v="158"/>
  </r>
  <r>
    <s v="3558666359678399186"/>
    <s v=""/>
    <x v="5"/>
    <n v="0"/>
    <s v=""/>
    <s v="NULL"/>
    <x v="0"/>
    <s v="2026-08-10 07:58:11"/>
    <s v="2026-08-10 08:08:00"/>
    <s v="NULL"/>
    <s v="NULL"/>
    <s v="2026-08-10 10:08:00"/>
    <s v=""/>
    <s v="106.36059053242207"/>
    <s v="10.549653688812061"/>
    <s v="106.62878762930632"/>
    <s v="10.816572750213687"/>
    <n v="228096"/>
    <n v="0"/>
    <n v="228096"/>
    <s v="Cash"/>
    <s v="lo P2, Duing KCN Tiền Giang, Đường số 8, Lợi Bình Nhơn, Khánh Hậu, Tây Ninh, Việt NamCty CP Bao Bi Dai Luc, NM Long An"/>
    <s v="Tây Thạnh, Tân Phú, Thành phố Hồ Chí Minh, Việt NamCÔNG TY TNHH AN AN"/>
    <n v="1"/>
    <x v="1"/>
    <x v="9"/>
    <d v="1899-12-30T07:58:11"/>
    <x v="159"/>
  </r>
  <r>
    <s v="3558666359678399335"/>
    <s v=""/>
    <x v="6"/>
    <n v="0"/>
    <s v=""/>
    <s v="NULL"/>
    <x v="0"/>
    <s v="2026-08-10 07:58:50"/>
    <s v="2026-08-10 08:08:50"/>
    <s v="NULL"/>
    <s v="NULL"/>
    <s v="2026-08-10 10:08:50"/>
    <s v=""/>
    <s v="106.5116794"/>
    <s v="10.6375636"/>
    <s v="106.6907746"/>
    <s v="10.7939727"/>
    <n v="179172"/>
    <n v="0"/>
    <n v="179172"/>
    <s v="Cash"/>
    <s v="Lô D1 29,30, Đường VL2/Ấp Voi Lá, KCN Vĩnh Lộc 2, Bến Lức, Long An, Việt NamCÔNG TY TNHH NIPPOVINA"/>
    <s v="27/38 Trần Khắc Chân, Phường Tân Định, Quận 1, Hồ Chí Minh, Việt NamQuận 1"/>
    <n v="1"/>
    <x v="1"/>
    <x v="9"/>
    <d v="1899-12-30T07:58:50"/>
    <x v="4"/>
  </r>
  <r>
    <s v="3558668081767338489"/>
    <s v=""/>
    <x v="5"/>
    <n v="0"/>
    <s v="lay hang o cong2"/>
    <s v="NULL"/>
    <x v="0"/>
    <s v="2026-08-10 07:49:28"/>
    <s v="2026-08-10 07:59:00"/>
    <s v="NULL"/>
    <s v="NULL"/>
    <s v="2026-08-10 09:59:00"/>
    <s v=""/>
    <s v="106.36383567005396"/>
    <s v="10.54835074237376"/>
    <s v="106.6720897"/>
    <s v="10.7617936"/>
    <n v="200988"/>
    <n v="0"/>
    <n v="200988"/>
    <s v="Cash"/>
    <s v="Lô F1, Khu F, Cụm Công Nghiệp Lợi Bình Nhơn, Ấp Rạch Chanh, Xã Lợi Bình Nhơn, Thành Phố Tân An, Tỉnh Long An, Lợi Bình Nhơn, Tân An, Long An, Việt NamCông Ty TNHH TEXRAY"/>
    <s v="301 Hoà Hảo, Phường 2, Quận 10, Hồ Chí Minh, Việt NamCao ốc A , Ngô Gia Tự"/>
    <n v="1"/>
    <x v="1"/>
    <x v="9"/>
    <d v="1899-12-30T07:49:28"/>
    <x v="160"/>
  </r>
  <r>
    <s v="3558668081767338779"/>
    <s v=""/>
    <x v="6"/>
    <n v="3887328"/>
    <s v=""/>
    <s v="Motorcycle"/>
    <x v="2"/>
    <s v="2026-08-10 07:51:10"/>
    <s v="2026-08-10 08:01:10"/>
    <s v="2026-08-10 09:09:15"/>
    <s v="NULL"/>
    <s v=""/>
    <s v=""/>
    <s v="106.55306207351073"/>
    <s v="10.647241361366067"/>
    <s v="106.6296397"/>
    <s v="10.8230769"/>
    <n v="176364"/>
    <n v="136723"/>
    <n v="39641"/>
    <s v="Cash"/>
    <s v="JHX2+9WF, Phước Lý, Tây Ninh, Việt NamJHX2+9WF, Phước Lý, Tây Ninh, Việt Nam"/>
    <s v="quận 7 nhà bè, Phường 15, Tân Bình, Thành phố Hồ Chí Minh, Việt Namquận 7 nhà bè"/>
    <n v="1"/>
    <x v="1"/>
    <x v="9"/>
    <d v="1899-12-30T07:51:10"/>
    <x v="14"/>
  </r>
  <r>
    <s v="3558668081784123784"/>
    <s v=""/>
    <x v="5"/>
    <n v="4411069"/>
    <s v=""/>
    <s v="Motorcycle"/>
    <x v="1"/>
    <s v="2026-08-10 07:54:31"/>
    <s v="2026-08-10 08:04:00"/>
    <s v="2026-08-10 07:54:49"/>
    <s v="NULL"/>
    <s v="2026-08-10 07:55:29"/>
    <s v=""/>
    <s v="106.34451605379581"/>
    <s v="10.490786524264962"/>
    <s v="106.5893895"/>
    <s v="10.8023818"/>
    <n v="235548"/>
    <n v="182604"/>
    <n v="52944"/>
    <s v="Cash"/>
    <s v="ĐT.866,84610Công Ty TNHH XD TTNT Thiên Long"/>
    <s v="Khu Phố 5, Bình Hưng Hòa B, Bình Tân, Hồ Chí Minh, Việt NamBinh Chanh House"/>
    <n v="1"/>
    <x v="1"/>
    <x v="9"/>
    <d v="1899-12-30T07:54:31"/>
    <x v="161"/>
  </r>
  <r>
    <s v="3558668639257448499"/>
    <s v=""/>
    <x v="5"/>
    <n v="4174846"/>
    <s v=""/>
    <s v="Motorcycle"/>
    <x v="2"/>
    <s v="2026-08-10 07:48:03"/>
    <s v="2026-08-10 07:58:00"/>
    <s v="2026-08-10 09:42:46"/>
    <s v="NULL"/>
    <s v=""/>
    <s v=""/>
    <s v="106.39084618538618"/>
    <s v="10.526709752538698"/>
    <s v="106.27998244017363"/>
    <s v="11.081107234241985"/>
    <n v="324000"/>
    <n v="251175"/>
    <n v="72825"/>
    <s v="Cash"/>
    <s v="106 QL1A, Phường 4, Tân An, Long An, Việt NamCông Ty May Phương Vinh"/>
    <s v="Ô5, 156A, khu phố Thanh Bình A, Gò Dầu, Tây Ninh, Việt NamÔ5, 156A, khu phố Thanh Bình A, Gò Dầu, Tây Ninh, Việt Nam"/>
    <n v="1"/>
    <x v="1"/>
    <x v="9"/>
    <d v="1899-12-30T07:48:03"/>
    <x v="14"/>
  </r>
  <r>
    <s v="3558668639257448812"/>
    <s v=""/>
    <x v="6"/>
    <n v="4580625"/>
    <s v=""/>
    <s v="Motorcycle"/>
    <x v="4"/>
    <s v="2026-08-10 07:49:44"/>
    <s v="2026-08-10 07:59:44"/>
    <s v="2026-08-10 09:10:25"/>
    <s v="NULL"/>
    <s v="2026-08-20 08:00:00"/>
    <s v=""/>
    <s v="106.54825555495604"/>
    <s v="10.643529808042967"/>
    <s v="106.6745926"/>
    <s v="10.7505457"/>
    <n v="111456"/>
    <n v="86404"/>
    <n v="25052"/>
    <s v="Cash"/>
    <s v="JGVX+C8 Phước Lý, Tây Ninh, Việt NamJGVX+C8 Phước Lý, Tây Ninh, Việt Nam"/>
    <s v="65/80 Trần Tuấn Khải, An Đông, Hồ Chí Minh, Việt NamQuận 5"/>
    <n v="1"/>
    <x v="1"/>
    <x v="9"/>
    <d v="1899-12-30T07:49:44"/>
    <x v="162"/>
  </r>
  <r>
    <s v="3558668639257449017"/>
    <s v=""/>
    <x v="6"/>
    <n v="0"/>
    <s v=""/>
    <s v="NULL"/>
    <x v="0"/>
    <s v="2026-08-10 07:50:52"/>
    <s v="2026-08-10 08:00:51"/>
    <s v="NULL"/>
    <s v="NULL"/>
    <s v="2026-08-10 10:00:51"/>
    <s v=""/>
    <s v="106.55306207351073"/>
    <s v="10.647241361366067"/>
    <s v="106.6634097"/>
    <s v="10.7477536"/>
    <n v="145260"/>
    <n v="0"/>
    <n v="145260"/>
    <s v="Cash"/>
    <s v="JHX2+9WF, Phước Lý, Tây Ninh, Việt NamJHX2+9WF, Phước Lý, Tây Ninh, Việt Nam"/>
    <s v="Quận 8, Việt NamQuận 8, Việt Nam"/>
    <n v="1"/>
    <x v="1"/>
    <x v="9"/>
    <d v="1899-12-30T07:50:52"/>
    <x v="9"/>
  </r>
  <r>
    <s v="3558668639257449222"/>
    <s v=""/>
    <x v="6"/>
    <n v="0"/>
    <s v=""/>
    <s v="NULL"/>
    <x v="0"/>
    <s v="2026-08-10 07:52:00"/>
    <s v="2026-08-10 08:02:00"/>
    <s v="NULL"/>
    <s v="NULL"/>
    <s v="2026-08-10 10:32:06"/>
    <s v=""/>
    <s v="106.5125499885498"/>
    <s v="10.640999177596937"/>
    <s v="105.8341109"/>
    <s v="21.0277882"/>
    <n v="9289296"/>
    <n v="0"/>
    <n v="9289296"/>
    <s v="Cash"/>
    <s v="JGR6+GXV, Mỹ Yên, Tây Ninh, Việt NamJGR6+GXV, Mỹ Yên, Tây Ninh, Việt Nam"/>
    <s v="Phố Cát Linh,11509Hà Nội"/>
    <n v="1"/>
    <x v="1"/>
    <x v="9"/>
    <d v="1899-12-30T07:52:00"/>
    <x v="163"/>
  </r>
  <r>
    <s v="3558668639282618836"/>
    <s v=""/>
    <x v="6"/>
    <n v="0"/>
    <s v=""/>
    <s v="NULL"/>
    <x v="0"/>
    <s v="2026-08-10 08:00:07"/>
    <s v="2026-08-10 08:10:07"/>
    <s v="NULL"/>
    <s v="NULL"/>
    <s v="2026-08-10 10:10:07"/>
    <s v=""/>
    <s v="106.5116794"/>
    <s v="10.6375636"/>
    <s v="106.7012236"/>
    <s v="10.7578147"/>
    <n v="174420"/>
    <n v="0"/>
    <n v="174420"/>
    <s v="Cash"/>
    <s v="Lô D1 29,30, Đường VL2/Ấp Voi Lá, KCN Vĩnh Lộc 2, Bến Lức, Long An, Việt NamCÔNG TY TNHH NIPPOVINA"/>
    <s v="Phường 3, Quận 4, Hồ Chí Minh, Việt NamQuận 4"/>
    <n v="1"/>
    <x v="1"/>
    <x v="9"/>
    <d v="1899-12-30T08:00:07"/>
    <x v="4"/>
  </r>
  <r>
    <s v="3558668639282618890"/>
    <s v=""/>
    <x v="6"/>
    <n v="0"/>
    <s v=""/>
    <s v="NULL"/>
    <x v="0"/>
    <s v="2026-08-10 08:00:24"/>
    <s v="2026-08-10 08:10:25"/>
    <s v="NULL"/>
    <s v="NULL"/>
    <s v="2026-08-10 10:10:25"/>
    <s v=""/>
    <s v="106.5116794"/>
    <s v="10.6375636"/>
    <s v="106.6745926"/>
    <s v="10.7505457"/>
    <n v="160812"/>
    <n v="0"/>
    <n v="160812"/>
    <s v="Cash"/>
    <s v="Lô D1 29,30, Đường VL2/Ấp Voi Lá, KCN Vĩnh Lộc 2, Bến Lức, Long An, Việt NamCÔNG TY TNHH NIPPOVINA"/>
    <s v="65/80 Trần Tuấn Khải, An Đông, Hồ Chí Minh, Việt NamQuận 5"/>
    <n v="1"/>
    <x v="1"/>
    <x v="9"/>
    <d v="1899-12-30T08:00:24"/>
    <x v="0"/>
  </r>
  <r>
    <s v="3558668639282619062"/>
    <s v=""/>
    <x v="6"/>
    <n v="0"/>
    <s v=""/>
    <s v="NULL"/>
    <x v="0"/>
    <s v="2026-08-10 08:01:09"/>
    <s v="2026-08-10 08:11:09"/>
    <s v="NULL"/>
    <s v="NULL"/>
    <s v="2026-08-10 10:11:09"/>
    <s v=""/>
    <s v="106.5116794"/>
    <s v="10.6375636"/>
    <s v="106.7076046"/>
    <s v="10.7296276"/>
    <n v="165240"/>
    <n v="0"/>
    <n v="165240"/>
    <s v="Cash"/>
    <s v="Lô D1 29,30, Đường VL2/Ấp Voi Lá, KCN Vĩnh Lộc 2, Bến Lức, Long An, Việt NamCÔNG TY TNHH NIPPOVINA"/>
    <s v="Hưng Phước 4, Tân Phong, Quận 7, Hồ Chí Minh, Việt Namquận 7"/>
    <n v="1"/>
    <x v="1"/>
    <x v="9"/>
    <d v="1899-12-30T08:01:09"/>
    <x v="4"/>
  </r>
  <r>
    <s v="3558669054149619869"/>
    <s v=""/>
    <x v="6"/>
    <n v="0"/>
    <s v=""/>
    <s v="NULL"/>
    <x v="0"/>
    <s v="2026-08-10 07:49:10"/>
    <s v="2026-08-10 07:59:09"/>
    <s v="NULL"/>
    <s v="NULL"/>
    <s v="2026-08-10 09:59:09"/>
    <s v=""/>
    <s v="106.54825555495604"/>
    <s v="10.643529808042967"/>
    <s v="106.6834087"/>
    <s v="10.7696757"/>
    <n v="132516"/>
    <n v="0"/>
    <n v="132516"/>
    <s v="Cash"/>
    <s v="JGVX+C8 Phước Lý, Tây Ninh, Việt NamJGVX+C8 Phước Lý, Tây Ninh, Việt Nam"/>
    <s v="32/21 Cao Thắng, Phường 5, Quận 3, Hồ Chí Minh, Việt NamQuận 3"/>
    <n v="1"/>
    <x v="1"/>
    <x v="9"/>
    <d v="1899-12-30T07:49:10"/>
    <x v="9"/>
  </r>
  <r>
    <s v="3558669054149620452"/>
    <s v=""/>
    <x v="6"/>
    <n v="0"/>
    <s v=""/>
    <s v="NULL"/>
    <x v="0"/>
    <s v="2026-08-10 07:52:25"/>
    <s v="2026-08-10 08:02:25"/>
    <s v="NULL"/>
    <s v="NULL"/>
    <s v="2026-08-10 10:02:25"/>
    <s v=""/>
    <s v="106.49658548049315"/>
    <s v="10.604049583993943"/>
    <s v="107.0824298"/>
    <s v="10.3310602"/>
    <n v="786672"/>
    <n v="0"/>
    <n v="786672"/>
    <s v="Cash"/>
    <s v="JF3W+JJ Long Cang, Long An, Việt NamJF3W+JJ Long Cang, Long An, Việt Nam"/>
    <s v="208,210 Phan Chu Trinh, Phường 2, Vũng Tàu, Bà Rịa , Vũng Tàu 79000, Việt NamVung Tau Luxury Hotel"/>
    <n v="1"/>
    <x v="1"/>
    <x v="9"/>
    <d v="1899-12-30T07:52:25"/>
    <x v="4"/>
  </r>
  <r>
    <s v="3558669054191555282"/>
    <s v=""/>
    <x v="5"/>
    <n v="0"/>
    <s v=""/>
    <s v="NULL"/>
    <x v="0"/>
    <s v="2026-08-10 08:02:07"/>
    <s v="2026-08-10 08:12:00"/>
    <s v="NULL"/>
    <s v="NULL"/>
    <s v="2026-08-10 10:46:42"/>
    <s v=""/>
    <s v="106.36170029640198"/>
    <s v="10.551131651226433"/>
    <s v="106.6704207"/>
    <s v="10.4591874"/>
    <n v="289764"/>
    <n v="0"/>
    <n v="289764"/>
    <s v="Cash"/>
    <s v="Lô D4, đường số 3, CCN, Lợi Bình Nhơn, Tân An, Long An, Việt NamCÔNG TY TNHH CARMI"/>
    <s v="Cần Đước, Long Hựu Tây, Cần Đước, Long An, Việt NamCần Đước"/>
    <n v="1"/>
    <x v="1"/>
    <x v="9"/>
    <d v="1899-12-30T08:02:07"/>
    <x v="164"/>
  </r>
  <r>
    <s v="3558669811724809219"/>
    <s v=""/>
    <x v="6"/>
    <n v="0"/>
    <s v=""/>
    <s v="NULL"/>
    <x v="0"/>
    <s v="2026-08-10 07:59:48"/>
    <s v="2026-08-10 08:09:48"/>
    <s v="NULL"/>
    <s v="NULL"/>
    <s v="2026-08-10 10:09:48"/>
    <s v=""/>
    <s v="106.5116794"/>
    <s v="10.6375636"/>
    <s v="106.6834087"/>
    <s v="10.7696757"/>
    <n v="162108"/>
    <n v="0"/>
    <n v="162108"/>
    <s v="Cash"/>
    <s v="Lô D1 29,30, Đường VL2/Ấp Voi Lá, KCN Vĩnh Lộc 2, Bến Lức, Long An, Việt NamCÔNG TY TNHH NIPPOVINA"/>
    <s v="32/21 Cao Thắng, Phường 5, Quận 3, Hồ Chí Minh, Việt NamQuận 3"/>
    <n v="1"/>
    <x v="1"/>
    <x v="9"/>
    <d v="1899-12-30T07:59:48"/>
    <x v="4"/>
  </r>
  <r>
    <s v="3558672123818107434"/>
    <s v=""/>
    <x v="6"/>
    <n v="0"/>
    <s v=""/>
    <s v="NULL"/>
    <x v="0"/>
    <s v="2026-08-10 08:01:28"/>
    <s v="2026-08-10 08:11:29"/>
    <s v="NULL"/>
    <s v="NULL"/>
    <s v="2026-08-10 10:11:29"/>
    <s v=""/>
    <s v="106.5116794"/>
    <s v="10.6375636"/>
    <s v="106.6634097"/>
    <s v="10.7477536"/>
    <n v="156816"/>
    <n v="0"/>
    <n v="156816"/>
    <s v="Cash"/>
    <s v="Lô D1 29,30, Đường VL2/Ấp Voi Lá, KCN Vĩnh Lộc 2, Bến Lức, Long An, Việt NamCÔNG TY TNHH NIPPOVINA"/>
    <s v="Quận 8, Việt NamQuận 8, Việt Nam"/>
    <n v="1"/>
    <x v="1"/>
    <x v="9"/>
    <d v="1899-12-30T08:01:28"/>
    <x v="0"/>
  </r>
  <r>
    <s v="3558672123818107487"/>
    <s v=""/>
    <x v="6"/>
    <n v="0"/>
    <s v=""/>
    <s v="NULL"/>
    <x v="0"/>
    <s v="2026-08-10 08:01:47"/>
    <s v="2026-08-10 08:11:47"/>
    <s v="NULL"/>
    <s v="NULL"/>
    <s v="2026-08-10 10:11:47"/>
    <s v=""/>
    <s v="106.5116794"/>
    <s v="10.6375636"/>
    <s v="106.8252988"/>
    <s v="10.8010758"/>
    <n v="245052"/>
    <n v="0"/>
    <n v="245052"/>
    <s v="Cash"/>
    <s v="Lô D1 29,30, Đường VL2/Ấp Voi Lá, KCN Vĩnh Lộc 2, Bến Lức, Long An, Việt NamCÔNG TY TNHH NIPPOVINA"/>
    <s v="Quận 9, Long Trường, Thủ Đức, Hồ Chí Minh, Việt NamQuận 9"/>
    <n v="1"/>
    <x v="1"/>
    <x v="9"/>
    <d v="1899-12-30T08:01:47"/>
    <x v="4"/>
  </r>
  <r>
    <s v="3558675157516247797"/>
    <s v=""/>
    <x v="6"/>
    <n v="0"/>
    <s v=""/>
    <s v="NULL"/>
    <x v="0"/>
    <s v="2026-08-10 08:02:47"/>
    <s v="2026-08-10 08:12:47"/>
    <s v="NULL"/>
    <s v="NULL"/>
    <s v="2026-08-10 10:12:47"/>
    <s v=""/>
    <s v="106.5116794"/>
    <s v="10.6375636"/>
    <s v="106.6745986"/>
    <s v="10.8650298"/>
    <n v="208548"/>
    <n v="0"/>
    <n v="208548"/>
    <s v="Cash"/>
    <s v="Lô D1 29,30, Đường VL2/Ấp Voi Lá, KCN Vĩnh Lộc 2, Bến Lức, Long An, Việt NamCÔNG TY TNHH NIPPOVINA"/>
    <s v="Quận 12, Thới An, Thành phố Hồ Chí Minh, Hồ Chí Minh, Việt NamQuận 12"/>
    <n v="1"/>
    <x v="1"/>
    <x v="9"/>
    <d v="1899-12-30T08:02:47"/>
    <x v="4"/>
  </r>
  <r>
    <s v="3558675157516247968"/>
    <s v=""/>
    <x v="6"/>
    <n v="0"/>
    <s v=""/>
    <s v="NULL"/>
    <x v="0"/>
    <s v="2026-08-10 08:03:28"/>
    <s v="2026-08-10 08:13:28"/>
    <s v="NULL"/>
    <s v="NULL"/>
    <s v="2026-08-10 10:13:28"/>
    <s v=""/>
    <s v="106.4965855"/>
    <s v="10.6040496"/>
    <s v="106.6907746"/>
    <s v="10.7939727"/>
    <n v="199368"/>
    <n v="0"/>
    <n v="199368"/>
    <s v="Cash"/>
    <s v="JF3W+JJ Long Cang, Long An, Việt NamJF3W+JJ Long Cang, Long An, Việt Nam"/>
    <s v="27/38 Trần Khắc Chân, Phường Tân Định, Quận 1, Hồ Chí Minh, Việt NamQuận 1"/>
    <n v="1"/>
    <x v="1"/>
    <x v="9"/>
    <d v="1899-12-30T08:03:28"/>
    <x v="4"/>
  </r>
  <r>
    <s v="3558676968146949116"/>
    <s v=""/>
    <x v="6"/>
    <n v="0"/>
    <s v=""/>
    <s v="NULL"/>
    <x v="0"/>
    <s v="2026-08-10 08:06:45"/>
    <s v="2026-08-10 08:16:45"/>
    <s v="NULL"/>
    <s v="NULL"/>
    <s v="2026-08-10 10:16:45"/>
    <s v=""/>
    <s v="106.4965855"/>
    <s v="10.6040496"/>
    <s v="106.8252988"/>
    <s v="10.8010758"/>
    <n v="265788"/>
    <n v="0"/>
    <n v="265788"/>
    <s v="Cash"/>
    <s v="JF3W+JJ Long Cang, Long An, Việt NamJF3W+JJ Long Cang, Long An, Việt Nam"/>
    <s v="Quận 9, Long Trường, Thủ Đức, Hồ Chí Minh, Việt NamQuận 9"/>
    <n v="1"/>
    <x v="1"/>
    <x v="9"/>
    <d v="1899-12-30T08:06:45"/>
    <x v="4"/>
  </r>
  <r>
    <s v="3558676968163733622"/>
    <s v=""/>
    <x v="6"/>
    <n v="0"/>
    <s v=""/>
    <s v="NULL"/>
    <x v="0"/>
    <s v="2026-08-10 08:07:12"/>
    <s v="2026-08-10 08:17:12"/>
    <s v="NULL"/>
    <s v="NULL"/>
    <s v="2026-08-10 10:17:12"/>
    <s v=""/>
    <s v="106.4965855"/>
    <s v="10.6040496"/>
    <s v="106.6727737"/>
    <s v="10.7605707"/>
    <n v="182520"/>
    <n v="0"/>
    <n v="182520"/>
    <s v="Cash"/>
    <s v="JF3W+JJ Long Cang, Long An, Việt NamJF3W+JJ Long Cang, Long An, Việt Nam"/>
    <s v="13 Đ. Nguyễn Chí Thanh, Phường 9, Quận 10, Hồ Chí Minh, Việt NamQuận 10"/>
    <n v="1"/>
    <x v="1"/>
    <x v="9"/>
    <d v="1899-12-30T08:07:12"/>
    <x v="4"/>
  </r>
  <r>
    <s v="3558677370431041723"/>
    <s v=""/>
    <x v="6"/>
    <n v="0"/>
    <s v=""/>
    <s v="NULL"/>
    <x v="0"/>
    <s v="2026-08-10 08:03:54"/>
    <s v="2026-08-10 08:13:54"/>
    <s v="NULL"/>
    <s v="NULL"/>
    <s v="2026-08-10 10:13:54"/>
    <s v=""/>
    <s v="106.4965855"/>
    <s v="10.6040496"/>
    <s v="106.7371867"/>
    <s v="10.7944087"/>
    <n v="221940"/>
    <n v="0"/>
    <n v="221940"/>
    <s v="Cash"/>
    <s v="JF3W+JJ Long Cang, Long An, Việt NamJF3W+JJ Long Cang, Long An, Việt Nam"/>
    <s v="Chung cư Bộ Công An, Đ. Số 3, Phường An Khánh, Thủ Đức, Hồ Chí Minh, Việt Namquận 2"/>
    <n v="1"/>
    <x v="1"/>
    <x v="9"/>
    <d v="1899-12-30T08:03:54"/>
    <x v="4"/>
  </r>
  <r>
    <s v="3558677370447814754"/>
    <s v=""/>
    <x v="6"/>
    <n v="3056385"/>
    <s v=""/>
    <s v="Motorcycle"/>
    <x v="2"/>
    <s v="2026-08-10 08:07:35"/>
    <s v="2026-08-10 08:17:35"/>
    <s v="2026-08-10 11:09:34"/>
    <s v="NULL"/>
    <s v=""/>
    <s v=""/>
    <s v="106.4965855"/>
    <s v="10.6040496"/>
    <s v="106.6482406"/>
    <s v="10.7589787"/>
    <n v="174744"/>
    <n v="135467"/>
    <n v="39277"/>
    <s v="Cash"/>
    <s v="JF3W+JJ Long Cang, Long An, Việt NamJF3W+JJ Long Cang, Long An, Việt Nam"/>
    <s v="76/7 Đ. Xóm Đất, Phường 8, Quận 11, Hồ Chí Minh, Việt NamQuận 11"/>
    <n v="1"/>
    <x v="1"/>
    <x v="9"/>
    <d v="1899-12-30T08:07:35"/>
    <x v="14"/>
  </r>
  <r>
    <s v="3558677370447815447"/>
    <s v=""/>
    <x v="6"/>
    <n v="3589394"/>
    <s v=""/>
    <s v="Motorcycle"/>
    <x v="2"/>
    <s v="2026-08-10 08:10:10"/>
    <s v="2026-08-10 08:20:10"/>
    <s v="2026-08-10 11:17:15"/>
    <s v="NULL"/>
    <s v=""/>
    <s v=""/>
    <s v="106.5124083"/>
    <s v="10.6413532"/>
    <s v="106.6834087"/>
    <s v="10.7696757"/>
    <n v="168156"/>
    <n v="138028"/>
    <n v="30128"/>
    <s v="Cash"/>
    <s v="JGR6+GXV, Mỹ Yên, Tây Ninh, Việt NamJGR6+GXV, Mỹ Yên, Tây Ninh, Việt Nam"/>
    <s v="32/21 Cao Thắng, Phường 5, Quận 3, Hồ Chí Minh, Việt NamQuận 3"/>
    <n v="1"/>
    <x v="1"/>
    <x v="9"/>
    <d v="1899-12-30T08:10:10"/>
    <x v="14"/>
  </r>
  <r>
    <s v="3558677862716494073"/>
    <s v=""/>
    <x v="6"/>
    <n v="0"/>
    <s v=""/>
    <s v="NULL"/>
    <x v="0"/>
    <s v="2026-08-10 08:04:57"/>
    <s v="2026-08-10 08:14:57"/>
    <s v="NULL"/>
    <s v="NULL"/>
    <s v="2026-08-10 10:14:57"/>
    <s v=""/>
    <s v="106.4965855"/>
    <s v="10.6040496"/>
    <s v="106.6834087"/>
    <s v="10.7696757"/>
    <n v="187596"/>
    <n v="0"/>
    <n v="187596"/>
    <s v="Cash"/>
    <s v="JF3W+JJ Long Cang, Long An, Việt NamJF3W+JJ Long Cang, Long An, Việt Nam"/>
    <s v="32/21 Cao Thắng, Phường 5, Quận 3, Hồ Chí Minh, Việt NamQuận 3"/>
    <n v="1"/>
    <x v="1"/>
    <x v="9"/>
    <d v="1899-12-30T08:04:57"/>
    <x v="4"/>
  </r>
  <r>
    <s v="3558677862733279618"/>
    <s v=""/>
    <x v="6"/>
    <n v="4300716"/>
    <s v=""/>
    <s v="Motorcycle"/>
    <x v="2"/>
    <s v="2026-08-10 08:09:31"/>
    <s v="2026-08-10 08:19:31"/>
    <s v="2026-08-10 09:12:28"/>
    <s v="NULL"/>
    <s v=""/>
    <s v=""/>
    <s v="106.5124083"/>
    <s v="10.6413532"/>
    <s v="106.7371867"/>
    <s v="10.7944087"/>
    <n v="196020"/>
    <n v="151961"/>
    <n v="44059"/>
    <s v="Cash"/>
    <s v="JGR6+GXV, Mỹ Yên, Tây Ninh, Việt NamJGR6+GXV, Mỹ Yên, Tây Ninh, Việt Nam"/>
    <s v="Chung cư Bộ Công An, Đ. Số 3, Phường An Khánh, Thủ Đức, Hồ Chí Minh, Việt Namquận 2"/>
    <n v="1"/>
    <x v="1"/>
    <x v="9"/>
    <d v="1899-12-30T08:09:31"/>
    <x v="14"/>
  </r>
  <r>
    <s v="3558677953430905547"/>
    <s v=""/>
    <x v="6"/>
    <n v="0"/>
    <s v=""/>
    <s v="NULL"/>
    <x v="0"/>
    <s v="2026-08-10 08:10:56"/>
    <s v="2026-08-10 08:20:57"/>
    <s v="NULL"/>
    <s v="NULL"/>
    <s v="2026-08-10 10:20:57"/>
    <s v=""/>
    <s v="106.5124083"/>
    <s v="10.6413532"/>
    <s v="106.6745926"/>
    <s v="10.7505457"/>
    <n v="160812"/>
    <n v="0"/>
    <n v="160812"/>
    <s v="Cash"/>
    <s v="JGR6+GXV, Mỹ Yên, Tây Ninh, Việt NamJGR6+GXV, Mỹ Yên, Tây Ninh, Việt Nam"/>
    <s v="65/80 Trần Tuấn Khải, An Đông, Hồ Chí Minh, Việt NamQuận 5"/>
    <n v="1"/>
    <x v="1"/>
    <x v="9"/>
    <d v="1899-12-30T08:10:56"/>
    <x v="0"/>
  </r>
  <r>
    <s v="3558677953447678364"/>
    <s v=""/>
    <x v="6"/>
    <n v="0"/>
    <s v=""/>
    <s v="NULL"/>
    <x v="0"/>
    <s v="2026-08-10 08:13:19"/>
    <s v="2026-08-10 08:23:19"/>
    <s v="NULL"/>
    <s v="NULL"/>
    <s v="2026-08-10 10:23:19"/>
    <s v=""/>
    <s v="106.5124083"/>
    <s v="10.6413532"/>
    <s v="106.6223047"/>
    <s v="10.8759808"/>
    <n v="193536"/>
    <n v="0"/>
    <n v="193536"/>
    <s v="Cash"/>
    <s v="JGR6+GXV, Mỹ Yên, Tây Ninh, Việt NamJGR6+GXV, Mỹ Yên, Tây Ninh, Việt Nam"/>
    <s v="To 125 Thới Tam Thôn 17, Tân Chánh Hiệp, Hóc Môn, Thành phố Hồ Chí Minh, Việt NamHoc mon"/>
    <n v="1"/>
    <x v="1"/>
    <x v="9"/>
    <d v="1899-12-30T08:13:19"/>
    <x v="4"/>
  </r>
  <r>
    <s v="3558678958755238677"/>
    <s v=""/>
    <x v="6"/>
    <n v="0"/>
    <s v=""/>
    <s v="NULL"/>
    <x v="0"/>
    <s v="2026-08-10 08:13:02"/>
    <s v="2026-08-10 08:23:03"/>
    <s v="NULL"/>
    <s v="NULL"/>
    <s v="2026-08-10 10:23:03"/>
    <s v=""/>
    <s v="106.5124083"/>
    <s v="10.6413532"/>
    <s v="106.6482406"/>
    <s v="10.7589787"/>
    <n v="155628"/>
    <n v="0"/>
    <n v="155628"/>
    <s v="Cash"/>
    <s v="JGR6+GXV, Mỹ Yên, Tây Ninh, Việt NamJGR6+GXV, Mỹ Yên, Tây Ninh, Việt Nam"/>
    <s v="76/7 Đ. Xóm Đất, Phường 8, Quận 11, Hồ Chí Minh, Việt NamQuận 11"/>
    <n v="1"/>
    <x v="1"/>
    <x v="9"/>
    <d v="1899-12-30T08:13:02"/>
    <x v="0"/>
  </r>
  <r>
    <s v="3558679860136337624"/>
    <s v=""/>
    <x v="6"/>
    <n v="0"/>
    <s v=""/>
    <s v="NULL"/>
    <x v="0"/>
    <s v="2026-08-10 08:12:24"/>
    <s v="2026-08-10 08:22:24"/>
    <s v="NULL"/>
    <s v="NULL"/>
    <s v="2026-08-10 10:22:24"/>
    <s v=""/>
    <s v="106.5124083"/>
    <s v="10.6413532"/>
    <s v="106.8252988"/>
    <s v="10.8010758"/>
    <n v="245052"/>
    <n v="0"/>
    <n v="245052"/>
    <s v="Cash"/>
    <s v="JGR6+GXV, Mỹ Yên, Tây Ninh, Việt NamJGR6+GXV, Mỹ Yên, Tây Ninh, Việt Nam"/>
    <s v="Quận 9, Long Trường, Thủ Đức, Hồ Chí Minh, Việt NamQuận 9"/>
    <n v="1"/>
    <x v="1"/>
    <x v="9"/>
    <d v="1899-12-30T08:12:24"/>
    <x v="4"/>
  </r>
  <r>
    <s v="3558679860153111355"/>
    <s v=""/>
    <x v="5"/>
    <n v="0"/>
    <s v=""/>
    <s v="NULL"/>
    <x v="0"/>
    <s v="2026-08-10 08:18:05"/>
    <s v="2026-08-10 08:28:00"/>
    <s v="NULL"/>
    <s v="NULL"/>
    <s v="2026-08-10 10:36:22"/>
    <s v=""/>
    <s v="106.31937872618437"/>
    <s v="10.471375174694563"/>
    <s v="106.76236800849438"/>
    <s v="10.83183367574605"/>
    <n v="314928"/>
    <n v="0"/>
    <n v="314928"/>
    <s v="Cash"/>
    <s v="Xã Tân Lập 1, Huyện Tân Phước, Tiền Giang, Việt NamCông Ty TNHH Công Nghiệp Đồng Jintian Việt Nam"/>
    <s v="7 Đ. Nguyễn Văn Bá, Phước Long A, Thủ Đức, Hồ Chí Minh, Việt Nam7 Đường Nguyễn Văn Bá"/>
    <n v="1"/>
    <x v="1"/>
    <x v="9"/>
    <d v="1899-12-30T08:18:05"/>
    <x v="165"/>
  </r>
  <r>
    <s v="3558697838047355699"/>
    <s v=""/>
    <x v="5"/>
    <n v="4411069"/>
    <s v=""/>
    <s v="Motorcycle"/>
    <x v="1"/>
    <s v="2026-08-10 08:48:48"/>
    <s v="2026-08-10 08:58:00"/>
    <s v="2026-08-10 09:06:30"/>
    <s v="NULL"/>
    <s v="2026-08-10 09:07:21"/>
    <s v=""/>
    <s v="106.39659248292446"/>
    <s v="10.55083665260522"/>
    <s v="106.7119017"/>
    <s v="10.9322688"/>
    <n v="327672"/>
    <n v="254022"/>
    <n v="73650"/>
    <s v="Cash"/>
    <s v="Đường D7, Phường 6, Tân An, Long An, Việt NamĐường D7, Phường 6, Tân An, Long An, Việt Nam"/>
    <s v="Thuận Giao, Thuận An, Bình Dương, Việt NamAEON Mall Binh Duong Canary"/>
    <n v="1"/>
    <x v="1"/>
    <x v="9"/>
    <d v="1899-12-30T08:48:48"/>
    <x v="166"/>
  </r>
  <r>
    <s v="3558698250322269106"/>
    <s v=""/>
    <x v="5"/>
    <n v="4411069"/>
    <s v=""/>
    <s v="Motorcycle"/>
    <x v="1"/>
    <s v="2026-08-10 08:49:46"/>
    <s v="2026-08-10 08:59:00"/>
    <s v="2026-08-10 08:50:41"/>
    <s v="NULL"/>
    <s v="2026-08-10 08:51:14"/>
    <s v=""/>
    <s v="106.41315344721079"/>
    <s v="10.523511632916716"/>
    <s v="106.74586404114962"/>
    <s v="10.930488917317723"/>
    <n v="368928"/>
    <n v="286005"/>
    <n v="82923"/>
    <s v="Cash"/>
    <s v="Đường số 278, phường 7, Tp. Tân An, Long An, Việt Nam182 Đường số 278"/>
    <s v="CT TNHH TM DV HUỲNH GIA PHÁT, phường Tân Đông Hiệp, Dĩ An, Hồ Chí Minh, Việt NamCT TNHH TM DV HUỲNH GIA PHÁT"/>
    <n v="1"/>
    <x v="1"/>
    <x v="9"/>
    <d v="1899-12-30T08:49:46"/>
    <x v="167"/>
  </r>
  <r>
    <s v="3558710485274813215"/>
    <s v=""/>
    <x v="5"/>
    <n v="4442770"/>
    <s v=""/>
    <s v="Motorcycle"/>
    <x v="2"/>
    <s v="2026-08-10 09:07:31"/>
    <s v="2026-08-10 09:17:00"/>
    <s v="2026-08-10 09:54:38"/>
    <s v="NULL"/>
    <s v=""/>
    <s v=""/>
    <s v="106.39659248292446"/>
    <s v="10.55083665260522"/>
    <s v="106.7119017"/>
    <s v="10.9322688"/>
    <n v="273564"/>
    <n v="212075"/>
    <n v="61489"/>
    <s v="Cash"/>
    <s v="Đường D7, Phường 6, Tân An, Long An, Việt NamĐường D7, Phường 6, Tân An, Long An, Việt Nam"/>
    <s v="Thuận Giao, Thuận An, Bình Dương, Việt NamAEON Mall Binh Duong Canary"/>
    <n v="1"/>
    <x v="1"/>
    <x v="9"/>
    <d v="1899-12-30T09:07:31"/>
    <x v="14"/>
  </r>
  <r>
    <s v="3559354929523151609"/>
    <s v=""/>
    <x v="7"/>
    <n v="0"/>
    <s v=""/>
    <s v="NULL"/>
    <x v="0"/>
    <s v="2026-08-11 07:02:20"/>
    <s v="2026-08-11 07:12:19"/>
    <s v="NULL"/>
    <s v="NULL"/>
    <s v="2026-08-11 09:12:19"/>
    <s v=""/>
    <s v="106.4951938"/>
    <s v="10.6017891"/>
    <s v="106.6666421"/>
    <s v="10.9691844"/>
    <n v="253692"/>
    <n v="0"/>
    <n v="253692"/>
    <s v="Cash"/>
    <s v="Công ty TNHH Quick Pack Việt Nam, Đường Số 13, KCN Thuận Đạo mở rộng, Long Cang, Tây Ninh, Việt NamCông ty TNHH Quick Pack Việt Nam"/>
    <s v="Công Ty TNHH Hùng Kim Hoa, Khu 3, Thủ Dầu Một, Hồ Chí Minh, Việt NamCông Ty TNHH Hùng Kim Hoa"/>
    <n v="1"/>
    <x v="1"/>
    <x v="2"/>
    <d v="1899-12-30T07:02:20"/>
    <x v="9"/>
  </r>
  <r>
    <s v="3559354929539936404"/>
    <s v=""/>
    <x v="7"/>
    <n v="0"/>
    <s v=""/>
    <s v="NULL"/>
    <x v="0"/>
    <s v="2026-08-11 07:05:19"/>
    <s v="2026-08-11 07:15:18"/>
    <s v="NULL"/>
    <s v="NULL"/>
    <s v="2026-08-11 09:15:18"/>
    <s v=""/>
    <s v="106.4983642"/>
    <s v="10.6043798"/>
    <s v="106.879925"/>
    <s v="10.9312548"/>
    <n v="269676"/>
    <n v="0"/>
    <n v="269676"/>
    <s v="Cash"/>
    <s v="CÔNG TY TNHH QUỐC TẾ RYTHERN (VIỆT NAM), đường số 14, Long Cang, Tây Ninh, Việt NamCÔNG TY TNHH QUỐC TẾ RYTHERN (VIỆT NAM)"/>
    <s v="Công Ty Taekwang Vina - Chi Nhánh Long Bình, P, Long Bình, Đồng Nai, Việt NamCông Ty Taekwang Vina - Chi Nhánh Long Bình"/>
    <n v="1"/>
    <x v="1"/>
    <x v="2"/>
    <d v="1899-12-30T07:05:19"/>
    <x v="9"/>
  </r>
  <r>
    <s v="3559354929539937080"/>
    <s v=""/>
    <x v="7"/>
    <n v="0"/>
    <s v=""/>
    <s v="NULL"/>
    <x v="0"/>
    <s v="2026-08-11 07:11:00"/>
    <s v="2026-08-11 07:20:59"/>
    <s v="NULL"/>
    <s v="NULL"/>
    <s v="2026-08-11 09:20:59"/>
    <s v=""/>
    <s v="106.4989851"/>
    <s v="10.6100853"/>
    <s v="106.5922566"/>
    <s v="10.7697428"/>
    <n v="152496"/>
    <n v="0"/>
    <n v="152496"/>
    <s v="Cash"/>
    <s v="OKIA OPTICAL VIETNAM, Long Cang, Tây Ninh, Việt NamOKIA OPTICAL VIETNAM"/>
    <s v="CÔNG TY CP SX HTD BÌNH TÂN, Hương lộ 2, Bình Trị Đông, Hồ Chí Minh, Việt NamCÔNG TY CP SX HTD BÌNH TÂN"/>
    <n v="1"/>
    <x v="1"/>
    <x v="2"/>
    <d v="1899-12-30T07:11:00"/>
    <x v="9"/>
  </r>
  <r>
    <s v="3559355211942417114"/>
    <s v=""/>
    <x v="7"/>
    <n v="0"/>
    <s v=""/>
    <s v="NULL"/>
    <x v="0"/>
    <s v="2026-08-11 07:10:05"/>
    <s v="2026-08-11 07:20:05"/>
    <s v="NULL"/>
    <s v="NULL"/>
    <s v="2026-08-11 09:20:05"/>
    <s v=""/>
    <s v="106.4989851"/>
    <s v="10.6100853"/>
    <s v="106.645950950581"/>
    <s v="10.800682469083"/>
    <n v="178740"/>
    <n v="0"/>
    <n v="178740"/>
    <s v="Cash"/>
    <s v="OKIA OPTICAL VIETNAM, Long Cang, Tây Ninh, Việt NamOKIA OPTICAL VIETNAM"/>
    <s v="2/5b Bình Giã, Tân Bình, Hồ Chí Minh, VietnamCông Ty Tnhh Thương Mại &amp; Dịch Vụ"/>
    <n v="1"/>
    <x v="1"/>
    <x v="2"/>
    <d v="1899-12-30T07:10:05"/>
    <x v="4"/>
  </r>
  <r>
    <s v="3559355628143206924"/>
    <s v=""/>
    <x v="7"/>
    <n v="3746341"/>
    <s v=""/>
    <s v="Motorcycle"/>
    <x v="1"/>
    <s v="2026-08-11 07:00:37"/>
    <s v="2026-08-11 07:10:36"/>
    <s v="2026-08-11 07:08:41"/>
    <s v="NULL"/>
    <s v="2026-08-11 07:13:58"/>
    <s v=""/>
    <s v="106.4951938"/>
    <s v="10.6017891"/>
    <s v="106.6019001"/>
    <s v="11.1310619"/>
    <n v="338796"/>
    <n v="278095"/>
    <n v="60701"/>
    <s v="Cash"/>
    <s v="Công ty TNHH Quick Pack Việt Nam, Đường Số 13, KCN Thuận Đạo mở rộng, Long Cang, Tây Ninh, Việt NamCông ty TNHH Quick Pack Việt Nam"/>
    <s v="Công Ty Yazaki Eds Việt Nam Ltd, Đường D1, Bến Cát, Hồ Chí Minh, Việt NamCông Ty Yazaki Eds Việt Nam Ltd"/>
    <n v="1"/>
    <x v="1"/>
    <x v="2"/>
    <d v="1899-12-30T07:00:37"/>
    <x v="168"/>
  </r>
  <r>
    <s v="3559355628159980577"/>
    <s v=""/>
    <x v="7"/>
    <n v="0"/>
    <s v=""/>
    <s v="NULL"/>
    <x v="0"/>
    <s v="2026-08-11 07:12:28"/>
    <s v="2026-08-11 07:22:27"/>
    <s v="NULL"/>
    <s v="NULL"/>
    <s v="2026-08-11 09:56:55"/>
    <s v=""/>
    <s v="106.4863479"/>
    <s v="10.6071258"/>
    <s v="106.7195372"/>
    <s v="10.9373357"/>
    <n v="331776"/>
    <n v="0"/>
    <n v="331776"/>
    <s v="Cash"/>
    <s v="Công Ty TNHH Sản Xuất Khuôn Đúc Chin Chen Fuh Việt Nam, Long Cang, Tây Ninh, Việt NamCông Ty TNHH Sản Xuất Khuôn Đúc Chin Chen Fuh Việt Nam"/>
    <s v="Công Ty TNHH Fujikura Fiber Optics VN, Đường số 6, KCN Việt Nam-Singapore (VSIP1, Thuận Giao, Hồ Chí Minh, Việt NamCông Ty TNHH Fujikura Fiber Optics VN"/>
    <n v="1"/>
    <x v="1"/>
    <x v="2"/>
    <d v="1899-12-30T07:12:28"/>
    <x v="169"/>
  </r>
  <r>
    <s v="3559359798640332923"/>
    <s v=""/>
    <x v="7"/>
    <n v="0"/>
    <s v=""/>
    <s v="NULL"/>
    <x v="0"/>
    <s v="2026-08-11 07:01:22"/>
    <s v="2026-08-11 07:11:21"/>
    <s v="NULL"/>
    <s v="NULL"/>
    <s v="2026-08-11 09:11:21"/>
    <s v=""/>
    <s v="106.4951938"/>
    <s v="10.6017891"/>
    <s v="106.8063506"/>
    <s v="11.0723248"/>
    <n v="313632"/>
    <n v="0"/>
    <n v="313632"/>
    <s v="Cash"/>
    <s v="Công ty TNHH Quick Pack Việt Nam, Đường Số 13, KCN Thuận Đạo mở rộng, Long Cang, Tây Ninh, Việt NamCông ty TNHH Quick Pack Việt Nam"/>
    <s v="C&amp;H Vina Company Limited, Area 5, Ward, Tân Uyên, Hồ Chí Minh, Việt NamC&amp;H Vina Company Limited"/>
    <n v="1"/>
    <x v="1"/>
    <x v="2"/>
    <d v="1899-12-30T07:01:22"/>
    <x v="9"/>
  </r>
  <r>
    <s v="3559359798657118647"/>
    <s v=""/>
    <x v="7"/>
    <n v="0"/>
    <s v=""/>
    <s v="NULL"/>
    <x v="0"/>
    <s v="2026-08-11 07:12:16"/>
    <s v="2026-08-11 07:22:15"/>
    <s v="NULL"/>
    <s v="NULL"/>
    <s v="2026-08-11 09:22:15"/>
    <s v=""/>
    <s v="106.4863479"/>
    <s v="10.6071258"/>
    <s v="106.6666421"/>
    <s v="10.9691844"/>
    <n v="247752"/>
    <n v="0"/>
    <n v="247752"/>
    <s v="Cash"/>
    <s v="Công Ty TNHH Sản Xuất Khuôn Đúc Chin Chen Fuh Việt Nam, Long Cang, Tây Ninh, Việt NamCông Ty TNHH Sản Xuất Khuôn Đúc Chin Chen Fuh Việt Nam"/>
    <s v="Công Ty TNHH Hùng Kim Hoa, Khu 3, Thủ Dầu Một, Hồ Chí Minh, Việt NamCông Ty TNHH Hùng Kim Hoa"/>
    <n v="1"/>
    <x v="1"/>
    <x v="2"/>
    <d v="1899-12-30T07:12:16"/>
    <x v="9"/>
  </r>
  <r>
    <s v="3559366256752808248"/>
    <s v=""/>
    <x v="7"/>
    <n v="0"/>
    <s v=""/>
    <s v="NULL"/>
    <x v="0"/>
    <s v="2026-08-11 07:03:26"/>
    <s v="2026-08-11 07:13:25"/>
    <s v="NULL"/>
    <s v="NULL"/>
    <s v="2026-08-11 09:13:25"/>
    <s v=""/>
    <s v="106.4951938"/>
    <s v="10.6017891"/>
    <s v="106.7195372"/>
    <s v="10.9373357"/>
    <n v="246132"/>
    <n v="0"/>
    <n v="246132"/>
    <s v="Cash"/>
    <s v="Công ty TNHH Quick Pack Việt Nam, Đường Số 13, KCN Thuận Đạo mở rộng, Long Cang, Tây Ninh, Việt NamCông ty TNHH Quick Pack Việt Nam"/>
    <s v="Công Ty TNHH Fujikura Fiber Optics VN, Đường số 6, KCN Việt Nam-Singapore (VSIP1, Thuận Giao, Hồ Chí Minh, Việt NamCông Ty TNHH Fujikura Fiber Optics VN"/>
    <n v="1"/>
    <x v="1"/>
    <x v="2"/>
    <d v="1899-12-30T07:03:26"/>
    <x v="9"/>
  </r>
  <r>
    <s v="3559366256752808526"/>
    <s v=""/>
    <x v="7"/>
    <n v="0"/>
    <s v=""/>
    <s v="NULL"/>
    <x v="0"/>
    <s v="2026-08-11 07:05:58"/>
    <s v="2026-08-11 07:15:57"/>
    <s v="NULL"/>
    <s v="NULL"/>
    <s v="2026-08-11 09:15:57"/>
    <s v=""/>
    <s v="106.4983642"/>
    <s v="10.6043798"/>
    <s v="106.9855473"/>
    <s v="10.7838166"/>
    <n v="280908"/>
    <n v="0"/>
    <n v="280908"/>
    <s v="Cash"/>
    <s v="CÔNG TY TNHH QUỐC TẾ RYTHERN (VIỆT NAM), đường số 14, Long Cang, Tây Ninh, Việt NamCÔNG TY TNHH QUỐC TẾ RYTHERN (VIỆT NAM)"/>
    <s v="Ojitex (Vietnam) Co.,Ltd. - Long Thanh Branch, Khu công nghiệp, Long Thành, Đồng Nai, Việt NamOjitex (Vietnam) Co.,Ltd. - Long Thanh Branch"/>
    <n v="1"/>
    <x v="1"/>
    <x v="2"/>
    <d v="1899-12-30T07:05:58"/>
    <x v="9"/>
  </r>
  <r>
    <s v="3559366256752808787"/>
    <s v=""/>
    <x v="7"/>
    <n v="0"/>
    <s v=""/>
    <s v="NULL"/>
    <x v="0"/>
    <s v="2026-08-11 07:08:09"/>
    <s v="2026-08-11 07:18:08"/>
    <s v="NULL"/>
    <s v="NULL"/>
    <s v="2026-08-11 09:18:08"/>
    <s v=""/>
    <s v="106.4983642"/>
    <s v="10.6043798"/>
    <s v="106.7144591"/>
    <s v="10.804514"/>
    <n v="177012"/>
    <n v="0"/>
    <n v="177012"/>
    <s v="Cash"/>
    <s v="CÔNG TY TNHH QUỐC TẾ RYTHERN (VIỆT NAM), đường số 14, Long Cang, Tây Ninh, Việt NamCÔNG TY TNHH QUỐC TẾ RYTHERN (VIỆT NAM)"/>
    <s v="Win.D Gaming Quận Bình Thạnh, Đường Võ Oanh, Thạnh Mỹ Tây, Hồ Chí Minh, Việt NamWin.D Gaming Quận Bình Thạnh"/>
    <n v="1"/>
    <x v="1"/>
    <x v="2"/>
    <d v="1899-12-30T07:08:09"/>
    <x v="9"/>
  </r>
  <r>
    <s v="3559366256769593453"/>
    <s v=""/>
    <x v="7"/>
    <n v="0"/>
    <s v=""/>
    <s v="NULL"/>
    <x v="0"/>
    <s v="2026-08-11 07:10:24"/>
    <s v="2026-08-11 07:20:24"/>
    <s v="NULL"/>
    <s v="NULL"/>
    <s v="2026-08-11 09:20:24"/>
    <s v=""/>
    <s v="106.4989851"/>
    <s v="10.6100853"/>
    <s v="106.6758781"/>
    <s v="10.8370741"/>
    <n v="214164"/>
    <n v="0"/>
    <n v="214164"/>
    <s v="Cash"/>
    <s v="OKIA OPTICAL VIETNAM, Long Cang, Tây Ninh, Việt NamOKIA OPTICAL VIETNAM"/>
    <s v="Công ty TNHH CNTT Aureole (CN Gò Vấp), Nguyễn Oanh, Gò Vấp, Hồ Chí Minh, Việt NamCông ty TNHH CNTT Aureole (CN Gò Vấp)"/>
    <n v="1"/>
    <x v="1"/>
    <x v="2"/>
    <d v="1899-12-30T07:10:24"/>
    <x v="4"/>
  </r>
  <r>
    <s v="3559366256769594032"/>
    <s v=""/>
    <x v="7"/>
    <n v="0"/>
    <s v=""/>
    <s v="NULL"/>
    <x v="0"/>
    <s v="2026-08-11 07:14:55"/>
    <s v="2026-08-11 07:24:55"/>
    <s v="NULL"/>
    <s v="NULL"/>
    <s v="2026-08-11 10:47:42"/>
    <s v=""/>
    <s v="106.4991551"/>
    <s v="10.611863"/>
    <s v="106.645950950581"/>
    <s v="10.800682469083"/>
    <n v="166968"/>
    <n v="0"/>
    <n v="166968"/>
    <s v="Cash"/>
    <s v="AsiaSteel KCN Thuận Đạo, Long Cang, Tây Ninh, Việt NamAsiaSteel KCN Thuận Đạo"/>
    <s v="2/5b Bình Giã, Tân Bình, Hồ Chí Minh, VietnamCông Ty Tnhh Thương Mại &amp; Dịch Vụ"/>
    <n v="1"/>
    <x v="1"/>
    <x v="2"/>
    <d v="1899-12-30T07:14:55"/>
    <x v="170"/>
  </r>
  <r>
    <s v="3559366256786366975"/>
    <s v=""/>
    <x v="7"/>
    <n v="0"/>
    <s v=""/>
    <s v="NULL"/>
    <x v="0"/>
    <s v="2026-08-11 07:20:51"/>
    <s v="2026-08-11 07:30:50"/>
    <s v="NULL"/>
    <s v="NULL"/>
    <s v="2026-08-11 11:05:14"/>
    <s v=""/>
    <s v="106.5136181"/>
    <s v="10.6250338"/>
    <s v="106.6666421"/>
    <s v="10.9691844"/>
    <n v="326808"/>
    <n v="0"/>
    <n v="326808"/>
    <s v="Cash"/>
    <s v="CTY Kim Tiền Hải, Đ. Số 3, KCN Phúc Long, Mỹ Yên, Tây Ninh, Việt NamCTY Kim Tiền Hải"/>
    <s v="Công Ty TNHH Hùng Kim Hoa, Khu 3, Thủ Dầu Một, Hồ Chí Minh, Việt NamCông Ty TNHH Hùng Kim Hoa"/>
    <n v="1"/>
    <x v="1"/>
    <x v="2"/>
    <d v="1899-12-30T07:20:51"/>
    <x v="171"/>
  </r>
  <r>
    <s v="3559366256786367433"/>
    <s v=""/>
    <x v="7"/>
    <n v="0"/>
    <s v=""/>
    <s v="NULL"/>
    <x v="0"/>
    <s v="2026-08-11 07:23:49"/>
    <s v="2026-08-11 07:33:48"/>
    <s v="NULL"/>
    <s v="NULL"/>
    <s v="2026-08-11 09:34:37"/>
    <s v=""/>
    <s v="106.548153"/>
    <s v="10.6243872"/>
    <s v="106.645950950581"/>
    <s v="10.800682469083"/>
    <n v="150984"/>
    <n v="0"/>
    <n v="150984"/>
    <s v="Cash"/>
    <s v="Công Ty Tnhh Crecimiento Industrial Việt Nam Chi Nhánh Long An, ẤP 3B, Mỹ Yên, Tây Ninh, Việt NamCông Ty Tnhh Crecimiento Industrial Việt Nam Chi Nhánh Long An"/>
    <s v="2/5b Bình Giã, Tân Bình, Hồ Chí Minh, VietnamCông Ty Tnhh Thương Mại &amp; Dịch Vụ"/>
    <n v="1"/>
    <x v="1"/>
    <x v="2"/>
    <d v="1899-12-30T07:23:49"/>
    <x v="172"/>
  </r>
  <r>
    <s v="3559366714485601056"/>
    <s v=""/>
    <x v="7"/>
    <n v="0"/>
    <s v=""/>
    <s v="NULL"/>
    <x v="0"/>
    <s v="2026-08-11 07:08:45"/>
    <s v="2026-08-11 07:18:44"/>
    <s v="NULL"/>
    <s v="NULL"/>
    <s v="2026-08-11 09:18:44"/>
    <s v=""/>
    <s v="106.4989851"/>
    <s v="10.6100853"/>
    <s v="106.5964657"/>
    <s v="10.8836828"/>
    <n v="155304"/>
    <n v="0"/>
    <n v="155304"/>
    <s v="Cash"/>
    <s v="OKIA OPTICAL VIETNAM, Long Cang, Tây Ninh, Việt NamOKIA OPTICAL VIETNAM"/>
    <s v="CTY TNHH TK-XD-TM QUỐC THẮNG TẠI HÓC MÔN, Ngô Quyền, Hóc Môn, Hồ Chí Minh, Việt NamCTY TNHH TK-XD-TM QUỐC THẮNG TẠI HÓC MÔN"/>
    <n v="1"/>
    <x v="1"/>
    <x v="2"/>
    <d v="1899-12-30T07:08:45"/>
    <x v="9"/>
  </r>
  <r>
    <s v="3559366714519147490"/>
    <s v=""/>
    <x v="7"/>
    <n v="0"/>
    <s v=""/>
    <s v="NULL"/>
    <x v="0"/>
    <s v="2026-08-11 07:24:16"/>
    <s v="2026-08-11 07:34:15"/>
    <s v="NULL"/>
    <s v="NULL"/>
    <s v="2026-08-11 09:34:15"/>
    <s v=""/>
    <s v="106.5140605"/>
    <s v="10.637042"/>
    <s v="106.6758781"/>
    <s v="10.8370741"/>
    <n v="192132"/>
    <n v="0"/>
    <n v="192132"/>
    <s v="Cash"/>
    <s v="CÔNG TY TNHH THƯƠNG MẠI VÀ DƯỢC PHẨM ANH SANG, Đường VL4, Khu công Nghiệp, Mỹ Yên, Tây Ninh, Việt NamCÔNG TY TNHH THƯƠNG MẠI VÀ DƯỢC PHẨM ANH SANG"/>
    <s v="Công ty TNHH CNTT Aureole (CN Gò Vấp), Nguyễn Oanh, Gò Vấp, Hồ Chí Minh, Việt NamCông ty TNHH CNTT Aureole (CN Gò Vấp)"/>
    <n v="1"/>
    <x v="1"/>
    <x v="2"/>
    <d v="1899-12-30T07:24:16"/>
    <x v="9"/>
  </r>
  <r>
    <s v="3559366714519147515"/>
    <s v=""/>
    <x v="7"/>
    <n v="0"/>
    <s v=""/>
    <s v="NULL"/>
    <x v="0"/>
    <s v="2026-08-11 07:24:30"/>
    <s v="2026-08-11 07:34:30"/>
    <s v="NULL"/>
    <s v="NULL"/>
    <s v="2026-08-11 10:09:15"/>
    <s v=""/>
    <s v="106.5140605"/>
    <s v="10.637042"/>
    <s v="106.5922566"/>
    <s v="10.7697428"/>
    <n v="128304"/>
    <n v="0"/>
    <n v="128304"/>
    <s v="Cash"/>
    <s v="CÔNG TY TNHH THƯƠNG MẠI VÀ DƯỢC PHẨM ANH SANG, Đường VL4, Khu công Nghiệp, Mỹ Yên, Tây Ninh, Việt NamCÔNG TY TNHH THƯƠNG MẠI VÀ DƯỢC PHẨM ANH SANG"/>
    <s v="CÔNG TY CP SX HTD BÌNH TÂN, Hương lộ 2, Bình Trị Đông, Hồ Chí Minh, Việt NamCÔNG TY CP SX HTD BÌNH TÂN"/>
    <n v="1"/>
    <x v="1"/>
    <x v="2"/>
    <d v="1899-12-30T07:24:30"/>
    <x v="173"/>
  </r>
  <r>
    <s v="3559366714519147554"/>
    <s v=""/>
    <x v="7"/>
    <n v="4605008"/>
    <s v=""/>
    <s v="Motorcycle"/>
    <x v="2"/>
    <s v="2026-08-11 07:24:43"/>
    <s v="2026-08-11 07:34:42"/>
    <s v="2026-08-11 09:11:42"/>
    <s v="NULL"/>
    <s v=""/>
    <s v=""/>
    <s v="106.5140605"/>
    <s v="10.637042"/>
    <s v="106.6019001"/>
    <s v="11.1310619"/>
    <n v="225936"/>
    <n v="175153"/>
    <n v="50783"/>
    <s v="Cash"/>
    <s v="CÔNG TY TNHH THƯƠNG MẠI VÀ DƯỢC PHẨM ANH SANG, Đường VL4, Khu công Nghiệp, Mỹ Yên, Tây Ninh, Việt NamCÔNG TY TNHH THƯƠNG MẠI VÀ DƯỢC PHẨM ANH SANG"/>
    <s v="Công Ty Yazaki Eds Việt Nam Ltd, Đường D1, Bến Cát, Hồ Chí Minh, Việt NamCông Ty Yazaki Eds Việt Nam Ltd"/>
    <n v="1"/>
    <x v="1"/>
    <x v="2"/>
    <d v="1899-12-30T07:24:43"/>
    <x v="14"/>
  </r>
  <r>
    <s v="3559367601740276307"/>
    <s v=""/>
    <x v="7"/>
    <n v="0"/>
    <s v=""/>
    <s v="NULL"/>
    <x v="0"/>
    <s v="2026-08-11 07:15:53"/>
    <s v="2026-08-11 07:25:52"/>
    <s v="NULL"/>
    <s v="NULL"/>
    <s v="2026-08-11 09:25:52"/>
    <s v=""/>
    <s v="106.4971215"/>
    <s v="10.6226478"/>
    <s v="106.6019001"/>
    <s v="11.1310619"/>
    <n v="241920"/>
    <n v="0"/>
    <n v="241920"/>
    <s v="Cash"/>
    <s v="CÔNG TY TNHH MTV HÒA THÀNH LONG AN, Đường Phan Văn Mãng, Khu Phố 9, Bến Lức, Tây Ninh, Việt NamCÔNG TY TNHH MTV HÒA THÀNH LONG AN"/>
    <s v="Công Ty Yazaki Eds Việt Nam Ltd, Đường D1, Bến Cát, Hồ Chí Minh, Việt NamCông Ty Yazaki Eds Việt Nam Ltd"/>
    <n v="1"/>
    <x v="1"/>
    <x v="2"/>
    <d v="1899-12-30T07:15:53"/>
    <x v="9"/>
  </r>
  <r>
    <s v="3559367601740276559"/>
    <s v=""/>
    <x v="7"/>
    <n v="0"/>
    <s v=""/>
    <s v="NULL"/>
    <x v="0"/>
    <s v="2026-08-11 07:17:38"/>
    <s v="2026-08-11 07:27:37"/>
    <s v="NULL"/>
    <s v="NULL"/>
    <s v="2026-08-11 09:27:37"/>
    <s v=""/>
    <s v="106.5117001"/>
    <s v="10.6208058"/>
    <s v="106.879925"/>
    <s v="10.9312548"/>
    <n v="254556"/>
    <n v="0"/>
    <n v="254556"/>
    <s v="Cash"/>
    <s v="CÔNG TY TNHH MTV KOOKIL DYEING VIỆT NAM, Đường Số 7, KCN Phúc Long, Mỹ Yên, Tây Ninh, Việt NamCÔNG TY TNHH MTV KOOKIL DYEING VIỆT NAM"/>
    <s v="Công Ty Taekwang Vina - Chi Nhánh Long Bình, P, Long Bình, Đồng Nai, Việt NamCông Ty Taekwang Vina - Chi Nhánh Long Bình"/>
    <n v="1"/>
    <x v="1"/>
    <x v="2"/>
    <d v="1899-12-30T07:17:38"/>
    <x v="9"/>
  </r>
  <r>
    <s v="3559367601757049093"/>
    <s v=""/>
    <x v="7"/>
    <n v="0"/>
    <s v=""/>
    <s v="NULL"/>
    <x v="0"/>
    <s v="2026-08-11 07:20:39"/>
    <s v="2026-08-11 07:30:38"/>
    <s v="NULL"/>
    <s v="NULL"/>
    <s v="2026-08-11 09:30:38"/>
    <s v=""/>
    <s v="106.5136181"/>
    <s v="10.6250338"/>
    <s v="106.8063506"/>
    <s v="11.0723248"/>
    <n v="228528"/>
    <n v="0"/>
    <n v="228528"/>
    <s v="Cash"/>
    <s v="CTY Kim Tiền Hải, Đ. Số 3, KCN Phúc Long, Mỹ Yên, Tây Ninh, Việt NamCTY Kim Tiền Hải"/>
    <s v="C&amp;H Vina Company Limited, Area 5, Ward, Tân Uyên, Hồ Chí Minh, Việt NamC&amp;H Vina Company Limited"/>
    <n v="1"/>
    <x v="1"/>
    <x v="2"/>
    <d v="1899-12-30T07:20:39"/>
    <x v="9"/>
  </r>
  <r>
    <s v="3559367601757049366"/>
    <s v=""/>
    <x v="7"/>
    <n v="0"/>
    <s v=""/>
    <s v="NULL"/>
    <x v="0"/>
    <s v="2026-08-11 07:22:19"/>
    <s v="2026-08-11 07:32:18"/>
    <s v="NULL"/>
    <s v="NULL"/>
    <s v="2026-08-11 09:32:18"/>
    <s v=""/>
    <s v="106.5136626"/>
    <s v="10.6313041"/>
    <s v="106.9855473"/>
    <s v="10.7838166"/>
    <n v="357048"/>
    <n v="0"/>
    <n v="357048"/>
    <s v="Cash"/>
    <s v="Công Ty TNHH Hạt Nhựa Màu Việt Trung, Quốc lộ 1A Voi Lá, Mỹ Yên, Tây Ninh, Việt NamCông Ty TNHH Hạt Nhựa Màu Việt Trung"/>
    <s v="Ojitex (Vietnam) Co.,Ltd. - Long Thanh Branch, Khu công nghiệp, Long Thành, Đồng Nai, Việt NamOjitex (Vietnam) Co.,Ltd. - Long Thanh Branch"/>
    <n v="1"/>
    <x v="1"/>
    <x v="2"/>
    <d v="1899-12-30T07:22:19"/>
    <x v="9"/>
  </r>
  <r>
    <s v="3559370197502742769"/>
    <s v=""/>
    <x v="7"/>
    <n v="698521"/>
    <s v=""/>
    <s v="Motorcycle"/>
    <x v="2"/>
    <s v="2026-08-11 07:16:48"/>
    <s v="2026-08-11 07:26:47"/>
    <s v="2026-08-11 10:30:59"/>
    <s v="NULL"/>
    <s v=""/>
    <s v=""/>
    <s v="106.4883674"/>
    <s v="10.6224901"/>
    <s v="106.7195372"/>
    <s v="10.9373357"/>
    <n v="321840"/>
    <n v="249500"/>
    <n v="72340"/>
    <s v="Cash"/>
    <s v="Công ty TNHH Koda Sài Gòn, Đường Số 1, Bến Lức, Tây Ninh, Việt NamCông ty TNHH Koda Sài Gòn"/>
    <s v="Công Ty TNHH Fujikura Fiber Optics VN, Đường số 6, KCN Việt Nam-Singapore (VSIP1, Thuận Giao, Hồ Chí Minh, Việt NamCông Ty TNHH Fujikura Fiber Optics VN"/>
    <n v="1"/>
    <x v="1"/>
    <x v="2"/>
    <d v="1899-12-30T07:16:48"/>
    <x v="14"/>
  </r>
  <r>
    <s v="3559370197502743437"/>
    <s v=""/>
    <x v="7"/>
    <n v="0"/>
    <s v=""/>
    <s v="NULL"/>
    <x v="0"/>
    <s v="2026-08-11 07:21:18"/>
    <s v="2026-08-11 07:31:17"/>
    <s v="NULL"/>
    <s v="NULL"/>
    <s v="2026-08-11 09:31:17"/>
    <s v=""/>
    <s v="106.5118905"/>
    <s v="10.6287954"/>
    <s v="106.7195372"/>
    <s v="10.9373357"/>
    <n v="229716"/>
    <n v="0"/>
    <n v="229716"/>
    <s v="Cash"/>
    <s v="Climaveneta Vietnam, KCN Phúc Long, Mỹ Yên, Tây Ninh, Việt NamClimaveneta Vietnam"/>
    <s v="Công Ty TNHH Fujikura Fiber Optics VN, Đường số 6, KCN Việt Nam-Singapore (VSIP1, Thuận Giao, Hồ Chí Minh, Việt NamCông Ty TNHH Fujikura Fiber Optics VN"/>
    <n v="1"/>
    <x v="1"/>
    <x v="2"/>
    <d v="1899-12-30T07:21:18"/>
    <x v="9"/>
  </r>
  <r>
    <s v="3559370197519528050"/>
    <s v=""/>
    <x v="7"/>
    <n v="0"/>
    <s v=""/>
    <s v="NULL"/>
    <x v="0"/>
    <s v="2026-08-11 07:22:43"/>
    <s v="2026-08-11 07:32:42"/>
    <s v="NULL"/>
    <s v="NULL"/>
    <s v="2026-08-11 09:32:42"/>
    <s v=""/>
    <s v="106.5136626"/>
    <s v="10.6313041"/>
    <s v="106.7890328"/>
    <s v="10.8303277"/>
    <n v="184572"/>
    <n v="0"/>
    <n v="184572"/>
    <s v="Cash"/>
    <s v="Công Ty TNHH Hạt Nhựa Màu Việt Trung, Quốc lộ 1A Voi Lá, Mỹ Yên, Tây Ninh, Việt NamCông Ty TNHH Hạt Nhựa Màu Việt Trung"/>
    <s v="Công Ty TNHH Techtronic Tools (TTi Quận 9), TP, Đường D14A Công Nghệ Cao, Tăng Nhơn Phú, Hồ Chí Minh, Việt NamCông Ty TNHH Techtronic Tools (TTi Quận 9)"/>
    <n v="1"/>
    <x v="1"/>
    <x v="2"/>
    <d v="1899-12-30T07:22:43"/>
    <x v="9"/>
  </r>
  <r>
    <s v="3559370197519528192"/>
    <s v=""/>
    <x v="7"/>
    <n v="0"/>
    <s v=""/>
    <s v="NULL"/>
    <x v="0"/>
    <s v="2026-08-11 07:23:37"/>
    <s v="2026-08-11 07:33:37"/>
    <s v="NULL"/>
    <s v="NULL"/>
    <s v="2026-08-11 09:33:37"/>
    <s v=""/>
    <s v="106.548153"/>
    <s v="10.6243872"/>
    <s v="106.5964657"/>
    <s v="10.8836828"/>
    <n v="189972"/>
    <n v="0"/>
    <n v="189972"/>
    <s v="Cash"/>
    <s v="Công Ty Tnhh Crecimiento Industrial Việt Nam Chi Nhánh Long An, ẤP 3B, Mỹ Yên, Tây Ninh, Việt NamCông Ty Tnhh Crecimiento Industrial Việt Nam Chi Nhánh Long An"/>
    <s v="CTY TNHH TK-XD-TM QUỐC THẮNG TẠI HÓC MÔN, Ngô Quyền, Hóc Môn, Hồ Chí Minh, Việt NamCTY TNHH TK-XD-TM QUỐC THẮNG TẠI HÓC MÔN"/>
    <n v="1"/>
    <x v="1"/>
    <x v="2"/>
    <d v="1899-12-30T07:23:37"/>
    <x v="4"/>
  </r>
  <r>
    <s v="3559372206062661820"/>
    <s v=""/>
    <x v="7"/>
    <n v="0"/>
    <s v=""/>
    <s v="NULL"/>
    <x v="0"/>
    <s v="2026-08-11 07:12:05"/>
    <s v="2026-08-11 07:22:04"/>
    <s v="NULL"/>
    <s v="NULL"/>
    <s v="2026-08-11 09:22:04"/>
    <s v=""/>
    <s v="106.4863479"/>
    <s v="10.6071258"/>
    <s v="106.8063506"/>
    <s v="11.0723248"/>
    <n v="307692"/>
    <n v="0"/>
    <n v="307692"/>
    <s v="Cash"/>
    <s v="Công Ty TNHH Sản Xuất Khuôn Đúc Chin Chen Fuh Việt Nam, Long Cang, Tây Ninh, Việt NamCông Ty TNHH Sản Xuất Khuôn Đúc Chin Chen Fuh Việt Nam"/>
    <s v="C&amp;H Vina Company Limited, Area 5, Ward, Tân Uyên, Hồ Chí Minh, Việt NamC&amp;H Vina Company Limited"/>
    <n v="1"/>
    <x v="1"/>
    <x v="2"/>
    <d v="1899-12-30T07:12:05"/>
    <x v="9"/>
  </r>
  <r>
    <s v="3559372206079434846"/>
    <s v=""/>
    <x v="7"/>
    <n v="0"/>
    <s v=""/>
    <s v="NULL"/>
    <x v="0"/>
    <s v="2026-08-11 07:18:03"/>
    <s v="2026-08-11 07:28:02"/>
    <s v="NULL"/>
    <s v="NULL"/>
    <s v="2026-08-11 09:28:02"/>
    <s v=""/>
    <s v="106.5117001"/>
    <s v="10.6208058"/>
    <s v="106.749202"/>
    <s v="10.8387417"/>
    <n v="226260"/>
    <n v="0"/>
    <n v="226260"/>
    <s v="Cash"/>
    <s v="CÔNG TY TNHH MTV KOOKIL DYEING VIỆT NAM, Đường Số 7, KCN Phúc Long, Mỹ Yên, Tây Ninh, Việt NamCÔNG TY TNHH MTV KOOKIL DYEING VIỆT NAM"/>
    <s v="Công Ty Tnhh Tm Eurochem, Đường Số 2, Thủ Đức, Hồ Chí Minh, Việt NamCông Ty Tnhh Tm Eurochem"/>
    <n v="1"/>
    <x v="1"/>
    <x v="2"/>
    <d v="1899-12-30T07:18:03"/>
    <x v="9"/>
  </r>
  <r>
    <s v="3559372206079435534"/>
    <s v=""/>
    <x v="7"/>
    <n v="0"/>
    <s v=""/>
    <s v="NULL"/>
    <x v="0"/>
    <s v="2026-08-11 07:22:32"/>
    <s v="2026-08-11 07:32:31"/>
    <s v="NULL"/>
    <s v="NULL"/>
    <s v="2026-08-11 09:32:31"/>
    <s v=""/>
    <s v="106.5136626"/>
    <s v="10.6313041"/>
    <s v="106.749202"/>
    <s v="10.8387417"/>
    <n v="209628"/>
    <n v="0"/>
    <n v="209628"/>
    <s v="Cash"/>
    <s v="Công Ty TNHH Hạt Nhựa Màu Việt Trung, Quốc lộ 1A Voi Lá, Mỹ Yên, Tây Ninh, Việt NamCông Ty TNHH Hạt Nhựa Màu Việt Trung"/>
    <s v="Công Ty Tnhh Tm Eurochem, Đường Số 2, Thủ Đức, Hồ Chí Minh, Việt NamCông Ty Tnhh Tm Eurochem"/>
    <n v="1"/>
    <x v="1"/>
    <x v="2"/>
    <d v="1899-12-30T07:22:32"/>
    <x v="9"/>
  </r>
  <r>
    <s v="3559372206096207932"/>
    <s v=""/>
    <x v="7"/>
    <n v="0"/>
    <s v=""/>
    <s v="NULL"/>
    <x v="0"/>
    <s v="2026-08-11 07:24:56"/>
    <s v="2026-08-11 07:34:55"/>
    <s v="NULL"/>
    <s v="NULL"/>
    <s v="2026-08-11 09:34:55"/>
    <s v=""/>
    <s v="106.5140605"/>
    <s v="10.637042"/>
    <s v="106.8063506"/>
    <s v="11.0723248"/>
    <n v="404568"/>
    <n v="0"/>
    <n v="404568"/>
    <s v="Cash"/>
    <s v="CÔNG TY TNHH THƯƠNG MẠI VÀ DƯỢC PHẨM ANH SANG, Đường VL4, Khu công Nghiệp, Mỹ Yên, Tây Ninh, Việt NamCÔNG TY TNHH THƯƠNG MẠI VÀ DƯỢC PHẨM ANH SANG"/>
    <s v="C&amp;H Vina Company Limited, Area 5, Ward, Tân Uyên, Hồ Chí Minh, Việt NamC&amp;H Vina Company Limited"/>
    <n v="1"/>
    <x v="1"/>
    <x v="2"/>
    <d v="1899-12-30T07:24:56"/>
    <x v="9"/>
  </r>
  <r>
    <s v="3559372206096208200"/>
    <s v=""/>
    <x v="7"/>
    <n v="0"/>
    <s v=""/>
    <s v="NULL"/>
    <x v="0"/>
    <s v="2026-08-11 07:26:39"/>
    <s v="2026-08-11 07:36:39"/>
    <s v="NULL"/>
    <s v="NULL"/>
    <s v="2026-08-11 09:36:39"/>
    <s v=""/>
    <s v="106.5162847"/>
    <s v="10.6451341"/>
    <s v="106.749202"/>
    <s v="10.8387417"/>
    <n v="242892"/>
    <n v="0"/>
    <n v="242892"/>
    <s v="Cash"/>
    <s v="CÔNG TY CỔ PHẦN TKMB, Đường VL1, KCN Vĩnh Lộc 2, Mỹ Yên, Tây Ninh, Việt NamCÔNG TY CỔ PHẦN TKMB"/>
    <s v="Công Ty Tnhh Tm Eurochem, Đường Số 2, Thủ Đức, Hồ Chí Minh, Việt NamCông Ty Tnhh Tm Eurochem"/>
    <n v="1"/>
    <x v="1"/>
    <x v="2"/>
    <d v="1899-12-30T07:26:39"/>
    <x v="4"/>
  </r>
  <r>
    <s v="3559372206096208326"/>
    <s v=""/>
    <x v="7"/>
    <n v="0"/>
    <s v=""/>
    <s v="NULL"/>
    <x v="0"/>
    <s v="2026-08-11 07:27:28"/>
    <s v="2026-08-11 07:37:27"/>
    <s v="NULL"/>
    <s v="NULL"/>
    <s v="2026-08-11 09:37:27"/>
    <s v=""/>
    <s v="106.5161509"/>
    <s v="10.6456886"/>
    <s v="106.7144591"/>
    <s v="10.804514"/>
    <n v="190620"/>
    <n v="0"/>
    <n v="190620"/>
    <s v="Cash"/>
    <s v="Công ty Cổ Phần In DICA, Đường VL1, KCN Vĩnh Lộc 2, Mỹ Yên, Tây Ninh, Việt NamCông ty Cổ Phần In DICA"/>
    <s v="Win.D Gaming Quận Bình Thạnh, Đường Võ Oanh, Thạnh Mỹ Tây, Hồ Chí Minh, Việt NamWin.D Gaming Quận Bình Thạnh"/>
    <n v="1"/>
    <x v="1"/>
    <x v="2"/>
    <d v="1899-12-30T07:27:28"/>
    <x v="9"/>
  </r>
  <r>
    <s v="3559373672080957763"/>
    <s v=""/>
    <x v="7"/>
    <n v="0"/>
    <s v=""/>
    <s v="NULL"/>
    <x v="0"/>
    <s v="2026-08-11 07:14:32"/>
    <s v="2026-08-11 07:24:31"/>
    <s v="NULL"/>
    <s v="NULL"/>
    <s v="2026-08-11 09:24:31"/>
    <s v=""/>
    <s v="106.4991551"/>
    <s v="10.611863"/>
    <s v="106.7144591"/>
    <s v="10.804514"/>
    <n v="156492"/>
    <n v="0"/>
    <n v="156492"/>
    <s v="Cash"/>
    <s v="AsiaSteel KCN Thuận Đạo, Long Cang, Tây Ninh, Việt NamAsiaSteel KCN Thuận Đạo"/>
    <s v="Win.D Gaming Quận Bình Thạnh, Đường Võ Oanh, Thạnh Mỹ Tây, Hồ Chí Minh, Việt NamWin.D Gaming Quận Bình Thạnh"/>
    <n v="1"/>
    <x v="1"/>
    <x v="2"/>
    <d v="1899-12-30T07:14:32"/>
    <x v="9"/>
  </r>
  <r>
    <s v="3559373672114516919"/>
    <s v=""/>
    <x v="7"/>
    <n v="2852976"/>
    <s v=""/>
    <s v="Motorcycle"/>
    <x v="1"/>
    <s v="2026-08-11 07:32:04"/>
    <s v="2026-08-11 07:42:04"/>
    <s v="2026-08-11 07:32:42"/>
    <s v="NULL"/>
    <s v="2026-08-11 07:35:20"/>
    <s v=""/>
    <s v="106.5662616"/>
    <s v="10.6461536"/>
    <s v="106.5964657"/>
    <s v="10.8836828"/>
    <n v="230904"/>
    <n v="189534"/>
    <n v="41370"/>
    <s v="Cash"/>
    <s v="Công ty TNHH Vy Kỳ, Đ. Sân Banh, Phước Lý, Tây Ninh, Việt NamCông ty TNHH Vy Kỳ"/>
    <s v="CTY TNHH TK-XD-TM QUỐC THẮNG TẠI HÓC MÔN, Ngô Quyền, Hóc Môn, Hồ Chí Minh, Việt NamCTY TNHH TK-XD-TM QUỐC THẮNG TẠI HÓC MÔN"/>
    <n v="1"/>
    <x v="1"/>
    <x v="2"/>
    <d v="1899-12-30T07:32:04"/>
    <x v="174"/>
  </r>
  <r>
    <s v="3559373747586822190"/>
    <s v=""/>
    <x v="7"/>
    <n v="0"/>
    <s v=""/>
    <s v="NULL"/>
    <x v="0"/>
    <s v="2026-08-11 07:12:53"/>
    <s v="2026-08-11 07:22:52"/>
    <s v="NULL"/>
    <s v="NULL"/>
    <s v="2026-08-11 09:22:52"/>
    <s v=""/>
    <s v="106.4941308"/>
    <s v="10.6096558"/>
    <s v="106.7523077"/>
    <s v="10.8971338"/>
    <n v="219348"/>
    <n v="0"/>
    <n v="219348"/>
    <s v="Cash"/>
    <s v="Công ty TNHH Sản xuất và Thương mại Khải Tín Huy, đường số 1, KCN Thuận Đạo (mở rộng, Long Cang, Tây Ninh, Việt NamCông ty TNHH Sản xuất và Thương mại Khải Tín Huy"/>
    <s v="Công Ty TNHH Quốc Tế Chutex, Thống Nhất, KCN Sóng Thần2, Dĩ An, Hồ Chí Minh, Việt NamCông Ty TNHH Quốc Tế Chutex"/>
    <n v="1"/>
    <x v="1"/>
    <x v="2"/>
    <d v="1899-12-30T07:12:53"/>
    <x v="9"/>
  </r>
  <r>
    <s v="3559373747586822528"/>
    <s v=""/>
    <x v="7"/>
    <n v="0"/>
    <s v=""/>
    <s v="NULL"/>
    <x v="0"/>
    <s v="2026-08-11 07:15:25"/>
    <s v="2026-08-11 07:25:24"/>
    <s v="NULL"/>
    <s v="NULL"/>
    <s v="2026-08-11 09:25:24"/>
    <s v=""/>
    <s v="106.4971215"/>
    <s v="10.6226478"/>
    <s v="106.6758781"/>
    <s v="10.8370741"/>
    <n v="146556"/>
    <n v="0"/>
    <n v="146556"/>
    <s v="Cash"/>
    <s v="CÔNG TY TNHH MTV HÒA THÀNH LONG AN, Đường Phan Văn Mãng, Khu Phố 9, Bến Lức, Tây Ninh, Việt NamCÔNG TY TNHH MTV HÒA THÀNH LONG AN"/>
    <s v="Công ty TNHH CNTT Aureole (CN Gò Vấp), Nguyễn Oanh, Gò Vấp, Hồ Chí Minh, Việt NamCông ty TNHH CNTT Aureole (CN Gò Vấp)"/>
    <n v="1"/>
    <x v="1"/>
    <x v="2"/>
    <d v="1899-12-30T07:15:25"/>
    <x v="9"/>
  </r>
  <r>
    <s v="3559373747586822540"/>
    <s v=""/>
    <x v="7"/>
    <n v="0"/>
    <s v=""/>
    <s v="NULL"/>
    <x v="0"/>
    <s v="2026-08-11 07:15:37"/>
    <s v="2026-08-11 07:25:36"/>
    <s v="NULL"/>
    <s v="NULL"/>
    <s v="2026-08-11 11:34:54"/>
    <s v=""/>
    <s v="106.4971215"/>
    <s v="10.6226478"/>
    <s v="106.5922566"/>
    <s v="10.7697428"/>
    <n v="136620"/>
    <n v="0"/>
    <n v="136620"/>
    <s v="Cash"/>
    <s v="CÔNG TY TNHH MTV HÒA THÀNH LONG AN, Đường Phan Văn Mãng, Khu Phố 9, Bến Lức, Tây Ninh, Việt NamCÔNG TY TNHH MTV HÒA THÀNH LONG AN"/>
    <s v="CÔNG TY CP SX HTD BÌNH TÂN, Hương lộ 2, Bình Trị Đông, Hồ Chí Minh, Việt NamCÔNG TY CP SX HTD BÌNH TÂN"/>
    <n v="1"/>
    <x v="1"/>
    <x v="2"/>
    <d v="1899-12-30T07:15:37"/>
    <x v="175"/>
  </r>
  <r>
    <s v="3559373747603595743"/>
    <s v=""/>
    <x v="7"/>
    <n v="0"/>
    <s v=""/>
    <s v="NULL"/>
    <x v="0"/>
    <s v="2026-08-11 07:22:56"/>
    <s v="2026-08-11 07:32:55"/>
    <s v="NULL"/>
    <s v="NULL"/>
    <s v="2026-08-11 09:32:55"/>
    <s v=""/>
    <s v="106.5136626"/>
    <s v="10.6313041"/>
    <s v="106.7342105"/>
    <s v="10.7977695"/>
    <n v="186516"/>
    <n v="0"/>
    <n v="186516"/>
    <s v="Cash"/>
    <s v="Công Ty TNHH Hạt Nhựa Màu Việt Trung, Quốc lộ 1A Voi Lá, Mỹ Yên, Tây Ninh, Việt NamCông Ty TNHH Hạt Nhựa Màu Việt Trung"/>
    <s v="Công Ty CP Thực Phẩm Siam Quận 2, Đường số 19, An Khánh, Hồ Chí Minh, Việt NamCông Ty CP Thực Phẩm Siam Quận 2"/>
    <n v="1"/>
    <x v="1"/>
    <x v="2"/>
    <d v="1899-12-30T07:22:56"/>
    <x v="9"/>
  </r>
  <r>
    <s v="3559373882819571944"/>
    <s v=""/>
    <x v="7"/>
    <n v="0"/>
    <s v=""/>
    <s v="NULL"/>
    <x v="0"/>
    <s v="2026-08-11 07:14:09"/>
    <s v="2026-08-11 07:24:08"/>
    <s v="NULL"/>
    <s v="NULL"/>
    <s v="2026-08-11 09:24:08"/>
    <s v=""/>
    <s v="106.4943096"/>
    <s v="10.6126435"/>
    <s v="106.7342105"/>
    <s v="10.7977695"/>
    <n v="199260"/>
    <n v="0"/>
    <n v="199260"/>
    <s v="Cash"/>
    <s v="Công Ty TNHH MTV San-Ei VN (有限会社三栄ベトナム）, Long Cang, Tây Ninh, Việt NamCông Ty TNHH MTV San-Ei VN (有限会社三栄ベトナム）"/>
    <s v="Công Ty CP Thực Phẩm Siam Quận 2, Đường số 19, An Khánh, Hồ Chí Minh, Việt NamCông Ty CP Thực Phẩm Siam Quận 2"/>
    <n v="1"/>
    <x v="1"/>
    <x v="2"/>
    <d v="1899-12-30T07:14:09"/>
    <x v="9"/>
  </r>
  <r>
    <s v="3559376255554114047"/>
    <s v=""/>
    <x v="7"/>
    <n v="0"/>
    <s v=""/>
    <s v="NULL"/>
    <x v="0"/>
    <s v="2026-08-11 07:26:51"/>
    <s v="2026-08-11 07:36:51"/>
    <s v="NULL"/>
    <s v="NULL"/>
    <s v="2026-08-11 09:36:51"/>
    <s v=""/>
    <s v="106.5162847"/>
    <s v="10.6451341"/>
    <s v="106.7890328"/>
    <s v="10.8303277"/>
    <n v="256392"/>
    <n v="0"/>
    <n v="256392"/>
    <s v="Cash"/>
    <s v="CÔNG TY CỔ PHẦN TKMB, Đường VL1, KCN Vĩnh Lộc 2, Mỹ Yên, Tây Ninh, Việt NamCÔNG TY CỔ PHẦN TKMB"/>
    <s v="Công Ty TNHH Techtronic Tools (TTi Quận 9), TP, Đường D14A Công Nghệ Cao, Tăng Nhơn Phú, Hồ Chí Minh, Việt NamCông Ty TNHH Techtronic Tools (TTi Quận 9)"/>
    <n v="1"/>
    <x v="1"/>
    <x v="2"/>
    <d v="1899-12-30T07:26:51"/>
    <x v="4"/>
  </r>
  <r>
    <s v="3559376255570899865"/>
    <s v=""/>
    <x v="7"/>
    <n v="0"/>
    <s v=""/>
    <s v="NULL"/>
    <x v="0"/>
    <s v="2026-08-11 07:35:04"/>
    <s v="2026-08-11 07:45:04"/>
    <s v="NULL"/>
    <s v="NULL"/>
    <s v="2026-08-11 09:45:04"/>
    <s v=""/>
    <s v="106.55417576335448"/>
    <s v="10.643974397573698"/>
    <s v="106.6746036"/>
    <s v="10.7504578"/>
    <n v="126360"/>
    <n v="0"/>
    <n v="126360"/>
    <s v="Cash"/>
    <s v="JHV3+6RF, Phước Lý, Tây Ninh, Việt NamJHV3+6RF, Phước Lý, Tây Ninh, Việt Nam"/>
    <s v="Quận 5, Trần Tuấn Khải, An Đông, Hồ Chí Minh, Việt NamQuận 5"/>
    <n v="1"/>
    <x v="1"/>
    <x v="2"/>
    <d v="1899-12-30T07:35:04"/>
    <x v="4"/>
  </r>
  <r>
    <s v="3559380688119746882"/>
    <s v=""/>
    <x v="7"/>
    <n v="0"/>
    <s v=""/>
    <s v="NULL"/>
    <x v="0"/>
    <s v="2026-08-11 07:25:47"/>
    <s v="2026-08-11 07:35:46"/>
    <s v="NULL"/>
    <s v="NULL"/>
    <s v="2026-08-11 09:35:46"/>
    <s v=""/>
    <s v="106.5170719"/>
    <s v="10.6408032"/>
    <s v="106.7523077"/>
    <s v="10.8971338"/>
    <n v="278100"/>
    <n v="0"/>
    <n v="278100"/>
    <s v="Cash"/>
    <s v="Cty Cp Nhua Doan Minh Long, Đường Vĩnh Lộc KCN Vĩnh Lộc 2, Mỹ Yên, Tây Ninh, Việt NamCty Cp Nhua Doan Minh Long"/>
    <s v="Công Ty TNHH Quốc Tế Chutex, Thống Nhất, KCN Sóng Thần2, Dĩ An, Hồ Chí Minh, Việt NamCông Ty TNHH Quốc Tế Chutex"/>
    <n v="1"/>
    <x v="1"/>
    <x v="2"/>
    <d v="1899-12-30T07:25:47"/>
    <x v="9"/>
  </r>
  <r>
    <s v="3559380688136532237"/>
    <s v=""/>
    <x v="7"/>
    <n v="4424389"/>
    <s v=""/>
    <s v="Motorcycle"/>
    <x v="2"/>
    <s v="2026-08-11 07:31:25"/>
    <s v="2026-08-11 07:41:24"/>
    <s v="2026-08-11 08:49:46"/>
    <s v="NULL"/>
    <s v=""/>
    <s v=""/>
    <s v="106.5558973"/>
    <s v="10.6424013"/>
    <s v="106.7342105"/>
    <s v="10.7977695"/>
    <n v="211248"/>
    <n v="163766"/>
    <n v="47482"/>
    <s v="Cash"/>
    <s v="CÔNG TY TNHH SX TM DV XNK NHỰA CHÂU HƯNG, Đường tỉnh 835B, Ấp Phú Thành, Phước Lý, Tây Ninh, Việt NamCÔNG TY TNHH SX TM DV XNK NHỰA CHÂU HƯNG"/>
    <s v="Công Ty CP Thực Phẩm Siam Quận 2, Đường số 19, An Khánh, Hồ Chí Minh, Việt NamCông Ty CP Thực Phẩm Siam Quận 2"/>
    <n v="1"/>
    <x v="1"/>
    <x v="2"/>
    <d v="1899-12-30T07:31:25"/>
    <x v="14"/>
  </r>
  <r>
    <s v="3559380848543495158"/>
    <s v=""/>
    <x v="7"/>
    <n v="4621283"/>
    <s v=""/>
    <s v="Motorcycle"/>
    <x v="3"/>
    <s v="2026-08-11 07:30:47"/>
    <s v="2026-08-11 07:40:47"/>
    <s v="2026-08-11 09:26:09"/>
    <s v="2026-08-16 11:05:19"/>
    <s v=""/>
    <s v="2026-08-17 04:06:42"/>
    <s v="106.5558973"/>
    <s v="10.6424013"/>
    <s v="106.9855473"/>
    <s v="10.7838166"/>
    <n v="299376"/>
    <n v="232086"/>
    <n v="67290"/>
    <s v="Cash"/>
    <s v="CÔNG TY TNHH SX TM DV XNK NHỰA CHÂU HƯNG, Đường tỉnh 835B, Ấp Phú Thành, Phước Lý, Tây Ninh, Việt NamCÔNG TY TNHH SX TM DV XNK NHỰA CHÂU HƯNG"/>
    <s v="Ojitex (Vietnam) Co.,Ltd. - Long Thanh Branch, Khu công nghiệp, Long Thành, Đồng Nai, Việt NamOjitex (Vietnam) Co.,Ltd. - Long Thanh Branch"/>
    <n v="1"/>
    <x v="1"/>
    <x v="2"/>
    <d v="1899-12-30T07:30:47"/>
    <x v="176"/>
  </r>
  <r>
    <s v="3559380848560268180"/>
    <s v=""/>
    <x v="7"/>
    <n v="3339481"/>
    <s v=""/>
    <s v="Motorcycle"/>
    <x v="4"/>
    <s v="2026-08-11 07:36:11"/>
    <s v="2026-08-11 07:46:10"/>
    <s v="2026-08-11 09:57:34"/>
    <s v="2026-08-11 10:27:07"/>
    <s v="2026-08-21 07:47:10"/>
    <s v=""/>
    <s v="106.56138554118651"/>
    <s v="10.644311812887473"/>
    <s v="106.6727587"/>
    <s v="10.7604736"/>
    <n v="162108"/>
    <n v="125671"/>
    <n v="36437"/>
    <s v="Cash"/>
    <s v="JHV6+HH3, Phước Lý, Tây Ninh, Việt NamJHV6+HH3, Phước Lý, Tây Ninh, Việt Nam"/>
    <s v="Quận 10, Đường Nguyễn Chí Thanh, An Đông, Hồ Chí Minh, Việt NamQuận 10"/>
    <n v="1"/>
    <x v="1"/>
    <x v="2"/>
    <d v="1899-12-30T07:36:11"/>
    <x v="15"/>
  </r>
  <r>
    <s v="3559380848577040893"/>
    <s v=""/>
    <x v="7"/>
    <n v="0"/>
    <s v=""/>
    <s v="NULL"/>
    <x v="0"/>
    <s v="2026-08-11 07:39:15"/>
    <s v="2026-08-11 07:49:14"/>
    <s v="NULL"/>
    <s v="NULL"/>
    <s v="2026-08-11 09:49:14"/>
    <s v=""/>
    <s v="106.51121750377196"/>
    <s v="10.632132992473089"/>
    <s v="106.9198241"/>
    <s v="10.3874169"/>
    <n v="448848"/>
    <n v="0"/>
    <n v="448848"/>
    <s v="Cash"/>
    <s v="400 QL1A, KP9, Mỹ Yên, Tây Ninh, Việt Nam400 QL1A, KP9, Mỹ Yên, Tây Ninh, Việt Nam"/>
    <s v="Can Gio Resort, Thạnh Thới, Cần Giờ, Hồ Chí Minh, Việt NamCan Gio Resort"/>
    <n v="1"/>
    <x v="1"/>
    <x v="2"/>
    <d v="1899-12-30T07:39:15"/>
    <x v="9"/>
  </r>
  <r>
    <s v="3559381311804371250"/>
    <s v=""/>
    <x v="7"/>
    <n v="0"/>
    <s v=""/>
    <s v="NULL"/>
    <x v="0"/>
    <s v="2026-08-11 07:27:15"/>
    <s v="2026-08-11 07:37:15"/>
    <s v="NULL"/>
    <s v="NULL"/>
    <s v="2026-08-11 09:37:15"/>
    <s v=""/>
    <s v="106.5161509"/>
    <s v="10.6456886"/>
    <s v="106.7342105"/>
    <s v="10.7977695"/>
    <n v="189108"/>
    <n v="0"/>
    <n v="189108"/>
    <s v="Cash"/>
    <s v="Công ty Cổ Phần In DICA, Đường VL1, KCN Vĩnh Lộc 2, Mỹ Yên, Tây Ninh, Việt NamCông ty Cổ Phần In DICA"/>
    <s v="Công Ty CP Thực Phẩm Siam Quận 2, Đường số 19, An Khánh, Hồ Chí Minh, Việt NamCông Ty CP Thực Phẩm Siam Quận 2"/>
    <n v="1"/>
    <x v="1"/>
    <x v="2"/>
    <d v="1899-12-30T07:27:15"/>
    <x v="4"/>
  </r>
  <r>
    <s v="3559381311804371597"/>
    <s v=""/>
    <x v="7"/>
    <n v="3242149"/>
    <s v=""/>
    <s v="Motorcycle"/>
    <x v="1"/>
    <s v="2026-08-11 07:29:16"/>
    <s v="2026-08-11 07:39:16"/>
    <s v="2026-08-11 10:26:21"/>
    <s v="NULL"/>
    <s v="2026-08-11 10:41:00"/>
    <s v=""/>
    <s v="106.5039447"/>
    <s v="10.6433253"/>
    <s v="106.8063506"/>
    <s v="11.0723248"/>
    <n v="227232"/>
    <n v="186520"/>
    <n v="40712"/>
    <s v="Cash"/>
    <s v="Công Ty Cổ Phần Nosafood - Nhà máy Bến Lức, Đường VL7, KCN Vĩnh Lộc 2 X, Mỹ Yên, Tây Ninh, Việt NamCông Ty Cổ Phần Nosafood - Nhà máy Bến Lức"/>
    <s v="C&amp;H Vina Company Limited, Area 5, Ward, Tân Uyên, Hồ Chí Minh, Việt NamC&amp;H Vina Company Limited"/>
    <n v="1"/>
    <x v="1"/>
    <x v="2"/>
    <d v="1899-12-30T07:29:16"/>
    <x v="177"/>
  </r>
  <r>
    <s v="3559383005564981370"/>
    <s v=""/>
    <x v="7"/>
    <n v="4845523"/>
    <s v=""/>
    <s v="Motorcycle"/>
    <x v="2"/>
    <s v="2026-08-11 07:34:20"/>
    <s v="2026-08-11 07:44:20"/>
    <s v="2026-08-11 08:58:27"/>
    <s v="2026-08-11 09:00:19"/>
    <s v=""/>
    <s v=""/>
    <s v="106.55417576335448"/>
    <s v="10.643974397573698"/>
    <s v="106.730817218056"/>
    <s v="10.793521983679"/>
    <n v="215568"/>
    <n v="167115"/>
    <n v="48453"/>
    <s v="Cash"/>
    <s v="JHV3+6RF, Phước Lý, Tây Ninh, Việt NamJHV3+6RF, Phước Lý, Tây Ninh, Việt Nam"/>
    <s v="Quận 2an Khánhhồ Chí Minhviệt NamQuận 2"/>
    <n v="1"/>
    <x v="1"/>
    <x v="2"/>
    <d v="1899-12-30T07:34:20"/>
    <x v="14"/>
  </r>
  <r>
    <s v="3559384394525536682"/>
    <s v=""/>
    <x v="7"/>
    <n v="4639085"/>
    <s v=""/>
    <s v="Motorcycle"/>
    <x v="1"/>
    <s v="2026-08-11 07:32:50"/>
    <s v="2026-08-11 07:42:49"/>
    <s v="2026-08-11 20:30:45"/>
    <s v="NULL"/>
    <s v="2026-08-11 20:36:39"/>
    <s v=""/>
    <s v="106.5724577"/>
    <s v="10.6514818"/>
    <s v="106.6758781"/>
    <s v="10.8370741"/>
    <n v="166968"/>
    <n v="129439"/>
    <n v="37529"/>
    <s v="Cash"/>
    <s v="CTY mỹ phẩm trị liệu, Ba Trung, Phước Lý, Tây Ninh, Việt NamCTY mỹ phẩm trị liệu"/>
    <s v="Công ty TNHH CNTT Aureole (CN Gò Vấp), Nguyễn Oanh, Gò Vấp, Hồ Chí Minh, Việt NamCông ty TNHH CNTT Aureole (CN Gò Vấp)"/>
    <n v="1"/>
    <x v="1"/>
    <x v="2"/>
    <d v="1899-12-30T07:32:50"/>
    <x v="178"/>
  </r>
  <r>
    <s v="3559384394525537046"/>
    <s v=""/>
    <x v="7"/>
    <n v="4621283"/>
    <s v=""/>
    <s v="Motorcycle"/>
    <x v="3"/>
    <s v="2026-08-11 07:34:50"/>
    <s v="2026-08-11 07:44:50"/>
    <s v="2026-08-11 09:21:34"/>
    <s v="2026-08-16 11:02:39"/>
    <s v=""/>
    <s v="2026-08-17 05:11:03"/>
    <s v="106.55417576335448"/>
    <s v="10.643974397573698"/>
    <s v="106.6989609"/>
    <s v="10.7469416"/>
    <n v="138996"/>
    <n v="107754"/>
    <n v="31242"/>
    <s v="Cash"/>
    <s v="JHV3+6RF, Phước Lý, Tây Ninh, Việt NamJHV3+6RF, Phước Lý, Tây Ninh, Việt Nam"/>
    <s v="Quận 4 TP HCM, Tân Hưng, Hồ Chí Minh, Việt NamQuận 4 TP HCM"/>
    <n v="1"/>
    <x v="1"/>
    <x v="2"/>
    <d v="1899-12-30T07:34:50"/>
    <x v="179"/>
  </r>
  <r>
    <s v="3559384394525537183"/>
    <s v=""/>
    <x v="7"/>
    <n v="0"/>
    <s v=""/>
    <s v="NULL"/>
    <x v="0"/>
    <s v="2026-08-11 07:35:41"/>
    <s v="2026-08-11 07:45:41"/>
    <s v="NULL"/>
    <s v="NULL"/>
    <s v="2026-08-11 09:45:41"/>
    <s v=""/>
    <s v="106.56138554118651"/>
    <s v="10.644311812887473"/>
    <s v="106.7076858"/>
    <s v="10.7295817"/>
    <n v="133488"/>
    <n v="0"/>
    <n v="133488"/>
    <s v="Cash"/>
    <s v="JHV6+HH3, Phước Lý, Tây Ninh, Việt NamJHV6+HH3, Phước Lý, Tây Ninh, Việt Nam"/>
    <s v="quận 7, Hưng Phước 4, Khu đô thị Phú Mỹ Hưng, Tân Hưng, Hồ Chí Minh, Việt Namquận 7"/>
    <n v="1"/>
    <x v="1"/>
    <x v="2"/>
    <d v="1899-12-30T07:35:41"/>
    <x v="4"/>
  </r>
  <r>
    <s v="3559385331910537473"/>
    <s v=""/>
    <x v="7"/>
    <n v="3153346"/>
    <s v=""/>
    <s v="Motorcycle"/>
    <x v="2"/>
    <s v="2026-08-11 07:33:02"/>
    <s v="2026-08-11 07:43:01"/>
    <s v="2026-08-11 09:18:07"/>
    <s v="NULL"/>
    <s v=""/>
    <s v=""/>
    <s v="106.5724577"/>
    <s v="10.6514818"/>
    <s v="106.5922566"/>
    <s v="10.7697428"/>
    <n v="122256"/>
    <n v="94777"/>
    <n v="27479"/>
    <s v="Cash"/>
    <s v="CTY mỹ phẩm trị liệu, Ba Trung, Phước Lý, Tây Ninh, Việt NamCTY mỹ phẩm trị liệu"/>
    <s v="CÔNG TY CP SX HTD BÌNH TÂN, Hương lộ 2, Bình Trị Đông, Hồ Chí Minh, Việt NamCÔNG TY CP SX HTD BÌNH TÂN"/>
    <n v="1"/>
    <x v="1"/>
    <x v="2"/>
    <d v="1899-12-30T07:33:02"/>
    <x v="14"/>
  </r>
  <r>
    <s v="3559385331910537506"/>
    <s v=""/>
    <x v="7"/>
    <n v="3797183"/>
    <s v=""/>
    <s v="Motorcycle"/>
    <x v="1"/>
    <s v="2026-08-11 07:33:16"/>
    <s v="2026-08-11 07:43:15"/>
    <s v="2026-08-11 07:34:22"/>
    <s v="NULL"/>
    <s v="2026-08-11 07:41:53"/>
    <s v=""/>
    <s v="106.5724577"/>
    <s v="10.6514818"/>
    <s v="106.6019001"/>
    <s v="11.1310619"/>
    <n v="423792"/>
    <n v="328537"/>
    <n v="95255"/>
    <s v="Cash"/>
    <s v="CTY mỹ phẩm trị liệu, Ba Trung, Phước Lý, Tây Ninh, Việt NamCTY mỹ phẩm trị liệu"/>
    <s v="Công Ty Yazaki Eds Việt Nam Ltd, Đường D1, Bến Cát, Hồ Chí Minh, Việt NamCông Ty Yazaki Eds Việt Nam Ltd"/>
    <n v="1"/>
    <x v="1"/>
    <x v="2"/>
    <d v="1899-12-30T07:33:16"/>
    <x v="180"/>
  </r>
  <r>
    <s v="3559385417516273770"/>
    <s v=""/>
    <x v="7"/>
    <n v="4097797"/>
    <s v=""/>
    <s v="Motorcycle"/>
    <x v="2"/>
    <s v="2026-08-11 07:38:32"/>
    <s v="2026-08-11 07:48:32"/>
    <s v="2026-08-11 08:40:46"/>
    <s v="NULL"/>
    <s v=""/>
    <s v=""/>
    <s v="106.51121750377196"/>
    <s v="10.632132992473089"/>
    <s v="105.7468535"/>
    <s v="10.0451618"/>
    <n v="804060"/>
    <n v="623333"/>
    <n v="180727"/>
    <s v="Cash"/>
    <s v="400 QL1A, KP9, Mỹ Yên, Tây Ninh, Việt Nam400 QL1A, KP9, Mỹ Yên, Tây Ninh, Việt Nam"/>
    <s v="Cần Thơ, Ninh Kiều, Cần Thơ, Việt NamCần Thơ"/>
    <n v="1"/>
    <x v="1"/>
    <x v="2"/>
    <d v="1899-12-30T07:38:32"/>
    <x v="14"/>
  </r>
  <r>
    <s v="3559385427305788049"/>
    <s v=""/>
    <x v="7"/>
    <n v="3095307"/>
    <s v=""/>
    <s v="Motorcycle"/>
    <x v="2"/>
    <s v="2026-08-11 07:35:27"/>
    <s v="2026-08-11 07:45:26"/>
    <s v="2026-08-11 09:40:56"/>
    <s v="NULL"/>
    <s v=""/>
    <s v=""/>
    <s v="106.56138554118651"/>
    <s v="10.644311812887473"/>
    <s v="106.6408802"/>
    <s v="10.7471372"/>
    <n v="134136"/>
    <n v="103986"/>
    <n v="30150"/>
    <s v="Cash"/>
    <s v="JHV6+HH3, Phước Lý, Tây Ninh, Việt NamJHV6+HH3, Phước Lý, Tây Ninh, Việt Nam"/>
    <s v="Quận 6, Đường Phan Văn Khỏe, Bình Tây, Hồ Chí Minh, Việt NamQuận 6"/>
    <n v="1"/>
    <x v="1"/>
    <x v="2"/>
    <d v="1899-12-30T07:35:27"/>
    <x v="14"/>
  </r>
  <r>
    <s v="3559387159771439180"/>
    <s v=""/>
    <x v="7"/>
    <n v="2893090"/>
    <s v=""/>
    <s v="Motorcycle"/>
    <x v="2"/>
    <s v="2026-08-11 07:35:56"/>
    <s v="2026-08-11 07:45:55"/>
    <s v="2026-08-11 09:30:18"/>
    <s v="NULL"/>
    <s v=""/>
    <s v=""/>
    <s v="106.56138554118651"/>
    <s v="10.644311812887473"/>
    <s v="106.6536587"/>
    <s v="10.7295791"/>
    <n v="134784"/>
    <n v="104489"/>
    <n v="30295"/>
    <s v="Cash"/>
    <s v="JHV6+HH3, Phước Lý, Tây Ninh, Việt NamJHV6+HH3, Phước Lý, Tây Ninh, Việt Nam"/>
    <s v="Quận 8, Đường Số 18, Ấp 2, Bình Hưng, Hồ Chí Minh, Việt NamQuận 8"/>
    <n v="1"/>
    <x v="1"/>
    <x v="2"/>
    <d v="1899-12-30T07:35:56"/>
    <x v="14"/>
  </r>
  <r>
    <s v="3559390640297173261"/>
    <s v=""/>
    <x v="7"/>
    <n v="0"/>
    <s v=""/>
    <s v="NULL"/>
    <x v="0"/>
    <s v="2026-08-11 07:48:05"/>
    <s v="2026-08-11 07:58:06"/>
    <s v="NULL"/>
    <s v="NULL"/>
    <s v="2026-08-11 09:58:06"/>
    <s v=""/>
    <s v="106.5083845"/>
    <s v="10.6428394"/>
    <s v="106.7293479"/>
    <s v="10.7869031"/>
    <n v="193536"/>
    <n v="0"/>
    <n v="193536"/>
    <s v="Cash"/>
    <s v="CÔNG TY TNHH BIBICA MIỀN TÂY, 9 VL3, KCN Vĩnh Lộc 2, Mỹ Yên, Tây Ninh, Việt NamCÔNG TY TNHH BIBICA MIỀN TÂY"/>
    <s v="Công Ty Tnhh, Trần Não, Quận 2, An Khánh, Hồ Chí Minh, Việt NamCông Ty Tnhh"/>
    <n v="1"/>
    <x v="1"/>
    <x v="2"/>
    <d v="1899-12-30T07:48:05"/>
    <x v="0"/>
  </r>
  <r>
    <s v="3559390640297173893"/>
    <s v=""/>
    <x v="7"/>
    <n v="0"/>
    <s v=""/>
    <s v="NULL"/>
    <x v="0"/>
    <s v="2026-08-11 07:50:54"/>
    <s v="2026-08-11 08:00:55"/>
    <s v="NULL"/>
    <s v="NULL"/>
    <s v="2026-08-11 10:00:55"/>
    <s v=""/>
    <s v="106.5083845"/>
    <s v="10.6428394"/>
    <s v="106.7905535"/>
    <s v="10.8080538"/>
    <n v="236628"/>
    <n v="0"/>
    <n v="236628"/>
    <s v="Cash"/>
    <s v="CÔNG TY TNHH BIBICA MIỀN TÂY, 9 VL3, KCN Vĩnh Lộc 2, Mỹ Yên, Tây Ninh, Việt NamCÔNG TY TNHH BIBICA MIỀN TÂY"/>
    <s v="Công ty TNHH TV-TK-XD Phát Minh - Văn phòng Quận 9, Đường 18 tổ 8, Khu Phố 6, Phước Long, Hồ Chí Minh, Việt NamCông ty TNHH TV-TK-XD Phát Minh - Văn phòng Quận 9"/>
    <n v="1"/>
    <x v="1"/>
    <x v="2"/>
    <d v="1899-12-30T07:50:54"/>
    <x v="0"/>
  </r>
  <r>
    <s v="3559390640313946612"/>
    <s v=""/>
    <x v="7"/>
    <n v="0"/>
    <s v=""/>
    <s v="NULL"/>
    <x v="0"/>
    <s v="2026-08-11 07:53:31"/>
    <s v="2026-08-11 08:03:32"/>
    <s v="NULL"/>
    <s v="NULL"/>
    <s v="2026-08-11 10:03:32"/>
    <s v=""/>
    <s v="106.5170719"/>
    <s v="10.6408032"/>
    <s v="106.6989609"/>
    <s v="10.7469416"/>
    <n v="163296"/>
    <n v="0"/>
    <n v="163296"/>
    <s v="Cash"/>
    <s v="Cty Cp Nhua Doan Minh Long, Đường Vĩnh Lộc KCN Vĩnh Lộc 2, Mỹ Yên, Tây Ninh, Việt NamCty Cp Nhua Doan Minh Long"/>
    <s v="Quận 4 TP HCM, Tân Hưng, Hồ Chí Minh, Việt NamQuận 4 TP HCM"/>
    <n v="1"/>
    <x v="1"/>
    <x v="2"/>
    <d v="1899-12-30T07:53:31"/>
    <x v="0"/>
  </r>
  <r>
    <s v="3559390817439404693"/>
    <s v=""/>
    <x v="7"/>
    <n v="0"/>
    <s v=""/>
    <s v="NULL"/>
    <x v="0"/>
    <s v="2026-08-11 07:54:15"/>
    <s v="2026-08-11 08:04:16"/>
    <s v="NULL"/>
    <s v="NULL"/>
    <s v="2026-08-11 10:04:16"/>
    <s v=""/>
    <s v="106.5170719"/>
    <s v="10.6408032"/>
    <s v="106.7076858"/>
    <s v="10.7295817"/>
    <n v="154980"/>
    <n v="0"/>
    <n v="154980"/>
    <s v="Cash"/>
    <s v="Cty Cp Nhua Doan Minh Long, Đường Vĩnh Lộc KCN Vĩnh Lộc 2, Mỹ Yên, Tây Ninh, Việt NamCty Cp Nhua Doan Minh Long"/>
    <s v="quận 7, Hưng Phước 4, Khu đô thị Phú Mỹ Hưng, Tân Hưng, Hồ Chí Minh, Việt Namquận 7"/>
    <n v="1"/>
    <x v="1"/>
    <x v="2"/>
    <d v="1899-12-30T07:54:15"/>
    <x v="0"/>
  </r>
  <r>
    <s v="3559392135541379384"/>
    <s v=""/>
    <x v="7"/>
    <n v="0"/>
    <s v=""/>
    <s v="NULL"/>
    <x v="0"/>
    <s v="2026-08-11 07:50:33"/>
    <s v="2026-08-11 08:00:34"/>
    <s v="NULL"/>
    <s v="NULL"/>
    <s v="2026-08-11 10:00:34"/>
    <s v=""/>
    <s v="106.5083845"/>
    <s v="10.6428394"/>
    <s v="106.6710302"/>
    <s v="10.7434097"/>
    <n v="148824"/>
    <n v="0"/>
    <n v="148824"/>
    <s v="Cash"/>
    <s v="CÔNG TY TNHH BIBICA MIỀN TÂY, 9 VL3, KCN Vĩnh Lộc 2, Mỹ Yên, Tây Ninh, Việt NamCÔNG TY TNHH BIBICA MIỀN TÂY"/>
    <s v="Chung Cư Phạm Thế Hiển Quận 8, Bưu Điện Chánh Hưng, Đường Phạm Thế Hiển, Chánh Hưng, Hồ Chí Minh, Việt NamChung Cư Phạm Thế Hiển Quận 8"/>
    <n v="1"/>
    <x v="1"/>
    <x v="2"/>
    <d v="1899-12-30T07:50:33"/>
    <x v="0"/>
  </r>
  <r>
    <s v="3559392135558164579"/>
    <s v=""/>
    <x v="7"/>
    <n v="0"/>
    <s v=""/>
    <s v="NULL"/>
    <x v="0"/>
    <s v="2026-08-11 07:54:00"/>
    <s v="2026-08-11 08:04:02"/>
    <s v="NULL"/>
    <s v="NULL"/>
    <s v="2026-08-11 10:04:02"/>
    <s v=""/>
    <s v="106.5170719"/>
    <s v="10.6408032"/>
    <s v="106.6408802"/>
    <s v="10.7471372"/>
    <n v="130248"/>
    <n v="0"/>
    <n v="130248"/>
    <s v="Cash"/>
    <s v="Cty Cp Nhua Doan Minh Long, Đường Vĩnh Lộc KCN Vĩnh Lộc 2, Mỹ Yên, Tây Ninh, Việt NamCty Cp Nhua Doan Minh Long"/>
    <s v="Quận 6, Đường Phan Văn Khỏe, Bình Tây, Hồ Chí Minh, Việt NamQuận 6"/>
    <n v="1"/>
    <x v="1"/>
    <x v="2"/>
    <d v="1899-12-30T07:54:00"/>
    <x v="181"/>
  </r>
  <r>
    <s v="3559393368792584660"/>
    <s v=""/>
    <x v="7"/>
    <n v="0"/>
    <s v=""/>
    <s v="NULL"/>
    <x v="0"/>
    <s v="2026-08-11 07:57:26"/>
    <s v="2026-08-11 08:07:28"/>
    <s v="NULL"/>
    <s v="NULL"/>
    <s v="2026-08-11 10:07:28"/>
    <s v=""/>
    <s v="106.5109355"/>
    <s v="10.6319986"/>
    <s v="106.6408802"/>
    <s v="10.7471372"/>
    <n v="143316"/>
    <n v="0"/>
    <n v="143316"/>
    <s v="Cash"/>
    <s v="400 QL1A, KP9, Mỹ Yên, Tây Ninh, Việt Nam400 QL1A, KP9, Mỹ Yên, Tây Ninh, Việt Nam"/>
    <s v="Quận 6, Đường Phan Văn Khỏe, Bình Tây, Hồ Chí Minh, Việt NamQuận 6"/>
    <n v="1"/>
    <x v="1"/>
    <x v="2"/>
    <d v="1899-12-30T07:57:26"/>
    <x v="181"/>
  </r>
  <r>
    <s v="3559393972277440732"/>
    <s v=""/>
    <x v="7"/>
    <n v="0"/>
    <s v=""/>
    <s v="NULL"/>
    <x v="0"/>
    <s v="2026-08-11 07:48:35"/>
    <s v="2026-08-11 07:58:36"/>
    <s v="NULL"/>
    <s v="NULL"/>
    <s v="2026-08-11 09:58:36"/>
    <s v=""/>
    <s v="106.5083845"/>
    <s v="10.6428394"/>
    <s v="106.6823683"/>
    <s v="10.7801292"/>
    <n v="168804"/>
    <n v="0"/>
    <n v="168804"/>
    <s v="Cash"/>
    <s v="CÔNG TY TNHH BIBICA MIỀN TÂY, 9 VL3, KCN Vĩnh Lộc 2, Mỹ Yên, Tây Ninh, Việt NamCÔNG TY TNHH BIBICA MIỀN TÂY"/>
    <s v="CÔNG TY CỔ PHẦN THƯƠNG MẠI DỊCH VỤ QUẬN 3, Lý Chính Thắng, Nhiêu Lộc, Hồ Chí Minh, Việt NamCÔNG TY CỔ PHẦN THƯƠNG MẠI DỊCH VỤ QUẬN 3"/>
    <n v="1"/>
    <x v="1"/>
    <x v="2"/>
    <d v="1899-12-30T07:48:35"/>
    <x v="0"/>
  </r>
  <r>
    <s v="3559393972277440892"/>
    <s v=""/>
    <x v="7"/>
    <n v="0"/>
    <s v=""/>
    <s v="NULL"/>
    <x v="0"/>
    <s v="2026-08-11 07:49:20"/>
    <s v="2026-08-11 07:59:21"/>
    <s v="NULL"/>
    <s v="NULL"/>
    <s v="2026-08-11 09:59:21"/>
    <s v=""/>
    <s v="106.5083845"/>
    <s v="10.6428394"/>
    <s v="106.6776275"/>
    <s v="10.7577667"/>
    <n v="157140"/>
    <n v="0"/>
    <n v="157140"/>
    <s v="Cash"/>
    <s v="CÔNG TY TNHH BIBICA MIỀN TÂY, 9 VL3, KCN Vĩnh Lộc 2, Mỹ Yên, Tây Ninh, Việt NamCÔNG TY TNHH BIBICA MIỀN TÂY"/>
    <s v="Công Ty Tnhh Mtv Dịch Vụ Công Ích Quận 5, Đường Lê Hồng Phong, Chợ Quán, Hồ Chí Minh, Việt NamCông Ty Tnhh Mtv Dịch Vụ Công Ích Quận 5"/>
    <n v="1"/>
    <x v="1"/>
    <x v="2"/>
    <d v="1899-12-30T07:49:20"/>
    <x v="0"/>
  </r>
  <r>
    <s v="3559393972294213984"/>
    <s v=""/>
    <x v="7"/>
    <n v="0"/>
    <s v=""/>
    <s v="NULL"/>
    <x v="0"/>
    <s v="2026-08-11 07:53:46"/>
    <s v="2026-08-11 08:03:47"/>
    <s v="NULL"/>
    <s v="NULL"/>
    <s v="2026-08-11 10:03:47"/>
    <s v=""/>
    <s v="106.5170719"/>
    <s v="10.6408032"/>
    <s v="106.6776275"/>
    <s v="10.7577667"/>
    <n v="152712"/>
    <n v="0"/>
    <n v="152712"/>
    <s v="Cash"/>
    <s v="Cty Cp Nhua Doan Minh Long, Đường Vĩnh Lộc KCN Vĩnh Lộc 2, Mỹ Yên, Tây Ninh, Việt NamCty Cp Nhua Doan Minh Long"/>
    <s v="Công Ty Tnhh Mtv Dịch Vụ Công Ích Quận 5, Đường Lê Hồng Phong, Chợ Quán, Hồ Chí Minh, Việt NamCông Ty Tnhh Mtv Dịch Vụ Công Ích Quận 5"/>
    <n v="1"/>
    <x v="1"/>
    <x v="2"/>
    <d v="1899-12-30T07:53:46"/>
    <x v="0"/>
  </r>
  <r>
    <s v="3559394092712678185"/>
    <s v=""/>
    <x v="7"/>
    <n v="0"/>
    <s v=""/>
    <s v="NULL"/>
    <x v="0"/>
    <s v="2026-08-11 07:56:22"/>
    <s v="2026-08-11 08:06:23"/>
    <s v="NULL"/>
    <s v="NULL"/>
    <s v="2026-08-11 10:06:23"/>
    <s v=""/>
    <s v="106.5109355"/>
    <s v="10.6319986"/>
    <s v="106.7293479"/>
    <s v="10.7869031"/>
    <n v="199044"/>
    <n v="0"/>
    <n v="199044"/>
    <s v="Cash"/>
    <s v="400 QL1A, KP9, Mỹ Yên, Tây Ninh, Việt Nam400 QL1A, KP9, Mỹ Yên, Tây Ninh, Việt Nam"/>
    <s v="Công Ty Tnhh, Trần Não, Quận 2, An Khánh, Hồ Chí Minh, Việt NamCông Ty Tnhh"/>
    <n v="1"/>
    <x v="1"/>
    <x v="2"/>
    <d v="1899-12-30T07:56:22"/>
    <x v="0"/>
  </r>
  <r>
    <s v="3559395496890163373"/>
    <s v=""/>
    <x v="7"/>
    <n v="0"/>
    <s v=""/>
    <s v="NULL"/>
    <x v="0"/>
    <s v="2026-08-11 07:51:19"/>
    <s v="2026-08-11 08:01:21"/>
    <s v="NULL"/>
    <s v="NULL"/>
    <s v="2026-08-11 10:01:21"/>
    <s v=""/>
    <s v="106.5083845"/>
    <s v="10.6428394"/>
    <s v="106.6707851"/>
    <s v="10.7627387"/>
    <n v="156600"/>
    <n v="0"/>
    <n v="156600"/>
    <s v="Cash"/>
    <s v="CÔNG TY TNHH BIBICA MIỀN TÂY, 9 VL3, KCN Vĩnh Lộc 2, Mỹ Yên, Tây Ninh, Việt NamCÔNG TY TNHH BIBICA MIỀN TÂY"/>
    <s v="Công Ty Cp Dược Phẩm Quận 10, Đường Ngô Gia Tự, Vườn Lài, Hồ Chí Minh, Việt NamCông Ty Cp Dược Phẩm Quận 10"/>
    <n v="1"/>
    <x v="1"/>
    <x v="2"/>
    <d v="1899-12-30T07:51:19"/>
    <x v="181"/>
  </r>
  <r>
    <s v="3559395496890163674"/>
    <s v=""/>
    <x v="7"/>
    <n v="0"/>
    <s v=""/>
    <s v="NULL"/>
    <x v="0"/>
    <s v="2026-08-11 07:52:42"/>
    <s v="2026-08-11 08:02:43"/>
    <s v="NULL"/>
    <s v="NULL"/>
    <s v="2026-08-11 10:02:43"/>
    <s v=""/>
    <s v="106.5170719"/>
    <s v="10.6408032"/>
    <s v="106.690788"/>
    <s v="10.793931"/>
    <n v="177012"/>
    <n v="0"/>
    <n v="177012"/>
    <s v="Cash"/>
    <s v="Cty Cp Nhua Doan Minh Long, Đường Vĩnh Lộc KCN Vĩnh Lộc 2, Mỹ Yên, Tây Ninh, Việt NamCty Cp Nhua Doan Minh Long"/>
    <s v="Quận 1, Đường Trần Khắc Chân, Tân Định, Hồ Chí Minh, Việt NamQuận 1"/>
    <n v="1"/>
    <x v="1"/>
    <x v="2"/>
    <d v="1899-12-30T07:52:42"/>
    <x v="0"/>
  </r>
  <r>
    <s v="3559395496890164163"/>
    <s v=""/>
    <x v="7"/>
    <n v="0"/>
    <s v=""/>
    <s v="NULL"/>
    <x v="0"/>
    <s v="2026-08-11 07:54:45"/>
    <s v="2026-08-11 08:04:46"/>
    <s v="NULL"/>
    <s v="NULL"/>
    <s v="2026-08-11 10:04:46"/>
    <s v=""/>
    <s v="106.5170719"/>
    <s v="10.6408032"/>
    <s v="106.7905535"/>
    <s v="10.8080538"/>
    <n v="229824"/>
    <n v="0"/>
    <n v="229824"/>
    <s v="Cash"/>
    <s v="Cty Cp Nhua Doan Minh Long, Đường Vĩnh Lộc KCN Vĩnh Lộc 2, Mỹ Yên, Tây Ninh, Việt NamCty Cp Nhua Doan Minh Long"/>
    <s v="Công ty TNHH TV-TK-XD Phát Minh - Văn phòng Quận 9, Đường 18 tổ 8, Khu Phố 6, Phước Long, Hồ Chí Minh, Việt NamCông ty TNHH TV-TK-XD Phát Minh - Văn phòng Quận 9"/>
    <n v="1"/>
    <x v="1"/>
    <x v="2"/>
    <d v="1899-12-30T07:54:45"/>
    <x v="0"/>
  </r>
  <r>
    <s v="3559395496890164214"/>
    <s v=""/>
    <x v="7"/>
    <n v="0"/>
    <s v=""/>
    <s v="NULL"/>
    <x v="0"/>
    <s v="2026-08-11 07:54:59"/>
    <s v="2026-08-11 08:05:00"/>
    <s v="NULL"/>
    <s v="NULL"/>
    <s v="2026-08-11 10:05:00"/>
    <s v=""/>
    <s v="106.5170719"/>
    <s v="10.6408032"/>
    <s v="106.6707851"/>
    <s v="10.7627387"/>
    <n v="153900"/>
    <n v="0"/>
    <n v="153900"/>
    <s v="Cash"/>
    <s v="Cty Cp Nhua Doan Minh Long, Đường Vĩnh Lộc KCN Vĩnh Lộc 2, Mỹ Yên, Tây Ninh, Việt NamCty Cp Nhua Doan Minh Long"/>
    <s v="Công Ty Cp Dược Phẩm Quận 10, Đường Ngô Gia Tự, Vườn Lài, Hồ Chí Minh, Việt NamCông Ty Cp Dược Phẩm Quận 10"/>
    <n v="1"/>
    <x v="1"/>
    <x v="2"/>
    <d v="1899-12-30T07:54:59"/>
    <x v="0"/>
  </r>
  <r>
    <s v="3559395496906936789"/>
    <s v=""/>
    <x v="7"/>
    <n v="0"/>
    <s v=""/>
    <s v="NULL"/>
    <x v="0"/>
    <s v="2026-08-11 07:56:38"/>
    <s v="2026-08-11 08:06:39"/>
    <s v="NULL"/>
    <s v="NULL"/>
    <s v="2026-08-11 10:06:39"/>
    <s v=""/>
    <s v="106.5109355"/>
    <s v="10.6319986"/>
    <s v="106.6823683"/>
    <s v="10.7801292"/>
    <n v="177012"/>
    <n v="0"/>
    <n v="177012"/>
    <s v="Cash"/>
    <s v="400 QL1A, KP9, Mỹ Yên, Tây Ninh, Việt Nam400 QL1A, KP9, Mỹ Yên, Tây Ninh, Việt Nam"/>
    <s v="CÔNG TY CỔ PHẦN THƯƠNG MẠI DỊCH VỤ QUẬN 3, Lý Chính Thắng, Nhiêu Lộc, Hồ Chí Minh, Việt NamCÔNG TY CỔ PHẦN THƯƠNG MẠI DỊCH VỤ QUẬN 3"/>
    <n v="1"/>
    <x v="1"/>
    <x v="2"/>
    <d v="1899-12-30T07:56:38"/>
    <x v="0"/>
  </r>
  <r>
    <s v="3559395496906937344"/>
    <s v=""/>
    <x v="7"/>
    <n v="0"/>
    <s v=""/>
    <s v="NULL"/>
    <x v="0"/>
    <s v="2026-08-11 07:58:51"/>
    <s v="2026-08-11 08:08:52"/>
    <s v="NULL"/>
    <s v="NULL"/>
    <s v="2026-08-11 10:08:52"/>
    <s v=""/>
    <s v="106.5109355"/>
    <s v="10.6319986"/>
    <s v="106.6565005"/>
    <s v="10.7722764"/>
    <n v="163728"/>
    <n v="0"/>
    <n v="163728"/>
    <s v="Cash"/>
    <s v="400 QL1A, KP9, Mỹ Yên, Tây Ninh, Việt Nam400 QL1A, KP9, Mỹ Yên, Tây Ninh, Việt Nam"/>
    <s v="Công Ty Dv Công Ích Quận 11, Đường Số 2, Phú Thọ, Hồ Chí Minh, Việt NamCông Ty Dv Công Ích Quận 11"/>
    <n v="1"/>
    <x v="1"/>
    <x v="2"/>
    <d v="1899-12-30T07:58:51"/>
    <x v="0"/>
  </r>
  <r>
    <s v="3559398050927694644"/>
    <s v=""/>
    <x v="7"/>
    <n v="0"/>
    <s v=""/>
    <s v="NULL"/>
    <x v="0"/>
    <s v="2026-08-11 07:58:15"/>
    <s v="2026-08-11 08:08:16"/>
    <s v="NULL"/>
    <s v="NULL"/>
    <s v="2026-08-11 10:08:16"/>
    <s v=""/>
    <s v="106.5109355"/>
    <s v="10.6319986"/>
    <s v="106.7905535"/>
    <s v="10.8080538"/>
    <n v="242568"/>
    <n v="0"/>
    <n v="242568"/>
    <s v="Cash"/>
    <s v="400 QL1A, KP9, Mỹ Yên, Tây Ninh, Việt Nam400 QL1A, KP9, Mỹ Yên, Tây Ninh, Việt Nam"/>
    <s v="Công ty TNHH TV-TK-XD Phát Minh - Văn phòng Quận 9, Đường 18 tổ 8, Khu Phố 6, Phước Long, Hồ Chí Minh, Việt NamCông ty TNHH TV-TK-XD Phát Minh - Văn phòng Quận 9"/>
    <n v="1"/>
    <x v="1"/>
    <x v="2"/>
    <d v="1899-12-30T07:58:15"/>
    <x v="0"/>
  </r>
  <r>
    <s v="3561920186636530252"/>
    <s v="ywja"/>
    <x v="8"/>
    <n v="0"/>
    <s v=""/>
    <s v="NULL"/>
    <x v="0"/>
    <s v="2026-08-14 19:32:27"/>
    <s v="2026-08-14 19:42:00"/>
    <s v="NULL"/>
    <s v="NULL"/>
    <s v="2026-08-14 21:48:26"/>
    <s v=""/>
    <s v="106.30594320595264"/>
    <s v="10.45837183459061"/>
    <s v="106.5937658"/>
    <s v="10.5012534"/>
    <n v="183384"/>
    <n v="0"/>
    <n v="183384"/>
    <s v="Cash"/>
    <s v="Knitpassion Vietnam Co, Xã Tân Lập 1, Huyện Tân Phước, Tiền Giang, Việt NamKnitpassion Vietnam Co"/>
    <s v="Cần Đước, Long An, Việt NamCần Đước"/>
    <n v="1"/>
    <x v="1"/>
    <x v="3"/>
    <d v="1899-12-30T19:32:27"/>
    <x v="182"/>
  </r>
  <r>
    <s v="3561923766441435556"/>
    <s v="ywja"/>
    <x v="8"/>
    <n v="3042499"/>
    <s v=""/>
    <s v="Motorcycle"/>
    <x v="1"/>
    <s v="2026-08-14 19:44:01"/>
    <s v="2026-08-14 19:54:00"/>
    <s v="2026-08-14 19:45:03"/>
    <s v="NULL"/>
    <s v="2026-08-14 21:05:50"/>
    <s v=""/>
    <s v="106.35938990861177"/>
    <s v="10.489669264795767"/>
    <s v="106.68592505156994"/>
    <s v="10.79494458581097"/>
    <n v="231768"/>
    <n v="190243"/>
    <n v="41525"/>
    <s v="Cash"/>
    <s v="Cty TNHH Hansae TG, Xã Tân Hương, Huyện Châu Thành, Tiền Giang, Việt NamCty TNHH Hansae TG"/>
    <s v="104 Hẻm 212/170 Nguyễn Văn Nguyễn, Phường Tân Định, Quận 1, Hồ Chí Minh, Việt Nam104 Hẻm 212/170 Nguyễn Văn Nguyễn, Phường Tân Định, Quận 1, Hồ Chí Minh, Việt Nam"/>
    <n v="1"/>
    <x v="1"/>
    <x v="3"/>
    <d v="1899-12-30T19:44:01"/>
    <x v="183"/>
  </r>
  <r>
    <s v="3562273011589673699"/>
    <s v="ywja"/>
    <x v="8"/>
    <n v="0"/>
    <s v=""/>
    <s v="NULL"/>
    <x v="0"/>
    <s v="2026-08-15 07:24:14"/>
    <s v="2026-08-15 07:34:00"/>
    <s v="NULL"/>
    <s v="NULL"/>
    <s v="2026-08-15 10:43:24"/>
    <s v=""/>
    <s v="106.36431310325861"/>
    <s v="10.54819615514206"/>
    <s v="106.76386803388596"/>
    <s v="10.914634533481776"/>
    <n v="297648"/>
    <n v="0"/>
    <n v="297648"/>
    <s v="Cash"/>
    <s v="Công Ty TNHH Texray, Đường Số 1, Xã Lợi Bình Nhơn, Tân An, Long An, Việt NamCông Ty TNHH Texray"/>
    <s v="56 Đường Phan Bội Châu, Phường Dĩ An, Dĩ An, Bình Dương, Việt Nam56 Đường Phan Bội Châu, Phường Dĩ An, Dĩ An, Bình Dương, Việt Nam"/>
    <n v="1"/>
    <x v="1"/>
    <x v="4"/>
    <d v="1899-12-30T07:24:14"/>
    <x v="184"/>
  </r>
  <r>
    <s v="3562276841307988143"/>
    <s v="ywja"/>
    <x v="8"/>
    <n v="0"/>
    <s v=""/>
    <s v="NULL"/>
    <x v="0"/>
    <s v="2026-08-15 07:32:11"/>
    <s v="2026-08-15 07:42:00"/>
    <s v="NULL"/>
    <s v="NULL"/>
    <s v="2026-08-15 09:42:00"/>
    <s v=""/>
    <s v="106.35938990861177"/>
    <s v="10.489669264795767"/>
    <s v="106.77358232438564"/>
    <s v="10.924670364618509"/>
    <n v="342036"/>
    <n v="0"/>
    <n v="342036"/>
    <s v="Cash"/>
    <s v="Cty TNHH Hansae TG, Xã Tân Hương, Huyện Châu Thành, Tiền Giang, Việt NamCty TNHH Hansae TG"/>
    <s v="Cắt Tóc Nam Nữ Chánh, Phường Tân Đông Hiệp, Dĩ An, Bình Dương, Việt NamCắt Tóc Nam Nữ Chánh"/>
    <n v="1"/>
    <x v="1"/>
    <x v="4"/>
    <d v="1899-12-30T07:32:11"/>
    <x v="159"/>
  </r>
  <r>
    <s v="3562277943554306276"/>
    <s v="ywja"/>
    <x v="8"/>
    <n v="0"/>
    <s v=""/>
    <s v="NULL"/>
    <x v="0"/>
    <s v="2026-08-15 07:22:16"/>
    <s v="2026-08-15 07:32:00"/>
    <s v="NULL"/>
    <s v="NULL"/>
    <s v="2026-08-15 17:58:39"/>
    <s v=""/>
    <s v="106.30649473518133"/>
    <s v="10.458625378556127"/>
    <s v="106.64608620107174"/>
    <s v="10.7971995889172"/>
    <n v="228420"/>
    <n v="0"/>
    <n v="228420"/>
    <s v="Cash"/>
    <s v="Knitpassion Vietnam Co, Xã Tân Lập 1, Huyện Tân Phước, Tiền Giang, Việt NamKnitpassion Vietnam Co"/>
    <s v="212 Hẻm 230 Trường Chinh, Phường 13, Quận Tân Bình, Hồ Chí Minh, Việt Nam212 Hẻm 230 Trường Chinh, Phường 13, Quận Tân Bình, Hồ Chí Minh, Việt Nam"/>
    <n v="1"/>
    <x v="1"/>
    <x v="4"/>
    <d v="1899-12-30T07:22:16"/>
    <x v="185"/>
  </r>
  <r>
    <s v="3562285304331325536"/>
    <s v="ywja"/>
    <x v="8"/>
    <n v="0"/>
    <s v=""/>
    <s v="NULL"/>
    <x v="0"/>
    <s v="2026-08-15 07:39:23"/>
    <s v="2026-08-15 07:49:00"/>
    <s v="NULL"/>
    <s v="NULL"/>
    <s v="2026-08-15 09:49:00"/>
    <s v=""/>
    <s v="106.37610241770744"/>
    <s v="10.496419903289969"/>
    <s v="106.4523662"/>
    <s v="10.791816"/>
    <n v="194184"/>
    <n v="0"/>
    <n v="194184"/>
    <s v="Cash"/>
    <s v="1005 QL.1A, Phường Khánh Hậu, Tân An, Long An, Việt Nam1005 QL.1A, Phường Khánh Hậu, Tân An, Long An, Việt Nam"/>
    <s v="Đức Hòa, Long An, Việt NamĐức Hòa"/>
    <n v="1"/>
    <x v="1"/>
    <x v="4"/>
    <d v="1899-12-30T07:39:23"/>
    <x v="186"/>
  </r>
  <r>
    <s v="3562678701625926335"/>
    <s v="ywja"/>
    <x v="8"/>
    <n v="0"/>
    <s v=""/>
    <s v="NULL"/>
    <x v="1"/>
    <s v="2026-08-15 20:54:35"/>
    <s v="2026-08-15 21:04:00"/>
    <s v="NULL"/>
    <s v="NULL"/>
    <s v="2026-08-15 22:53:10"/>
    <s v=""/>
    <s v="106.35938990861177"/>
    <s v="10.489669264795767"/>
    <s v="106.7629936337471"/>
    <s v="10.924764844999173"/>
    <n v="463320"/>
    <n v="0"/>
    <n v="463320"/>
    <s v="Cash"/>
    <s v="Cty TNHH Hansae TG, Xã Tân Hương, Huyện Châu Thành, Tiền Giang, Việt NamCty TNHH Hansae TG"/>
    <s v="168 Đường Lê Văn Tiên, Phường Tân Đông Hiệp, Dĩ An, Bình Dương, Việt Nam168 Đường Lê Văn Tiên, Phường Tân Đông Hiệp, Dĩ An, Bình Dương, Việt Nam"/>
    <n v="1"/>
    <x v="1"/>
    <x v="4"/>
    <d v="1899-12-30T20:54:35"/>
    <x v="187"/>
  </r>
  <r>
    <s v="3562688512539185977"/>
    <s v="ywja"/>
    <x v="8"/>
    <n v="4170032"/>
    <s v=""/>
    <s v="Motorcycle"/>
    <x v="1"/>
    <s v="2026-08-15 21:02:18"/>
    <s v="2026-08-15 21:12:00"/>
    <s v="2026-08-15 21:51:50"/>
    <s v="2026-08-15 22:18:11"/>
    <s v="2026-08-16 09:03:36"/>
    <s v=""/>
    <s v="106.48996688425541"/>
    <s v="10.6381814250823"/>
    <s v="106.68602831661701"/>
    <s v="10.855332109375638"/>
    <n v="299016"/>
    <n v="231807"/>
    <n v="67209"/>
    <s v="Cash"/>
    <s v="21 Đường Lê Văn Vịnh, Thị Trấn Bến Lức, Huyện Bến Lức, Long An, Việt Nam21 Đường Lê Văn Vịnh, Thị Trấn Bến Lức, Huyện Bến Lức, Long An, Việt Nam"/>
    <s v="1G1 Hẻm 97, Phường An Phú Đông, Quận 12, Hồ Chí Minh, Việt Nam1G1 Hẻm 97, Phường An Phú Đông, Quận 12, Hồ Chí Minh, Việt Nam"/>
    <n v="1"/>
    <x v="1"/>
    <x v="4"/>
    <d v="1899-12-30T21:02:18"/>
    <x v="188"/>
  </r>
  <r>
    <s v="3562708834688655567"/>
    <s v="ywja"/>
    <x v="8"/>
    <n v="3236859"/>
    <s v=""/>
    <s v="Motorcycle"/>
    <x v="1"/>
    <s v="2026-08-15 22:02:54"/>
    <s v="2026-08-15 22:12:00"/>
    <s v="2026-08-15 22:03:43"/>
    <s v="NULL"/>
    <s v="2026-08-15 22:56:04"/>
    <s v=""/>
    <s v="106.3474764"/>
    <s v="10.3654162"/>
    <s v="106.73642802983522"/>
    <s v="10.870597313534493"/>
    <n v="492588"/>
    <n v="381870"/>
    <n v="110718"/>
    <s v="Cash"/>
    <s v="100 Đ. Đoàn Thị Nghiệp, khu phố 10, Đạo Thạnh, Đồng Tháp, Việt Nam100 Đường Đoàn Thị Nghiệp"/>
    <s v="54 Đường Lô C, Phường Tam Bình, Thủ Đức, Hồ Chí Minh, Việt Nam54 Đường Lô C, Phường Tam Bình, Thủ Đức, Hồ Chí Minh, Việt Nam"/>
    <n v="1"/>
    <x v="1"/>
    <x v="4"/>
    <d v="1899-12-30T22:02:54"/>
    <x v="189"/>
  </r>
  <r>
    <s v="3563006762670060461"/>
    <s v="ywja"/>
    <x v="8"/>
    <n v="0"/>
    <s v=""/>
    <s v="NULL"/>
    <x v="0"/>
    <s v="2026-08-16 07:55:05"/>
    <s v="2026-08-16 08:05:00"/>
    <s v="NULL"/>
    <s v="NULL"/>
    <s v="2026-08-26 01:50:46"/>
    <s v=""/>
    <s v="106.35938990861177"/>
    <s v="10.489669264795767"/>
    <s v="106.4523662"/>
    <s v="10.791816"/>
    <n v="264600"/>
    <n v="0"/>
    <n v="264600"/>
    <s v="Cash"/>
    <s v="Cty TNHH Hansae TG, Xã Tân Hương, Huyện Châu Thành, Tiền Giang, Việt NamCty TNHH Hansae TG"/>
    <s v="Đức Hòa, Long An, Việt NamĐức Hòa"/>
    <n v="1"/>
    <x v="1"/>
    <x v="5"/>
    <d v="1899-12-30T07:55:05"/>
    <x v="190"/>
  </r>
  <r>
    <s v="3563018386403455524"/>
    <s v="ywja"/>
    <x v="8"/>
    <n v="0"/>
    <s v=""/>
    <s v="NULL"/>
    <x v="0"/>
    <s v="2026-08-16 07:56:23"/>
    <s v="2026-08-16 08:06:00"/>
    <s v="NULL"/>
    <s v="NULL"/>
    <s v="2026-08-16 11:14:53"/>
    <s v=""/>
    <s v="106.3097720593214"/>
    <s v="10.45730556290307"/>
    <s v="106.4523662"/>
    <s v="10.791816"/>
    <n v="319572"/>
    <n v="0"/>
    <n v="319572"/>
    <s v="Cash"/>
    <s v="Apache Rubber Room, Xã Tân Lập 1, Huyện Tân Phước, Tiền Giang, Việt NamApache Rubber Room"/>
    <s v="Đức Hòa, Long An, Việt NamĐức Hòa"/>
    <n v="1"/>
    <x v="1"/>
    <x v="5"/>
    <d v="1899-12-30T07:56:23"/>
    <x v="191"/>
  </r>
  <r>
    <s v="3563018386445390540"/>
    <s v="ywja"/>
    <x v="8"/>
    <n v="3006761"/>
    <s v="6bao đồ mổi bảo 25kg hổ trợ 15k 1bao"/>
    <s v="Motorcycle"/>
    <x v="2"/>
    <s v="2026-08-16 08:10:04"/>
    <s v="2026-08-16 08:20:00"/>
    <s v="2026-08-16 10:21:51"/>
    <s v="NULL"/>
    <s v=""/>
    <s v=""/>
    <s v="106.48744158446789"/>
    <s v="10.645348590832828"/>
    <s v="106.68602831661701"/>
    <s v="10.855332109375638"/>
    <n v="162756"/>
    <n v="126174"/>
    <n v="36582"/>
    <s v="Cash"/>
    <s v="23 Đường Nguyễn Văn Nhân, Xã Thanh Phú, Huyện Bến Lức, Long An, Việt Nam23 Đường Nguyễn Văn Nhân, Xã Thanh Phú, Huyện Bến Lức, Long An, Việt Nam"/>
    <s v="1G1 Hẻm 97, Phường An Phú Đông, Quận 12, Hồ Chí Minh, Việt Nam1G1 Hẻm 97, Phường An Phú Đông, Quận 12, Hồ Chí Minh, Việt Nam"/>
    <n v="1"/>
    <x v="1"/>
    <x v="5"/>
    <d v="1899-12-30T08:10:04"/>
    <x v="14"/>
  </r>
  <r>
    <s v="3563023352216113974"/>
    <s v="ywja"/>
    <x v="8"/>
    <n v="4772803"/>
    <s v="1kg gao mẩu"/>
    <s v="Motorcycle"/>
    <x v="2"/>
    <s v="2026-08-16 08:17:57"/>
    <s v="2026-08-16 08:27:00"/>
    <s v="2026-08-16 10:23:12"/>
    <s v="NULL"/>
    <s v=""/>
    <s v=""/>
    <s v="106.50839600712061"/>
    <s v="10.640835974965634"/>
    <s v="106.85414616018534"/>
    <s v="10.89442917348108"/>
    <n v="190404"/>
    <n v="147607"/>
    <n v="42797"/>
    <s v="Cash"/>
    <s v="Công Ty Thuốc Thú Y Apa, Xã Long Hiệp, Huyện Bến Lức, Long An, Việt NamCông Ty Thuốc Thú Y Apa"/>
    <s v="57 Hẻm 96 Nguyễn Văn Tỏ, Phường Long Bình Tân, Biên Hòa, Đồng Nai, Việt Nam57 Hẻm 96 Nguyễn Văn Tỏ, Phường Long Bình Tân, Biên Hòa, Đồng Nai, Việt Nam"/>
    <n v="1"/>
    <x v="1"/>
    <x v="5"/>
    <d v="1899-12-30T08:17:57"/>
    <x v="14"/>
  </r>
  <r>
    <s v="3563029253476020616"/>
    <s v="ywja"/>
    <x v="8"/>
    <n v="0"/>
    <s v=""/>
    <s v="NULL"/>
    <x v="0"/>
    <s v="2026-08-16 08:19:33"/>
    <s v="2026-08-16 08:29:00"/>
    <s v="NULL"/>
    <s v="NULL"/>
    <s v="2026-08-16 11:15:48"/>
    <s v=""/>
    <s v="106.35857049375772"/>
    <s v="10.47756607639484"/>
    <s v="106.4523662"/>
    <s v="10.791816"/>
    <n v="195804"/>
    <n v="0"/>
    <n v="195804"/>
    <s v="Cash"/>
    <s v="Ymuv Dormitory Gate, Xã Tân Hương, Huyện Châu Thành, Tiền Giang, Việt NamYmuv Dormitory Gate"/>
    <s v="Đức Hòa, Long An, Việt NamĐức Hòa"/>
    <n v="1"/>
    <x v="1"/>
    <x v="5"/>
    <d v="1899-12-30T08:19:33"/>
    <x v="192"/>
  </r>
  <r>
    <s v="3563062527401350095"/>
    <s v="ywja"/>
    <x v="8"/>
    <n v="1033831"/>
    <s v=""/>
    <s v="Motorcycle"/>
    <x v="2"/>
    <s v="2026-08-16 09:26:20"/>
    <s v="2026-08-16 09:36:00"/>
    <s v="2026-08-16 10:38:00"/>
    <s v="NULL"/>
    <s v=""/>
    <s v=""/>
    <s v="106.41735311597586"/>
    <s v="10.550649105848658"/>
    <s v="106.89710844308138"/>
    <s v="10.92239755922144"/>
    <n v="329184"/>
    <n v="255194"/>
    <n v="73990"/>
    <s v="Cash"/>
    <s v="2A Đường Nguyễn Văn Tiếp, Phường 5, Tân An, Long An, Việt Nam2A Đường Nguyễn Văn Tiếp, Phường 5, Tân An, Long An, Việt Nam"/>
    <s v="Đường Số 4, Phường Long Bình, Biên Hòa, Đồng Nai, Việt NamĐường Số 4, Phường Long Bình, Biên Hòa, Đồng Nai, Việt Nam"/>
    <n v="1"/>
    <x v="1"/>
    <x v="5"/>
    <d v="1899-12-30T09:26:20"/>
    <x v="14"/>
  </r>
  <r>
    <s v="3563068230312616410"/>
    <s v="ywja"/>
    <x v="8"/>
    <n v="4675758"/>
    <s v="4 thùng sơn 80k"/>
    <s v="Motorcycle"/>
    <x v="2"/>
    <s v="2026-08-16 09:27:22"/>
    <s v="2026-08-16 09:37:00"/>
    <s v="2026-08-16 10:43:13"/>
    <s v="NULL"/>
    <s v=""/>
    <s v=""/>
    <s v="106.39977928251028"/>
    <s v="10.549092034864124"/>
    <s v="106.85188841074705"/>
    <s v="11.161107974819203"/>
    <n v="428328"/>
    <n v="332053"/>
    <n v="96275"/>
    <s v="Cash"/>
    <s v="Đường Số 22, Phường 6, Tân An, Long An, Việt NamĐường Số 22, Phường 6, Tân An, Long An, Việt Nam"/>
    <s v="121 TL.746, Xã Tân Định, Huyện Bắc Tân Uyên, Bình Dương, Việt Nam121 TL.746, Xã Tân Định, Huyện Bắc Tân Uyên, Bình Dương, Việt Nam"/>
    <n v="1"/>
    <x v="1"/>
    <x v="5"/>
    <d v="1899-12-30T09:27:22"/>
    <x v="14"/>
  </r>
  <r>
    <s v="3563118313137729791"/>
    <s v="ywja"/>
    <x v="8"/>
    <n v="4835570"/>
    <s v=""/>
    <s v="Motorcycle"/>
    <x v="2"/>
    <s v="2026-08-16 11:08:16"/>
    <s v="2026-08-16 11:18:00"/>
    <s v="2026-08-16 11:43:12"/>
    <s v="NULL"/>
    <s v=""/>
    <s v=""/>
    <s v="106.41617193818092"/>
    <s v="10.536621998484346"/>
    <s v="106.54912635684013"/>
    <s v="10.940108783852295"/>
    <n v="264924"/>
    <n v="205377"/>
    <n v="59547"/>
    <s v="Cash"/>
    <s v="73 Đường Nguyễn Đình Chiểu, Phường 1, Tân An, Long An, Việt Nam73 Đường Nguyễn Đình Chiểu, Phường 1, Tân An, Long An, Việt Nam"/>
    <s v="39A Đường Ấp Chợ Xóm Đồng, Xã Tân Phú Trung, Huyện Củ Chi, Hồ Chí Minh, Việt Nam39A Đường Ấp Chợ Xóm Đồng, Xã Tân Phú Trung, Huyện Củ Chi, Hồ Chí Minh, Việt Nam"/>
    <n v="1"/>
    <x v="1"/>
    <x v="5"/>
    <d v="1899-12-30T11:08:16"/>
    <x v="14"/>
  </r>
  <r>
    <s v="3563118313162892152"/>
    <s v="ywja"/>
    <x v="8"/>
    <n v="0"/>
    <s v=""/>
    <s v="NULL"/>
    <x v="0"/>
    <s v="2026-08-16 11:13:22"/>
    <s v="2026-08-16 11:23:00"/>
    <s v="NULL"/>
    <s v="NULL"/>
    <s v="2026-08-16 15:13:29"/>
    <s v=""/>
    <s v="106.34507395327091"/>
    <s v="10.490837953048691"/>
    <s v="106.60369925200939"/>
    <s v="10.70460213912853"/>
    <n v="193320"/>
    <n v="0"/>
    <n v="193320"/>
    <s v="Cash"/>
    <s v="ĐT.866, Xã Tân Lý Đông, Huyện Châu Thành, Tiền Giang, Việt NamĐT.866, Xã Tân Lý Đông, Huyện Châu Thành, Tiền Giang, Việt Nam"/>
    <s v="Đường Huỳnh Bá Chánh, Xã Tân Kiên, Huyện Bình Chánh, Hồ Chí Minh, Việt NamĐường Huỳnh Bá Chánh, Xã Tân Kiên, Huyện Bình Chánh, Hồ Chí Minh, Việt Nam"/>
    <n v="1"/>
    <x v="1"/>
    <x v="5"/>
    <d v="1899-12-30T11:13:22"/>
    <x v="193"/>
  </r>
  <r>
    <s v="3563118394674999552"/>
    <s v="ywja"/>
    <x v="8"/>
    <n v="455914"/>
    <s v=""/>
    <s v="Motorcycle"/>
    <x v="2"/>
    <s v="2026-08-16 11:11:27"/>
    <s v="2026-08-16 11:21:00"/>
    <s v="2026-08-16 12:10:42"/>
    <s v="2026-08-16 12:23:01"/>
    <s v=""/>
    <s v=""/>
    <s v="106.41615718603134"/>
    <s v="10.535941656321897"/>
    <s v="106.69598668813705"/>
    <s v="10.72801464951694"/>
    <n v="185328"/>
    <n v="143672"/>
    <n v="41656"/>
    <s v="Cash"/>
    <s v="16-18 Hẻm 76 Nguyễn Đình Chiểu, Phường 1, Tân An, Long An, Việt Nam16-18 Hẻm 76 Nguyễn Đình Chiểu, Phường 1, Tân An, Long An, Việt Nam"/>
    <s v="Đường Nguyễn Văn Linh, Phường Tân Phong, Quận 7, Hồ Chí Minh, Việt NamĐường Nguyễn Văn Linh, Phường Tân Phong, Quận 7, Hồ Chí Minh, Việt Nam"/>
    <n v="1"/>
    <x v="1"/>
    <x v="5"/>
    <d v="1899-12-30T11:11:27"/>
    <x v="14"/>
  </r>
  <r>
    <s v="3563120422637761027"/>
    <s v="ywja"/>
    <x v="8"/>
    <n v="4442770"/>
    <s v="hỗ trợ 30k"/>
    <s v="Motorcycle"/>
    <x v="2"/>
    <s v="2026-08-16 11:10:14"/>
    <s v="2026-08-16 11:20:00"/>
    <s v="2026-08-16 12:07:42"/>
    <s v="NULL"/>
    <s v=""/>
    <s v=""/>
    <s v="106.38835743069649"/>
    <s v="10.544821585518092"/>
    <s v="106.44868534058332"/>
    <s v="10.70063563617507"/>
    <n v="99792"/>
    <n v="77362"/>
    <n v="22430"/>
    <s v="Cash"/>
    <s v="460B Đường Quốc Lộ 62, Phường 6, Tân An, Long An, Việt Nam460B Đường Quốc Lộ 62, Phường 6, Tân An, Long An, Việt Nam"/>
    <s v="Price List Of Vietuc Varea Ben Luc Project, Xã Lương Hòa, Huyện Bến Lức, Long An, Việt NamPrice List Of Vietuc Varea Ben Luc Project"/>
    <n v="1"/>
    <x v="1"/>
    <x v="5"/>
    <d v="1899-12-30T11:10:14"/>
    <x v="14"/>
  </r>
  <r>
    <s v="3563122922057068732"/>
    <s v="ywja"/>
    <x v="8"/>
    <n v="0"/>
    <s v=""/>
    <s v="NULL"/>
    <x v="0"/>
    <s v="2026-08-16 11:17:14"/>
    <s v="2026-08-16 11:27:00"/>
    <s v="NULL"/>
    <s v="NULL"/>
    <s v="2026-08-16 16:40:36"/>
    <s v=""/>
    <s v="106.34644623845816"/>
    <s v="10.4946822304285"/>
    <s v="106.60013493150473"/>
    <s v="10.706891749680025"/>
    <n v="179388"/>
    <n v="0"/>
    <n v="179388"/>
    <s v="Cash"/>
    <s v="ĐT.866, Xã Tân Lý Đông, Huyện Châu Thành, Tiền Giang, Việt NamĐT.866, Xã Tân Lý Đông, Huyện Châu Thành, Tiền Giang, Việt Nam"/>
    <s v="45 Đường Số 6A, Xã Tân Kiên, Huyện Bình Chánh, Hồ Chí Minh, Việt Nam45 Đường Số 6A, Xã Tân Kiên, Huyện Bình Chánh, Hồ Chí Minh, Việt Nam"/>
    <n v="1"/>
    <x v="1"/>
    <x v="5"/>
    <d v="1899-12-30T11:17:14"/>
    <x v="194"/>
  </r>
  <r>
    <s v="3563122922073842068"/>
    <s v="ywja"/>
    <x v="8"/>
    <n v="0"/>
    <s v=""/>
    <s v="NULL"/>
    <x v="0"/>
    <s v="2026-08-16 11:20:50"/>
    <s v="2026-08-16 11:30:00"/>
    <s v="NULL"/>
    <s v="NULL"/>
    <s v="2026-08-16 16:42:32"/>
    <s v=""/>
    <s v="106.34644623845816"/>
    <s v="10.4946822304285"/>
    <s v="106.59374188631773"/>
    <s v="10.686749172721388"/>
    <n v="212760"/>
    <n v="0"/>
    <n v="212760"/>
    <s v="Cash"/>
    <s v="ĐT.866, Xã Tân Lý Đông, Huyện Châu Thành, Tiền Giang, Việt NamĐT.866, Xã Tân Lý Đông, Huyện Châu Thành, Tiền Giang, Việt Nam"/>
    <s v="37515 QL. 1, Xã An Phú Tây, Huyện Bình Chánh, Hồ Chí Minh, Việt Nam37515 QL. 1, Xã An Phú Tây, Huyện Bình Chánh, Hồ Chí Minh, Việt Nam"/>
    <n v="1"/>
    <x v="1"/>
    <x v="5"/>
    <d v="1899-12-30T11:20:50"/>
    <x v="195"/>
  </r>
  <r>
    <s v="3563202265764549630"/>
    <s v="ywja"/>
    <x v="8"/>
    <n v="1977209"/>
    <s v=""/>
    <s v="Motorcycle"/>
    <x v="2"/>
    <s v="2026-08-16 13:55:03"/>
    <s v="2026-08-16 14:05:00"/>
    <s v="2026-08-16 15:07:43"/>
    <s v="NULL"/>
    <s v=""/>
    <s v=""/>
    <s v="106.42356410622597"/>
    <s v="10.556478493395348"/>
    <s v="106.12943775951862"/>
    <s v="11.295969140307129"/>
    <n v="443124"/>
    <n v="343524"/>
    <n v="99600"/>
    <s v="Cash"/>
    <s v="104 ĐT.833, Phường 5, Tân An, Long An, Việt Nam104 ĐT.833, Phường 5, Tân An, Long An, Việt Nam"/>
    <s v="Hẻm 15 Nguyễn Huệ, Phường Long Hoa, Thị Xã Hòa Thành, Tây Ninh, Việt NamHẻm 15 Nguyễn Huệ, Phường Long Hoa, Thị Xã Hòa Thành, Tây Ninh, Việt Nam"/>
    <n v="1"/>
    <x v="1"/>
    <x v="5"/>
    <d v="1899-12-30T13:55:03"/>
    <x v="14"/>
  </r>
  <r>
    <s v="3563265967100481661"/>
    <s v="ywja"/>
    <x v="8"/>
    <n v="0"/>
    <s v=""/>
    <s v="NULL"/>
    <x v="0"/>
    <s v="2026-08-16 16:01:53"/>
    <s v="2026-08-16 16:11:00"/>
    <s v="NULL"/>
    <s v="NULL"/>
    <s v="2026-08-16 18:19:24"/>
    <s v=""/>
    <s v="106.42178613692522"/>
    <s v="10.560153198659238"/>
    <s v="106.55733525753021"/>
    <s v="10.841292411571454"/>
    <n v="402300"/>
    <n v="0"/>
    <n v="402300"/>
    <s v="Cash"/>
    <s v="109 ĐT.833, Phường 5, Tân An, Long An, Việt Nam109 ĐT.833, Phường 5, Tân An, Long An, Việt Nam"/>
    <s v="Đường Nữ Dân Công, Xã Vĩnh Lộc A, Huyện Bình Chánh, Hồ Chí Minh, Việt NamĐường Nữ Dân Công, Xã Vĩnh Lộc A, Huyện Bình Chánh, Hồ Chí Minh, Việt Nam"/>
    <n v="1"/>
    <x v="1"/>
    <x v="5"/>
    <d v="1899-12-30T16:01:53"/>
    <x v="196"/>
  </r>
  <r>
    <s v="3563401358981947801"/>
    <s v="ywja"/>
    <x v="8"/>
    <n v="2875321"/>
    <s v="hỗ trợ 50k không gep don"/>
    <s v="Motorcycle"/>
    <x v="2"/>
    <s v="2026-08-16 20:50:10"/>
    <s v="2026-08-16 21:00:00"/>
    <s v="2026-08-17 12:05:14"/>
    <s v="NULL"/>
    <s v=""/>
    <s v=""/>
    <s v="106.7115867510438"/>
    <s v="10.757968291598493"/>
    <s v="106.59150626510382"/>
    <s v="10.884325155899912"/>
    <n v="76356"/>
    <n v="59194"/>
    <n v="17162"/>
    <s v="Cash"/>
    <s v="22 Hẻm 2A Đường Đoàn Văn Bơ, Phường 16, Quận 4, Hồ Chí Minh, Việt Nam22 Hẻm 2A Đường Đoàn Văn Bơ, Phường 16, Quận 4, Hồ Chí Minh, Việt Nam"/>
    <s v="4D Đường Khu Phố 2-04, Thị Trấn Hóc Môn, Huyện Hóc Môn, Hồ Chí Minh, Việt Nam4D Đường Khu Phố 2-04, Thị Trấn Hóc Môn, Huyện Hóc Môn, Hồ Chí Minh, Việt Nam"/>
    <n v="1"/>
    <x v="1"/>
    <x v="5"/>
    <d v="1899-12-30T20:50:10"/>
    <x v="14"/>
  </r>
  <r>
    <s v="3563404410287780056"/>
    <s v="ywja"/>
    <x v="8"/>
    <n v="0"/>
    <s v=""/>
    <s v="NULL"/>
    <x v="0"/>
    <s v="2026-08-16 20:39:55"/>
    <s v="2026-08-16 20:49:00"/>
    <s v="NULL"/>
    <s v="NULL"/>
    <s v="2026-08-16 23:28:35"/>
    <s v=""/>
    <s v="106.49412229657173"/>
    <s v="10.625396359704476"/>
    <s v="106.58841133117676"/>
    <s v="10.880058443986005"/>
    <n v="186192"/>
    <n v="0"/>
    <n v="186192"/>
    <s v="Cash"/>
    <s v="178 Đường Nguyễn Trung Trực, Thị Trấn Bến Lức, Huyện Bến Lức, Long An, Việt Nam178 Đường Nguyễn Trung Trực, Thị Trấn Bến Lức, Huyện Bến Lức, Long An, Việt Nam"/>
    <s v="Quốc Lộ 22, Xã Xuân Thới Sơn, Huyện Hóc Môn, Hồ Chí Minh, Việt NamQuốc Lộ 22, Xã Xuân Thới Sơn, Huyện Hóc Môn, Hồ Chí Minh, Việt Nam"/>
    <n v="1"/>
    <x v="1"/>
    <x v="5"/>
    <d v="1899-12-30T20:39:55"/>
    <x v="197"/>
  </r>
  <r>
    <s v="3563404410287780631"/>
    <s v="ywja"/>
    <x v="8"/>
    <n v="4477282"/>
    <s v="hỗ trợ 50k giao nhanh không hẹp don"/>
    <s v="Motorcycle"/>
    <x v="2"/>
    <s v="2026-08-16 20:44:05"/>
    <s v="2026-08-16 20:54:00"/>
    <s v="2026-08-16 23:13:50"/>
    <s v="2026-08-16 23:21:34"/>
    <s v=""/>
    <s v=""/>
    <s v="106.6249218955636"/>
    <s v="10.755550936669465"/>
    <s v="106.58841133117676"/>
    <s v="10.880058443986005"/>
    <n v="62208"/>
    <n v="48226"/>
    <n v="13982"/>
    <s v="Cash"/>
    <s v="279A Đường Bà Hom, Phường 13, Quận 6, Hồ Chí Minh, Việt Nam279A Đường Bà Hom, Phường 13, Quận 6, Hồ Chí Minh, Việt Nam"/>
    <s v="Quốc Lộ 22, Xã Xuân Thới Sơn, Huyện Hóc Môn, Hồ Chí Minh, Việt NamQuốc Lộ 22, Xã Xuân Thới Sơn, Huyện Hóc Môn, Hồ Chí Minh, Việt Nam"/>
    <n v="1"/>
    <x v="1"/>
    <x v="5"/>
    <d v="1899-12-30T20:44:05"/>
    <x v="14"/>
  </r>
  <r>
    <s v="3563415295077085458"/>
    <s v="ywja"/>
    <x v="8"/>
    <n v="4837341"/>
    <s v=""/>
    <s v="Van (t)"/>
    <x v="2"/>
    <s v="2026-08-16 21:03:48"/>
    <s v="2026-08-16 21:13:00"/>
    <s v="2026-08-16 21:54:36"/>
    <s v="NULL"/>
    <s v=""/>
    <s v=""/>
    <s v="106.7115867510438"/>
    <s v="10.757968291598493"/>
    <s v="106.58841133117676"/>
    <s v="10.880058443986005"/>
    <n v="553608"/>
    <n v="429174"/>
    <n v="124434"/>
    <s v="Cash"/>
    <s v="22 Hẻm 2A Đường Đoàn Văn Bơ, Phường 16, Quận 4, Hồ Chí Minh, Việt Nam22 Hẻm 2A Đường Đoàn Văn Bơ, Phường 16, Quận 4, Hồ Chí Minh, Việt Nam"/>
    <s v="Quốc Lộ 22, Xã Xuân Thới Sơn, Huyện Hóc Môn, Hồ Chí Minh, Việt NamQuốc Lộ 22, Xã Xuân Thới Sơn, Huyện Hóc Môn, Hồ Chí Minh, Việt Nam"/>
    <n v="1"/>
    <x v="1"/>
    <x v="5"/>
    <d v="1899-12-30T21:03:48"/>
    <x v="14"/>
  </r>
  <r>
    <s v="3563726397124076005"/>
    <s v="ywja"/>
    <x v="8"/>
    <n v="0"/>
    <s v=""/>
    <s v="NULL"/>
    <x v="0"/>
    <s v="2026-08-17 07:38:05"/>
    <s v="2026-08-17 07:48:00"/>
    <s v="NULL"/>
    <s v="NULL"/>
    <s v="2026-08-17 09:54:18"/>
    <s v=""/>
    <s v="106.31501745432615"/>
    <s v="10.468963135852336"/>
    <s v="106.73940896987915"/>
    <s v="10.636805373250674"/>
    <n v="325296"/>
    <n v="0"/>
    <n v="325296"/>
    <s v="Cash"/>
    <s v="Apache Footwear Vietnam HQ, Xã Tân Lập 1, Huyện Tân Phước, Tiền Giang, Việt NamApache Footwear Vietnam HQ"/>
    <s v="14 Hẻm 60/13 Phan Văn Bảy, Xã Hiệp Phước, Huyện Nhà Bè, Hồ Chí Minh, Việt Nam14 Hẻm 60/13 Phan Văn Bảy, Xã Hiệp Phước, Huyện Nhà Bè, Hồ Chí Minh, Việt Nam"/>
    <n v="1"/>
    <x v="1"/>
    <x v="6"/>
    <d v="1899-12-30T07:38:05"/>
    <x v="198"/>
  </r>
  <r>
    <s v="3563726397124076186"/>
    <s v="ywja"/>
    <x v="8"/>
    <n v="4156314"/>
    <s v=""/>
    <s v="Motorcycle"/>
    <x v="2"/>
    <s v="2026-08-17 07:39:09"/>
    <s v="2026-08-17 07:49:00"/>
    <s v="2026-08-17 08:27:14"/>
    <s v="NULL"/>
    <s v=""/>
    <s v=""/>
    <s v="106.3634554669261"/>
    <s v="10.548699469788232"/>
    <s v="106.72331470996141"/>
    <s v="10.72568468020896"/>
    <n v="257364"/>
    <n v="199517"/>
    <n v="57847"/>
    <s v="Cash"/>
    <s v="Đường Số 3, Xã Lợi Bình Nhơn, Tân An, Long An, Việt NamĐường Số 3, Xã Lợi Bình Nhơn, Tân An, Long An, Việt Nam"/>
    <s v="Phong Nhã Coffee &amp; Restaurant, Đường Nguyễn Lương Bằng, Phường Tân Phú, Quận 7, Hồ Chí Minh, Việt NamPhong Nhã Coffee &amp; Restaurant"/>
    <n v="1"/>
    <x v="1"/>
    <x v="6"/>
    <d v="1899-12-30T07:39:09"/>
    <x v="14"/>
  </r>
  <r>
    <s v="3563728886560940727"/>
    <s v="ywja"/>
    <x v="8"/>
    <n v="0"/>
    <s v=""/>
    <s v="NULL"/>
    <x v="0"/>
    <s v="2026-08-17 07:42:34"/>
    <s v="2026-08-17 07:52:00"/>
    <s v="NULL"/>
    <s v="NULL"/>
    <s v="2026-08-17 09:52:00"/>
    <s v=""/>
    <s v="106.3580471277237"/>
    <s v="10.47727990899262"/>
    <s v="106.76466632634401"/>
    <s v="11.058047577127791"/>
    <n v="466776"/>
    <n v="0"/>
    <n v="466776"/>
    <s v="Cash"/>
    <s v="Ymuv Dormitory Gate, Xã Tân Hương, Huyện Châu Thành, Tiền Giang, Việt NamYmuv Dormitory Gate"/>
    <s v="Đường N2, Phường Khánh Bình, Thị Xã Tân Uyên, Bình Dương, Việt NamĐường N2, Phường Khánh Bình, Thị Xã Tân Uyên, Bình Dương, Việt Nam"/>
    <n v="1"/>
    <x v="1"/>
    <x v="6"/>
    <d v="1899-12-30T07:42:34"/>
    <x v="199"/>
  </r>
  <r>
    <s v="3563733086585967100"/>
    <s v="ywja"/>
    <x v="8"/>
    <n v="0"/>
    <s v=""/>
    <s v="NULL"/>
    <x v="0"/>
    <s v="2026-08-17 07:34:55"/>
    <s v="2026-08-17 07:44:00"/>
    <s v="NULL"/>
    <s v="NULL"/>
    <s v="2026-08-17 09:44:00"/>
    <s v=""/>
    <s v="106.3473555073142"/>
    <s v="10.493854104392911"/>
    <s v="106.56541742384434"/>
    <s v="10.863988337538341"/>
    <n v="325728"/>
    <n v="0"/>
    <n v="325728"/>
    <s v="Cash"/>
    <s v="ĐT.866, Xã Tân Lý Đông, Huyện Châu Thành, Tiền Giang, Việt NamĐT.866, Xã Tân Lý Đông, Huyện Châu Thành, Tiền Giang, Việt Nam"/>
    <s v="Moka, Xã Xuân Thới Thượng, Huyện Hóc Môn, Hồ Chí Minh, Việt NamMoka"/>
    <n v="1"/>
    <x v="1"/>
    <x v="6"/>
    <d v="1899-12-30T07:34:55"/>
    <x v="200"/>
  </r>
  <r>
    <s v="3563734210558775755"/>
    <s v="ywja"/>
    <x v="8"/>
    <n v="0"/>
    <s v=""/>
    <s v="NULL"/>
    <x v="0"/>
    <s v="2026-08-17 07:36:35"/>
    <s v="2026-08-17 07:46:00"/>
    <s v="NULL"/>
    <s v="NULL"/>
    <s v="2026-08-17 09:46:00"/>
    <s v=""/>
    <s v="106.30464769899845"/>
    <s v="10.458158844311246"/>
    <s v="106.4610181376338"/>
    <s v="10.79480461500048"/>
    <n v="292572"/>
    <n v="0"/>
    <n v="292572"/>
    <s v="Cash"/>
    <s v="Knitpassion Vietnam Co, Xã Tân Lập 1, Huyện Tân Phước, Tiền Giang, Việt NamKnitpassion Vietnam Co"/>
    <s v="Đường Tân Đức, Xã Đức Hòa Hạ, Huyện Đức Hòa, Long An, Việt NamĐường Tân Đức, Xã Đức Hòa Hạ, Huyện Đức Hòa, Long An, Việt Nam"/>
    <n v="1"/>
    <x v="1"/>
    <x v="6"/>
    <d v="1899-12-30T07:36:35"/>
    <x v="201"/>
  </r>
  <r>
    <s v="3563743211551945634"/>
    <s v="ywja"/>
    <x v="8"/>
    <n v="0"/>
    <s v=""/>
    <s v="NULL"/>
    <x v="0"/>
    <s v="2026-08-17 07:58:39"/>
    <s v="2026-08-17 08:08:00"/>
    <s v="NULL"/>
    <s v="NULL"/>
    <s v="2026-08-17 12:15:29"/>
    <s v=""/>
    <s v="106.34609084576368"/>
    <s v="10.491827955469319"/>
    <s v="106.58301439136267"/>
    <s v="10.672223878312755"/>
    <n v="210384"/>
    <n v="0"/>
    <n v="210384"/>
    <s v="Cash"/>
    <s v="ĐT.866, Xã Tân Lý Đông, Huyện Châu Thành, Tiền Giang, Việt NamĐT.866, Xã Tân Lý Đông, Huyện Châu Thành, Tiền Giang, Việt Nam"/>
    <s v="10/16G Đường Đoàn Nguyễn Tuân, Xã Bình Chánh, Huyện Bình Chánh, Hồ Chí Minh, Việt Nam10/16G Đường Đoàn Nguyễn Tuân, Xã Bình Chánh, Huyện Bình Chánh, Hồ Chí Minh, Việt Nam"/>
    <n v="1"/>
    <x v="1"/>
    <x v="6"/>
    <d v="1899-12-30T07:58:39"/>
    <x v="202"/>
  </r>
  <r>
    <s v="3563743984461501070"/>
    <s v="ywja"/>
    <x v="8"/>
    <n v="0"/>
    <s v=""/>
    <s v="NULL"/>
    <x v="0"/>
    <s v="2026-08-17 07:54:08"/>
    <s v="2026-08-17 08:04:00"/>
    <s v="NULL"/>
    <s v="NULL"/>
    <s v="2026-08-17 10:16:54"/>
    <s v=""/>
    <s v="106.35093290358782"/>
    <s v="10.46065372282405"/>
    <s v="106.67647261172533"/>
    <s v="10.60121336525499"/>
    <n v="264168"/>
    <n v="0"/>
    <n v="264168"/>
    <s v="Cash"/>
    <s v="Ngọc Trâm, QL.1A, Xã Tân Lý Tây, Huyện Châu Thành, Tiền Giang, Việt NamNgọc Trâm"/>
    <s v="Nhà Nghỉ Jumaily Tran, Xã Trường Bình, Huyện Cần Giuộc, Long An, Việt NamNhà Nghỉ Jumaily Tran"/>
    <n v="1"/>
    <x v="1"/>
    <x v="6"/>
    <d v="1899-12-30T07:54:08"/>
    <x v="203"/>
  </r>
  <r>
    <s v="3563746637635604943"/>
    <s v="ywja"/>
    <x v="8"/>
    <n v="2715570"/>
    <s v="thùng giày 40kg yêu cầu baga"/>
    <s v="Motorcycle"/>
    <x v="2"/>
    <s v="2026-08-17 07:57:49"/>
    <s v="2026-08-17 08:07:00"/>
    <s v="2026-08-17 09:29:29"/>
    <s v="NULL"/>
    <s v=""/>
    <s v=""/>
    <s v="106.3586750999093"/>
    <s v="10.488978599282188"/>
    <s v="106.59385487437248"/>
    <s v="10.960412086352244"/>
    <n v="362880"/>
    <n v="281316"/>
    <n v="81564"/>
    <s v="Cash"/>
    <s v="Cty TNHH Hansae TG, Xã Tân Hương, Huyện Châu Thành, Tiền Giang, Việt NamCty TNHH Hansae TG"/>
    <s v="Hẻm 186 Nguyễn Kim Cương, Xã Tân Thạnh Đông, Huyện Củ Chi, Hồ Chí Minh, Việt NamHẻm 186 Nguyễn Kim Cương, Xã Tân Thạnh Đông, Huyện Củ Chi, Hồ Chí Minh, Việt Nam"/>
    <n v="1"/>
    <x v="1"/>
    <x v="6"/>
    <d v="1899-12-30T07:57:49"/>
    <x v="14"/>
  </r>
  <r>
    <s v="3563747188121231851"/>
    <s v="ywja"/>
    <x v="8"/>
    <n v="0"/>
    <s v=""/>
    <s v="NULL"/>
    <x v="0"/>
    <s v="2026-08-17 08:07:10"/>
    <s v="2026-08-17 08:17:00"/>
    <s v="NULL"/>
    <s v="NULL"/>
    <s v="2026-08-17 12:15:49"/>
    <s v=""/>
    <s v="106.30766116082668"/>
    <s v="10.47602512115704"/>
    <s v="106.66682537645102"/>
    <s v="10.816148586682113"/>
    <n v="340524"/>
    <n v="0"/>
    <n v="340524"/>
    <s v="Cash"/>
    <s v="Công Ty TNHH Công Nghiệp Chính Xác JL, Xã Tân Lập 1, Huyện Tân Phước, Tiền Giang, Việt NamCông Ty TNHH Công Nghiệp Chính Xác JL"/>
    <s v="Đường Trường Sơn, Phường 2, Quận Tân Bình, Hồ Chí Minh, Việt NamĐường Trường Sơn, Phường 2, Quận Tân Bình, Hồ Chí Minh, Việt Nam"/>
    <n v="1"/>
    <x v="1"/>
    <x v="6"/>
    <d v="1899-12-30T08:07:10"/>
    <x v="204"/>
  </r>
  <r>
    <s v="3563753141625385088"/>
    <s v="ywja"/>
    <x v="8"/>
    <n v="0"/>
    <s v=""/>
    <s v="NULL"/>
    <x v="0"/>
    <s v="2026-08-17 08:07:53"/>
    <s v="2026-08-17 08:17:00"/>
    <s v="NULL"/>
    <s v="NULL"/>
    <s v="2026-08-17 10:17:00"/>
    <s v=""/>
    <s v="106.30096737295389"/>
    <s v="10.457440413173483"/>
    <s v="106.65368355810642"/>
    <s v="10.801184582960168"/>
    <n v="294300"/>
    <n v="0"/>
    <n v="294300"/>
    <s v="Cash"/>
    <s v="Knitpassion Vietnam Co, Xã Tân Lập 1, Huyện Tân Phước, Tiền Giang, Việt NamKnitpassion Vietnam Co"/>
    <s v="18A Đường Cộng Hòa, Phường 12, Quận Tân Bình, Hồ Chí Minh, Việt Nam18A Đường Cộng Hòa, Phường 12, Quận Tân Bình, Hồ Chí Minh, Việt Nam"/>
    <n v="1"/>
    <x v="1"/>
    <x v="6"/>
    <d v="1899-12-30T08:07:53"/>
    <x v="205"/>
  </r>
  <r>
    <s v="3564421299260575918"/>
    <s v=""/>
    <x v="9"/>
    <n v="0"/>
    <s v=""/>
    <s v="NULL"/>
    <x v="0"/>
    <s v="2026-08-18 06:59:02"/>
    <s v="2026-08-18 07:09:00"/>
    <s v="NULL"/>
    <s v="NULL"/>
    <s v="2026-08-18 09:15:04"/>
    <s v=""/>
    <s v="106.4903045"/>
    <s v="10.6014387"/>
    <s v="106.7858547"/>
    <s v="11.0982788"/>
    <n v="316872"/>
    <n v="0"/>
    <n v="316872"/>
    <s v="Cash"/>
    <s v="Long Định, Cần Đước, Long An, Việt NamVietNam SST , Dinco E&amp;C."/>
    <s v="Phường Uyên Hưng, Thị Xã Tân Uyên, Bình Dương, Việt NamCông Ty Cổ Phần S Furniture"/>
    <n v="1"/>
    <x v="1"/>
    <x v="10"/>
    <d v="1899-12-30T06:59:02"/>
    <x v="206"/>
  </r>
  <r>
    <s v="3564426202250965800"/>
    <s v=""/>
    <x v="9"/>
    <n v="0"/>
    <s v=""/>
    <s v="NULL"/>
    <x v="0"/>
    <s v="2026-08-18 07:09:24"/>
    <s v="2026-08-18 07:19:24"/>
    <s v="NULL"/>
    <s v="NULL"/>
    <s v="2026-08-18 09:19:24"/>
    <s v=""/>
    <s v="106.4943924"/>
    <s v="10.6125726"/>
    <s v="106.7463687"/>
    <s v="10.8958148"/>
    <n v="209304"/>
    <n v="0"/>
    <n v="209304"/>
    <s v="Cash"/>
    <s v="Lô H5,2, Đường số 9, KCN Thuận Đạo Mở Rộng, Xã, Long Định, Cần Đước, Long An, Việt NamCông Ty TNHH MTV San,Ei VN (有限会社三栄ベトナム）"/>
    <s v="7A, Khu Công nghiệp sóng thần, 2 Thống Nhất, Quận, Dĩ An, Bình Dương, Việt NamCông Ty TNHH Eins Vina Co., Ltd"/>
    <n v="1"/>
    <x v="1"/>
    <x v="10"/>
    <d v="1899-12-30T07:09:24"/>
    <x v="4"/>
  </r>
  <r>
    <s v="3564426202250965885"/>
    <s v="ywja"/>
    <x v="8"/>
    <n v="4055972"/>
    <s v=""/>
    <s v="Motorcycle"/>
    <x v="2"/>
    <s v="2026-08-18 07:09:54"/>
    <s v="2026-08-18 07:19:00"/>
    <s v="2026-08-18 07:54:24"/>
    <s v="NULL"/>
    <s v=""/>
    <s v=""/>
    <s v="106.40874825417995"/>
    <s v="10.541394569691281"/>
    <s v="106.7852407"/>
    <s v="10.7677679"/>
    <n v="218484"/>
    <n v="169376"/>
    <n v="49108"/>
    <s v="Cash"/>
    <s v="36 Hẻm 56 Quốc Lộ 1a, Phường 2, Tân An, Long An, Việt Nam36 Hẻm 56 Quốc Lộ 1a"/>
    <s v="Cát Lái, Hồ Chí Minh, Việt NamCát Lái"/>
    <n v="1"/>
    <x v="1"/>
    <x v="10"/>
    <d v="1899-12-30T07:09:54"/>
    <x v="14"/>
  </r>
  <r>
    <s v="3564427104999404269"/>
    <s v=""/>
    <x v="9"/>
    <n v="0"/>
    <s v=""/>
    <s v="NULL"/>
    <x v="0"/>
    <s v="2026-08-18 07:00:35"/>
    <s v="2026-08-18 07:10:33"/>
    <s v="NULL"/>
    <s v="NULL"/>
    <s v="2026-08-18 09:15:50"/>
    <s v=""/>
    <s v="106.4919555"/>
    <s v="10.6046886"/>
    <s v="106.6982937"/>
    <s v="11.0383172"/>
    <n v="279288"/>
    <n v="0"/>
    <n v="279288"/>
    <s v="Cash"/>
    <s v="Cty TNHH TM,DV Bao Bì Lâm Hưng, Long Định, Cần Đước, Long An, Việt NamCty TNHH TM,DV Bao Bì Lâm Hưng"/>
    <s v="Công ty TNHH Dệt Liên Châu, Đường N4, KCN Sóng Thần 3, Phường Phú Tân, Thủ Dầu Một, Bình Dương, Việt NamCông ty TNHH Dệt Liên Châu"/>
    <n v="1"/>
    <x v="1"/>
    <x v="10"/>
    <d v="1899-12-30T07:00:35"/>
    <x v="207"/>
  </r>
  <r>
    <s v="3564427104999404497"/>
    <s v=""/>
    <x v="9"/>
    <n v="0"/>
    <s v=""/>
    <s v="NULL"/>
    <x v="0"/>
    <s v="2026-08-18 07:02:31"/>
    <s v="2026-08-18 07:12:29"/>
    <s v="NULL"/>
    <s v="NULL"/>
    <s v="2026-08-18 09:12:29"/>
    <s v=""/>
    <s v="106.4983104"/>
    <s v="10.6044346"/>
    <s v="106.9419328"/>
    <s v="10.8218078"/>
    <n v="290844"/>
    <n v="0"/>
    <n v="290844"/>
    <s v="Cash"/>
    <s v="Long Định, Cần Đước, Long An, Việt NamCÔNG TY TNHH QUỐC TẾ RYTHERN (VIỆT NAM)"/>
    <s v="QL51, Long Đức, Long Thành, Đồng Nai, Việt NamCông Ty TNHH Cự Thành"/>
    <n v="1"/>
    <x v="1"/>
    <x v="10"/>
    <d v="1899-12-30T07:02:31"/>
    <x v="208"/>
  </r>
  <r>
    <s v="3564427105016177182"/>
    <s v=""/>
    <x v="9"/>
    <n v="0"/>
    <s v=""/>
    <s v="NULL"/>
    <x v="0"/>
    <s v="2026-08-18 07:07:43"/>
    <s v="2026-08-18 07:17:43"/>
    <s v="NULL"/>
    <s v="NULL"/>
    <s v="2026-08-18 09:17:43"/>
    <s v=""/>
    <s v="106.4962905"/>
    <s v="10.6126266"/>
    <s v="106.6544367"/>
    <s v="10.8441568"/>
    <n v="220860"/>
    <n v="0"/>
    <n v="220860"/>
    <s v="Cash"/>
    <s v="khu công nghiệp Thuận Đạo Mở Rộng, D1,1 đường số 14, Long Định, Cần Đước, Long An, Việt NamCông ty TNHH Công Nghệ CRM ( Việt Nam ) , CRM(越南)化工科技有限公司"/>
    <s v="162/59 Đ. Nguyễn Văn Khối, Phường 9, Gò Vấp, Thành phố Hồ Chí Minh, Việt Namcông ty TNHH TM DV Hoàng Tân Khang"/>
    <n v="1"/>
    <x v="1"/>
    <x v="10"/>
    <d v="1899-12-30T07:07:43"/>
    <x v="4"/>
  </r>
  <r>
    <s v="3564429282765926725"/>
    <s v=""/>
    <x v="9"/>
    <n v="0"/>
    <s v=""/>
    <s v="NULL"/>
    <x v="0"/>
    <s v="2026-08-18 06:59:37"/>
    <s v="2026-08-18 07:09:35"/>
    <s v="NULL"/>
    <s v="NULL"/>
    <s v="2026-08-18 09:09:35"/>
    <s v=""/>
    <s v="106.4919555"/>
    <s v="10.6046886"/>
    <s v="106.7354427"/>
    <s v="10.9375918"/>
    <n v="241272"/>
    <n v="0"/>
    <n v="241272"/>
    <s v="Cash"/>
    <s v="Cty TNHH TM,DV Bao Bì Lâm Hưng, Long Định, Cần Đước, Long An, Việt NamCty TNHH TM,DV Bao Bì Lâm Hưng"/>
    <s v="40Vsip, Vietnam Singapore Industrial Part, Street No 6, An Phú, Thuận An, Bình Dương, Việt NamMidea Consumer Electric (Viet Nam) Co., Ltd"/>
    <n v="1"/>
    <x v="1"/>
    <x v="10"/>
    <d v="1899-12-30T06:59:37"/>
    <x v="208"/>
  </r>
  <r>
    <s v="3564429421077291100"/>
    <s v="ywja"/>
    <x v="8"/>
    <n v="4844403"/>
    <s v=""/>
    <s v="Motorcycle"/>
    <x v="2"/>
    <s v="2026-08-18 07:06:47"/>
    <s v="2026-08-18 07:16:00"/>
    <s v="2026-08-18 09:47:18"/>
    <s v="NULL"/>
    <s v=""/>
    <s v=""/>
    <s v="106.3630698993802"/>
    <s v="10.551684731677849"/>
    <s v="106.59254293888807"/>
    <s v="10.888392616494114"/>
    <n v="227772"/>
    <n v="176576"/>
    <n v="51196"/>
    <s v="Cash"/>
    <s v="Đường Số 2,82112Tan An Foods Processing Export Co"/>
    <s v="7A 24, Tổ 26, Hóc Môn, Hồ Chí Minh, Việt Nam7A Hẻm 24"/>
    <n v="1"/>
    <x v="1"/>
    <x v="10"/>
    <d v="1899-12-30T07:06:47"/>
    <x v="14"/>
  </r>
  <r>
    <s v="3564429421077291781"/>
    <s v=""/>
    <x v="9"/>
    <n v="2850165"/>
    <s v=""/>
    <s v="Motorcycle"/>
    <x v="2"/>
    <s v="2026-08-18 07:11:50"/>
    <s v="2026-08-18 07:21:50"/>
    <s v="2026-08-18 09:49:18"/>
    <s v="NULL"/>
    <s v=""/>
    <s v=""/>
    <s v="106.4883825"/>
    <s v="10.6224357"/>
    <s v="106.5971334"/>
    <s v="10.8195378"/>
    <n v="122688"/>
    <n v="95112"/>
    <n v="27576"/>
    <s v="Cash"/>
    <s v="Lô A4 Đường Số 1, TT. Bến Lức, Bến Lức, Long An, Việt NamCông Ty Tnhh Koda Sài Gòn"/>
    <s v="Đ. Số 4, khu công nghiệp vĩnh lộc, Bình Tân, Hồ Chí Minh 700000, Việt NamCông Ty TNHH Thang Máy Mitsu Nhật Bản"/>
    <n v="1"/>
    <x v="1"/>
    <x v="10"/>
    <d v="1899-12-30T07:11:50"/>
    <x v="14"/>
  </r>
  <r>
    <s v="3564429421085675717"/>
    <s v=""/>
    <x v="9"/>
    <n v="0"/>
    <s v=""/>
    <s v="NULL"/>
    <x v="0"/>
    <s v="2026-08-18 07:14:39"/>
    <s v="2026-08-18 07:24:38"/>
    <s v="NULL"/>
    <s v="NULL"/>
    <s v="2026-08-18 09:24:38"/>
    <s v=""/>
    <s v="106.5111785"/>
    <s v="10.6209376"/>
    <s v="106.7463687"/>
    <s v="10.8958148"/>
    <n v="204120"/>
    <n v="0"/>
    <n v="204120"/>
    <s v="Cash"/>
    <s v="Công ty Tnhh Korviet Vina, Đường Số 7, KCN Phúc Long, Long Hiệp, Bến Lức, Long An, Việt NamCông ty Tnhh Korviet Vina"/>
    <s v="7A, Khu Công nghiệp sóng thần, 2 Thống Nhất, Quận, Dĩ An, Bình Dương, Việt NamCông Ty TNHH Eins Vina Co., Ltd"/>
    <n v="1"/>
    <x v="1"/>
    <x v="10"/>
    <d v="1899-12-30T07:14:39"/>
    <x v="9"/>
  </r>
  <r>
    <s v="3564431552119263847"/>
    <s v="ywja"/>
    <x v="8"/>
    <n v="0"/>
    <s v=""/>
    <s v="NULL"/>
    <x v="0"/>
    <s v="2026-08-18 07:04:10"/>
    <s v="2026-08-18 07:14:00"/>
    <s v="NULL"/>
    <s v="NULL"/>
    <s v="2026-08-18 09:54:40"/>
    <s v=""/>
    <s v="106.31501745432615"/>
    <s v="10.468963135852336"/>
    <s v="106.66578635573387"/>
    <s v="10.835928853737508"/>
    <n v="297648"/>
    <n v="0"/>
    <n v="297648"/>
    <s v="Cash"/>
    <s v="Apache Footwear Vietnam HQ, Xã Tân Lập 1, Huyện Tân Phước, Tiền Giang, Việt NamApache Footwear Vietnam HQ"/>
    <s v="37 Hẻm 710 Phan Văn Trị, Phường 10, Gò Vấp, Hồ Chí Minh, Việt Nam37 Hẻm 710 Phan Văn Trị, Phường 10, Gò Vấp, Hồ Chí Minh, Việt Nam"/>
    <n v="1"/>
    <x v="1"/>
    <x v="10"/>
    <d v="1899-12-30T07:04:10"/>
    <x v="209"/>
  </r>
  <r>
    <s v="3564431552119264083"/>
    <s v="ywja"/>
    <x v="8"/>
    <n v="4276896"/>
    <s v=""/>
    <s v="Motorcycle"/>
    <x v="2"/>
    <s v="2026-08-18 07:06:06"/>
    <s v="2026-08-18 07:16:00"/>
    <s v="2026-08-18 08:50:02"/>
    <s v="NULL"/>
    <s v=""/>
    <s v=""/>
    <s v="106.41566567122936"/>
    <s v="10.526324410878455"/>
    <s v="106.56899180263281"/>
    <s v="10.86687797159301"/>
    <n v="242136"/>
    <n v="187711"/>
    <n v="54425"/>
    <s v="Cash"/>
    <s v="185 Đường Châu Thị Kim, Phường 7, Tân An, Long An, Việt Nam185 Đường Châu Thị Kim, Phường 7, Tân An, Long An, Việt Nam"/>
    <s v="Tổ 10, 140/5A ấp 5, Bà Điểm, Hồ Chí Minh, Việt Nam5A Tổ 10 Hẻm 140"/>
    <n v="1"/>
    <x v="1"/>
    <x v="10"/>
    <d v="1899-12-30T07:06:06"/>
    <x v="14"/>
  </r>
  <r>
    <s v="3564431552119264092"/>
    <s v=""/>
    <x v="9"/>
    <n v="0"/>
    <s v=""/>
    <s v="NULL"/>
    <x v="0"/>
    <s v="2026-08-18 07:06:10"/>
    <s v="2026-08-18 07:16:08"/>
    <s v="NULL"/>
    <s v="NULL"/>
    <s v="2026-08-18 09:16:08"/>
    <s v=""/>
    <s v="106.4989895"/>
    <s v="10.6101417"/>
    <s v="106.5971334"/>
    <s v="10.8195378"/>
    <n v="178200"/>
    <n v="0"/>
    <n v="178200"/>
    <s v="Cash"/>
    <s v="Long Định, Cần Đước, Long An, Việt NamOKIA OPTICAL VIETNAM"/>
    <s v="Đ. Số 4, khu công nghiệp vĩnh lộc, Bình Tân, Hồ Chí Minh 700000, Việt NamCông Ty TNHH Thang Máy Mitsu Nhật Bản"/>
    <n v="1"/>
    <x v="1"/>
    <x v="10"/>
    <d v="1899-12-30T07:06:10"/>
    <x v="208"/>
  </r>
  <r>
    <s v="3564431552136049266"/>
    <s v=""/>
    <x v="9"/>
    <n v="2852976"/>
    <s v=""/>
    <s v="Motorcycle"/>
    <x v="1"/>
    <s v="2026-08-18 07:12:33"/>
    <s v="2026-08-18 07:22:33"/>
    <s v="2026-08-18 07:39:32"/>
    <s v="2026-08-18 07:39:56"/>
    <s v="2026-08-18 07:43:39"/>
    <s v=""/>
    <s v="106.5113165"/>
    <s v="10.6194117"/>
    <s v="106.6341817"/>
    <s v="10.8065459"/>
    <n v="118260"/>
    <n v="97072"/>
    <n v="21188"/>
    <s v="Cash"/>
    <s v="Lô H4b, KCN, Phúc Long, Long Hiệp, Bến Lức, Long An, Việt NamCty SEJIN VINA"/>
    <s v="Công Ty Tnhh Eb Tân Phú, Đường Trường Chinh, Tây Thạnh, Hồ Chí Minh, Việt NamCông Ty Tnhh Eb Tân Phú"/>
    <n v="1"/>
    <x v="1"/>
    <x v="10"/>
    <d v="1899-12-30T07:12:33"/>
    <x v="210"/>
  </r>
  <r>
    <s v="3564435434216055462"/>
    <s v=""/>
    <x v="9"/>
    <n v="0"/>
    <s v=""/>
    <s v="NULL"/>
    <x v="0"/>
    <s v="2026-08-18 07:01:09"/>
    <s v="2026-08-18 07:11:07"/>
    <s v="NULL"/>
    <s v="NULL"/>
    <s v="2026-08-18 09:11:07"/>
    <s v=""/>
    <s v="106.4983104"/>
    <s v="10.6044346"/>
    <s v="106.7463687"/>
    <s v="10.8958148"/>
    <n v="214164"/>
    <n v="0"/>
    <n v="214164"/>
    <s v="Cash"/>
    <s v="Long Định, Cần Đước, Long An, Việt NamCÔNG TY TNHH QUỐC TẾ RYTHERN (VIỆT NAM)"/>
    <s v="7A, Khu Công nghiệp sóng thần, 2 Thống Nhất, Quận, Dĩ An, Bình Dương, Việt NamCông Ty TNHH Eins Vina Co., Ltd"/>
    <n v="1"/>
    <x v="1"/>
    <x v="10"/>
    <d v="1899-12-30T07:01:09"/>
    <x v="208"/>
  </r>
  <r>
    <s v="3564435434216055521"/>
    <s v=""/>
    <x v="9"/>
    <n v="0"/>
    <s v=""/>
    <s v="NULL"/>
    <x v="0"/>
    <s v="2026-08-18 07:01:33"/>
    <s v="2026-08-18 07:11:31"/>
    <s v="NULL"/>
    <s v="NULL"/>
    <s v="2026-08-18 09:49:58"/>
    <s v=""/>
    <s v="106.4983104"/>
    <s v="10.6044346"/>
    <s v="106.8753458"/>
    <s v="10.9280318"/>
    <n v="365364"/>
    <n v="0"/>
    <n v="365364"/>
    <s v="Cash"/>
    <s v="Long Định, Cần Đước, Long An, Việt NamCÔNG TY TNHH QUỐC TẾ RYTHERN (VIỆT NAM)"/>
    <s v="14 Đường Số 19A, An Bình, Thành phố Biên Hòa, Đồng Nai, Việt NamCông Ty Cp Scavi Việt Nam"/>
    <n v="1"/>
    <x v="1"/>
    <x v="10"/>
    <d v="1899-12-30T07:01:33"/>
    <x v="211"/>
  </r>
  <r>
    <s v="3564435434216055571"/>
    <s v="ywja"/>
    <x v="8"/>
    <n v="0"/>
    <s v=""/>
    <s v="NULL"/>
    <x v="0"/>
    <s v="2026-08-18 07:02:04"/>
    <s v="2026-08-18 07:12:00"/>
    <s v="NULL"/>
    <s v="NULL"/>
    <s v="2026-08-18 09:51:38"/>
    <s v=""/>
    <s v="106.3586750999093"/>
    <s v="10.488978599282188"/>
    <s v="106.77278570830822"/>
    <s v="10.900864959899485"/>
    <n v="307260"/>
    <n v="0"/>
    <n v="307260"/>
    <s v="Cash"/>
    <s v="Cty TNHH Hansae TG, Xã Tân Hương, Huyện Châu Thành, Tiền Giang, Việt NamCty TNHH Hansae TG"/>
    <s v="99 Đường Đông Minh, Đông Hoà, Bình Dương, 75000, Việt NamNội Thất Thông Minh Hữu An Bàn ghế xếp"/>
    <n v="1"/>
    <x v="1"/>
    <x v="10"/>
    <d v="1899-12-30T07:02:04"/>
    <x v="212"/>
  </r>
  <r>
    <s v="3564435434232828713"/>
    <s v=""/>
    <x v="9"/>
    <n v="2853310"/>
    <s v=""/>
    <s v="Motorcycle"/>
    <x v="2"/>
    <s v="2026-08-18 07:10:16"/>
    <s v="2026-08-18 07:20:16"/>
    <s v="2026-08-18 09:58:09"/>
    <s v="NULL"/>
    <s v=""/>
    <s v=""/>
    <s v="106.4946645"/>
    <s v="10.6118376"/>
    <s v="106.7573106"/>
    <s v="10.8246728"/>
    <n v="254448"/>
    <n v="208859"/>
    <n v="45589"/>
    <s v="Cash"/>
    <s v="Lô C1, H, KCN Thuận Đạo Mở Rộng, 2 Đường Số 1, Long Định, Cần Đước, Long An, Việt NamChi nhánh Long An , Công ty TNHH Nutreco International Việt Nam (Nutreco Long An)"/>
    <s v="200 Đ. Nguyễn Văn Bá, Phước Long A, Thủ Đức, Hồ Chí Minh, Việt NamCÔNG TY TNHH JM (JMGROUP)"/>
    <n v="1"/>
    <x v="1"/>
    <x v="10"/>
    <d v="1899-12-30T07:10:16"/>
    <x v="14"/>
  </r>
  <r>
    <s v="3564436867929830122"/>
    <s v=""/>
    <x v="9"/>
    <n v="0"/>
    <s v=""/>
    <s v="NULL"/>
    <x v="0"/>
    <s v="2026-08-18 07:04:15"/>
    <s v="2026-08-18 07:14:14"/>
    <s v="NULL"/>
    <s v="NULL"/>
    <s v="2026-08-18 09:23:01"/>
    <s v=""/>
    <s v="106.4983104"/>
    <s v="10.6044346"/>
    <s v="106.7573106"/>
    <s v="10.8246728"/>
    <n v="196560"/>
    <n v="0"/>
    <n v="196560"/>
    <s v="Cash"/>
    <s v="Long Định, Cần Đước, Long An, Việt NamCÔNG TY TNHH QUỐC TẾ RYTHERN (VIỆT NAM)"/>
    <s v="200 Đ. Nguyễn Văn Bá, Phước Long A, Thủ Đức, Hồ Chí Minh, Việt NamCÔNG TY TNHH JM (JMGROUP)"/>
    <n v="1"/>
    <x v="1"/>
    <x v="10"/>
    <d v="1899-12-30T07:04:15"/>
    <x v="213"/>
  </r>
  <r>
    <s v="3564436867929830187"/>
    <s v=""/>
    <x v="9"/>
    <n v="0"/>
    <s v=""/>
    <s v="NULL"/>
    <x v="0"/>
    <s v="2026-08-18 07:04:50"/>
    <s v="2026-08-18 07:14:48"/>
    <s v="NULL"/>
    <s v="NULL"/>
    <s v="2026-08-18 09:14:48"/>
    <s v=""/>
    <s v="106.4973945"/>
    <s v="10.6090006"/>
    <s v="106.8021378"/>
    <s v="10.8263158"/>
    <n v="206172"/>
    <n v="0"/>
    <n v="206172"/>
    <s v="Cash"/>
    <s v="CÔNG TY TNHH KUZCO VIỆT NAM, Long Cang, Tây Ninh, Việt NamCÔNG TY TNHH KUZCO VIỆT NAM"/>
    <s v="2,1 Đ. D2, Tăng Nhơn Phú B, Quận 9, Hồ Chí Minh, Việt NamCông Ty TNHH MTV Daeyoung Electronics Vina"/>
    <n v="1"/>
    <x v="1"/>
    <x v="10"/>
    <d v="1899-12-30T07:04:50"/>
    <x v="208"/>
  </r>
  <r>
    <s v="3564436867963376414"/>
    <s v=""/>
    <x v="9"/>
    <n v="0"/>
    <s v=""/>
    <s v="NULL"/>
    <x v="0"/>
    <s v="2026-08-18 07:18:48"/>
    <s v="2026-08-18 07:28:48"/>
    <s v="NULL"/>
    <s v="NULL"/>
    <s v="2026-08-18 09:28:48"/>
    <s v=""/>
    <s v="106.5112025"/>
    <s v="10.6359696"/>
    <s v="106.6544367"/>
    <s v="10.8441568"/>
    <n v="134028"/>
    <n v="0"/>
    <n v="134028"/>
    <s v="Cash"/>
    <s v="Long Hiệp, Bến Lức, Long An, Việt NamCông Ty Cổ Phần Thiêt Kê Nôi Thât Trung Nam"/>
    <s v="162/59 Đ. Nguyễn Văn Khối, Phường 9, Gò Vấp, Thành phố Hồ Chí Minh, Việt Namcông ty TNHH TM DV Hoàng Tân Khang"/>
    <n v="1"/>
    <x v="1"/>
    <x v="10"/>
    <d v="1899-12-30T07:18:48"/>
    <x v="4"/>
  </r>
  <r>
    <s v="3564437193189716133"/>
    <s v=""/>
    <x v="9"/>
    <n v="0"/>
    <s v=""/>
    <s v="NULL"/>
    <x v="0"/>
    <s v="2026-08-18 07:07:17"/>
    <s v="2026-08-18 07:17:16"/>
    <s v="NULL"/>
    <s v="NULL"/>
    <s v="2026-08-18 09:17:16"/>
    <s v=""/>
    <s v="106.4962905"/>
    <s v="10.6126266"/>
    <s v="106.5814835"/>
    <s v="10.9037918"/>
    <n v="188568"/>
    <n v="0"/>
    <n v="188568"/>
    <s v="Cash"/>
    <s v="khu công nghiệp Thuận Đạo Mở Rộng, D1,1 đường số 14, Long Định, Cần Đước, Long An, Việt NamCông ty TNHH Công Nghệ CRM ( Việt Nam ) , CRM(越南)化工科技有限公司"/>
    <s v="180/7B ấp Tân Thới 3, Tân Hiệp, Hóc Môn, Hồ Chí Minh, Việt NamThang Máng Cáp Bestray"/>
    <n v="1"/>
    <x v="1"/>
    <x v="10"/>
    <d v="1899-12-30T07:07:17"/>
    <x v="9"/>
  </r>
  <r>
    <s v="3564437193189716361"/>
    <s v=""/>
    <x v="9"/>
    <n v="4361679"/>
    <s v=""/>
    <s v="Motorcycle"/>
    <x v="1"/>
    <s v="2026-08-18 07:08:58"/>
    <s v="2026-08-18 07:18:58"/>
    <s v="2026-08-18 11:31:55"/>
    <s v="NULL"/>
    <s v="2026-08-18 19:32:17"/>
    <s v=""/>
    <s v="106.4954223"/>
    <s v="10.6130342"/>
    <s v="106.6982937"/>
    <s v="11.0383172"/>
    <n v="210600"/>
    <n v="163264"/>
    <n v="47336"/>
    <s v="Cash"/>
    <s v="Công Ty TNHH in phun sơn phụ liệu giày Long Thuận, Long Cang, Tây Ninh, Việt NamCông Ty TNHH in phun sơn phụ liệu giày Long Thuận"/>
    <s v="Công ty TNHH Dệt Liên Châu, Đường N4, KCN Sóng Thần 3, Phường Phú Tân, Thủ Dầu Một, Bình Dương, Việt NamCông ty TNHH Dệt Liên Châu"/>
    <n v="1"/>
    <x v="1"/>
    <x v="10"/>
    <d v="1899-12-30T07:08:58"/>
    <x v="214"/>
  </r>
  <r>
    <s v="3564437193206489723"/>
    <s v=""/>
    <x v="9"/>
    <n v="0"/>
    <s v=""/>
    <s v="NULL"/>
    <x v="0"/>
    <s v="2026-08-18 07:17:51"/>
    <s v="2026-08-18 07:27:50"/>
    <s v="NULL"/>
    <s v="NULL"/>
    <s v="2026-08-18 09:27:50"/>
    <s v=""/>
    <s v="106.5131465"/>
    <s v="10.6293136"/>
    <s v="106.6341817"/>
    <s v="10.8065459"/>
    <n v="165888"/>
    <n v="0"/>
    <n v="165888"/>
    <s v="Cash"/>
    <s v="Lô M3, Đ. Số 4 Phúc Long, KCN, Bến Lức, Long An, Việt NamCông ty TNHH Ushiwaka MG Việt Nam"/>
    <s v="Công Ty Tnhh Eb Tân Phú, Đường Trường Chinh, Tây Thạnh, Hồ Chí Minh, Việt NamCông Ty Tnhh Eb Tân Phú"/>
    <n v="1"/>
    <x v="1"/>
    <x v="10"/>
    <d v="1899-12-30T07:17:51"/>
    <x v="9"/>
  </r>
  <r>
    <s v="3564443170223911093"/>
    <s v="ywja"/>
    <x v="8"/>
    <n v="0"/>
    <s v=""/>
    <s v="NULL"/>
    <x v="0"/>
    <s v="2026-08-18 07:07:30"/>
    <s v="2026-08-18 07:17:00"/>
    <s v="NULL"/>
    <s v="NULL"/>
    <s v="2026-08-18 09:17:01"/>
    <s v=""/>
    <s v="106.34647775441408"/>
    <s v="10.495939250305092"/>
    <s v="106.5937658"/>
    <s v="10.5012534"/>
    <n v="176580"/>
    <n v="0"/>
    <n v="176580"/>
    <s v="Cash"/>
    <s v="ĐT866, Tân Hương, Tiền Giang, Việt NamĐường tỉnh 866"/>
    <s v="Cần Đước, Long An, Việt NamCần Đước"/>
    <n v="1"/>
    <x v="1"/>
    <x v="10"/>
    <d v="1899-12-30T07:07:30"/>
    <x v="215"/>
  </r>
  <r>
    <s v="3564443170223911867"/>
    <s v=""/>
    <x v="9"/>
    <n v="4079404"/>
    <s v=""/>
    <s v="Motorcycle"/>
    <x v="2"/>
    <s v="2026-08-18 07:13:22"/>
    <s v="2026-08-18 07:23:22"/>
    <s v="2026-08-18 12:03:36"/>
    <s v="NULL"/>
    <s v=""/>
    <s v=""/>
    <s v="106.512463"/>
    <s v="10.6195398"/>
    <s v="106.6010596"/>
    <s v="11.1300481"/>
    <n v="227016"/>
    <n v="175990"/>
    <n v="51026"/>
    <s v="Cash"/>
    <s v="CÔNG TY TNHH VẬT LIỆU CÔNG NGHỆ CAO LONGDA WEIFANG VIỆT NAM, Đ. Số 1, Khu công nghiệp Phúc Long, Mỹ Yên, Tây Ninh, Việt NamCÔNG TY TNHH VẬT LIỆU CÔNG NGHỆ CAO LONGDA WEIFANG VIỆT NAM"/>
    <s v="Công Ty Yazaki Eds Việt Nam Ltd, Đường D1, Thị Xã Bến Cát, Bình DươngCông Ty Yazaki Eds Việt Nam Ltd, Đường D1"/>
    <n v="1"/>
    <x v="1"/>
    <x v="10"/>
    <d v="1899-12-30T07:13:22"/>
    <x v="14"/>
  </r>
  <r>
    <s v="3564443170240684408"/>
    <s v=""/>
    <x v="9"/>
    <n v="4822140"/>
    <s v=""/>
    <s v="Motorcycle"/>
    <x v="4"/>
    <s v="2026-08-18 07:16:31"/>
    <s v="2026-08-18 07:26:31"/>
    <s v="2026-08-18 08:34:18"/>
    <s v="NULL"/>
    <s v="2026-08-28 07:27:31"/>
    <s v=""/>
    <s v="106.5136917"/>
    <s v="10.62873"/>
    <s v="106.728420780112"/>
    <s v="10.792584679465"/>
    <n v="198288"/>
    <n v="153719"/>
    <n v="44569"/>
    <s v="Cash"/>
    <s v="Công ty TNHH XIANGYE, Đường Số 13, KCN PHÚC LONG, Mỹ Yên, Tây Ninh, Việt NamCông ty TNHH XIANGYE"/>
    <s v="45 Đường Số 29, Khu Phố 1, An Khánh, Hồ Chí Minh 70000, Việt NamCông Ty Tnhh Nbh Group"/>
    <n v="1"/>
    <x v="1"/>
    <x v="10"/>
    <d v="1899-12-30T07:16:31"/>
    <x v="17"/>
  </r>
  <r>
    <s v="3564446193176240964"/>
    <s v=""/>
    <x v="9"/>
    <n v="2555530"/>
    <s v=""/>
    <s v="Motorcycle"/>
    <x v="2"/>
    <s v="2026-08-18 07:16:18"/>
    <s v="2026-08-18 07:26:17"/>
    <s v="2026-08-18 10:31:48"/>
    <s v="NULL"/>
    <s v=""/>
    <s v=""/>
    <s v="106.5136917"/>
    <s v="10.62873"/>
    <s v="106.8021378"/>
    <s v="10.8263158"/>
    <n v="258444"/>
    <n v="200354"/>
    <n v="58090"/>
    <s v="Cash"/>
    <s v="Công ty TNHH XIANGYE, Đường Số 13, KCN PHÚC LONG, Mỹ Yên, Tây Ninh, Việt NamCông ty TNHH XIANGYE"/>
    <s v="2,1 Đ. D2, Tăng Nhơn Phú B, Quận 9, Hồ Chí Minh, Việt NamCông Ty TNHH MTV Daeyoung Electronics Vina"/>
    <n v="1"/>
    <x v="1"/>
    <x v="10"/>
    <d v="1899-12-30T07:16:18"/>
    <x v="14"/>
  </r>
  <r>
    <s v="3564446193209798835"/>
    <s v=""/>
    <x v="9"/>
    <n v="4241393"/>
    <s v=""/>
    <s v="Motorcycle"/>
    <x v="2"/>
    <s v="2026-08-18 07:26:17"/>
    <s v="2026-08-18 07:36:17"/>
    <s v="2026-08-18 09:36:00"/>
    <s v="NULL"/>
    <s v=""/>
    <s v=""/>
    <s v="106.5662555"/>
    <s v="10.6461676"/>
    <s v="106.8753458"/>
    <s v="10.9280318"/>
    <n v="213732"/>
    <n v="175438"/>
    <n v="38294"/>
    <s v="Cash"/>
    <s v="8 Đ. Sân Banh, Phước Lý, Tây Ninh, Việt NamCông ty TNHH Vy Kỳ"/>
    <s v="14 Đường Số 19A, An Bình, Thành phố Biên Hòa, Đồng Nai, Việt NamCông Ty Cp Scavi Việt Nam"/>
    <n v="1"/>
    <x v="1"/>
    <x v="10"/>
    <d v="1899-12-30T07:26:17"/>
    <x v="14"/>
  </r>
  <r>
    <s v="3564446489671594658"/>
    <s v=""/>
    <x v="9"/>
    <n v="0"/>
    <s v=""/>
    <s v="NULL"/>
    <x v="0"/>
    <s v="2026-08-18 07:22:39"/>
    <s v="2026-08-18 07:32:39"/>
    <s v="NULL"/>
    <s v="NULL"/>
    <s v="2026-08-18 09:32:39"/>
    <s v=""/>
    <s v="106.5084135"/>
    <s v="10.6373406"/>
    <s v="106.728420780112"/>
    <s v="10.792584679465"/>
    <n v="189972"/>
    <n v="0"/>
    <n v="189972"/>
    <s v="Cash"/>
    <s v="CTY CP NÔNG NGHIỆP VIỆT NAM SYMBIO, Đường VL2, Mỹ Yên, Tây Ninh, Việt NamCTY CP NÔNG NGHIỆP VIỆT NAM SYMBIO"/>
    <s v="45 Đường Số 29, Khu Phố 1, An Khánh, Hồ Chí Minh 70000, Việt NamCông Ty Tnhh Nbh Group"/>
    <n v="1"/>
    <x v="1"/>
    <x v="10"/>
    <d v="1899-12-30T07:22:39"/>
    <x v="4"/>
  </r>
  <r>
    <s v="3564447767113986134"/>
    <s v=""/>
    <x v="9"/>
    <n v="0"/>
    <s v=""/>
    <s v="NULL"/>
    <x v="0"/>
    <s v="2026-08-18 07:20:41"/>
    <s v="2026-08-18 07:30:41"/>
    <s v="NULL"/>
    <s v="NULL"/>
    <s v="2026-08-18 09:30:41"/>
    <s v=""/>
    <s v="106.5116795"/>
    <s v="10.6375636"/>
    <s v="106.6982937"/>
    <s v="11.0383172"/>
    <n v="356400"/>
    <n v="0"/>
    <n v="356400"/>
    <s v="Cash"/>
    <s v="Lô D1 29,30, Đường VL2/Ấp Voi Lá, KCN Vĩnh Lộc 2, Bến Lức, Long An, Việt NamCÔNG TY TNHH NIPPOVINA"/>
    <s v="Công ty TNHH Dệt Liên Châu, Đường N4, KCN Sóng Thần 3, Phường Phú Tân, Thủ Dầu Một, Bình Dương, Việt NamCông ty TNHH Dệt Liên Châu"/>
    <n v="1"/>
    <x v="1"/>
    <x v="10"/>
    <d v="1899-12-30T07:20:41"/>
    <x v="4"/>
  </r>
  <r>
    <s v="3564447767113986343"/>
    <s v=""/>
    <x v="9"/>
    <n v="0"/>
    <s v=""/>
    <s v="NULL"/>
    <x v="0"/>
    <s v="2026-08-18 07:21:55"/>
    <s v="2026-08-18 07:31:55"/>
    <s v="NULL"/>
    <s v="NULL"/>
    <s v="2026-08-18 09:31:55"/>
    <s v=""/>
    <s v="106.5101865"/>
    <s v="10.6381416"/>
    <s v="106.7573106"/>
    <s v="10.8246728"/>
    <n v="177336"/>
    <n v="0"/>
    <n v="177336"/>
    <s v="Cash"/>
    <s v="Lô A1,17, Khu Công nghiệp Vĩnh Lộc 2, Đường Vĩnh Lộc 2, Ấp Voi Lá, Xã Long, Hiệp, Long Hiệp, Bến Lức, Long An 850000, Việt NamKhông Gian Công Nghiệp LEADPARK BUSINESS HUB"/>
    <s v="200 Đ. Nguyễn Văn Bá, Phước Long A, Thủ Đức, Hồ Chí Minh, Việt NamCÔNG TY TNHH JM (JMGROUP)"/>
    <n v="1"/>
    <x v="1"/>
    <x v="10"/>
    <d v="1899-12-30T07:21:55"/>
    <x v="4"/>
  </r>
  <r>
    <s v="3564448938541142760"/>
    <s v=""/>
    <x v="9"/>
    <n v="4824626"/>
    <s v=""/>
    <s v="Motorcycle"/>
    <x v="2"/>
    <s v="2026-08-18 07:26:31"/>
    <s v="2026-08-18 07:36:31"/>
    <s v="2026-08-18 09:16:58"/>
    <s v="NULL"/>
    <s v=""/>
    <s v=""/>
    <s v="106.5662555"/>
    <s v="10.6461676"/>
    <s v="106.9419328"/>
    <s v="10.8218078"/>
    <n v="240948"/>
    <n v="186790"/>
    <n v="54158"/>
    <s v="Cash"/>
    <s v="8 Đ. Sân Banh, Phước Lý, Tây Ninh, Việt NamCông ty TNHH Vy Kỳ"/>
    <s v="QL51, Long Đức, Long Thành, Đồng Nai, Việt NamCông Ty TNHH Cự Thành"/>
    <n v="1"/>
    <x v="1"/>
    <x v="10"/>
    <d v="1899-12-30T07:26:31"/>
    <x v="14"/>
  </r>
  <r>
    <s v="3564451336240193804"/>
    <s v=""/>
    <x v="9"/>
    <n v="0"/>
    <s v=""/>
    <s v="NULL"/>
    <x v="0"/>
    <s v="2026-08-18 07:20:53"/>
    <s v="2026-08-18 07:30:53"/>
    <s v="NULL"/>
    <s v="NULL"/>
    <s v="2026-08-18 09:30:53"/>
    <s v=""/>
    <s v="106.5116795"/>
    <s v="10.6375636"/>
    <s v="106.7463687"/>
    <s v="10.8958148"/>
    <n v="198936"/>
    <n v="0"/>
    <n v="198936"/>
    <s v="Cash"/>
    <s v="Lô D1 29,30, Đường VL2/Ấp Voi Lá, KCN Vĩnh Lộc 2, Bến Lức, Long An, Việt NamCÔNG TY TNHH NIPPOVINA"/>
    <s v="7A, Khu Công nghiệp sóng thần, 2 Thống Nhất, Quận, Dĩ An, Bình Dương, Việt NamCông Ty TNHH Eins Vina Co., Ltd"/>
    <n v="1"/>
    <x v="1"/>
    <x v="10"/>
    <d v="1899-12-30T07:20:53"/>
    <x v="4"/>
  </r>
  <r>
    <s v="3564452041051037844"/>
    <s v=""/>
    <x v="9"/>
    <n v="2555530"/>
    <s v=""/>
    <s v="Motorcycle"/>
    <x v="2"/>
    <s v="2026-08-18 07:27:13"/>
    <s v="2026-08-18 07:37:12"/>
    <s v="2026-08-18 09:16:07"/>
    <s v="2026-08-18 09:37:43"/>
    <s v=""/>
    <s v=""/>
    <s v="106.5672684"/>
    <s v="10.6412427"/>
    <s v="106.8021378"/>
    <s v="10.8263158"/>
    <n v="214164"/>
    <n v="166027"/>
    <n v="48137"/>
    <s v="Cash"/>
    <s v="35B, Ấp, Cần Giuộc, Long An, Việt NamCông Ty TNHH Triệu Tín"/>
    <s v="2,1 Đ. D2, Tăng Nhơn Phú B, Quận 9, Hồ Chí Minh, Việt NamCông Ty TNHH MTV Daeyoung Electronics Vina"/>
    <n v="1"/>
    <x v="1"/>
    <x v="10"/>
    <d v="1899-12-30T07:27:13"/>
    <x v="14"/>
  </r>
  <r>
    <s v="3564452245967958197"/>
    <s v=""/>
    <x v="9"/>
    <n v="0"/>
    <s v=""/>
    <s v="NULL"/>
    <x v="0"/>
    <s v="2026-08-18 07:21:42"/>
    <s v="2026-08-18 07:31:41"/>
    <s v="NULL"/>
    <s v="NULL"/>
    <s v="2026-08-18 09:31:41"/>
    <s v=""/>
    <s v="106.5101865"/>
    <s v="10.6381416"/>
    <s v="106.9419328"/>
    <s v="10.8218078"/>
    <n v="376056"/>
    <n v="0"/>
    <n v="376056"/>
    <s v="Cash"/>
    <s v="Lô A1,17, Khu Công nghiệp Vĩnh Lộc 2, Đường Vĩnh Lộc 2, Ấp Voi Lá, Xã Long, Hiệp, Long Hiệp, Bến Lức, Long An 850000, Việt NamKhông Gian Công Nghiệp LEADPARK BUSINESS HUB"/>
    <s v="QL51, Long Đức, Long Thành, Đồng Nai, Việt NamCông Ty TNHH Cự Thành"/>
    <n v="1"/>
    <x v="1"/>
    <x v="10"/>
    <d v="1899-12-30T07:21:42"/>
    <x v="9"/>
  </r>
  <r>
    <s v="3564452246001504651"/>
    <s v=""/>
    <x v="9"/>
    <n v="2124546"/>
    <s v=""/>
    <s v="Motorcycle"/>
    <x v="2"/>
    <s v="2026-08-18 07:34:31"/>
    <s v="2026-08-18 07:44:31"/>
    <s v="2026-08-18 09:10:35"/>
    <s v="NULL"/>
    <s v=""/>
    <s v=""/>
    <s v="106.5459684"/>
    <s v="10.6372356"/>
    <s v="106.7215829"/>
    <s v="10.7919587"/>
    <n v="173124"/>
    <n v="134211"/>
    <n v="38913"/>
    <s v="Cash"/>
    <s v="CTY TNHH Thương mại Kỹ Thuật Xuất Nhập Khẩu NAM HẢI, Lộ Đình, Phước Lý, Cần Giuộc, Long An, Việt NamCTY TNHH Thương mại Kỹ Thuật Xuất Nhập Khẩu NAM HẢI"/>
    <s v="Công ty TNHH DY PLUS, Vinhomes Tân Cảng, Thạnh Mỹ Tây, Hồ Chí Minh, Việt NamCông ty TNHH DY PLUS"/>
    <n v="1"/>
    <x v="1"/>
    <x v="10"/>
    <d v="1899-12-30T07:34:31"/>
    <x v="14"/>
  </r>
  <r>
    <s v="3564452246001504965"/>
    <s v=""/>
    <x v="9"/>
    <n v="3793599"/>
    <s v=""/>
    <s v="Motorcycle"/>
    <x v="2"/>
    <s v="2026-08-18 07:36:17"/>
    <s v="2026-08-18 07:46:17"/>
    <s v="2026-08-18 10:00:38"/>
    <s v="NULL"/>
    <s v=""/>
    <s v=""/>
    <s v="106.56425033664553"/>
    <s v="10.646767649553297"/>
    <s v="106.6407927"/>
    <s v="10.7472177"/>
    <n v="132732"/>
    <n v="102898"/>
    <n v="29834"/>
    <s v="Cash"/>
    <s v="JHW8+92, Phước Lý, Tây Ninh, Việt NamJHW8+92, Phước Lý, Tây Ninh, Việt Nam"/>
    <s v="221/2h Đ. Phan Văn Khỏe, Phường 2, Quận 6, Hồ Chí Minh, Việt NamQuận 6"/>
    <n v="1"/>
    <x v="1"/>
    <x v="10"/>
    <d v="1899-12-30T07:36:17"/>
    <x v="14"/>
  </r>
  <r>
    <s v="3564452278196986294"/>
    <s v=""/>
    <x v="9"/>
    <n v="0"/>
    <s v=""/>
    <s v="NULL"/>
    <x v="0"/>
    <s v="2026-08-18 07:35:10"/>
    <s v="2026-08-18 07:45:10"/>
    <s v="NULL"/>
    <s v="NULL"/>
    <s v="2026-08-18 09:45:10"/>
    <s v=""/>
    <s v="106.5500882730469"/>
    <s v="10.646683296439477"/>
    <s v="106.7308176"/>
    <s v="10.7935216"/>
    <n v="224100"/>
    <n v="0"/>
    <n v="224100"/>
    <s v="Cash"/>
    <s v="JHW2+M2 Phước Lý, Tây Ninh, Việt NamJHW2+M2 Phước Lý, Tây Ninh, Việt Nam"/>
    <s v="Quận 2, An Khánh, Thủ Đức, Hồ Chí Minh, Việt NamQuận 2"/>
    <n v="1"/>
    <x v="1"/>
    <x v="10"/>
    <d v="1899-12-30T07:35:10"/>
    <x v="4"/>
  </r>
  <r>
    <s v="3564455904055354246"/>
    <s v=""/>
    <x v="9"/>
    <n v="0"/>
    <s v=""/>
    <s v="NULL"/>
    <x v="0"/>
    <s v="2026-08-18 07:37:39"/>
    <s v="2026-08-18 07:47:39"/>
    <s v="NULL"/>
    <s v="NULL"/>
    <s v="2026-08-18 09:47:39"/>
    <s v=""/>
    <s v="106.57008682346193"/>
    <s v="10.647442473623395"/>
    <s v="106.6393828"/>
    <s v="10.7697352"/>
    <n v="103788"/>
    <n v="0"/>
    <n v="103788"/>
    <s v="Cash"/>
    <s v="14 ĐT835B, Phước Lý, Tây Ninh 853000, Việt Nam14 ĐT835B, Phước Lý, Tây Ninh 853000, Việt Nam"/>
    <s v="Quận 11, Đường Hòa Bình, Hòa Bình, Hồ Chí Minh, Việt NamQuận 11"/>
    <n v="1"/>
    <x v="1"/>
    <x v="10"/>
    <d v="1899-12-30T07:37:39"/>
    <x v="4"/>
  </r>
  <r>
    <s v="3564457677952340055"/>
    <s v=""/>
    <x v="9"/>
    <n v="4803572"/>
    <s v=""/>
    <s v="Motorcycle"/>
    <x v="4"/>
    <s v="2026-08-18 07:35:52"/>
    <s v="2026-08-18 07:45:52"/>
    <s v="2026-08-18 08:58:50"/>
    <s v="NULL"/>
    <s v="2026-08-28 07:46:52"/>
    <s v=""/>
    <s v="106.5500882730469"/>
    <s v="10.646683296439477"/>
    <s v="106.6745926"/>
    <s v="10.7505456"/>
    <n v="152496"/>
    <n v="118220"/>
    <n v="34276"/>
    <s v="Cash"/>
    <s v="JHW2+M2 Phước Lý, Tây Ninh, Việt NamJHW2+M2 Phước Lý, Tây Ninh, Việt Nam"/>
    <s v="65/80 Trần Tuấn Khải, An Đông, Hồ Chí Minh, Việt NamQuận 5"/>
    <n v="1"/>
    <x v="1"/>
    <x v="10"/>
    <d v="1899-12-30T07:35:52"/>
    <x v="17"/>
  </r>
  <r>
    <s v="3564458158451814535"/>
    <s v=""/>
    <x v="9"/>
    <n v="4426244"/>
    <s v=""/>
    <s v="Motorcycle"/>
    <x v="2"/>
    <s v="2026-08-18 07:37:01"/>
    <s v="2026-08-18 07:47:01"/>
    <s v="2026-08-18 08:43:34"/>
    <s v="NULL"/>
    <s v=""/>
    <s v=""/>
    <s v="106.56425033664553"/>
    <s v="10.646767649553297"/>
    <s v="106.7867536"/>
    <s v="10.8451108"/>
    <n v="221076"/>
    <n v="171385"/>
    <n v="49691"/>
    <s v="Cash"/>
    <s v="JHW8+92, Phước Lý, Tây Ninh, Việt NamJHW8+92, Phước Lý, Tây Ninh, Việt Nam"/>
    <s v="Quận 9, Tăng Nhơn Phú A, Thủ Đức, Hồ Chí Minh, Việt NamQuận 9, Tăng Nhơn Phú A, Thủ Đức, Hồ Chí Minh, Việt Nam"/>
    <n v="1"/>
    <x v="1"/>
    <x v="10"/>
    <d v="1899-12-30T07:37:01"/>
    <x v="14"/>
  </r>
  <r>
    <s v="3564458863908573816"/>
    <s v=""/>
    <x v="9"/>
    <n v="0"/>
    <s v=""/>
    <s v="NULL"/>
    <x v="0"/>
    <s v="2026-08-18 07:35:37"/>
    <s v="2026-08-18 07:45:37"/>
    <s v="NULL"/>
    <s v="NULL"/>
    <s v="2026-08-18 09:45:37"/>
    <s v=""/>
    <s v="106.5500882730469"/>
    <s v="10.646683296439477"/>
    <s v="106.7012236"/>
    <s v="10.7578146"/>
    <n v="189216"/>
    <n v="0"/>
    <n v="189216"/>
    <s v="Cash"/>
    <s v="JHW2+M2 Phước Lý, Tây Ninh, Việt NamJHW2+M2 Phước Lý, Tây Ninh, Việt Nam"/>
    <s v="Phường 3, Quận 4, Hồ Chí Minh, Việt NamQuận 4"/>
    <n v="1"/>
    <x v="1"/>
    <x v="10"/>
    <d v="1899-12-30T07:35:37"/>
    <x v="4"/>
  </r>
  <r>
    <s v="3564458863908573957"/>
    <s v=""/>
    <x v="9"/>
    <n v="0"/>
    <s v=""/>
    <s v="NULL"/>
    <x v="0"/>
    <s v="2026-08-18 07:36:31"/>
    <s v="2026-08-18 07:46:31"/>
    <s v="NULL"/>
    <s v="NULL"/>
    <s v="2026-08-18 09:46:31"/>
    <s v=""/>
    <s v="106.56425033664553"/>
    <s v="10.646767649553297"/>
    <s v="106.7076046"/>
    <s v="10.7296276"/>
    <n v="132300"/>
    <n v="0"/>
    <n v="132300"/>
    <s v="Cash"/>
    <s v="JHW8+92, Phước Lý, Tây Ninh, Việt NamJHW8+92, Phước Lý, Tây Ninh, Việt Nam"/>
    <s v="Hưng Phước 4, Tân Phong, Quận 7, Hồ Chí Minh, Việt Namquận 7"/>
    <n v="1"/>
    <x v="1"/>
    <x v="10"/>
    <d v="1899-12-30T07:36:31"/>
    <x v="4"/>
  </r>
  <r>
    <s v="3564459735954710864"/>
    <s v=""/>
    <x v="9"/>
    <n v="0"/>
    <s v=""/>
    <s v="NULL"/>
    <x v="0"/>
    <s v="2026-08-18 07:35:24"/>
    <s v="2026-08-18 07:45:23"/>
    <s v="NULL"/>
    <s v="NULL"/>
    <s v="2026-08-18 09:45:23"/>
    <s v=""/>
    <s v="106.5500882730469"/>
    <s v="10.646683296439477"/>
    <s v="106.6714905"/>
    <s v="10.7833121"/>
    <n v="180684"/>
    <n v="0"/>
    <n v="180684"/>
    <s v="Cash"/>
    <s v="JHW2+M2 Phước Lý, Tây Ninh, Việt NamJHW2+M2 Phước Lý, Tây Ninh, Việt Nam"/>
    <s v="Quận 3, Nhiêu Lộc, Hồ Chí Minh, Việt NamQuận 3"/>
    <n v="1"/>
    <x v="1"/>
    <x v="10"/>
    <d v="1899-12-30T07:35:24"/>
    <x v="9"/>
  </r>
  <r>
    <s v="3564459735988269795"/>
    <s v=""/>
    <x v="9"/>
    <n v="0"/>
    <s v=""/>
    <s v="NULL"/>
    <x v="0"/>
    <s v="2026-08-18 07:47:19"/>
    <s v="2026-08-18 07:57:18"/>
    <s v="NULL"/>
    <s v="NULL"/>
    <s v="2026-08-18 09:57:18"/>
    <s v=""/>
    <s v="106.5101865"/>
    <s v="10.6381416"/>
    <s v="106.6823683"/>
    <s v="10.7801292"/>
    <n v="166536"/>
    <n v="0"/>
    <n v="166536"/>
    <s v="Cash"/>
    <s v="Lô A1,17, Khu Công nghiệp Vĩnh Lộc 2, Đường Vĩnh Lộc 2, Ấp Voi Lá, Xã Long, Hiệp, Long Hiệp, Bến Lức, Long An 850000, Việt NamKhông Gian Công Nghiệp LEADPARK BUSINESS HUB"/>
    <s v="CÔNG TY CỔ PHẦN THƯƠNG MẠI DỊCH VỤ QUẬN 3, Lý Chính Thắng, Nhiêu Lộc, Hồ Chí Minh, Việt NamCÔNG TY CỔ PHẦN THƯƠNG MẠI DỊCH VỤ QUẬN 3"/>
    <n v="1"/>
    <x v="1"/>
    <x v="10"/>
    <d v="1899-12-30T07:47:19"/>
    <x v="9"/>
  </r>
  <r>
    <s v="3564462047704076799"/>
    <s v=""/>
    <x v="9"/>
    <n v="0"/>
    <s v=""/>
    <s v="NULL"/>
    <x v="0"/>
    <s v="2026-08-18 07:49:45"/>
    <s v="2026-08-18 07:59:45"/>
    <s v="NULL"/>
    <s v="NULL"/>
    <s v="2026-08-18 09:59:45"/>
    <s v=""/>
    <s v="106.5101865"/>
    <s v="10.6381416"/>
    <s v="106.6716906"/>
    <s v="10.7436706"/>
    <n v="150012"/>
    <n v="0"/>
    <n v="150012"/>
    <s v="Cash"/>
    <s v="Lô A1,17, Khu Công nghiệp Vĩnh Lộc 2, Đường Vĩnh Lộc 2, Ấp Voi Lá, Xã Long, Hiệp, Long Hiệp, Bến Lức, Long An 850000, Việt NamKhông Gian Công Nghiệp LEADPARK BUSINESS HUB"/>
    <s v="907 Đường Phạm Thế Hiển, Phường 4, Quận 8, Hồ Chí Minh, Việt NamCông Ty TNHH MTV Dịch Vụ Công Ích Quận 8"/>
    <n v="1"/>
    <x v="1"/>
    <x v="10"/>
    <d v="1899-12-30T07:49:45"/>
    <x v="4"/>
  </r>
  <r>
    <s v="3564462195922400296"/>
    <s v=""/>
    <x v="9"/>
    <n v="0"/>
    <s v=""/>
    <s v="NULL"/>
    <x v="0"/>
    <s v="2026-08-18 07:47:45"/>
    <s v="2026-08-18 07:57:44"/>
    <s v="NULL"/>
    <s v="NULL"/>
    <s v="2026-08-18 09:57:44"/>
    <s v=""/>
    <s v="106.5101865"/>
    <s v="10.6381416"/>
    <s v="106.6993326"/>
    <s v="10.7601306"/>
    <n v="172044"/>
    <n v="0"/>
    <n v="172044"/>
    <s v="Cash"/>
    <s v="Lô A1,17, Khu Công nghiệp Vĩnh Lộc 2, Đường Vĩnh Lộc 2, Ấp Voi Lá, Xã Long, Hiệp, Long Hiệp, Bến Lức, Long An 850000, Việt NamKhông Gian Công Nghiệp LEADPARK BUSINESS HUB"/>
    <s v="301 Đ. Hoàng Diệu, Phường 9, Quận 4, Hồ Chí Minh, Việt NamCông ty TNHH MTV Dịch Vụ Công Ích Quận 4"/>
    <n v="1"/>
    <x v="1"/>
    <x v="10"/>
    <d v="1899-12-30T07:47:45"/>
    <x v="9"/>
  </r>
  <r>
    <s v="3564465085487477793"/>
    <s v=""/>
    <x v="9"/>
    <n v="0"/>
    <s v=""/>
    <s v="NULL"/>
    <x v="0"/>
    <s v="2026-08-18 07:48:05"/>
    <s v="2026-08-18 07:58:05"/>
    <s v="NULL"/>
    <s v="NULL"/>
    <s v="2026-08-18 09:58:05"/>
    <s v=""/>
    <s v="106.5101865"/>
    <s v="10.6381416"/>
    <s v="106.6699926"/>
    <s v="10.7578137"/>
    <n v="153252"/>
    <n v="0"/>
    <n v="153252"/>
    <s v="Cash"/>
    <s v="Lô A1,17, Khu Công nghiệp Vĩnh Lộc 2, Đường Vĩnh Lộc 2, Ấp Voi Lá, Xã Long, Hiệp, Long Hiệp, Bến Lức, Long An 850000, Việt NamKhông Gian Công Nghiệp LEADPARK BUSINESS HUB"/>
    <s v="Công Ty THIET THACH , Quận 5, Đường Hùng Vương, Phường 9 (Quận 5), Quận 5, Thành phố Hồ Chí Minh, Việt NamCông Ty THIET THACH , Quận 5"/>
    <n v="1"/>
    <x v="1"/>
    <x v="10"/>
    <d v="1899-12-30T07:48:05"/>
    <x v="4"/>
  </r>
  <r>
    <s v="3564466833195233649"/>
    <s v=""/>
    <x v="9"/>
    <n v="0"/>
    <s v=""/>
    <s v="NULL"/>
    <x v="0"/>
    <s v="2026-08-18 07:52:35"/>
    <s v="2026-08-18 08:02:34"/>
    <s v="NULL"/>
    <s v="NULL"/>
    <s v="2026-08-18 10:02:34"/>
    <s v=""/>
    <s v="106.5131465"/>
    <s v="10.6293136"/>
    <s v="106.6916526"/>
    <s v="10.7678847"/>
    <n v="170856"/>
    <n v="0"/>
    <n v="170856"/>
    <s v="Cash"/>
    <s v="Lô M3, Đ. Số 4 Phúc Long, KCN, Bến Lức, Long An, Việt NamCông ty TNHH Ushiwaka MG Việt Nam"/>
    <s v="275G Phạm Ngũ Lão, Phường Phạm Ngũ Lão, Quận 1, Thành phố Hồ Chí Minh, Việt NamCông Ty Cổ Phần Ngọc Trang Tiêu Cục , Chi Nhánh Quận 1"/>
    <n v="1"/>
    <x v="1"/>
    <x v="10"/>
    <d v="1899-12-30T07:52:35"/>
    <x v="9"/>
  </r>
  <r>
    <s v="3564466833195234000"/>
    <s v=""/>
    <x v="9"/>
    <n v="0"/>
    <s v=""/>
    <s v="NULL"/>
    <x v="0"/>
    <s v="2026-08-18 07:54:04"/>
    <s v="2026-08-18 08:04:03"/>
    <s v="NULL"/>
    <s v="NULL"/>
    <s v="2026-08-18 10:04:03"/>
    <s v=""/>
    <s v="106.5131465"/>
    <s v="10.6293136"/>
    <s v="106.6335597"/>
    <s v="10.7464146"/>
    <n v="140076"/>
    <n v="0"/>
    <n v="140076"/>
    <s v="Cash"/>
    <s v="Lô M3, Đ. Số 4 Phúc Long, KCN, Bến Lức, Long An, Việt NamCông ty TNHH Ushiwaka MG Việt Nam"/>
    <s v="42,44 Đ. Chợ Lớn, Phường 11, Quận 6, Thành phố Hồ Chí Minh, Việt NamCông Ty Tnhh Một Thành Viên Dịch Vụ Công Ích Quận 6"/>
    <n v="1"/>
    <x v="1"/>
    <x v="10"/>
    <d v="1899-12-30T07:54:04"/>
    <x v="9"/>
  </r>
  <r>
    <s v="3564466833212006824"/>
    <s v=""/>
    <x v="9"/>
    <n v="0"/>
    <s v=""/>
    <s v="NULL"/>
    <x v="0"/>
    <s v="2026-08-18 07:56:44"/>
    <s v="2026-08-18 08:06:43"/>
    <s v="NULL"/>
    <s v="NULL"/>
    <s v="2026-08-18 10:06:43"/>
    <s v=""/>
    <s v="106.5112025"/>
    <s v="10.6359696"/>
    <s v="106.7548426"/>
    <s v="10.8103058"/>
    <n v="209628"/>
    <n v="0"/>
    <n v="209628"/>
    <s v="Cash"/>
    <s v="Long Hiệp, Bến Lức, Long An, Việt NamCông Ty Cổ Phần Thiêt Kê Nôi Thât Trung Nam"/>
    <s v="Hẻm 10 Đường Số 2,71106Công Ty TNHH Nhi Khoa Healthcare City Quận 2"/>
    <n v="1"/>
    <x v="1"/>
    <x v="10"/>
    <d v="1899-12-30T07:56:44"/>
    <x v="9"/>
  </r>
  <r>
    <s v="3564466833212007083"/>
    <s v=""/>
    <x v="9"/>
    <n v="0"/>
    <s v=""/>
    <s v="NULL"/>
    <x v="0"/>
    <s v="2026-08-18 07:57:49"/>
    <s v="2026-08-18 08:07:48"/>
    <s v="NULL"/>
    <s v="NULL"/>
    <s v="2026-08-18 10:07:48"/>
    <s v=""/>
    <s v="106.5112025"/>
    <s v="10.6359696"/>
    <s v="106.6335597"/>
    <s v="10.7464146"/>
    <n v="131220"/>
    <n v="0"/>
    <n v="131220"/>
    <s v="Cash"/>
    <s v="Long Hiệp, Bến Lức, Long An, Việt NamCông Ty Cổ Phần Thiêt Kê Nôi Thât Trung Nam"/>
    <s v="42,44 Đ. Chợ Lớn, Phường 11, Quận 6, Thành phố Hồ Chí Minh, Việt NamCông Ty Tnhh Một Thành Viên Dịch Vụ Công Ích Quận 6"/>
    <n v="1"/>
    <x v="1"/>
    <x v="10"/>
    <d v="1899-12-30T07:57:49"/>
    <x v="9"/>
  </r>
  <r>
    <s v="3564469481277448953"/>
    <s v=""/>
    <x v="9"/>
    <n v="0"/>
    <s v=""/>
    <s v="NULL"/>
    <x v="0"/>
    <s v="2026-08-18 07:54:22"/>
    <s v="2026-08-18 08:04:21"/>
    <s v="NULL"/>
    <s v="NULL"/>
    <s v="2026-08-18 10:04:21"/>
    <s v=""/>
    <s v="106.5131465"/>
    <s v="10.6293136"/>
    <s v="106.7028406"/>
    <s v="10.7399106"/>
    <n v="170856"/>
    <n v="0"/>
    <n v="170856"/>
    <s v="Cash"/>
    <s v="Lô M3, Đ. Số 4 Phúc Long, KCN, Bến Lức, Long An, Việt NamCông ty TNHH Ushiwaka MG Việt Nam"/>
    <s v="Đường Nguyễn Thị Thập,72912Công Ty TNHH MTV Sơn Quận 7"/>
    <n v="1"/>
    <x v="1"/>
    <x v="10"/>
    <d v="1899-12-30T07:54:22"/>
    <x v="9"/>
  </r>
  <r>
    <s v="3564469980147970710"/>
    <s v=""/>
    <x v="9"/>
    <n v="0"/>
    <s v=""/>
    <s v="NULL"/>
    <x v="0"/>
    <s v="2026-08-18 07:58:47"/>
    <s v="2026-08-18 08:08:46"/>
    <s v="NULL"/>
    <s v="NULL"/>
    <s v="2026-08-18 12:18:07"/>
    <s v=""/>
    <s v="106.5112025"/>
    <s v="10.6359696"/>
    <s v="106.6641396"/>
    <s v="10.7830677"/>
    <n v="163296"/>
    <n v="0"/>
    <n v="163296"/>
    <s v="Cash"/>
    <s v="Long Hiệp, Bến Lức, Long An, Việt NamCông Ty Cổ Phần Thiêt Kê Nôi Thât Trung Nam"/>
    <s v="16 Lô C Đ. Trường Sơn, Cư xá Bắc Hải, Quận 10, Hồ Chí Minh 700000, Việt NamCông ty Cắt Khắc Laser PHAN LONG Quận 10 Tphcm Sài Gòn"/>
    <n v="1"/>
    <x v="1"/>
    <x v="10"/>
    <d v="1899-12-30T07:58:47"/>
    <x v="216"/>
  </r>
  <r>
    <s v="3564469980147970758"/>
    <s v=""/>
    <x v="9"/>
    <n v="3873639"/>
    <s v=""/>
    <s v="Motorcycle"/>
    <x v="2"/>
    <s v="2026-08-18 07:59:00"/>
    <s v="2026-08-18 08:09:00"/>
    <s v="2026-08-18 10:38:48"/>
    <s v="NULL"/>
    <s v=""/>
    <s v=""/>
    <s v="106.5112025"/>
    <s v="10.6359696"/>
    <s v="106.6430116"/>
    <s v="10.7636706"/>
    <n v="145584"/>
    <n v="112861"/>
    <n v="32723"/>
    <s v="Cash"/>
    <s v="Long Hiệp, Bến Lức, Long An, Việt NamCông Ty Cổ Phần Thiêt Kê Nôi Thât Trung Nam"/>
    <s v="270, 272 Đ. Bình Thới, Phường 10, Quận 11, Hồ Chí Minh, Việt NamCông an Quận 11"/>
    <n v="1"/>
    <x v="1"/>
    <x v="10"/>
    <d v="1899-12-30T07:59:00"/>
    <x v="14"/>
  </r>
  <r>
    <s v="3564470051769906177"/>
    <s v=""/>
    <x v="9"/>
    <n v="0"/>
    <s v=""/>
    <s v="NULL"/>
    <x v="0"/>
    <s v="2026-08-18 07:56:29"/>
    <s v="2026-08-18 08:06:29"/>
    <s v="NULL"/>
    <s v="NULL"/>
    <s v="2026-08-18 10:06:29"/>
    <s v=""/>
    <s v="106.5112025"/>
    <s v="10.6359696"/>
    <s v="106.6916526"/>
    <s v="10.7678847"/>
    <n v="166536"/>
    <n v="0"/>
    <n v="166536"/>
    <s v="Cash"/>
    <s v="Long Hiệp, Bến Lức, Long An, Việt NamCông Ty Cổ Phần Thiêt Kê Nôi Thât Trung Nam"/>
    <s v="275G Phạm Ngũ Lão, Phường Phạm Ngũ Lão, Quận 1, Thành phố Hồ Chí Minh, Việt NamCông Ty Cổ Phần Ngọc Trang Tiêu Cục , Chi Nhánh Quận 1"/>
    <n v="1"/>
    <x v="1"/>
    <x v="10"/>
    <d v="1899-12-30T07:56:29"/>
    <x v="4"/>
  </r>
  <r>
    <s v="3564470051786678514"/>
    <s v=""/>
    <x v="9"/>
    <n v="0"/>
    <s v=""/>
    <s v="NULL"/>
    <x v="0"/>
    <s v="2026-08-18 07:57:19"/>
    <s v="2026-08-18 08:07:19"/>
    <s v="NULL"/>
    <s v="NULL"/>
    <s v="2026-08-18 10:07:19"/>
    <s v=""/>
    <s v="106.5112025"/>
    <s v="10.6359696"/>
    <s v="106.6993326"/>
    <s v="10.7601306"/>
    <n v="172476"/>
    <n v="0"/>
    <n v="172476"/>
    <s v="Cash"/>
    <s v="Long Hiệp, Bến Lức, Long An, Việt NamCông Ty Cổ Phần Thiêt Kê Nôi Thât Trung Nam"/>
    <s v="301 Đ. Hoàng Diệu, Phường 9, Quận 4, Hồ Chí Minh, Việt NamCông ty TNHH MTV Dịch Vụ Công Ích Quận 4"/>
    <n v="1"/>
    <x v="1"/>
    <x v="10"/>
    <d v="1899-12-30T07:57:19"/>
    <x v="4"/>
  </r>
  <r>
    <s v="3564470051786678776"/>
    <s v=""/>
    <x v="9"/>
    <n v="0"/>
    <s v=""/>
    <s v="NULL"/>
    <x v="0"/>
    <s v="2026-08-18 07:58:17"/>
    <s v="2026-08-18 08:08:17"/>
    <s v="NULL"/>
    <s v="NULL"/>
    <s v="2026-08-18 10:08:17"/>
    <s v=""/>
    <s v="106.5112025"/>
    <s v="10.6359696"/>
    <s v="106.6716906"/>
    <s v="10.7436706"/>
    <n v="148392"/>
    <n v="0"/>
    <n v="148392"/>
    <s v="Cash"/>
    <s v="Long Hiệp, Bến Lức, Long An, Việt NamCông Ty Cổ Phần Thiêt Kê Nôi Thât Trung Nam"/>
    <s v="907 Đường Phạm Thế Hiển, Phường 4, Quận 8, Hồ Chí Minh, Việt NamCông Ty TNHH MTV Dịch Vụ Công Ích Quận 8"/>
    <n v="1"/>
    <x v="1"/>
    <x v="10"/>
    <d v="1899-12-30T07:58:17"/>
    <x v="4"/>
  </r>
  <r>
    <s v="3564472459887603930"/>
    <s v=""/>
    <x v="9"/>
    <n v="0"/>
    <s v=""/>
    <s v="NULL"/>
    <x v="0"/>
    <s v="2026-08-18 07:57:34"/>
    <s v="2026-08-18 08:07:33"/>
    <s v="NULL"/>
    <s v="NULL"/>
    <s v="2026-08-18 10:07:33"/>
    <s v=""/>
    <s v="106.5112025"/>
    <s v="10.6359696"/>
    <s v="106.6699926"/>
    <s v="10.7578137"/>
    <n v="154332"/>
    <n v="0"/>
    <n v="154332"/>
    <s v="Cash"/>
    <s v="Long Hiệp, Bến Lức, Long An, Việt NamCông Ty Cổ Phần Thiêt Kê Nôi Thât Trung Nam"/>
    <s v="Công Ty THIET THACH , Quận 5, Đường Hùng Vương, Phường 9 (Quận 5), Quận 5, Thành phố Hồ Chí Minh, Việt NamCông Ty THIET THACH , Quận 5"/>
    <n v="1"/>
    <x v="1"/>
    <x v="10"/>
    <d v="1899-12-30T07:57:34"/>
    <x v="9"/>
  </r>
  <r>
    <s v="3564472459887604191"/>
    <s v=""/>
    <x v="9"/>
    <n v="0"/>
    <s v=""/>
    <s v="NULL"/>
    <x v="0"/>
    <s v="2026-08-18 07:58:32"/>
    <s v="2026-08-18 08:08:31"/>
    <s v="NULL"/>
    <s v="NULL"/>
    <s v="2026-08-18 10:08:31"/>
    <s v=""/>
    <s v="106.5112025"/>
    <s v="10.6359696"/>
    <s v="106.7890347"/>
    <s v="10.8302578"/>
    <n v="245808"/>
    <n v="0"/>
    <n v="245808"/>
    <s v="Cash"/>
    <s v="Long Hiệp, Bến Lức, Long An, Việt NamCông Ty Cổ Phần Thiêt Kê Nôi Thât Trung Nam"/>
    <s v="Khu, TP, 14.5 Đường D14A Công Nghệ Cao, Tăng Nhơn Phú B, Thủ Đức, Hồ Chí Minh, Việt NamCông Ty TNHH Techtronic Tools (TTi Quận 9)"/>
    <n v="1"/>
    <x v="1"/>
    <x v="10"/>
    <d v="1899-12-30T07:58:32"/>
    <x v="9"/>
  </r>
  <r>
    <s v="3564493317406417067"/>
    <s v=""/>
    <x v="10"/>
    <n v="4348108"/>
    <s v="lấy hàng cho cty màng cua gia Thiên "/>
    <s v="Motorcycle"/>
    <x v="1"/>
    <s v="2026-08-18 08:36:01"/>
    <s v="2026-08-18 08:46:00"/>
    <s v="2026-08-18 08:36:19"/>
    <s v="NULL"/>
    <s v="2026-08-18 08:36:40"/>
    <s v=""/>
    <s v="106.48017782717943"/>
    <s v="10.842323094076812"/>
    <s v="106.8045949"/>
    <s v="10.9364413"/>
    <n v="257040"/>
    <n v="210987"/>
    <n v="46053"/>
    <s v="Cash"/>
    <s v="Đường Chưa Đặt Tên, Mỹ Hạnh, Tây Ninh, Việt NamĐường Chưa Đặt Tên"/>
    <s v="Biên Hòa, Đồng Nai, Việt NamBiên Hòa"/>
    <n v="1"/>
    <x v="1"/>
    <x v="10"/>
    <d v="1899-12-30T08:36:01"/>
    <x v="217"/>
  </r>
  <r>
    <s v="3564494314811908550"/>
    <s v=""/>
    <x v="10"/>
    <n v="4348108"/>
    <s v="lấy cc di giao "/>
    <s v="Motorcycle"/>
    <x v="1"/>
    <s v="2026-08-18 08:40:49"/>
    <s v="2026-08-18 08:50:00"/>
    <s v="2026-08-18 08:41:35"/>
    <s v="NULL"/>
    <s v="2026-08-18 08:41:59"/>
    <s v=""/>
    <s v="106.48017782717943"/>
    <s v="10.842323094076812"/>
    <s v="106.7866577"/>
    <s v="10.8450844"/>
    <n v="243000"/>
    <n v="199462"/>
    <n v="43538"/>
    <s v="Cash"/>
    <s v="Đường Chưa Đặt Tên, Mỹ Hạnh, Tây Ninh, Việt NamĐường Chưa Đặt Tên"/>
    <s v="Quận 9, Tăng Nhơn Phú, Thành phố Hồ Chí Minh, Hồ Chí Minh, Việt NamQuận 9"/>
    <n v="1"/>
    <x v="1"/>
    <x v="10"/>
    <d v="1899-12-30T08:40:49"/>
    <x v="218"/>
  </r>
  <r>
    <s v="3564496291453162109"/>
    <s v=""/>
    <x v="10"/>
    <n v="4306798"/>
    <s v="lấy con cac nè auto_x000a__x000a_"/>
    <s v="Motorcycle"/>
    <x v="1"/>
    <s v="2026-08-18 08:42:45"/>
    <s v="2026-08-18 08:52:00"/>
    <s v="2026-08-18 08:43:35"/>
    <s v="NULL"/>
    <s v="2026-08-18 08:44:07"/>
    <s v=""/>
    <s v="106.48017782717943"/>
    <s v="10.842323094076812"/>
    <s v="106.7866577"/>
    <s v="10.8450844"/>
    <n v="243000"/>
    <n v="199462"/>
    <n v="43538"/>
    <s v="Cash"/>
    <s v="Đường Chưa Đặt Tên, Mỹ Hạnh, Tây Ninh, Việt NamĐường Chưa Đặt Tên"/>
    <s v="Quận 9, Tăng Nhơn Phú, Thành phố Hồ Chí Minh, Hồ Chí Minh, Việt NamQuận 9"/>
    <n v="1"/>
    <x v="1"/>
    <x v="10"/>
    <d v="1899-12-30T08:42:45"/>
    <x v="219"/>
  </r>
  <r>
    <s v="3564895892861579697"/>
    <s v="ywja"/>
    <x v="8"/>
    <n v="2440726"/>
    <s v=""/>
    <s v="Van (t)"/>
    <x v="2"/>
    <s v="2026-08-18 22:34:07"/>
    <s v="2026-08-18 22:44:00"/>
    <s v="2026-08-18 23:11:17"/>
    <s v="NULL"/>
    <s v=""/>
    <s v=""/>
    <s v="106.65141642093658"/>
    <s v="10.78002925907841"/>
    <s v="106.72899931669235"/>
    <s v="10.933678127098917"/>
    <n v="394964"/>
    <n v="306188"/>
    <n v="88776"/>
    <s v="Cash"/>
    <s v="373/172/29 Đường Lý Thường Kiệt, phường 8, Tân Bình, Hồ Chí Minh, Việt Nam373/172/29 Đường Lý Thường Kiệt"/>
    <s v="Siemens Việt Nam , VSIP 1, Đường số 9, An Phú, Thuận An, Bình Dương, Việt NamSiemens Việt Nam , VSIP 1"/>
    <n v="1"/>
    <x v="1"/>
    <x v="10"/>
    <d v="1899-12-30T22:34:07"/>
    <x v="14"/>
  </r>
  <r>
    <s v="3565154974541504721"/>
    <s v=""/>
    <x v="11"/>
    <n v="2852976"/>
    <s v=""/>
    <s v="Motorcycle"/>
    <x v="1"/>
    <s v="2026-08-19 07:13:24"/>
    <s v="2026-08-19 07:23:23"/>
    <s v="2026-08-19 07:14:32"/>
    <s v="NULL"/>
    <s v="2026-08-19 07:17:46"/>
    <s v=""/>
    <s v="106.490165"/>
    <s v="10.6014965"/>
    <s v="106.6089756"/>
    <s v="11.0996528"/>
    <n v="300456"/>
    <n v="246624"/>
    <n v="53832"/>
    <s v="Cash"/>
    <s v="Công ty TNHH Supply Solutions &amp; Trading - Chi nhánh Long An, Long Cang, Tây Ninh, Việt NamCông ty TNHH Supply Solutions &amp; Trading - Chi nhánh Long An"/>
    <s v="Đường ĐH603, Thới Hoà, Bến Cát, Bình Dương 75000, Việt NamChi Nhánh Công ty TNHH TM DV HC VT"/>
    <n v="1"/>
    <x v="1"/>
    <x v="11"/>
    <d v="1899-12-30T07:13:24"/>
    <x v="220"/>
  </r>
  <r>
    <s v="3565155220361273978"/>
    <s v=""/>
    <x v="11"/>
    <n v="0"/>
    <s v=""/>
    <s v="NULL"/>
    <x v="0"/>
    <s v="2026-08-19 07:17:01"/>
    <s v="2026-08-19 07:26:59"/>
    <s v="NULL"/>
    <s v="NULL"/>
    <s v="2026-08-19 09:26:59"/>
    <s v=""/>
    <s v="106.490165"/>
    <s v="10.6014965"/>
    <s v="106.7354427"/>
    <s v="10.9375918"/>
    <n v="240948"/>
    <n v="0"/>
    <n v="240948"/>
    <s v="Cash"/>
    <s v="Công ty TNHH Supply Solutions &amp; Trading - Chi nhánh Long An, Long Cang, Tây Ninh, Việt NamCông ty TNHH Supply Solutions &amp; Trading - Chi nhánh Long An"/>
    <s v="40Vsip, Vietnam Singapore Industrial Part, Street No 6, An Phú, Thuận An, Bình Dương, Việt NamMidea Consumer Electric (Viet Nam) Co., Ltd"/>
    <n v="1"/>
    <x v="1"/>
    <x v="11"/>
    <d v="1899-12-30T07:17:01"/>
    <x v="208"/>
  </r>
  <r>
    <s v="3565165824476144368"/>
    <s v=""/>
    <x v="11"/>
    <n v="0"/>
    <s v=""/>
    <s v="NULL"/>
    <x v="0"/>
    <s v="2026-08-19 07:27:29"/>
    <s v="2026-08-19 07:37:27"/>
    <s v="NULL"/>
    <s v="NULL"/>
    <s v="2026-08-19 11:00:10"/>
    <s v=""/>
    <s v="106.4934381"/>
    <s v="10.6118595"/>
    <s v="106.6055686"/>
    <s v="10.8324438"/>
    <n v="134784"/>
    <n v="0"/>
    <n v="134784"/>
    <s v="Cash"/>
    <s v="Cong ty Nutreco, Long Cang, Tây Ninh, Việt NamCong ty Nutreco"/>
    <s v="54/6E Ấp Tiền Lân, Bà Điểm, Hóc Môn, Hồ Chí Minh 71000, Việt NamCông Ty TNHH VN Đại Phong"/>
    <n v="1"/>
    <x v="1"/>
    <x v="11"/>
    <d v="1899-12-30T07:27:29"/>
    <x v="221"/>
  </r>
  <r>
    <s v="3565166102793379889"/>
    <s v=""/>
    <x v="11"/>
    <n v="0"/>
    <s v=""/>
    <s v="NULL"/>
    <x v="0"/>
    <s v="2026-08-19 07:23:19"/>
    <s v="2026-08-19 07:33:17"/>
    <s v="NULL"/>
    <s v="NULL"/>
    <s v="2026-08-19 09:33:17"/>
    <s v=""/>
    <s v="106.4938575"/>
    <s v="10.6061586"/>
    <s v="106.82731582117921"/>
    <s v="10.800685865585185"/>
    <n v="211788"/>
    <n v="0"/>
    <n v="211788"/>
    <s v="Cash"/>
    <s v="Khu A và Khu B, Đường số 10, Khu công nghiệp Thuận Đạomở rộng, Cần Đước, Long An, Việt NamSHUNDAO (VIETNAM) INDUSTRIAL COMPANY LIMITED"/>
    <s v="RR2G+7W Long Trường, Hồ Chí Minh, Việt NamRR2G+7W Long Trường, Hồ Chí Minh, Việt Nam"/>
    <n v="1"/>
    <x v="1"/>
    <x v="11"/>
    <d v="1899-12-30T07:23:19"/>
    <x v="208"/>
  </r>
  <r>
    <s v="3565170333092892937"/>
    <s v=""/>
    <x v="11"/>
    <n v="0"/>
    <s v=""/>
    <s v="NULL"/>
    <x v="0"/>
    <s v="2026-08-19 07:28:39"/>
    <s v="2026-08-19 07:38:37"/>
    <s v="NULL"/>
    <s v="NULL"/>
    <s v="2026-08-19 09:38:37"/>
    <s v=""/>
    <s v="106.4909375"/>
    <s v="10.6204446"/>
    <s v="106.7610327"/>
    <s v="10.8282188"/>
    <n v="184572"/>
    <n v="0"/>
    <n v="184572"/>
    <s v="Cash"/>
    <s v="Thuan Dao Industrial Park, TT. Bến Lức, Bến Lức, Long An, Việt NamCông ty Ching Luh"/>
    <s v="9 Đ. Nguyễn Văn Bá, Phước Long A, Thủ Đức, Thành phố Hồ Chí Minh, Việt NamCông Ty Cơ Điện Thủ Đức"/>
    <n v="1"/>
    <x v="1"/>
    <x v="11"/>
    <d v="1899-12-30T07:28:39"/>
    <x v="208"/>
  </r>
  <r>
    <s v="3565170333092893054"/>
    <s v=""/>
    <x v="11"/>
    <n v="0"/>
    <s v=""/>
    <s v="NULL"/>
    <x v="0"/>
    <s v="2026-08-19 07:29:34"/>
    <s v="2026-08-19 07:39:33"/>
    <s v="NULL"/>
    <s v="NULL"/>
    <s v="2026-08-19 09:39:33"/>
    <s v=""/>
    <s v="106.4883825"/>
    <s v="10.6224357"/>
    <s v="106.7157858"/>
    <s v="10.7940779"/>
    <n v="198720"/>
    <n v="0"/>
    <n v="198720"/>
    <s v="Cash"/>
    <s v="Lô A4 Đường Số 1, TT. Bến Lức, Bến Lức, Long An, Việt NamCông Ty Tnhh Koda Sài Gòn"/>
    <s v="135, 37/41 Hẻm 117 Nguyễn Hữu Cảnh, Thạnh Mỹ Tây, Hồ Chí Minh, Việt Nam135, 37/41 Hẻm 117 Nguyễn Hữu Cảnh, Thạnh Mỹ Tây, Hồ Chí Minh, Việt Nam"/>
    <n v="1"/>
    <x v="1"/>
    <x v="11"/>
    <d v="1899-12-30T07:29:34"/>
    <x v="9"/>
  </r>
  <r>
    <s v="3565170333092893533"/>
    <s v=""/>
    <x v="11"/>
    <n v="0"/>
    <s v=""/>
    <s v="NULL"/>
    <x v="0"/>
    <s v="2026-08-19 07:32:36"/>
    <s v="2026-08-19 07:42:35"/>
    <s v="NULL"/>
    <s v="NULL"/>
    <s v="2026-08-19 09:42:35"/>
    <s v=""/>
    <s v="106.5121575"/>
    <s v="10.6216356"/>
    <s v="106.6361766"/>
    <s v="10.8328608"/>
    <n v="178200"/>
    <n v="0"/>
    <n v="178200"/>
    <s v="Cash"/>
    <s v="CÔNG TY TNHH SUNRICH VIỆT NAM, Đường Số 1, kcn Phúc, Long Hiệp, Bến Lức, Long An, Việt NamCÔNG TY TNHH SUNRICH VIỆT NAM"/>
    <s v="Công Ty Tnhh Công Nghệ Quang Lâm, Phan Huy Ích, phường 12, Gò Vấp, Hồ Chí Minh, Việt NamCông Ty Tnhh Công Nghệ Quang Lâm"/>
    <n v="1"/>
    <x v="1"/>
    <x v="11"/>
    <d v="1899-12-30T07:32:36"/>
    <x v="9"/>
  </r>
  <r>
    <s v="3565170417692005154"/>
    <s v=""/>
    <x v="11"/>
    <n v="0"/>
    <s v=""/>
    <s v="NULL"/>
    <x v="0"/>
    <s v="2026-08-19 07:18:28"/>
    <s v="2026-08-19 07:28:26"/>
    <s v="NULL"/>
    <s v="NULL"/>
    <s v="2026-08-19 09:28:26"/>
    <s v=""/>
    <s v="106.490165"/>
    <s v="10.6014965"/>
    <s v="106.8791878"/>
    <s v="10.9339678"/>
    <n v="269676"/>
    <n v="0"/>
    <n v="269676"/>
    <s v="Cash"/>
    <s v="Công ty TNHH Supply Solutions &amp; Trading - Chi nhánh Long An, Long Cang, Tây Ninh, Việt NamCông ty TNHH Supply Solutions &amp; Trading - Chi nhánh Long An"/>
    <s v="C90 Tổ 1, Khu Phố 3, Biên Hòa, Đồng Nai, Việt NamCổng 2 Công ty Cổ Phần Taekwang Vina , Chi nhánh Long Bình"/>
    <n v="1"/>
    <x v="1"/>
    <x v="11"/>
    <d v="1899-12-30T07:18:28"/>
    <x v="208"/>
  </r>
  <r>
    <s v="3565170417708790489"/>
    <s v=""/>
    <x v="11"/>
    <n v="0"/>
    <s v=""/>
    <s v="NULL"/>
    <x v="0"/>
    <s v="2026-08-19 07:25:39"/>
    <s v="2026-08-19 07:35:37"/>
    <s v="NULL"/>
    <s v="NULL"/>
    <s v="2026-08-19 09:35:37"/>
    <s v=""/>
    <s v="106.4973945"/>
    <s v="10.6090006"/>
    <s v="106.7817456"/>
    <s v="11.0981928"/>
    <n v="307692"/>
    <n v="0"/>
    <n v="307692"/>
    <s v="Cash"/>
    <s v="CÔNG TY TNHH KUZCO VIỆT NAM, Long Cang, Tây Ninh, Việt NamCÔNG TY TNHH KUZCO VIỆT NAM"/>
    <s v="Hội Nghĩa, Tân Uyên, Bình Dương, Việt NamCông ty TNHH XinHui"/>
    <n v="1"/>
    <x v="1"/>
    <x v="11"/>
    <d v="1899-12-30T07:25:39"/>
    <x v="208"/>
  </r>
  <r>
    <s v="3565170844269498449"/>
    <s v=""/>
    <x v="11"/>
    <n v="0"/>
    <s v=""/>
    <s v="NULL"/>
    <x v="0"/>
    <s v="2026-08-19 07:21:10"/>
    <s v="2026-08-19 07:31:09"/>
    <s v="NULL"/>
    <s v="NULL"/>
    <s v="2026-08-19 09:31:09"/>
    <s v=""/>
    <s v="106.4929205"/>
    <s v="10.6035447"/>
    <s v="106.6303036"/>
    <s v="10.8228268"/>
    <n v="197208"/>
    <n v="0"/>
    <n v="197208"/>
    <s v="Cash"/>
    <s v="Synergy In Motion Viet Nam, Long Định, Cần Đước, Long An, Việt NamSynergy In Motion Viet Nam"/>
    <s v="944 Đ. Trường Chinh, Phường 15, Tân Bình, Hồ Chí Minh, Việt NamCông Ty Trần Công Danh"/>
    <n v="1"/>
    <x v="1"/>
    <x v="11"/>
    <d v="1899-12-30T07:21:10"/>
    <x v="9"/>
  </r>
  <r>
    <s v="3565170844269498543"/>
    <s v=""/>
    <x v="11"/>
    <n v="0"/>
    <s v=""/>
    <s v="NULL"/>
    <x v="0"/>
    <s v="2026-08-19 07:21:47"/>
    <s v="2026-08-19 07:31:45"/>
    <s v="NULL"/>
    <s v="NULL"/>
    <s v="2026-08-19 09:31:45"/>
    <s v=""/>
    <s v="106.4929205"/>
    <s v="10.6035447"/>
    <s v="106.592079643777"/>
    <s v="10.795802362629"/>
    <n v="128952"/>
    <n v="0"/>
    <n v="128952"/>
    <s v="Cash"/>
    <s v="Synergy In Motion Viet Nam, Long Định, Cần Đước, Long An, Việt NamSynergy In Motion Viet Nam"/>
    <s v="Đường Số 6, Khu Phố 5, Bình Tân, Hồ Chí Minh, VietnamCông Ty Vinh Phát"/>
    <n v="1"/>
    <x v="1"/>
    <x v="11"/>
    <d v="1899-12-30T07:21:47"/>
    <x v="208"/>
  </r>
  <r>
    <s v="3565170844269499198"/>
    <s v=""/>
    <x v="11"/>
    <n v="0"/>
    <s v=""/>
    <s v="NULL"/>
    <x v="0"/>
    <s v="2026-08-19 07:26:41"/>
    <s v="2026-08-19 07:36:39"/>
    <s v="NULL"/>
    <s v="NULL"/>
    <s v="2026-08-19 09:36:39"/>
    <s v=""/>
    <s v="106.4989895"/>
    <s v="10.6101417"/>
    <s v="106.8791878"/>
    <s v="10.9339678"/>
    <n v="256500"/>
    <n v="0"/>
    <n v="256500"/>
    <s v="Cash"/>
    <s v="Long Định, Cần Đước, Long An, Việt NamOKIA OPTICAL VIETNAM"/>
    <s v="C90 Tổ 1, Khu Phố 3, Biên Hòa, Đồng Nai, Việt NamCổng 2 Công ty Cổ Phần Taekwang Vina , Chi nhánh Long Bình"/>
    <n v="1"/>
    <x v="1"/>
    <x v="11"/>
    <d v="1899-12-30T07:26:41"/>
    <x v="208"/>
  </r>
  <r>
    <s v="3565170844286284399"/>
    <s v=""/>
    <x v="11"/>
    <n v="0"/>
    <s v=""/>
    <s v="NULL"/>
    <x v="0"/>
    <s v="2026-08-19 07:32:12"/>
    <s v="2026-08-19 07:42:11"/>
    <s v="NULL"/>
    <s v="NULL"/>
    <s v="2026-08-19 09:42:11"/>
    <s v=""/>
    <s v="106.5121575"/>
    <s v="10.6216356"/>
    <s v="106.9904758"/>
    <s v="10.7919807"/>
    <n v="272484"/>
    <n v="0"/>
    <n v="272484"/>
    <s v="Cash"/>
    <s v="CÔNG TY TNHH SUNRICH VIỆT NAM, Đường Số 1, kcn Phúc, Long Hiệp, Bến Lức, Long An, Việt NamCÔNG TY TNHH SUNRICH VIỆT NAM"/>
    <s v="Lô D KCN Lộc An Bình Sơn, Long An, Long Thành, Đồng Nai, Việt NamCÔNG TY TNHH TOPBAND SMART ĐỒNG NAI VIỆT NAM"/>
    <n v="1"/>
    <x v="1"/>
    <x v="11"/>
    <d v="1899-12-30T07:32:12"/>
    <x v="9"/>
  </r>
  <r>
    <s v="3565171320901825055"/>
    <s v=""/>
    <x v="11"/>
    <n v="0"/>
    <s v=""/>
    <s v="NULL"/>
    <x v="0"/>
    <s v="2026-08-19 07:25:27"/>
    <s v="2026-08-19 07:35:25"/>
    <s v="NULL"/>
    <s v="NULL"/>
    <s v="2026-08-19 09:35:25"/>
    <s v=""/>
    <s v="106.4973945"/>
    <s v="10.6090006"/>
    <s v="106.6089756"/>
    <s v="11.0996528"/>
    <n v="297648"/>
    <n v="0"/>
    <n v="297648"/>
    <s v="Cash"/>
    <s v="CÔNG TY TNHH KUZCO VIỆT NAM, Long Cang, Tây Ninh, Việt NamCÔNG TY TNHH KUZCO VIỆT NAM"/>
    <s v="Đường ĐH603, Thới Hoà, Bến Cát, Bình Dương 75000, Việt NamChi Nhánh Công ty TNHH TM DV HC VT"/>
    <n v="1"/>
    <x v="1"/>
    <x v="11"/>
    <d v="1899-12-30T07:25:27"/>
    <x v="208"/>
  </r>
  <r>
    <s v="3565171320901825171"/>
    <s v=""/>
    <x v="11"/>
    <n v="0"/>
    <s v=""/>
    <s v="NULL"/>
    <x v="0"/>
    <s v="2026-08-19 07:26:14"/>
    <s v="2026-08-19 07:36:12"/>
    <s v="NULL"/>
    <s v="NULL"/>
    <s v="2026-08-19 09:36:12"/>
    <s v=""/>
    <s v="106.4989895"/>
    <s v="10.6101417"/>
    <s v="106.7354427"/>
    <s v="10.9375918"/>
    <n v="330156"/>
    <n v="0"/>
    <n v="330156"/>
    <s v="Cash"/>
    <s v="Long Định, Cần Đước, Long An, Việt NamOKIA OPTICAL VIETNAM"/>
    <s v="40Vsip, Vietnam Singapore Industrial Part, Street No 6, An Phú, Thuận An, Bình Dương, Việt NamMidea Consumer Electric (Viet Nam) Co., Ltd"/>
    <n v="1"/>
    <x v="1"/>
    <x v="11"/>
    <d v="1899-12-30T07:26:14"/>
    <x v="208"/>
  </r>
  <r>
    <s v="3565175340068458585"/>
    <s v=""/>
    <x v="11"/>
    <n v="0"/>
    <s v=""/>
    <s v="NULL"/>
    <x v="0"/>
    <s v="2026-08-19 07:20:01"/>
    <s v="2026-08-19 07:29:59"/>
    <s v="NULL"/>
    <s v="NULL"/>
    <s v="2026-08-19 10:58:25"/>
    <s v=""/>
    <s v="106.490165"/>
    <s v="10.6014965"/>
    <s v="106.6055686"/>
    <s v="10.8324438"/>
    <n v="144288"/>
    <n v="0"/>
    <n v="144288"/>
    <s v="Cash"/>
    <s v="Công ty TNHH Supply Solutions &amp; Trading - Chi nhánh Long An, Long Cang, Tây Ninh, Việt NamCông ty TNHH Supply Solutions &amp; Trading - Chi nhánh Long An"/>
    <s v="54/6E Ấp Tiền Lân, Bà Điểm, Hóc Môn, Hồ Chí Minh 71000, Việt NamCông Ty TNHH VN Đại Phong"/>
    <n v="1"/>
    <x v="1"/>
    <x v="11"/>
    <d v="1899-12-30T07:20:01"/>
    <x v="222"/>
  </r>
  <r>
    <s v="3565175340068458689"/>
    <s v=""/>
    <x v="11"/>
    <n v="0"/>
    <s v=""/>
    <s v="NULL"/>
    <x v="0"/>
    <s v="2026-08-19 07:20:45"/>
    <s v="2026-08-19 07:30:44"/>
    <s v="NULL"/>
    <s v="NULL"/>
    <s v="2026-08-19 09:30:44"/>
    <s v=""/>
    <s v="106.4929205"/>
    <s v="10.6035447"/>
    <s v="106.6361766"/>
    <s v="10.8328608"/>
    <n v="149472"/>
    <n v="0"/>
    <n v="149472"/>
    <s v="Cash"/>
    <s v="Synergy In Motion Viet Nam, Long Định, Cần Đước, Long An, Việt NamSynergy In Motion Viet Nam"/>
    <s v="Công Ty Tnhh Công Nghệ Quang Lâm, Phan Huy Ích, phường 12, Gò Vấp, Hồ Chí Minh, Việt NamCông Ty Tnhh Công Nghệ Quang Lâm"/>
    <n v="1"/>
    <x v="1"/>
    <x v="11"/>
    <d v="1899-12-30T07:20:45"/>
    <x v="9"/>
  </r>
  <r>
    <s v="3565175340093633078"/>
    <s v=""/>
    <x v="11"/>
    <n v="0"/>
    <s v=""/>
    <s v="NULL"/>
    <x v="0"/>
    <s v="2026-08-19 07:30:32"/>
    <s v="2026-08-19 07:40:30"/>
    <s v="NULL"/>
    <s v="NULL"/>
    <s v="2026-08-19 09:40:30"/>
    <s v=""/>
    <s v="106.5116244"/>
    <s v="10.6191207"/>
    <s v="106.7817456"/>
    <s v="11.0981928"/>
    <n v="297216"/>
    <n v="0"/>
    <n v="297216"/>
    <s v="Cash"/>
    <s v="Công Ty TNHH Hitisa, Khu Công Nghiệp Phúc Long, Đường Số 8, Long Hiệp, Bến Lức, Long An, Việt NamCông Ty TNHH Hitisa"/>
    <s v="Hội Nghĩa, Tân Uyên, Bình Dương, Việt NamCông ty TNHH XinHui"/>
    <n v="1"/>
    <x v="1"/>
    <x v="11"/>
    <d v="1899-12-30T07:30:32"/>
    <x v="208"/>
  </r>
  <r>
    <s v="3565175340110405773"/>
    <s v=""/>
    <x v="11"/>
    <n v="0"/>
    <s v=""/>
    <s v="NULL"/>
    <x v="0"/>
    <s v="2026-08-19 07:34:17"/>
    <s v="2026-08-19 07:44:16"/>
    <s v="NULL"/>
    <s v="NULL"/>
    <s v="2026-08-19 09:44:16"/>
    <s v=""/>
    <s v="106.5129545"/>
    <s v="10.6290657"/>
    <s v="106.7255805"/>
    <s v="10.7864198"/>
    <n v="133164"/>
    <n v="0"/>
    <n v="133164"/>
    <s v="Cash"/>
    <s v="Lô B4ab, đường số 04, KCN, Phúc Long, Long Hiệp, Bến Lức, Long An, Việt NamCÔNG TY TNHH YUTIAN VIỆT NAM"/>
    <s v="QPPG+H68, An Khánh, Hồ Chí Minh, Việt NamQPPG+H68, An Khánh, Hồ Chí Minh, Việt Nam"/>
    <n v="1"/>
    <x v="1"/>
    <x v="11"/>
    <d v="1899-12-30T07:34:17"/>
    <x v="9"/>
  </r>
  <r>
    <s v="3565175340110406202"/>
    <s v=""/>
    <x v="11"/>
    <n v="0"/>
    <s v=""/>
    <s v="NULL"/>
    <x v="0"/>
    <s v="2026-08-19 07:36:59"/>
    <s v="2026-08-19 07:46:58"/>
    <s v="NULL"/>
    <s v="NULL"/>
    <s v="2026-08-19 09:46:58"/>
    <s v=""/>
    <s v="106.5084135"/>
    <s v="10.6373406"/>
    <s v="106.7354427"/>
    <s v="10.9375918"/>
    <n v="294300"/>
    <n v="0"/>
    <n v="294300"/>
    <s v="Cash"/>
    <s v="CTY CP NÔNG NGHIỆP VIỆT NAM SYMBIO, Đường VL2, Mỹ Yên, Tây Ninh, Việt NamCTY CP NÔNG NGHIỆP VIỆT NAM SYMBIO"/>
    <s v="40Vsip, Vietnam Singapore Industrial Part, Street No 6, An Phú, Thuận An, Bình Dương, Việt NamMidea Consumer Electric (Viet Nam) Co., Ltd"/>
    <n v="1"/>
    <x v="1"/>
    <x v="11"/>
    <d v="1899-12-30T07:36:59"/>
    <x v="9"/>
  </r>
  <r>
    <s v="3565177072114692713"/>
    <s v=""/>
    <x v="11"/>
    <n v="0"/>
    <s v=""/>
    <s v="NULL"/>
    <x v="0"/>
    <s v="2026-08-19 07:33:02"/>
    <s v="2026-08-19 07:43:01"/>
    <s v="NULL"/>
    <s v="NULL"/>
    <s v="2026-08-19 09:43:01"/>
    <s v=""/>
    <s v="106.5108825"/>
    <s v="10.6230516"/>
    <s v="106.6303036"/>
    <s v="10.8228268"/>
    <n v="115128"/>
    <n v="0"/>
    <n v="115128"/>
    <s v="Cash"/>
    <s v="Lô N 6, Đ. Số 6, KCN Phúc Long, Bến Lức, Long An, Việt NamCông ty TNHH EUROPEAN SNACK FOOD (VIỆT NAM)"/>
    <s v="944 Đ. Trường Chinh, Phường 15, Tân Bình, Hồ Chí Minh, Việt NamCông Ty Trần Công Danh"/>
    <n v="1"/>
    <x v="1"/>
    <x v="11"/>
    <d v="1899-12-30T07:33:02"/>
    <x v="9"/>
  </r>
  <r>
    <s v="3565177072114692742"/>
    <s v=""/>
    <x v="11"/>
    <n v="0"/>
    <s v=""/>
    <s v="NULL"/>
    <x v="0"/>
    <s v="2026-08-19 07:33:15"/>
    <s v="2026-08-19 07:43:14"/>
    <s v="NULL"/>
    <s v="NULL"/>
    <s v="2026-08-19 09:43:14"/>
    <s v=""/>
    <s v="106.5108825"/>
    <s v="10.6230516"/>
    <s v="106.592079643777"/>
    <s v="10.795802362629"/>
    <n v="156060"/>
    <n v="0"/>
    <n v="156060"/>
    <s v="Cash"/>
    <s v="Lô N 6, Đ. Số 6, KCN Phúc Long, Bến Lức, Long An, Việt NamCông ty TNHH EUROPEAN SNACK FOOD (VIỆT NAM)"/>
    <s v="Đường Số 6, Khu Phố 5, Bình Tân, Hồ Chí Minh, VietnamCông Ty Vinh Phát"/>
    <n v="1"/>
    <x v="1"/>
    <x v="11"/>
    <d v="1899-12-30T07:33:15"/>
    <x v="9"/>
  </r>
  <r>
    <s v="3565181220155514972"/>
    <s v=""/>
    <x v="11"/>
    <n v="0"/>
    <s v=""/>
    <s v="NULL"/>
    <x v="0"/>
    <s v="2026-08-19 07:41:42"/>
    <s v="2026-08-19 07:51:41"/>
    <s v="NULL"/>
    <s v="NULL"/>
    <s v="2026-08-19 09:51:41"/>
    <s v=""/>
    <s v="106.5116795"/>
    <s v="10.6375636"/>
    <s v="106.7354427"/>
    <s v="10.9375918"/>
    <n v="219780"/>
    <n v="0"/>
    <n v="219780"/>
    <s v="Cash"/>
    <s v="Lô D1 29,30, Đường VL2/Ấp Voi Lá, KCN Vĩnh Lộc 2, Bến Lức, Long An, Việt NamCÔNG TY TNHH NIPPOVINA"/>
    <s v="40Vsip, Vietnam Singapore Industrial Part, Street No 6, An Phú, Thuận An, Bình Dương, Việt NamMidea Consumer Electric (Viet Nam) Co., Ltd"/>
    <n v="1"/>
    <x v="1"/>
    <x v="11"/>
    <d v="1899-12-30T07:41:42"/>
    <x v="9"/>
  </r>
  <r>
    <s v="3565181558837179340"/>
    <s v=""/>
    <x v="11"/>
    <n v="0"/>
    <s v=""/>
    <s v="NULL"/>
    <x v="0"/>
    <s v="2026-08-19 07:41:31"/>
    <s v="2026-08-19 07:51:29"/>
    <s v="NULL"/>
    <s v="NULL"/>
    <s v="2026-08-19 12:00:39"/>
    <s v=""/>
    <s v="106.5116795"/>
    <s v="10.6375636"/>
    <s v="106.6593646"/>
    <s v="10.9803798"/>
    <n v="221724"/>
    <n v="0"/>
    <n v="221724"/>
    <s v="Cash"/>
    <s v="Lô D1 29,30, Đường VL2/Ấp Voi Lá, KCN Vĩnh Lộc 2, Bến Lức, Long An, Việt NamCÔNG TY TNHH NIPPOVINA"/>
    <s v="10/16 Đ. Chùa Hội Khánh, Phú Cường, Thủ Dầu Một, Bình Dương, Việt NamCông ty TNHH MTV Nhựa Ngọc Thắng"/>
    <n v="1"/>
    <x v="1"/>
    <x v="11"/>
    <d v="1899-12-30T07:41:31"/>
    <x v="223"/>
  </r>
  <r>
    <s v="3565183833223684676"/>
    <s v=""/>
    <x v="11"/>
    <n v="1551753"/>
    <s v=""/>
    <s v="Motorcycle"/>
    <x v="2"/>
    <s v="2026-08-19 07:42:56"/>
    <s v="2026-08-19 07:52:54"/>
    <s v="2026-08-19 09:06:16"/>
    <s v="NULL"/>
    <s v=""/>
    <s v=""/>
    <s v="106.5679794"/>
    <s v="10.6378026"/>
    <s v="106.9904758"/>
    <s v="10.7919807"/>
    <n v="255312"/>
    <n v="197926"/>
    <n v="57386"/>
    <s v="Cash"/>
    <s v="Công ty TNHH SX,TM Tân Kim Phụng, Phước Lý, Cần Giuộc, Long An, Việt NamCông ty TNHH SX,TM Tân Kim Phụng"/>
    <s v="Lô D KCN Lộc An Bình Sơn, Long An, Long Thành, Đồng Nai, Việt NamCÔNG TY TNHH TOPBAND SMART ĐỒNG NAI VIỆT NAM"/>
    <n v="1"/>
    <x v="1"/>
    <x v="11"/>
    <d v="1899-12-30T07:42:56"/>
    <x v="14"/>
  </r>
  <r>
    <s v="3565183833223684937"/>
    <s v=""/>
    <x v="11"/>
    <n v="0"/>
    <s v=""/>
    <s v="NULL"/>
    <x v="0"/>
    <s v="2026-08-19 07:44:18"/>
    <s v="2026-08-19 07:54:17"/>
    <s v="NULL"/>
    <s v="NULL"/>
    <s v="2026-08-19 09:54:17"/>
    <s v=""/>
    <s v="106.5459684"/>
    <s v="10.6372356"/>
    <s v="106.7610327"/>
    <s v="10.8282188"/>
    <n v="204444"/>
    <n v="0"/>
    <n v="204444"/>
    <s v="Cash"/>
    <s v="CTY TNHH Thương mại Kỹ Thuật Xuất Nhập Khẩu NAM HẢI, Lộ Đình, Phước Lý, Cần Giuộc, Long An, Việt NamCTY TNHH Thương mại Kỹ Thuật Xuất Nhập Khẩu NAM HẢI"/>
    <s v="9 Đ. Nguyễn Văn Bá, Phước Long A, Thủ Đức, Thành phố Hồ Chí Minh, Việt NamCông Ty Cơ Điện Thủ Đức"/>
    <n v="1"/>
    <x v="1"/>
    <x v="11"/>
    <d v="1899-12-30T07:44:18"/>
    <x v="9"/>
  </r>
  <r>
    <s v="3565183833240457271"/>
    <s v=""/>
    <x v="11"/>
    <n v="4687308"/>
    <s v=""/>
    <s v="Motorcycle"/>
    <x v="2"/>
    <s v="2026-08-19 07:45:36"/>
    <s v="2026-08-19 07:55:35"/>
    <s v="2026-08-19 09:47:38"/>
    <s v="NULL"/>
    <s v=""/>
    <s v=""/>
    <s v="106.55000244235842"/>
    <s v="10.646767649553311"/>
    <s v="106.6745926"/>
    <s v="10.7505456"/>
    <n v="106272"/>
    <n v="82385"/>
    <n v="23887"/>
    <s v="Cash"/>
    <s v="JHW2+P2 Phước Lý, Tây Ninh, Việt NamJHW2+P2 Phước Lý, Tây Ninh, Việt Nam"/>
    <s v="65/80 Trần Tuấn Khải, An Đông, Hồ Chí Minh, Việt NamQuận 5"/>
    <n v="1"/>
    <x v="1"/>
    <x v="11"/>
    <d v="1899-12-30T07:45:36"/>
    <x v="14"/>
  </r>
  <r>
    <s v="3565183833240457451"/>
    <s v=""/>
    <x v="11"/>
    <n v="3840478"/>
    <s v=""/>
    <s v="Motorcycle"/>
    <x v="2"/>
    <s v="2026-08-19 07:46:28"/>
    <s v="2026-08-19 07:56:26"/>
    <s v="2026-08-19 09:08:04"/>
    <s v="NULL"/>
    <s v=""/>
    <s v=""/>
    <s v="106.56425033664553"/>
    <s v="10.646936355710915"/>
    <s v="106.6536826"/>
    <s v="10.7295586"/>
    <n v="100656"/>
    <n v="78032"/>
    <n v="22624"/>
    <s v="Cash"/>
    <s v="JHW8+92, Phước Lý, Tây Ninh, Việt NamJHW8+92, Phước Lý, Tây Ninh, Việt Nam"/>
    <s v="Quận 8, Đường số 18, Ấp 2, Bình Hưng, Bình Chánh, Thành phố Hồ Chí Minh, Việt NamQuận 8"/>
    <n v="1"/>
    <x v="1"/>
    <x v="11"/>
    <d v="1899-12-30T07:46:28"/>
    <x v="14"/>
  </r>
  <r>
    <s v="3565183950362211121"/>
    <s v=""/>
    <x v="11"/>
    <n v="0"/>
    <s v=""/>
    <s v="NULL"/>
    <x v="0"/>
    <s v="2026-08-19 07:44:31"/>
    <s v="2026-08-19 07:54:29"/>
    <s v="NULL"/>
    <s v="NULL"/>
    <s v="2026-08-19 09:54:29"/>
    <s v=""/>
    <s v="106.5459684"/>
    <s v="10.6372356"/>
    <s v="106.8239468"/>
    <s v="10.8043179"/>
    <n v="226260"/>
    <n v="0"/>
    <n v="226260"/>
    <s v="Cash"/>
    <s v="CTY TNHH Thương mại Kỹ Thuật Xuất Nhập Khẩu NAM HẢI, Lộ Đình, Phước Lý, Cần Giuộc, Long An, Việt NamCTY TNHH Thương mại Kỹ Thuật Xuất Nhập Khẩu NAM HẢI"/>
    <s v="1502/8/27, Nguyễn Duy Trinh, Long Trường, Hồ Chí Minh, Việt Nam1502/8/27, Nguyễn Duy Trinh, Long Trường, Hồ Chí Minh, Việt Nam"/>
    <n v="1"/>
    <x v="1"/>
    <x v="11"/>
    <d v="1899-12-30T07:44:31"/>
    <x v="208"/>
  </r>
  <r>
    <s v="3565184305233879597"/>
    <s v=""/>
    <x v="11"/>
    <n v="0"/>
    <s v=""/>
    <s v="NULL"/>
    <x v="0"/>
    <s v="2026-08-19 07:37:43"/>
    <s v="2026-08-19 07:47:41"/>
    <s v="NULL"/>
    <s v="NULL"/>
    <s v="2026-08-19 09:47:41"/>
    <s v=""/>
    <s v="106.5084135"/>
    <s v="10.6373406"/>
    <s v="106.9904758"/>
    <s v="10.7919807"/>
    <n v="268920"/>
    <n v="0"/>
    <n v="268920"/>
    <s v="Cash"/>
    <s v="CTY CP NÔNG NGHIỆP VIỆT NAM SYMBIO, Đường VL2, Mỹ Yên, Tây Ninh, Việt NamCTY CP NÔNG NGHIỆP VIỆT NAM SYMBIO"/>
    <s v="Lô D KCN Lộc An Bình Sơn, Long An, Long Thành, Đồng Nai, Việt NamCÔNG TY TNHH TOPBAND SMART ĐỒNG NAI VIỆT NAM"/>
    <n v="1"/>
    <x v="1"/>
    <x v="11"/>
    <d v="1899-12-30T07:37:43"/>
    <x v="208"/>
  </r>
  <r>
    <s v="3565184305233879835"/>
    <s v=""/>
    <x v="11"/>
    <n v="1732058"/>
    <s v=""/>
    <s v="Motorcycle"/>
    <x v="2"/>
    <s v="2026-08-19 07:39:02"/>
    <s v="2026-08-19 07:49:00"/>
    <s v="2026-08-19 09:54:10"/>
    <s v="NULL"/>
    <s v=""/>
    <s v=""/>
    <s v="106.5083765"/>
    <s v="10.6428357"/>
    <s v="106.592079643777"/>
    <s v="10.795802362629"/>
    <n v="149472"/>
    <n v="115875"/>
    <n v="33597"/>
    <s v="Cash"/>
    <s v="CÔNG TY TNHH BIBICA MIỀN TÂY, 9 VL3, KCN Vĩnh Lộc 2, Long Hiệp, Bến Lức, Long An, Việt NamCÔNG TY TNHH BIBICA MIỀN TÂY"/>
    <s v="Đường Số 6, Khu Phố 5, Bình Tân, Hồ Chí Minh, VietnamCông Ty Vinh Phát"/>
    <n v="1"/>
    <x v="1"/>
    <x v="11"/>
    <d v="1899-12-30T07:39:02"/>
    <x v="14"/>
  </r>
  <r>
    <s v="3565184533680845554"/>
    <s v=""/>
    <x v="11"/>
    <n v="0"/>
    <s v=""/>
    <s v="NULL"/>
    <x v="0"/>
    <s v="2026-08-19 07:44:54"/>
    <s v="2026-08-19 07:54:52"/>
    <s v="NULL"/>
    <s v="NULL"/>
    <s v="2026-08-19 09:54:52"/>
    <s v=""/>
    <s v="106.55000244235842"/>
    <s v="10.646767649553311"/>
    <s v="106.690788"/>
    <s v="10.793931"/>
    <n v="150552"/>
    <n v="0"/>
    <n v="150552"/>
    <s v="Cash"/>
    <s v="JHW2+P2 Phước Lý, Tây Ninh, Việt NamJHW2+P2 Phước Lý, Tây Ninh, Việt Nam"/>
    <s v="Quận 1, Đường Trần Khắc Chân, Tân Định, Hồ Chí Minh, Việt NamQuận 1"/>
    <n v="1"/>
    <x v="1"/>
    <x v="11"/>
    <d v="1899-12-30T07:44:54"/>
    <x v="208"/>
  </r>
  <r>
    <s v="3565187227858465387"/>
    <s v="ywja"/>
    <x v="8"/>
    <n v="3303823"/>
    <s v=""/>
    <s v="Motorcycle"/>
    <x v="2"/>
    <s v="2026-08-19 07:48:10"/>
    <s v="2026-08-19 07:58:00"/>
    <s v="2026-08-19 09:53:42"/>
    <s v="NULL"/>
    <s v=""/>
    <s v=""/>
    <s v="106.3630698993802"/>
    <s v="10.551684731677849"/>
    <s v="106.73140458762646"/>
    <s v="10.938461877469251"/>
    <n v="234576"/>
    <n v="181851"/>
    <n v="52725"/>
    <s v="Cash"/>
    <s v="Đường Số 2,82112Tan An Foods Processing Export Co"/>
    <s v="D6 khu phố 4, Khu Dân Cư Viet Sing, Thuận An, Bình Dương, Việt NamD6 khu phố 4, Khu Dân Cư Viet Sing, Thuận An, Bình Dương, Việt Nam"/>
    <n v="1"/>
    <x v="1"/>
    <x v="11"/>
    <d v="1899-12-30T07:48:10"/>
    <x v="14"/>
  </r>
  <r>
    <s v="3565187227875238945"/>
    <s v=""/>
    <x v="11"/>
    <n v="0"/>
    <s v=""/>
    <s v="NULL"/>
    <x v="0"/>
    <s v="2026-08-19 07:55:19"/>
    <s v="2026-08-19 08:05:18"/>
    <s v="NULL"/>
    <s v="NULL"/>
    <s v="2026-08-19 10:05:18"/>
    <s v=""/>
    <s v="106.5116795"/>
    <s v="10.6375636"/>
    <s v="106.6445037"/>
    <s v="10.7432457"/>
    <n v="131220"/>
    <n v="0"/>
    <n v="131220"/>
    <s v="Cash"/>
    <s v="Lô D1 29,30, Đường VL2/Ấp Voi Lá, KCN Vĩnh Lộc 2, Bến Lức, Long An, Việt NamCÔNG TY TNHH NIPPOVINA"/>
    <s v="108, 110 Đ. Phạm Phú Thứ, Phường 3, Quận 6, Hồ Chí Minh 700000, Việt NamCông Ty TNHH Phương Diêm Thuận"/>
    <n v="1"/>
    <x v="1"/>
    <x v="11"/>
    <d v="1899-12-30T07:55:19"/>
    <x v="9"/>
  </r>
  <r>
    <s v="3565187234451902776"/>
    <s v=""/>
    <x v="11"/>
    <n v="4179701"/>
    <s v=""/>
    <s v="Motorcycle"/>
    <x v="2"/>
    <s v="2026-08-19 07:41:18"/>
    <s v="2026-08-19 07:51:16"/>
    <s v="2026-08-19 10:46:28"/>
    <s v="NULL"/>
    <s v=""/>
    <s v=""/>
    <s v="106.5116795"/>
    <s v="10.6375636"/>
    <s v="106.7817456"/>
    <s v="11.0981928"/>
    <n v="395388"/>
    <n v="324548"/>
    <n v="70840"/>
    <s v="Cash"/>
    <s v="Lô D1 29,30, Đường VL2/Ấp Voi Lá, KCN Vĩnh Lộc 2, Bến Lức, Long An, Việt NamCÔNG TY TNHH NIPPOVINA"/>
    <s v="Hội Nghĩa, Tân Uyên, Bình Dương, Việt NamCông ty TNHH XinHui"/>
    <n v="1"/>
    <x v="1"/>
    <x v="11"/>
    <d v="1899-12-30T07:41:18"/>
    <x v="14"/>
  </r>
  <r>
    <s v="3565187234451903187"/>
    <s v=""/>
    <x v="11"/>
    <n v="0"/>
    <s v=""/>
    <s v="NULL"/>
    <x v="0"/>
    <s v="2026-08-19 07:43:35"/>
    <s v="2026-08-19 07:53:33"/>
    <s v="NULL"/>
    <s v="NULL"/>
    <s v="2026-08-19 09:53:33"/>
    <s v=""/>
    <s v="106.5679794"/>
    <s v="10.6378026"/>
    <s v="106.6303036"/>
    <s v="10.8228268"/>
    <n v="109404"/>
    <n v="0"/>
    <n v="109404"/>
    <s v="Cash"/>
    <s v="Công ty TNHH SX,TM Tân Kim Phụng, Phước Lý, Cần Giuộc, Long An, Việt NamCông ty TNHH SX,TM Tân Kim Phụng"/>
    <s v="944 Đ. Trường Chinh, Phường 15, Tân Bình, Hồ Chí Minh, Việt NamCông Ty Trần Công Danh"/>
    <n v="1"/>
    <x v="1"/>
    <x v="11"/>
    <d v="1899-12-30T07:43:35"/>
    <x v="208"/>
  </r>
  <r>
    <s v="3565191374842319456"/>
    <s v="ywja"/>
    <x v="8"/>
    <n v="4411069"/>
    <s v=""/>
    <s v="Motorcycle"/>
    <x v="1"/>
    <s v="2026-08-19 07:49:54"/>
    <s v="2026-08-19 07:59:00"/>
    <s v="2026-08-19 08:50:18"/>
    <s v="NULL"/>
    <s v="2026-08-19 08:59:41"/>
    <s v=""/>
    <s v="106.3633069396019"/>
    <s v="10.548076176938537"/>
    <s v="106.78730919957161"/>
    <s v="10.911900422637133"/>
    <n v="308016"/>
    <n v="238784"/>
    <n v="69232"/>
    <s v="Cash"/>
    <s v="Công ty TNHH PRINCE VN, Đường Sô 1, Cụm CN Lợi, Khánh Hậu, Tây Ninh, Việt NamCông ty TNHH PRINCE VN"/>
    <s v="102 Đường Tân An, Tân Đông Hiệp, Dĩ An, Bình Dương, Việt Nam102 Đường Tân An, Tân Đông Hiệp, Dĩ An, Bình Dương, Việt Nam"/>
    <n v="1"/>
    <x v="1"/>
    <x v="11"/>
    <d v="1899-12-30T07:49:54"/>
    <x v="224"/>
  </r>
  <r>
    <s v="3565191374859104707"/>
    <s v=""/>
    <x v="11"/>
    <n v="0"/>
    <s v=""/>
    <s v="NULL"/>
    <x v="0"/>
    <s v="2026-08-19 07:54:10"/>
    <s v="2026-08-19 08:04:09"/>
    <s v="NULL"/>
    <s v="NULL"/>
    <s v="2026-08-19 10:04:09"/>
    <s v=""/>
    <s v="106.5116795"/>
    <s v="10.6375636"/>
    <s v="106.6823683"/>
    <s v="10.7801292"/>
    <n v="165348"/>
    <n v="0"/>
    <n v="165348"/>
    <s v="Cash"/>
    <s v="Lô D1 29,30, Đường VL2/Ấp Voi Lá, KCN Vĩnh Lộc 2, Bến Lức, Long An, Việt NamCÔNG TY TNHH NIPPOVINA"/>
    <s v="CÔNG TY CỔ PHẦN THƯƠNG MẠI DỊCH VỤ QUẬN 3, Lý Chính Thắng, Nhiêu Lộc, Hồ Chí Minh, Việt NamCÔNG TY CỔ PHẦN THƯƠNG MẠI DỊCH VỤ QUẬN 3"/>
    <n v="1"/>
    <x v="1"/>
    <x v="11"/>
    <d v="1899-12-30T07:54:10"/>
    <x v="9"/>
  </r>
  <r>
    <s v="3565191374875877672"/>
    <s v=""/>
    <x v="11"/>
    <n v="0"/>
    <s v=""/>
    <s v="NULL"/>
    <x v="0"/>
    <s v="2026-08-19 07:58:02"/>
    <s v="2026-08-19 08:08:02"/>
    <s v="NULL"/>
    <s v="NULL"/>
    <s v="2026-08-19 10:08:02"/>
    <s v=""/>
    <s v="106.512463"/>
    <s v="10.6195398"/>
    <s v="106.6916526"/>
    <s v="10.7678847"/>
    <n v="169776"/>
    <n v="0"/>
    <n v="169776"/>
    <s v="Cash"/>
    <s v="CÔNG TY TNHH VẬT LIỆU CÔNG NGHỆ CAO LONGDA WEIFANG VIỆT NAM, Đ. Số 1, Khu công nghiệp Phúc Long, Mỹ Yên, Tây Ninh, Việt NamCÔNG TY TNHH VẬT LIỆU CÔNG NGHỆ CAO LONGDA WEIFANG VIỆT NAM"/>
    <s v="275G Phạm Ngũ Lão, Phường Phạm Ngũ Lão, Quận 1, Thành phố Hồ Chí Minh, Việt NamCông Ty Cổ Phần Ngọc Trang Tiêu Cục , Chi Nhánh Quận 1"/>
    <n v="1"/>
    <x v="1"/>
    <x v="11"/>
    <d v="1899-12-30T07:58:02"/>
    <x v="4"/>
  </r>
  <r>
    <s v="3565191517993922889"/>
    <s v="ywja"/>
    <x v="8"/>
    <n v="0"/>
    <s v=""/>
    <s v="NULL"/>
    <x v="0"/>
    <s v="2026-08-19 07:53:56"/>
    <s v="2026-08-19 08:03:00"/>
    <s v="NULL"/>
    <s v="NULL"/>
    <s v="2026-08-19 10:24:52"/>
    <s v=""/>
    <s v="106.39862693846226"/>
    <s v="10.54389174302159"/>
    <s v="106.86443276703358"/>
    <s v="10.968211107287365"/>
    <n v="319032"/>
    <n v="0"/>
    <n v="319032"/>
    <s v="Cash"/>
    <s v="306, Tp. Tân An, Long An, Việt NamHẻm 306"/>
    <s v="19 Hẻm 805/2 Nguyễn Ái Quốc, Phường Tân Hiệp, Biên Hòa, Đồng Nai, Việt Nam19 Hẻm 805/2 Nguyễn Ái Quốc"/>
    <n v="1"/>
    <x v="1"/>
    <x v="11"/>
    <d v="1899-12-30T07:53:56"/>
    <x v="225"/>
  </r>
  <r>
    <s v="3565191518010696303"/>
    <s v=""/>
    <x v="11"/>
    <n v="0"/>
    <s v=""/>
    <s v="NULL"/>
    <x v="0"/>
    <s v="2026-08-19 07:59:37"/>
    <s v="2026-08-19 08:09:37"/>
    <s v="NULL"/>
    <s v="NULL"/>
    <s v="2026-08-19 10:09:37"/>
    <s v=""/>
    <s v="106.512463"/>
    <s v="10.6195398"/>
    <s v="106.6187517"/>
    <s v="10.7128806"/>
    <n v="120852"/>
    <n v="0"/>
    <n v="120852"/>
    <s v="Cash"/>
    <s v="CÔNG TY TNHH VẬT LIỆU CÔNG NGHỆ CAO LONGDA WEIFANG VIỆT NAM, Đ. Số 1, Khu công nghiệp Phúc Long, Mỹ Yên, Tây Ninh, Việt NamCÔNG TY TNHH VẬT LIỆU CÔNG NGHỆ CAO LONGDA WEIFANG VIỆT NAM"/>
    <s v="23 Đ. An Dương Vương, Phường 16, Quận 8, Hồ Chí Minh, Việt NamCông Ty Tnhh Trần Tỷ"/>
    <n v="1"/>
    <x v="1"/>
    <x v="11"/>
    <d v="1899-12-30T07:59:37"/>
    <x v="4"/>
  </r>
  <r>
    <s v="3565193403316789420"/>
    <s v=""/>
    <x v="11"/>
    <n v="0"/>
    <s v=""/>
    <s v="NULL"/>
    <x v="0"/>
    <s v="2026-08-19 07:56:07"/>
    <s v="2026-08-19 08:06:06"/>
    <s v="NULL"/>
    <s v="NULL"/>
    <s v="2026-08-19 10:06:06"/>
    <s v=""/>
    <s v="106.5116795"/>
    <s v="10.6375636"/>
    <s v="106.6187517"/>
    <s v="10.7128806"/>
    <n v="115344"/>
    <n v="0"/>
    <n v="115344"/>
    <s v="Cash"/>
    <s v="Lô D1 29,30, Đường VL2/Ấp Voi Lá, KCN Vĩnh Lộc 2, Bến Lức, Long An, Việt NamCÔNG TY TNHH NIPPOVINA"/>
    <s v="23 Đ. An Dương Vương, Phường 16, Quận 8, Hồ Chí Minh, Việt NamCông Ty Tnhh Trần Tỷ"/>
    <n v="1"/>
    <x v="1"/>
    <x v="11"/>
    <d v="1899-12-30T07:56:07"/>
    <x v="9"/>
  </r>
  <r>
    <s v="3565193403316790287"/>
    <s v=""/>
    <x v="11"/>
    <n v="4786884"/>
    <s v=""/>
    <s v="Motorcycle"/>
    <x v="5"/>
    <s v="2026-08-19 07:59:50"/>
    <s v="2026-08-19 08:09:50"/>
    <s v="2026-08-19 10:40:25"/>
    <s v="2026-08-19 10:45:48"/>
    <s v=""/>
    <s v="2026-08-19 10:52:35"/>
    <s v="106.512463"/>
    <s v="10.6195398"/>
    <s v="106.7905535"/>
    <s v="10.8080538"/>
    <n v="237816"/>
    <n v="184362"/>
    <n v="53454"/>
    <s v="Cash"/>
    <s v="CÔNG TY TNHH VẬT LIỆU CÔNG NGHỆ CAO LONGDA WEIFANG VIỆT NAM, Đ. Số 1, Khu công nghiệp Phúc Long, Mỹ Yên, Tây Ninh, Việt NamCÔNG TY TNHH VẬT LIỆU CÔNG NGHỆ CAO LONGDA WEIFANG VIỆT NAM"/>
    <s v="Công ty TNHH TV-TK-XD Phát Minh - Văn phòng Quận 9, Đường 18 tổ 8, Khu Phố 6, Phước Long, Hồ Chí Minh, Việt NamCông ty TNHH TV-TK-XD Phát Minh - Văn phòng Quận 9"/>
    <n v="1"/>
    <x v="1"/>
    <x v="11"/>
    <d v="1899-12-30T07:59:50"/>
    <x v="226"/>
  </r>
  <r>
    <s v="3565193606933475875"/>
    <s v=""/>
    <x v="11"/>
    <n v="0"/>
    <s v=""/>
    <s v="NULL"/>
    <x v="0"/>
    <s v="2026-08-19 07:58:30"/>
    <s v="2026-08-19 08:08:29"/>
    <s v="NULL"/>
    <s v="NULL"/>
    <s v="2026-08-19 10:08:29"/>
    <s v=""/>
    <s v="106.512463"/>
    <s v="10.6195398"/>
    <s v="106.6823683"/>
    <s v="10.7801292"/>
    <n v="170424"/>
    <n v="0"/>
    <n v="170424"/>
    <s v="Cash"/>
    <s v="CÔNG TY TNHH VẬT LIỆU CÔNG NGHỆ CAO LONGDA WEIFANG VIỆT NAM, Đ. Số 1, Khu công nghiệp Phúc Long, Mỹ Yên, Tây Ninh, Việt NamCÔNG TY TNHH VẬT LIỆU CÔNG NGHỆ CAO LONGDA WEIFANG VIỆT NAM"/>
    <s v="CÔNG TY CỔ PHẦN THƯƠNG MẠI DỊCH VỤ QUẬN 3, Lý Chính Thắng, Nhiêu Lộc, Hồ Chí Minh, Việt NamCÔNG TY CỔ PHẦN THƯƠNG MẠI DỊCH VỤ QUẬN 3"/>
    <n v="1"/>
    <x v="1"/>
    <x v="11"/>
    <d v="1899-12-30T07:58:30"/>
    <x v="9"/>
  </r>
  <r>
    <s v="3565193668950455139"/>
    <s v=""/>
    <x v="11"/>
    <n v="0"/>
    <s v=""/>
    <s v="NULL"/>
    <x v="0"/>
    <s v="2026-08-19 08:03:45"/>
    <s v="2026-08-19 08:13:45"/>
    <s v="NULL"/>
    <s v="NULL"/>
    <s v="2026-08-19 10:13:45"/>
    <s v=""/>
    <s v="106.5099105"/>
    <s v="10.6322967"/>
    <s v="106.6707851"/>
    <s v="10.7627387"/>
    <n v="165240"/>
    <n v="0"/>
    <n v="165240"/>
    <s v="Cash"/>
    <s v="400 QL1A, Bến Lức, Tây Ninh, Việt Nam400 Quốc lộ 1A"/>
    <s v="Công Ty Cp Dược Phẩm Quận 10, Đường Ngô Gia Tự, Vườn Lài, Hồ Chí Minh, Việt NamCông Ty Cp Dược Phẩm Quận 10"/>
    <n v="1"/>
    <x v="1"/>
    <x v="11"/>
    <d v="1899-12-30T08:03:45"/>
    <x v="4"/>
  </r>
  <r>
    <s v="3565193970890003250"/>
    <s v=""/>
    <x v="11"/>
    <n v="0"/>
    <s v=""/>
    <s v="NULL"/>
    <x v="0"/>
    <s v="2026-08-19 07:55:42"/>
    <s v="2026-08-19 08:05:41"/>
    <s v="NULL"/>
    <s v="NULL"/>
    <s v="2026-08-19 10:05:41"/>
    <s v=""/>
    <s v="106.5116795"/>
    <s v="10.6375636"/>
    <s v="106.7088457"/>
    <s v="10.7467813"/>
    <n v="167616"/>
    <n v="0"/>
    <n v="167616"/>
    <s v="Cash"/>
    <s v="Lô D1 29,30, Đường VL2/Ấp Voi Lá, KCN Vĩnh Lộc 2, Bến Lức, Long An, Việt NamCÔNG TY TNHH NIPPOVINA"/>
    <s v="BIA HƠI QUẬN 7 | KIÊN BÉO, Đường số 9, Tân Hưng, Hồ Chí Minh, Việt NamBIA HƠI QUẬN 7 | KIÊN BÉO"/>
    <n v="1"/>
    <x v="1"/>
    <x v="11"/>
    <d v="1899-12-30T07:55:42"/>
    <x v="9"/>
  </r>
  <r>
    <s v="3565193970906788042"/>
    <s v=""/>
    <x v="11"/>
    <n v="0"/>
    <s v=""/>
    <s v="NULL"/>
    <x v="0"/>
    <s v="2026-08-19 07:57:26"/>
    <s v="2026-08-19 08:07:26"/>
    <s v="NULL"/>
    <s v="NULL"/>
    <s v="2026-08-19 10:07:26"/>
    <s v=""/>
    <s v="106.5116795"/>
    <s v="10.6375636"/>
    <s v="106.6471137"/>
    <s v="10.8930888"/>
    <n v="210384"/>
    <n v="0"/>
    <n v="210384"/>
    <s v="Cash"/>
    <s v="Lô D1 29,30, Đường VL2/Ấp Voi Lá, KCN Vĩnh Lộc 2, Bến Lức, Long An, Việt NamCÔNG TY TNHH NIPPOVINA"/>
    <s v="CÔNG TY CỔ PHẦN BA THANH QUẬN 12, Lê Văn Khương, Thới An, Quận 12, Thành phố Hồ Chí Minh, Việt NamCÔNG TY CỔ PHẦN BA THANH QUẬN 12"/>
    <n v="1"/>
    <x v="1"/>
    <x v="11"/>
    <d v="1899-12-30T07:57:26"/>
    <x v="4"/>
  </r>
  <r>
    <s v="3565193970931949698"/>
    <s v=""/>
    <x v="11"/>
    <n v="4280775"/>
    <s v=""/>
    <s v="Motorcycle"/>
    <x v="2"/>
    <s v="2026-08-19 08:01:14"/>
    <s v="2026-08-19 08:11:14"/>
    <s v="2026-08-19 08:58:27"/>
    <s v="NULL"/>
    <s v=""/>
    <s v=""/>
    <s v="106.5099105"/>
    <s v="10.6322967"/>
    <s v="106.6916526"/>
    <s v="10.7678847"/>
    <n v="177660"/>
    <n v="137728"/>
    <n v="39932"/>
    <s v="Cash"/>
    <s v="400 QL1A, Bến Lức, Tây Ninh, Việt Nam400 Quốc lộ 1A"/>
    <s v="275G Phạm Ngũ Lão, Phường Phạm Ngũ Lão, Quận 1, Thành phố Hồ Chí Minh, Việt NamCông Ty Cổ Phần Ngọc Trang Tiêu Cục , Chi Nhánh Quận 1"/>
    <n v="1"/>
    <x v="1"/>
    <x v="11"/>
    <d v="1899-12-30T08:01:14"/>
    <x v="14"/>
  </r>
  <r>
    <s v="3565193970931950102"/>
    <s v=""/>
    <x v="11"/>
    <n v="0"/>
    <s v=""/>
    <s v="NULL"/>
    <x v="0"/>
    <s v="2026-08-19 08:02:55"/>
    <s v="2026-08-19 08:12:54"/>
    <s v="NULL"/>
    <s v="NULL"/>
    <s v="2026-08-19 10:12:54"/>
    <s v=""/>
    <s v="106.5099105"/>
    <s v="10.6322967"/>
    <s v="106.7088457"/>
    <s v="10.7467813"/>
    <n v="179496"/>
    <n v="0"/>
    <n v="179496"/>
    <s v="Cash"/>
    <s v="400 QL1A, Bến Lức, Tây Ninh, Việt Nam400 Quốc lộ 1A"/>
    <s v="BIA HƠI QUẬN 7 | KIÊN BÉO, Đường số 9, Tân Hưng, Hồ Chí Minh, Việt NamBIA HƠI QUẬN 7 | KIÊN BÉO"/>
    <n v="1"/>
    <x v="1"/>
    <x v="11"/>
    <d v="1899-12-30T08:02:55"/>
    <x v="9"/>
  </r>
  <r>
    <s v="3565195935585882379"/>
    <s v=""/>
    <x v="11"/>
    <n v="0"/>
    <s v=""/>
    <s v="NULL"/>
    <x v="0"/>
    <s v="2026-08-19 07:56:26"/>
    <s v="2026-08-19 08:06:25"/>
    <s v="NULL"/>
    <s v="NULL"/>
    <s v="2026-08-19 10:06:25"/>
    <s v=""/>
    <s v="106.5116795"/>
    <s v="10.6375636"/>
    <s v="106.7905535"/>
    <s v="10.8080538"/>
    <n v="233820"/>
    <n v="0"/>
    <n v="233820"/>
    <s v="Cash"/>
    <s v="Lô D1 29,30, Đường VL2/Ấp Voi Lá, KCN Vĩnh Lộc 2, Bến Lức, Long An, Việt NamCÔNG TY TNHH NIPPOVINA"/>
    <s v="Công ty TNHH TV-TK-XD Phát Minh - Văn phòng Quận 9, Đường 18 tổ 8, Khu Phố 6, Phước Long, Hồ Chí Minh, Việt NamCông ty TNHH TV-TK-XD Phát Minh - Văn phòng Quận 9"/>
    <n v="1"/>
    <x v="1"/>
    <x v="11"/>
    <d v="1899-12-30T07:56:26"/>
    <x v="9"/>
  </r>
  <r>
    <s v="3565195935585882446"/>
    <s v=""/>
    <x v="11"/>
    <n v="0"/>
    <s v=""/>
    <s v="NULL"/>
    <x v="0"/>
    <s v="2026-08-19 07:56:45"/>
    <s v="2026-08-19 08:06:45"/>
    <s v="NULL"/>
    <s v="NULL"/>
    <s v="2026-08-19 11:57:02"/>
    <s v=""/>
    <s v="106.5116795"/>
    <s v="10.6375636"/>
    <s v="106.6707851"/>
    <s v="10.7627387"/>
    <n v="153900"/>
    <n v="0"/>
    <n v="153900"/>
    <s v="Cash"/>
    <s v="Lô D1 29,30, Đường VL2/Ấp Voi Lá, KCN Vĩnh Lộc 2, Bến Lức, Long An, Việt NamCÔNG TY TNHH NIPPOVINA"/>
    <s v="Công Ty Cp Dược Phẩm Quận 10, Đường Ngô Gia Tự, Vườn Lài, Hồ Chí Minh, Việt NamCông Ty Cp Dược Phẩm Quận 10"/>
    <n v="1"/>
    <x v="1"/>
    <x v="11"/>
    <d v="1899-12-30T07:56:45"/>
    <x v="227"/>
  </r>
  <r>
    <s v="3565195935602668048"/>
    <s v=""/>
    <x v="11"/>
    <n v="0"/>
    <s v=""/>
    <s v="NULL"/>
    <x v="0"/>
    <s v="2026-08-19 08:01:54"/>
    <s v="2026-08-19 08:11:53"/>
    <s v="NULL"/>
    <s v="NULL"/>
    <s v="2026-08-19 10:11:53"/>
    <s v=""/>
    <s v="106.5099105"/>
    <s v="10.6322967"/>
    <s v="106.6993326"/>
    <s v="10.7601306"/>
    <n v="182088"/>
    <n v="0"/>
    <n v="182088"/>
    <s v="Cash"/>
    <s v="400 QL1A, Bến Lức, Tây Ninh, Việt Nam400 Quốc lộ 1A"/>
    <s v="301 Đ. Hoàng Diệu, Phường 9, Quận 4, Hồ Chí Minh, Việt NamCông ty TNHH MTV Dịch Vụ Công Ích Quận 4"/>
    <n v="1"/>
    <x v="1"/>
    <x v="11"/>
    <d v="1899-12-30T08:01:54"/>
    <x v="9"/>
  </r>
  <r>
    <s v="3565195961221468357"/>
    <s v=""/>
    <x v="11"/>
    <n v="0"/>
    <s v=""/>
    <s v="NULL"/>
    <x v="0"/>
    <s v="2026-08-19 07:59:24"/>
    <s v="2026-08-19 08:09:24"/>
    <s v="NULL"/>
    <s v="NULL"/>
    <s v="2026-08-19 10:09:24"/>
    <s v=""/>
    <s v="106.512463"/>
    <s v="10.6195398"/>
    <s v="106.7088457"/>
    <s v="10.7467813"/>
    <n v="172476"/>
    <n v="0"/>
    <n v="172476"/>
    <s v="Cash"/>
    <s v="CÔNG TY TNHH VẬT LIỆU CÔNG NGHỆ CAO LONGDA WEIFANG VIỆT NAM, Đ. Số 1, Khu công nghiệp Phúc Long, Mỹ Yên, Tây Ninh, Việt NamCÔNG TY TNHH VẬT LIỆU CÔNG NGHỆ CAO LONGDA WEIFANG VIỆT NAM"/>
    <s v="BIA HƠI QUẬN 7 | KIÊN BÉO, Đường số 9, Tân Hưng, Hồ Chí Minh, Việt NamBIA HƠI QUẬN 7 | KIÊN BÉO"/>
    <n v="1"/>
    <x v="1"/>
    <x v="11"/>
    <d v="1899-12-30T07:59:24"/>
    <x v="4"/>
  </r>
  <r>
    <s v="3565195961246638303"/>
    <s v=""/>
    <x v="11"/>
    <n v="0"/>
    <s v=""/>
    <s v="NULL"/>
    <x v="0"/>
    <s v="2026-08-19 08:04:21"/>
    <s v="2026-08-19 08:14:20"/>
    <s v="NULL"/>
    <s v="NULL"/>
    <s v="2026-08-19 10:14:20"/>
    <s v=""/>
    <s v="106.5099105"/>
    <s v="10.6322967"/>
    <s v="106.6471137"/>
    <s v="10.8930888"/>
    <n v="233820"/>
    <n v="0"/>
    <n v="233820"/>
    <s v="Cash"/>
    <s v="400 QL1A, Bến Lức, Tây Ninh, Việt Nam400 Quốc lộ 1A"/>
    <s v="CÔNG TY CỔ PHẦN BA THANH QUẬN 12, Lê Văn Khương, Thới An, Quận 12, Thành phố Hồ Chí Minh, Việt NamCÔNG TY CỔ PHẦN BA THANH QUẬN 12"/>
    <n v="1"/>
    <x v="1"/>
    <x v="11"/>
    <d v="1899-12-30T08:04:21"/>
    <x v="9"/>
  </r>
  <r>
    <s v="3565196888607249333"/>
    <s v=""/>
    <x v="11"/>
    <n v="4179701"/>
    <s v=""/>
    <s v="Motorcycle"/>
    <x v="2"/>
    <s v="2026-08-19 08:00:29"/>
    <s v="2026-08-19 08:10:28"/>
    <s v="2026-08-19 10:51:25"/>
    <s v="NULL"/>
    <s v=""/>
    <s v=""/>
    <s v="106.512463"/>
    <s v="10.6195398"/>
    <s v="106.6471137"/>
    <s v="10.8930888"/>
    <n v="235008"/>
    <n v="192902"/>
    <n v="42106"/>
    <s v="Cash"/>
    <s v="CÔNG TY TNHH VẬT LIỆU CÔNG NGHỆ CAO LONGDA WEIFANG VIỆT NAM, Đ. Số 1, Khu công nghiệp Phúc Long, Mỹ Yên, Tây Ninh, Việt NamCÔNG TY TNHH VẬT LIỆU CÔNG NGHỆ CAO LONGDA WEIFANG VIỆT NAM"/>
    <s v="CÔNG TY CỔ PHẦN BA THANH QUẬN 12, Lê Văn Khương, Thới An, Quận 12, Thành phố Hồ Chí Minh, Việt NamCÔNG TY CỔ PHẦN BA THANH QUẬN 12"/>
    <n v="1"/>
    <x v="1"/>
    <x v="11"/>
    <d v="1899-12-30T08:00:29"/>
    <x v="14"/>
  </r>
  <r>
    <s v="3565199298687881663"/>
    <s v=""/>
    <x v="11"/>
    <n v="0"/>
    <s v=""/>
    <s v="NULL"/>
    <x v="0"/>
    <s v="2026-08-19 08:02:41"/>
    <s v="2026-08-19 08:12:41"/>
    <s v="NULL"/>
    <s v="NULL"/>
    <s v="2026-08-19 10:12:41"/>
    <s v=""/>
    <s v="106.5099105"/>
    <s v="10.6322967"/>
    <s v="106.6445037"/>
    <s v="10.7432457"/>
    <n v="155304"/>
    <n v="0"/>
    <n v="155304"/>
    <s v="Cash"/>
    <s v="400 QL1A, Bến Lức, Tây Ninh, Việt Nam400 Quốc lộ 1A"/>
    <s v="108, 110 Đ. Phạm Phú Thứ, Phường 3, Quận 6, Hồ Chí Minh 700000, Việt NamCông Ty TNHH Phương Diêm Thuận"/>
    <n v="1"/>
    <x v="1"/>
    <x v="11"/>
    <d v="1899-12-30T08:02:41"/>
    <x v="4"/>
  </r>
  <r>
    <s v="3565199410709352749"/>
    <s v=""/>
    <x v="11"/>
    <n v="0"/>
    <s v=""/>
    <s v="NULL"/>
    <x v="0"/>
    <s v="2026-08-19 08:02:28"/>
    <s v="2026-08-19 08:12:27"/>
    <s v="NULL"/>
    <s v="NULL"/>
    <s v="2026-08-19 10:12:27"/>
    <s v=""/>
    <s v="106.5099105"/>
    <s v="10.6322967"/>
    <s v="106.6592056"/>
    <s v="10.7557306"/>
    <n v="165564"/>
    <n v="0"/>
    <n v="165564"/>
    <s v="Cash"/>
    <s v="400 QL1A, Bến Lức, Tây Ninh, Việt Nam400 Quốc lộ 1A"/>
    <s v="45 Phạm Hữu Chí, Phường 12, Quận 5, Hồ Chí Minh, Việt NamCông Ty Tnhh Quốc Hoàng"/>
    <n v="1"/>
    <x v="1"/>
    <x v="11"/>
    <d v="1899-12-30T08:02:28"/>
    <x v="9"/>
  </r>
  <r>
    <s v="3565200936085450792"/>
    <s v=""/>
    <x v="11"/>
    <n v="0"/>
    <s v=""/>
    <s v="NULL"/>
    <x v="0"/>
    <s v="2026-08-19 08:03:59"/>
    <s v="2026-08-19 08:13:58"/>
    <s v="NULL"/>
    <s v="NULL"/>
    <s v="2026-08-19 10:13:58"/>
    <s v=""/>
    <s v="106.5099105"/>
    <s v="10.6322967"/>
    <s v="106.6430116"/>
    <s v="10.7636706"/>
    <n v="164160"/>
    <n v="0"/>
    <n v="164160"/>
    <s v="Cash"/>
    <s v="400 QL1A, Bến Lức, Tây Ninh, Việt Nam400 Quốc lộ 1A"/>
    <s v="270, 272 Đ. Bình Thới, Phường 10, Quận 11, Hồ Chí Minh, Việt NamCông an Quận 11"/>
    <n v="1"/>
    <x v="1"/>
    <x v="11"/>
    <d v="1899-12-30T08:03:59"/>
    <x v="9"/>
  </r>
  <r>
    <s v="3565201185210327527"/>
    <s v="ywja"/>
    <x v="8"/>
    <n v="0"/>
    <s v=""/>
    <s v="NULL"/>
    <x v="0"/>
    <s v="2026-08-19 08:13:12"/>
    <s v="2026-08-19 08:23:00"/>
    <s v="NULL"/>
    <s v="NULL"/>
    <s v="2026-08-19 11:07:33"/>
    <s v=""/>
    <s v="106.30598343908787"/>
    <s v="10.458343150149723"/>
    <s v="106.647212728858"/>
    <s v="10.803703335394124"/>
    <n v="277776"/>
    <n v="0"/>
    <n v="277776"/>
    <s v="Cash"/>
    <s v="CÔNG TY TNHH BESTWAY, Khu Công Nghiệp, Tân Lập 1, Tân Phước, Tiền Giang, Việt NamCÔNG TY TNHH BESTWAY"/>
    <s v="205 Hoàng Hoa Thám, Phường 13, Tân Bình, Thành phố Hồ Chí Minh, Việt Nam205 Hoàng Hoa Thám"/>
    <n v="1"/>
    <x v="1"/>
    <x v="11"/>
    <d v="1899-12-30T08:13:12"/>
    <x v="228"/>
  </r>
  <r>
    <s v="3565205623731872275"/>
    <s v=""/>
    <x v="10"/>
    <n v="3261885"/>
    <s v="hang 80kg nha tx"/>
    <s v="Motorcycle"/>
    <x v="1"/>
    <s v="2026-08-19 08:20:33"/>
    <s v="2026-08-19 08:30:00"/>
    <s v="2026-08-19 08:20:43"/>
    <s v="NULL"/>
    <s v="2026-08-19 08:20:54"/>
    <s v=""/>
    <s v="106.48017782717943"/>
    <s v="10.842323094076812"/>
    <s v="107.4262813"/>
    <s v="10.5585237"/>
    <n v="577044"/>
    <n v="447343"/>
    <n v="129701"/>
    <s v="Cash"/>
    <s v="Đường Chưa Đặt Tên, Mỹ Hạnh, Tây Ninh, Việt NamĐường Chưa Đặt Tên"/>
    <s v="Xuyên Mộc, Bà Rịa - Vũng Tàu, Việt NamXuyên Mộc"/>
    <n v="1"/>
    <x v="1"/>
    <x v="11"/>
    <d v="1899-12-30T08:20:33"/>
    <x v="229"/>
  </r>
  <r>
    <s v="3565206689244471454"/>
    <s v=""/>
    <x v="10"/>
    <n v="3241501"/>
    <s v="hang 80kg nha tx"/>
    <s v="Motorcycle"/>
    <x v="1"/>
    <s v="2026-08-19 08:18:03"/>
    <s v="2026-08-19 08:28:00"/>
    <s v="2026-08-19 08:18:07"/>
    <s v="NULL"/>
    <s v="2026-08-19 08:18:25"/>
    <s v=""/>
    <s v="106.48017782717943"/>
    <s v="10.842323094076812"/>
    <s v="106.9004472"/>
    <s v="11.5099618"/>
    <n v="499932"/>
    <n v="387563"/>
    <n v="112369"/>
    <s v="Cash"/>
    <s v="Đường Chưa Đặt Tên, Mỹ Hạnh, Tây Ninh, Việt NamĐường Chưa Đặt Tên"/>
    <s v="Bình Phước, Đồng Nai, Việt NamBình Phước"/>
    <n v="1"/>
    <x v="1"/>
    <x v="11"/>
    <d v="1899-12-30T08:18:03"/>
    <x v="230"/>
  </r>
  <r>
    <s v="3565208488777044384"/>
    <s v=""/>
    <x v="10"/>
    <n v="3033987"/>
    <s v="hang 80kg nha tx"/>
    <s v="Motorcycle"/>
    <x v="1"/>
    <s v="2026-08-19 08:18:56"/>
    <s v="2026-08-19 08:28:00"/>
    <s v="2026-08-19 08:19:00"/>
    <s v="NULL"/>
    <s v="2026-08-19 08:19:09"/>
    <s v=""/>
    <s v="106.48017782717943"/>
    <s v="10.842323094076812"/>
    <s v="106.8045949"/>
    <s v="10.9364413"/>
    <n v="257040"/>
    <n v="199265"/>
    <n v="57775"/>
    <s v="Cash"/>
    <s v="Đường Chưa Đặt Tên, Mỹ Hạnh, Tây Ninh, Việt NamĐường Chưa Đặt Tên"/>
    <s v="Biên Hòa, Đồng Nai, Việt NamBiên Hòa"/>
    <n v="1"/>
    <x v="1"/>
    <x v="11"/>
    <d v="1899-12-30T08:18:56"/>
    <x v="231"/>
  </r>
  <r>
    <s v="3565208891564446032"/>
    <s v=""/>
    <x v="10"/>
    <n v="3033987"/>
    <s v="hang 80kg nha tx"/>
    <s v="Motorcycle"/>
    <x v="1"/>
    <s v="2026-08-19 08:19:37"/>
    <s v="2026-08-19 08:29:00"/>
    <s v="2026-08-19 08:19:41"/>
    <s v="NULL"/>
    <s v="2026-08-19 08:19:49"/>
    <s v=""/>
    <s v="106.48017782717943"/>
    <s v="10.842323094076812"/>
    <s v="106.4994889"/>
    <s v="10.5280095"/>
    <n v="258984"/>
    <n v="200773"/>
    <n v="58211"/>
    <s v="Cash"/>
    <s v="Đường Chưa Đặt Tên, Mỹ Hạnh, Tây Ninh, Việt NamĐường Chưa Đặt Tên"/>
    <s v="Tân Trụ, Long An, Việt NamTân Trụ"/>
    <n v="1"/>
    <x v="1"/>
    <x v="11"/>
    <d v="1899-12-30T08:19:37"/>
    <x v="232"/>
  </r>
  <r>
    <s v="3565208891606393024"/>
    <s v="ywja"/>
    <x v="8"/>
    <n v="3693683"/>
    <s v=""/>
    <s v="Motorcycle"/>
    <x v="2"/>
    <s v="2026-08-19 08:25:09"/>
    <s v="2026-08-19 08:35:00"/>
    <s v="2026-08-19 08:42:23"/>
    <s v="NULL"/>
    <s v=""/>
    <s v=""/>
    <s v="106.31478141993284"/>
    <s v="10.461936927273232"/>
    <s v="106.68829511851072"/>
    <s v="10.822805382110527"/>
    <n v="328968"/>
    <n v="255026"/>
    <n v="73942"/>
    <s v="Cash"/>
    <s v="Trạm Gas South , Yongjin, Tân Lập 1, Tân Phước, Tiền Giang, Việt NamTrạm Gas South , Yongjin"/>
    <s v="4 Đường Nguyễn Văn Nghi, Phường 5, Quận Gò Vấp, Hồ Chí Minh, Việt Nam4 Đường Nguyễn Văn Nghi"/>
    <n v="1"/>
    <x v="1"/>
    <x v="11"/>
    <d v="1899-12-30T08:25:09"/>
    <x v="14"/>
  </r>
  <r>
    <s v="3565210567876759759"/>
    <s v="ywja"/>
    <x v="8"/>
    <n v="4411069"/>
    <s v=""/>
    <s v="Motorcycle"/>
    <x v="1"/>
    <s v="2026-08-19 08:22:22"/>
    <s v="2026-08-19 08:32:00"/>
    <s v="2026-08-19 09:07:03"/>
    <s v="NULL"/>
    <s v="2026-08-19 09:08:00"/>
    <s v=""/>
    <s v="106.30598343908787"/>
    <s v="10.458343150149723"/>
    <s v="106.65973596274853"/>
    <s v="10.803249842955015"/>
    <n v="282204"/>
    <n v="218773"/>
    <n v="63431"/>
    <s v="Cash"/>
    <s v="CÔNG TY TNHH BESTWAY, Khu Công Nghiệp, Tân Lập 1, Tân Phước, Tiền Giang, Việt NamCÔNG TY TNHH BESTWAY"/>
    <s v="23 Đường Ba Vì, Phường 4, Quận Tân Bình, Hồ Chí Minh, Việt NamCông Ty CP Đầu Tư Thiết Bị Việt Long"/>
    <n v="1"/>
    <x v="1"/>
    <x v="11"/>
    <d v="1899-12-30T08:22:22"/>
    <x v="233"/>
  </r>
  <r>
    <s v="3565215198405153736"/>
    <s v=""/>
    <x v="10"/>
    <n v="3092718"/>
    <s v="50kg không xin thêm "/>
    <s v="Motorcycle"/>
    <x v="1"/>
    <s v="2026-08-19 08:32:49"/>
    <s v="2026-08-19 08:42:00"/>
    <s v="2026-08-19 08:33:04"/>
    <s v="NULL"/>
    <s v="2026-08-19 08:33:22"/>
    <s v=""/>
    <s v="106.47655986249447"/>
    <s v="10.808381150612496"/>
    <s v="105.8799598"/>
    <s v="10.3196309"/>
    <n v="541944"/>
    <n v="420132"/>
    <n v="121812"/>
    <s v="Cash"/>
    <s v="hai, Đ.Cây Đ./469 Ấp Bình Tiền 2, Đức Hòa Hạ, Đức Hòa, Long An, Việt Nam469 Dường Cây Dương"/>
    <s v="8V9H+RXM, QL30, Thanh Hưng, Đồng Tháp, Việt NamTiền Giang"/>
    <n v="1"/>
    <x v="1"/>
    <x v="11"/>
    <d v="1899-12-30T08:32:49"/>
    <x v="234"/>
  </r>
  <r>
    <s v="3565215345482620961"/>
    <s v=""/>
    <x v="10"/>
    <n v="3737957"/>
    <s v=""/>
    <s v="Motorcycle"/>
    <x v="1"/>
    <s v="2026-08-19 08:36:09"/>
    <s v="2026-08-19 08:46:00"/>
    <s v="2026-08-19 08:36:20"/>
    <s v="NULL"/>
    <s v="2026-08-19 08:36:50"/>
    <s v=""/>
    <s v="106.47655986249447"/>
    <s v="10.808381150612496"/>
    <s v="106.7559004"/>
    <s v="10.8378053"/>
    <n v="239004"/>
    <n v="196182"/>
    <n v="42822"/>
    <s v="Cash"/>
    <s v="hai, Đ.Cây Đ./469 Ấp Bình Tiền 2, Đức Hòa Hạ, Đức Hòa, Long An, Việt Nam469 Dường Cây Dương"/>
    <s v="Thủ Đức, Hồ Chí Minh, Việt NamThủ Đức"/>
    <n v="1"/>
    <x v="1"/>
    <x v="11"/>
    <d v="1899-12-30T08:36:09"/>
    <x v="235"/>
  </r>
  <r>
    <s v="3565216449247273481"/>
    <s v=""/>
    <x v="10"/>
    <n v="3763978"/>
    <s v=""/>
    <s v="Motorcycle"/>
    <x v="1"/>
    <s v="2026-08-19 08:39:07"/>
    <s v="2026-08-19 08:49:00"/>
    <s v="2026-08-19 08:39:20"/>
    <s v="NULL"/>
    <s v="2026-08-19 08:39:55"/>
    <s v=""/>
    <s v="106.47655986249447"/>
    <s v="10.808381150612496"/>
    <s v="106.6745776"/>
    <s v="10.865126"/>
    <n v="177012"/>
    <n v="137225"/>
    <n v="39787"/>
    <s v="Cash"/>
    <s v="hai, Đ.Cây Đ./469 Ấp Bình Tiền 2, Đức Hòa Hạ, Đức Hòa, Long An, Việt Nam469 Dường Cây Dương"/>
    <s v="Quận 12, Thới An, Thành phố Hồ Chí Minh, Hồ Chí Minh, Việt NamQuận 12"/>
    <n v="1"/>
    <x v="1"/>
    <x v="11"/>
    <d v="1899-12-30T08:39:07"/>
    <x v="236"/>
  </r>
  <r>
    <s v="3565216449247273490"/>
    <s v="ywja"/>
    <x v="8"/>
    <n v="3746341"/>
    <s v=""/>
    <s v="Motorcycle"/>
    <x v="1"/>
    <s v="2026-08-19 08:39:08"/>
    <s v="2026-08-19 08:49:00"/>
    <s v="2026-08-19 08:46:33"/>
    <s v="NULL"/>
    <s v="2026-08-19 08:54:50"/>
    <s v=""/>
    <s v="106.49800982326269"/>
    <s v="10.631614148667111"/>
    <s v="106.670245192945"/>
    <s v="10.792942503003369"/>
    <n v="186516"/>
    <n v="153099"/>
    <n v="33417"/>
    <s v="Cash"/>
    <s v="Thị Trấn Bến Lức, Huyện Bến Lức, Long An, Việt NamQuán Ăn Đồng Quê 1"/>
    <s v="Đường Lê Văn Sỹ 184, 72220 Hồ Chí Minh, Việt NamHana Lady"/>
    <n v="1"/>
    <x v="1"/>
    <x v="11"/>
    <d v="1899-12-30T08:39:08"/>
    <x v="237"/>
  </r>
  <r>
    <s v="3565216470705332790"/>
    <s v=""/>
    <x v="10"/>
    <n v="3188102"/>
    <s v="đến ve lấy "/>
    <s v="Motorcycle"/>
    <x v="1"/>
    <s v="2026-08-19 08:34:08"/>
    <s v="2026-08-19 08:44:00"/>
    <s v="2026-08-19 08:34:22"/>
    <s v="NULL"/>
    <s v="2026-08-19 08:34:44"/>
    <s v=""/>
    <s v="106.47655986249447"/>
    <s v="10.808381150612496"/>
    <s v="106.6880841"/>
    <s v="10.6048346"/>
    <n v="260172"/>
    <n v="201694"/>
    <n v="58478"/>
    <s v="Cash"/>
    <s v="hai, Đ.Cây Đ./469 Ấp Bình Tiền 2, Đức Hòa Hạ, Đức Hòa, Long An, Việt Nam469 Dường Cây Dương"/>
    <s v="Cần Giuộc, Long An, Việt NamCần Giuộc"/>
    <n v="1"/>
    <x v="1"/>
    <x v="11"/>
    <d v="1899-12-30T08:34:08"/>
    <x v="238"/>
  </r>
  <r>
    <s v="3565217649438970834"/>
    <s v=""/>
    <x v="10"/>
    <n v="4629465"/>
    <s v="đến lấy hàng "/>
    <s v="Motorcycle"/>
    <x v="1"/>
    <s v="2026-08-19 08:37:31"/>
    <s v="2026-08-19 08:47:00"/>
    <s v="2026-08-19 08:37:43"/>
    <s v="NULL"/>
    <s v="2026-08-19 08:38:14"/>
    <s v=""/>
    <s v="106.47655986249447"/>
    <s v="10.808381150612496"/>
    <s v="106.6408802"/>
    <s v="10.7471372"/>
    <n v="148716"/>
    <n v="115289"/>
    <n v="33427"/>
    <s v="Cash"/>
    <s v="hai, Đ.Cây Đ./469 Ấp Bình Tiền 2, Đức Hòa Hạ, Đức Hòa, Long An, Việt Nam469 Dường Cây Dương"/>
    <s v="221/2h Đ. Phan Văn Khỏe, Bình Tây, Hồ Chí Minh, Việt NamQuận 6"/>
    <n v="1"/>
    <x v="1"/>
    <x v="11"/>
    <d v="1899-12-30T08:37:31"/>
    <x v="239"/>
  </r>
  <r>
    <s v="3565217961788789392"/>
    <s v="ywja"/>
    <x v="8"/>
    <n v="4629889"/>
    <s v=""/>
    <s v="Motorcycle"/>
    <x v="1"/>
    <s v="2026-08-19 08:37:19"/>
    <s v="2026-08-19 08:47:00"/>
    <s v="2026-08-19 08:37:36"/>
    <s v="NULL"/>
    <s v="2026-08-19 09:02:37"/>
    <s v=""/>
    <s v="106.41913678497076"/>
    <s v="10.561482462780845"/>
    <s v="106.647212728858"/>
    <s v="10.803703335394124"/>
    <n v="239868"/>
    <n v="185953"/>
    <n v="53915"/>
    <s v="Cash"/>
    <s v="QL.1A,82107Quán Ăn Hương Quê"/>
    <s v="205 Hoàng Hoa Thám, Phường 13, Tân Bình, Thành phố Hồ Chí Minh, Việt Nam205 Hoàng Hoa Thám"/>
    <n v="1"/>
    <x v="1"/>
    <x v="11"/>
    <d v="1899-12-30T08:37:19"/>
    <x v="240"/>
  </r>
  <r>
    <s v="3565219340313915588"/>
    <s v="ywja"/>
    <x v="8"/>
    <n v="3936015"/>
    <s v=""/>
    <s v="Motorcycle"/>
    <x v="1"/>
    <s v="2026-08-19 08:41:27"/>
    <s v="2026-08-19 08:51:00"/>
    <s v="2026-08-19 08:41:34"/>
    <s v="NULL"/>
    <s v="2026-08-19 08:51:35"/>
    <s v=""/>
    <s v="106.48545406758785"/>
    <s v="10.640324573905097"/>
    <s v="106.65973596274853"/>
    <s v="10.803249842955015"/>
    <n v="168372"/>
    <n v="130527"/>
    <n v="37845"/>
    <s v="Cash"/>
    <s v="164 Đường Võ Công Tồn, Thị Trấn Bến Lức, Huyện Bến Lức, Long An, Việt NamTiệm Bánh Sầu Riêng Bé Te"/>
    <s v="23 Đường Ba Vì, Phường 4, Quận Tân Bình, Hồ Chí Minh, Việt NamCông Ty CP Đầu Tư Thiết Bị Việt Long"/>
    <n v="1"/>
    <x v="1"/>
    <x v="11"/>
    <d v="1899-12-30T08:41:27"/>
    <x v="241"/>
  </r>
  <r>
    <s v="3565219479464137289"/>
    <s v=""/>
    <x v="10"/>
    <n v="4241180"/>
    <s v=""/>
    <s v="Motorcycle"/>
    <x v="1"/>
    <s v="2026-08-19 08:40:05"/>
    <s v="2026-08-19 08:50:00"/>
    <s v="2026-08-19 08:40:17"/>
    <s v="NULL"/>
    <s v="2026-08-19 08:40:44"/>
    <s v=""/>
    <s v="106.47655986249447"/>
    <s v="10.808381150612496"/>
    <s v="106.6745776"/>
    <s v="10.865126"/>
    <n v="177012"/>
    <n v="145297"/>
    <n v="31715"/>
    <s v="Cash"/>
    <s v="hai, Đ.Cây Đ./469 Ấp Bình Tiền 2, Đức Hòa Hạ, Đức Hòa, Long An, Việt Nam469 Dường Cây Dương"/>
    <s v="Quận 12, Thới An, Thành phố Hồ Chí Minh, Hồ Chí Minh, Việt NamQuận 12"/>
    <n v="1"/>
    <x v="1"/>
    <x v="11"/>
    <d v="1899-12-30T08:40:05"/>
    <x v="217"/>
  </r>
  <r>
    <s v="3565220503620903352"/>
    <s v=""/>
    <x v="10"/>
    <n v="3763978"/>
    <s v=""/>
    <s v="Motorcycle"/>
    <x v="1"/>
    <s v="2026-08-19 08:41:35"/>
    <s v="2026-08-19 08:51:00"/>
    <s v="2026-08-19 08:41:49"/>
    <s v="NULL"/>
    <s v="2026-08-19 08:42:07"/>
    <s v=""/>
    <s v="106.47655986249447"/>
    <s v="10.808381150612496"/>
    <s v="106.5672462"/>
    <s v="10.6630417"/>
    <n v="160812"/>
    <n v="124667"/>
    <n v="36145"/>
    <s v="Cash"/>
    <s v="hai, Đ.Cây Đ./469 Ấp Bình Tiền 2, Đức Hòa Hạ, Đức Hòa, Long An, Việt Nam469 Dường Cây Dương"/>
    <s v="Bình Chánh, Hồ Chí Minh, Việt NamBình Chánh"/>
    <n v="1"/>
    <x v="1"/>
    <x v="11"/>
    <d v="1899-12-30T08:41:35"/>
    <x v="242"/>
  </r>
  <r>
    <s v="3565221530948555174"/>
    <s v=""/>
    <x v="10"/>
    <n v="3616275"/>
    <s v="gần cây xăng "/>
    <s v="Motorcycle"/>
    <x v="1"/>
    <s v="2026-08-19 08:43:35"/>
    <s v="2026-08-19 08:53:00"/>
    <s v="2026-08-19 08:43:46"/>
    <s v="NULL"/>
    <s v="2026-08-19 08:44:05"/>
    <s v=""/>
    <s v="106.47655986249447"/>
    <s v="10.808381150612496"/>
    <s v="106.4111425"/>
    <s v="10.516389"/>
    <n v="253800"/>
    <n v="196754"/>
    <n v="57046"/>
    <s v="Cash"/>
    <s v="hai, Đ.Cây Đ./469 Ấp Bình Tiền 2, Đức Hòa Hạ, Đức Hòa, Long An, Việt Nam469 Dường Cây Dương"/>
    <s v="Tân An, Tây Ninh, Việt NamTân An"/>
    <n v="1"/>
    <x v="1"/>
    <x v="11"/>
    <d v="1899-12-30T08:43:35"/>
    <x v="243"/>
  </r>
  <r>
    <s v="3565232375153779504"/>
    <s v="ywja"/>
    <x v="8"/>
    <n v="0"/>
    <s v="nhận đi mấy anh ơi, sao không ai vậy "/>
    <s v="NULL"/>
    <x v="0"/>
    <s v="2026-08-19 09:09:00"/>
    <s v="2026-08-19 09:19:00"/>
    <s v="NULL"/>
    <s v="NULL"/>
    <s v="2026-08-19 12:20:35"/>
    <s v=""/>
    <s v="106.30598343908787"/>
    <s v="10.458343150149723"/>
    <s v="106.65973596274853"/>
    <s v="10.803249842955015"/>
    <n v="359100"/>
    <n v="0"/>
    <n v="359100"/>
    <s v="Cash"/>
    <s v="CÔNG TY TNHH BESTWAY, Khu Công Nghiệp, Tân Lập 1, Tân Phước, Tiền Giang, Việt NamCÔNG TY TNHH BESTWAY"/>
    <s v="23 Đường Ba Vì, Phường 4, Quận Tân Bình, Hồ Chí Minh, Việt NamCông Ty CP Đầu Tư Thiết Bị Việt Long"/>
    <n v="1"/>
    <x v="1"/>
    <x v="11"/>
    <d v="1899-12-30T09:09:00"/>
    <x v="244"/>
  </r>
  <r>
    <s v="3565367936552236001"/>
    <s v=""/>
    <x v="12"/>
    <n v="1644969"/>
    <s v=""/>
    <s v="Motorcycle"/>
    <x v="2"/>
    <s v="2026-08-19 13:33:24"/>
    <s v="2026-08-19 13:43:00"/>
    <s v="2026-08-19 14:31:16"/>
    <s v="NULL"/>
    <s v=""/>
    <s v=""/>
    <s v="106.399390026927"/>
    <s v="10.548015198987503"/>
    <s v="106.7529514"/>
    <s v="10.9006383"/>
    <n v="292032"/>
    <n v="226392"/>
    <n v="65640"/>
    <s v="Cash"/>
    <s v="Đường Hùng Vương Nối Dài,82110MV Beauty"/>
    <s v="Dĩ An, Thành phố Hồ Chí Minh, Bình Dương, Việt NamDĩ An"/>
    <n v="1"/>
    <x v="1"/>
    <x v="11"/>
    <d v="1899-12-30T13:33:24"/>
    <x v="14"/>
  </r>
  <r>
    <s v="3565368578725343955"/>
    <s v=""/>
    <x v="12"/>
    <n v="0"/>
    <s v=""/>
    <s v="NULL"/>
    <x v="0"/>
    <s v="2026-08-19 13:35:54"/>
    <s v="2026-08-19 13:45:00"/>
    <s v="NULL"/>
    <s v="NULL"/>
    <s v="2026-08-19 16:02:10"/>
    <s v=""/>
    <s v="106.34515173733234"/>
    <s v="10.486100864664726"/>
    <s v="106.75996609032154"/>
    <s v="10.900702322034773"/>
    <n v="334044"/>
    <n v="0"/>
    <n v="334044"/>
    <s v="Cash"/>
    <s v="77 ĐT866, Tân Hương, Đồng Tháp, Việt Nam77 Đường tỉnh 866"/>
    <s v="81 Đường số 21, Dĩ An, Bình Dương 75000, Việt Nam81 Đường số 21"/>
    <n v="1"/>
    <x v="1"/>
    <x v="11"/>
    <d v="1899-12-30T13:35:54"/>
    <x v="245"/>
  </r>
  <r>
    <s v="3565369247289012658"/>
    <s v=""/>
    <x v="12"/>
    <n v="1977244"/>
    <s v=""/>
    <s v="Motorcycle"/>
    <x v="2"/>
    <s v="2026-08-19 13:36:44"/>
    <s v="2026-08-19 13:46:00"/>
    <s v="2026-08-19 14:54:52"/>
    <s v="NULL"/>
    <s v=""/>
    <s v=""/>
    <s v="106.39836207032204"/>
    <s v="10.550741725614438"/>
    <s v="106.7719005793333"/>
    <s v="10.910786689119115"/>
    <n v="289224"/>
    <n v="224216"/>
    <n v="65008"/>
    <s v="Cash"/>
    <s v="84 Tuyến tránh QL 1, Long An, Tây Ninh, Việt Nam84 Tuyến tránh QL 1"/>
    <s v="Bánh Kem Rau Câu Trường An, Đông Tác, P, phường Tân Đông Hiệp, Dĩ An, Bình Dương, Việt NamBánh Kem Rau Câu Trường An"/>
    <n v="1"/>
    <x v="1"/>
    <x v="11"/>
    <d v="1899-12-30T13:36:44"/>
    <x v="14"/>
  </r>
  <r>
    <s v="3565877103104840670"/>
    <s v=""/>
    <x v="12"/>
    <n v="0"/>
    <s v=""/>
    <s v="NULL"/>
    <x v="0"/>
    <s v="2026-08-20 07:03:37"/>
    <s v="2026-08-20 07:13:00"/>
    <s v="NULL"/>
    <s v="NULL"/>
    <s v="2026-08-20 09:13:00"/>
    <s v=""/>
    <s v="106.30635123699903"/>
    <s v="10.458177307870674"/>
    <s v="106.65078945457935"/>
    <s v="10.800583214519094"/>
    <n v="286524"/>
    <n v="0"/>
    <n v="286524"/>
    <s v="Cash"/>
    <s v="CÔNG TY TNHH BESTWAY, Khu Công Nghiệp, Tân Lập 1, Tân Phước, Tiền Giang, Việt NamCÔNG TY TNHH BESTWAY"/>
    <s v="120 Đường A4, Phường 12, Tân Bình, Hồ Chí Minh, Việt Nam120 Đường A4"/>
    <n v="1"/>
    <x v="1"/>
    <x v="12"/>
    <d v="1899-12-30T07:03:37"/>
    <x v="246"/>
  </r>
  <r>
    <s v="3565877103121625644"/>
    <s v=""/>
    <x v="13"/>
    <n v="0"/>
    <s v=""/>
    <s v="NULL"/>
    <x v="0"/>
    <s v="2026-08-20 07:08:05"/>
    <s v="2026-08-20 07:18:03"/>
    <s v="NULL"/>
    <s v="NULL"/>
    <s v="2026-08-20 09:26:21"/>
    <s v=""/>
    <s v="106.490165"/>
    <s v="10.6014965"/>
    <s v="106.6535879"/>
    <s v="11.1186527"/>
    <n v="306072"/>
    <n v="0"/>
    <n v="306072"/>
    <s v="Cash"/>
    <s v="Công ty TNHH Supply Solutions &amp; Trading - Chi nhánh Long An, Long Cang, Tây Ninh, Việt NamCông ty TNHH Supply Solutions &amp; Trading - Chi nhánh Long An"/>
    <s v="CTY TNHH CHERVON VIỆT NAM - Xưởng 1, DE5, P, Thới Hòa, Hồ Chí Minh, Việt NamCTY TNHH CHERVON VIỆT NAM - Xưởng 1"/>
    <n v="1"/>
    <x v="1"/>
    <x v="12"/>
    <d v="1899-12-30T07:08:05"/>
    <x v="247"/>
  </r>
  <r>
    <s v="3565882913029575366"/>
    <s v=""/>
    <x v="12"/>
    <n v="4868126"/>
    <s v=""/>
    <s v="Motorcycle"/>
    <x v="2"/>
    <s v="2026-08-20 06:58:25"/>
    <s v="2026-08-20 07:08:00"/>
    <s v="2026-08-20 09:11:33"/>
    <s v="NULL"/>
    <s v=""/>
    <s v=""/>
    <s v="106.36606357991695"/>
    <s v="10.55088213844459"/>
    <s v="106.77031103521585"/>
    <s v="10.90962521501621"/>
    <n v="283716"/>
    <n v="219946"/>
    <n v="63770"/>
    <s v="Cash"/>
    <s v="Lô C1 Đường Sô 1, Cụm CN, Khánh Hậu, Tây Ninh, Việt NamLô C1 Đường Sô 1"/>
    <s v="350 Đường Nguyễn An Ninh, Phường Dĩ An, Dĩ An, Bình Dương, Việt Nam350 Đường Nguyễn An Ninh"/>
    <n v="1"/>
    <x v="1"/>
    <x v="12"/>
    <d v="1899-12-30T06:58:25"/>
    <x v="14"/>
  </r>
  <r>
    <s v="3565883754859950851"/>
    <s v=""/>
    <x v="12"/>
    <n v="0"/>
    <s v=""/>
    <s v="NULL"/>
    <x v="0"/>
    <s v="2026-08-20 06:59:59"/>
    <s v="2026-08-20 07:09:00"/>
    <s v="NULL"/>
    <s v="NULL"/>
    <s v="2026-08-20 09:11:50"/>
    <s v=""/>
    <s v="106.36153802275658"/>
    <s v="10.547229076752894"/>
    <s v="106.62206768989563"/>
    <s v="10.758129689452552"/>
    <n v="178200"/>
    <n v="0"/>
    <n v="178200"/>
    <s v="Cash"/>
    <s v="20 Đường số 6, Lợi Bình Nhơn, Tân An, Long An, Việt NamBao Bì Đại Lục CN Long An Kho Mới"/>
    <s v="398/TL10/24 24, Khu Phố 15, Bình Tân, Hồ Chí Minh, Việt Nam24,Tỉnh lộ 10"/>
    <n v="1"/>
    <x v="1"/>
    <x v="12"/>
    <d v="1899-12-30T06:59:59"/>
    <x v="248"/>
  </r>
  <r>
    <s v="3565883754876723776"/>
    <s v=""/>
    <x v="12"/>
    <n v="0"/>
    <s v=""/>
    <s v="NULL"/>
    <x v="0"/>
    <s v="2026-08-20 07:06:30"/>
    <s v="2026-08-20 07:16:00"/>
    <s v="NULL"/>
    <s v="NULL"/>
    <s v="2026-08-20 09:44:51"/>
    <s v=""/>
    <s v="106.35246008634567"/>
    <s v="10.495822218772497"/>
    <s v="106.4460913091898"/>
    <s v="10.809646756491128"/>
    <n v="288252"/>
    <n v="0"/>
    <n v="288252"/>
    <s v="Cash"/>
    <s v="Đ. Số 1, Tân Hương, Đồng Tháp, Việt NamĐ. Số 1"/>
    <s v="ĐT824, Hựu Thạnh, Đức Hòa, Long An, Việt NamNhà Nghỉ Yến Anh"/>
    <n v="1"/>
    <x v="1"/>
    <x v="12"/>
    <d v="1899-12-30T07:06:30"/>
    <x v="249"/>
  </r>
  <r>
    <s v="3565883754876724211"/>
    <s v=""/>
    <x v="13"/>
    <n v="0"/>
    <s v=""/>
    <s v="NULL"/>
    <x v="0"/>
    <s v="2026-08-20 07:09:56"/>
    <s v="2026-08-20 07:19:55"/>
    <s v="NULL"/>
    <s v="NULL"/>
    <s v="2026-08-20 09:19:55"/>
    <s v=""/>
    <s v="106.490165"/>
    <s v="10.6014965"/>
    <s v="106.6579677"/>
    <s v="10.9748155"/>
    <n v="239760"/>
    <n v="0"/>
    <n v="239760"/>
    <s v="Cash"/>
    <s v="Công ty TNHH Supply Solutions &amp; Trading - Chi nhánh Long An, Long Cang, Tây Ninh, Việt NamCông ty TNHH Supply Solutions &amp; Trading - Chi nhánh Long An"/>
    <s v="Công Ty Bảo Việt Bình Dương, Lý Thường Kiệt, phường, Thủ Dầu Một, Hồ Chí Minh, Việt NamCông Ty Bảo Việt Bình Dương"/>
    <n v="1"/>
    <x v="1"/>
    <x v="12"/>
    <d v="1899-12-30T07:09:56"/>
    <x v="9"/>
  </r>
  <r>
    <s v="3565883796215784352"/>
    <s v=""/>
    <x v="12"/>
    <n v="0"/>
    <s v=""/>
    <s v="NULL"/>
    <x v="0"/>
    <s v="2026-08-20 07:01:12"/>
    <s v="2026-08-20 07:11:00"/>
    <s v="NULL"/>
    <s v="NULL"/>
    <s v="2026-08-20 09:11:00"/>
    <s v=""/>
    <s v="106.34603183716536"/>
    <s v="10.492009603921154"/>
    <s v="106.66133355349302"/>
    <s v="10.783610361900754"/>
    <n v="275076"/>
    <n v="0"/>
    <n v="275076"/>
    <s v="Cash"/>
    <s v="ĐT.866,84610Xã Tân Lý Đông"/>
    <s v="Đường Bắc Hải 276, 72117 Hồ Chí Minh, Việt NamNha Khoa Hồng Ngọc Nha Khoa Uy Tín Tân Bình Nha Khoa Thẩm Mỹ Quận 10"/>
    <n v="1"/>
    <x v="1"/>
    <x v="12"/>
    <d v="1899-12-30T07:01:12"/>
    <x v="250"/>
  </r>
  <r>
    <s v="3565883796249342655"/>
    <s v=""/>
    <x v="13"/>
    <n v="0"/>
    <s v=""/>
    <s v="NULL"/>
    <x v="0"/>
    <s v="2026-08-20 07:15:11"/>
    <s v="2026-08-20 07:25:09"/>
    <s v="NULL"/>
    <s v="NULL"/>
    <s v="2026-08-20 09:25:09"/>
    <s v=""/>
    <s v="106.4950478"/>
    <s v="10.6029568"/>
    <s v="106.57682970487976"/>
    <s v="10.910251766486613"/>
    <n v="198936"/>
    <n v="0"/>
    <n v="198936"/>
    <s v="Cash"/>
    <s v="CÔNG TY TNHH ADVANCE KNITTING VIỆT NAM, COMMUNE, Long Cang, Tây Ninh, Việt NamCÔNG TY TNHH ADVANCE KNITTING VIỆT NAM"/>
    <s v="WH6G+4P Hóc Môn, Hồ Chí Minh, Việt NamWH6G+4P Hóc Môn, Hồ Chí Minh, Việt Nam"/>
    <n v="1"/>
    <x v="1"/>
    <x v="12"/>
    <d v="1899-12-30T07:15:11"/>
    <x v="208"/>
  </r>
  <r>
    <s v="3565886202177614674"/>
    <s v=""/>
    <x v="13"/>
    <n v="0"/>
    <s v=""/>
    <s v="NULL"/>
    <x v="0"/>
    <s v="2026-08-20 07:18:28"/>
    <s v="2026-08-20 07:28:26"/>
    <s v="NULL"/>
    <s v="NULL"/>
    <s v="2026-08-20 09:28:26"/>
    <s v=""/>
    <s v="106.4922768"/>
    <s v="10.6041638"/>
    <s v="106.59979903578188"/>
    <s v="10.794935147822118"/>
    <n v="170424"/>
    <n v="0"/>
    <n v="170424"/>
    <s v="Cash"/>
    <s v="CÔNG TY TNHH SAN LEN C VIỆT NAM, Đường số 13, KCN Thuận Đạo mở rộng, Long Cang, Tây Ninh, Việt NamCÔNG TY TNHH SAN LEN C VIỆT NAM"/>
    <s v="QHVX+XW Bình Hưng Hòa, Hồ Chí Minh, Việt NamQHVX+XW Bình Hưng Hòa, Hồ Chí Minh, Việt Nam"/>
    <n v="1"/>
    <x v="1"/>
    <x v="12"/>
    <d v="1899-12-30T07:18:28"/>
    <x v="208"/>
  </r>
  <r>
    <s v="3565887361944605445"/>
    <s v=""/>
    <x v="12"/>
    <n v="3728922"/>
    <s v="quần áo tranh mắc mưa "/>
    <s v="Motorcycle"/>
    <x v="2"/>
    <s v="2026-08-20 07:04:58"/>
    <s v="2026-08-20 07:14:00"/>
    <s v="2026-08-20 10:14:15"/>
    <s v="2026-08-20 10:23:32"/>
    <s v=""/>
    <s v=""/>
    <s v="106.36051509529352"/>
    <s v="10.488522330622468"/>
    <s v="106.77281353622675"/>
    <s v="10.91040479904185"/>
    <n v="319680"/>
    <n v="247826"/>
    <n v="71854"/>
    <s v="Cash"/>
    <s v="Đ. D3, Tân Hương, Châu Thành, Tiền Giang, Việt NamCTY TNHH HANSAE TG"/>
    <s v="237 Đường Trần Quang Khải, Tân Đông Hiệp, Dĩ An, Bình Dương, Việt Nam237 Đường Trần Quang Khải"/>
    <n v="1"/>
    <x v="1"/>
    <x v="12"/>
    <d v="1899-12-30T07:04:58"/>
    <x v="14"/>
  </r>
  <r>
    <s v="3565887361978163686"/>
    <s v=""/>
    <x v="13"/>
    <n v="0"/>
    <s v=""/>
    <s v="NULL"/>
    <x v="0"/>
    <s v="2026-08-20 07:17:41"/>
    <s v="2026-08-20 07:27:39"/>
    <s v="NULL"/>
    <s v="NULL"/>
    <s v="2026-08-20 09:27:39"/>
    <s v=""/>
    <s v="106.4950478"/>
    <s v="10.6029568"/>
    <s v="106.6445654359985"/>
    <s v="10.804507065505675"/>
    <n v="138780"/>
    <n v="0"/>
    <n v="138780"/>
    <s v="Cash"/>
    <s v="CÔNG TY TNHH ADVANCE KNITTING VIỆT NAM, COMMUNE, Long Cang, Tây Ninh, Việt NamCÔNG TY TNHH ADVANCE KNITTING VIỆT NAM"/>
    <s v="36/1 Số 1, Tân Bình, Hồ Chí Minh, Việt Nam36/1 Số 1, Tân Bình, Hồ Chí Minh, Việt Nam"/>
    <n v="1"/>
    <x v="1"/>
    <x v="12"/>
    <d v="1899-12-30T07:17:41"/>
    <x v="208"/>
  </r>
  <r>
    <s v="3565891542793277789"/>
    <s v=""/>
    <x v="12"/>
    <n v="3052631"/>
    <s v=""/>
    <s v="Motorcycle"/>
    <x v="2"/>
    <s v="2026-08-20 07:07:24"/>
    <s v="2026-08-20 07:17:00"/>
    <s v="2026-08-20 09:22:48"/>
    <s v="NULL"/>
    <s v=""/>
    <s v=""/>
    <s v="106.37551803141832"/>
    <s v="10.49532409251444"/>
    <s v="106.87920805066824"/>
    <s v="10.923486888313173"/>
    <n v="328428"/>
    <n v="254608"/>
    <n v="73820"/>
    <s v="Cash"/>
    <s v="1193 QL1A, Khánh Hậu, Tân An, Long An, Việt Nam1193 Quốc lộ 1A"/>
    <s v="suối Bà Lúa, Tp. Biên Hòa, Đồng Nai, Việt Namsuối Bà Lúa"/>
    <n v="1"/>
    <x v="1"/>
    <x v="12"/>
    <d v="1899-12-30T07:07:24"/>
    <x v="14"/>
  </r>
  <r>
    <s v="3565895135717970721"/>
    <s v=""/>
    <x v="13"/>
    <n v="0"/>
    <s v=""/>
    <s v="NULL"/>
    <x v="0"/>
    <s v="2026-08-20 07:22:00"/>
    <s v="2026-08-20 07:31:59"/>
    <s v="NULL"/>
    <s v="NULL"/>
    <s v="2026-08-20 09:31:59"/>
    <s v=""/>
    <s v="106.4989851"/>
    <s v="10.6100853"/>
    <s v="106.7509567"/>
    <s v="10.8856414"/>
    <n v="215784"/>
    <n v="0"/>
    <n v="215784"/>
    <s v="Cash"/>
    <s v="OKIA OPTICAL VIETNAM, Long Cang, Tây Ninh, Việt NamOKIA OPTICAL VIETNAM"/>
    <s v="Công ty Bao Bì NgaiMee, Đường Số 6, Dĩ An, Hồ Chí Minh, Việt NamCông ty Bao Bì NgaiMee"/>
    <n v="1"/>
    <x v="1"/>
    <x v="12"/>
    <d v="1899-12-30T07:22:00"/>
    <x v="9"/>
  </r>
  <r>
    <s v="3565895135734756076"/>
    <s v=""/>
    <x v="13"/>
    <n v="0"/>
    <s v=""/>
    <s v="NULL"/>
    <x v="0"/>
    <s v="2026-08-20 07:27:33"/>
    <s v="2026-08-20 07:37:31"/>
    <s v="NULL"/>
    <s v="NULL"/>
    <s v="2026-08-20 09:37:31"/>
    <s v=""/>
    <s v="106.510864"/>
    <s v="10.6190588"/>
    <s v="106.7195372"/>
    <s v="10.9373357"/>
    <n v="226584"/>
    <n v="0"/>
    <n v="226584"/>
    <s v="Cash"/>
    <s v="Công ty cổ phần Sơn và Chống thấm Việt Nhật, Đường Số 8, Khu công nghiệp Phúc Long, Mỹ Yên, Tây Ninh, Việt NamCông ty cổ phần Sơn và Chống thấm Việt Nhật"/>
    <s v="Công Ty TNHH Fujikura Fiber Optics VN, Đường số 6, KCN Việt Nam-Singapore (VSIP1, Thuận Giao, Hồ Chí Minh, Việt NamCông Ty TNHH Fujikura Fiber Optics VN"/>
    <n v="1"/>
    <x v="1"/>
    <x v="12"/>
    <d v="1899-12-30T07:27:33"/>
    <x v="208"/>
  </r>
  <r>
    <s v="3565895135734756258"/>
    <s v=""/>
    <x v="13"/>
    <n v="3746341"/>
    <s v=""/>
    <s v="Motorcycle"/>
    <x v="1"/>
    <s v="2026-08-20 07:28:31"/>
    <s v="2026-08-20 07:38:29"/>
    <s v="2026-08-20 07:54:12"/>
    <s v="NULL"/>
    <s v="2026-08-20 07:57:46"/>
    <s v=""/>
    <s v="106.5343575"/>
    <s v="10.6390083"/>
    <s v="106.9428916"/>
    <s v="10.8195426"/>
    <n v="257256"/>
    <n v="211164"/>
    <n v="46092"/>
    <s v="Cash"/>
    <s v="Công Ty Tnhh Hitisa Vina, Đường tỉnh 835, Mỹ Yên, Tây Ninh, Việt NamCông Ty Tnhh Hitisa Vina"/>
    <s v="Chi Nhánh Công ty TNHH TFV Industries tại Long Thành, Đ. Song Hành Quốc lộ 51, Bình An, Đồng Nai, Việt NamChi Nhánh Công ty TNHH TFV Industries tại Long Thành"/>
    <n v="1"/>
    <x v="1"/>
    <x v="12"/>
    <d v="1899-12-30T07:28:31"/>
    <x v="251"/>
  </r>
  <r>
    <s v="3565896277147472173"/>
    <s v=""/>
    <x v="13"/>
    <n v="0"/>
    <s v=""/>
    <s v="NULL"/>
    <x v="0"/>
    <s v="2026-08-20 07:20:06"/>
    <s v="2026-08-20 07:30:05"/>
    <s v="NULL"/>
    <s v="NULL"/>
    <s v="2026-08-20 09:30:05"/>
    <s v=""/>
    <s v="106.4922768"/>
    <s v="10.6041638"/>
    <s v="106.7877331"/>
    <s v="10.8233057"/>
    <n v="288684"/>
    <n v="0"/>
    <n v="288684"/>
    <s v="Cash"/>
    <s v="CÔNG TY TNHH SAN LEN C VIỆT NAM, Đường số 13, KCN Thuận Đạo mở rộng, Long Cang, Tây Ninh, Việt NamCÔNG TY TNHH SAN LEN C VIỆT NAM"/>
    <s v="CÔNG TY TNHH SAMIL PHARMACEUTICAL, Đường D15, Tăng Nhơn Phú, Hồ Chí Minh, Việt NamCÔNG TY TNHH SAMIL PHARMACEUTICAL"/>
    <n v="1"/>
    <x v="1"/>
    <x v="12"/>
    <d v="1899-12-30T07:20:06"/>
    <x v="9"/>
  </r>
  <r>
    <s v="3565896277164257451"/>
    <s v=""/>
    <x v="13"/>
    <n v="0"/>
    <s v=""/>
    <s v="NULL"/>
    <x v="0"/>
    <s v="2026-08-20 07:25:46"/>
    <s v="2026-08-20 07:35:45"/>
    <s v="NULL"/>
    <s v="NULL"/>
    <s v="2026-08-20 09:35:45"/>
    <s v=""/>
    <s v="106.4879115"/>
    <s v="10.6193971"/>
    <s v="106.7877331"/>
    <s v="10.8233057"/>
    <n v="276480"/>
    <n v="0"/>
    <n v="276480"/>
    <s v="Cash"/>
    <s v="CÔNG TY TNHH RICHFIELD VN, Bến Lức, Tây Ninh, Việt NamCÔNG TY TNHH RICHFIELD VN"/>
    <s v="CÔNG TY TNHH SAMIL PHARMACEUTICAL, Đường D15, Tăng Nhơn Phú, Hồ Chí Minh, Việt NamCÔNG TY TNHH SAMIL PHARMACEUTICAL"/>
    <n v="1"/>
    <x v="1"/>
    <x v="12"/>
    <d v="1899-12-30T07:25:46"/>
    <x v="9"/>
  </r>
  <r>
    <s v="3565896277164257627"/>
    <s v=""/>
    <x v="13"/>
    <n v="4537684"/>
    <s v=""/>
    <s v="Motorcycle"/>
    <x v="2"/>
    <s v="2026-08-20 07:26:57"/>
    <s v="2026-08-20 07:36:55"/>
    <s v="2026-08-20 07:58:58"/>
    <s v="NULL"/>
    <s v=""/>
    <s v=""/>
    <s v="106.4929442"/>
    <s v="10.6307586"/>
    <s v="106.6579677"/>
    <s v="10.9748155"/>
    <n v="295272"/>
    <n v="228904"/>
    <n v="66368"/>
    <s v="Cash"/>
    <s v="Bình Quốc Tế Bến Lức, Đường Phan Văn Mãng, Bến Lức, Tây Ninh, Việt NamBình Quốc Tế Bến Lức"/>
    <s v="Công Ty Bảo Việt Bình Dương, Lý Thường Kiệt, phường, Thủ Dầu Một, Hồ Chí Minh, Việt NamCông Ty Bảo Việt Bình Dương"/>
    <n v="1"/>
    <x v="1"/>
    <x v="12"/>
    <d v="1899-12-30T07:26:57"/>
    <x v="14"/>
  </r>
  <r>
    <s v="3565899298975731713"/>
    <s v=""/>
    <x v="13"/>
    <n v="0"/>
    <s v=""/>
    <s v="NULL"/>
    <x v="0"/>
    <s v="2026-08-20 07:29:02"/>
    <s v="2026-08-20 07:39:00"/>
    <s v="NULL"/>
    <s v="NULL"/>
    <s v="2026-08-20 09:39:00"/>
    <s v=""/>
    <s v="106.5111476"/>
    <s v="10.6208376"/>
    <s v="106.8484686"/>
    <s v="11.0058459"/>
    <n v="263304"/>
    <n v="0"/>
    <n v="263304"/>
    <s v="Cash"/>
    <s v="Công ty Tnhh Korviet Vina, Đường Số 7, KCN Phúc Long, Mỹ Yên, Tây Ninh, Việt NamCông ty Tnhh Korviet Vina"/>
    <s v="Công Ty Chang Shin VN, Thạnh Phú, KCN, Tân Triều, Đồng Nai, Việt NamCông Ty Chang Shin VN"/>
    <n v="1"/>
    <x v="1"/>
    <x v="12"/>
    <d v="1899-12-30T07:29:02"/>
    <x v="208"/>
  </r>
  <r>
    <s v="3565899298975732091"/>
    <s v=""/>
    <x v="13"/>
    <n v="0"/>
    <s v=""/>
    <s v="NULL"/>
    <x v="0"/>
    <s v="2026-08-20 07:31:03"/>
    <s v="2026-08-20 07:41:02"/>
    <s v="NULL"/>
    <s v="NULL"/>
    <s v="2026-08-20 09:41:02"/>
    <s v=""/>
    <s v="106.5123659"/>
    <s v="10.6252885"/>
    <s v="106.60064408947143"/>
    <s v="10.794628971020579"/>
    <n v="155088"/>
    <n v="0"/>
    <n v="155088"/>
    <s v="Cash"/>
    <s v="CÔNG TY TNHH QUỐC TẾ FANSKI, Đ. Số 1, khu công nghiệp Phúc Long, Mỹ Yên, Tây Ninh, Việt NamCÔNG TY TNHH QUỐC TẾ FANSKI"/>
    <s v="QJV2+V7 Bình Hưng Hòa, Hồ Chí Minh, Việt NamQJV2+V7 Bình Hưng Hòa, Hồ Chí Minh, Việt Nam"/>
    <n v="1"/>
    <x v="1"/>
    <x v="12"/>
    <d v="1899-12-30T07:31:03"/>
    <x v="9"/>
  </r>
  <r>
    <s v="3565899926670111630"/>
    <s v=""/>
    <x v="13"/>
    <n v="0"/>
    <s v=""/>
    <s v="NULL"/>
    <x v="0"/>
    <s v="2026-08-20 07:23:19"/>
    <s v="2026-08-20 07:33:18"/>
    <s v="NULL"/>
    <s v="NULL"/>
    <s v="2026-08-20 09:33:18"/>
    <s v=""/>
    <s v="106.4943096"/>
    <s v="10.6126435"/>
    <s v="106.5768297"/>
    <s v="10.9102518"/>
    <n v="261360"/>
    <n v="0"/>
    <n v="261360"/>
    <s v="Cash"/>
    <s v="Công Ty TNHH MTV San-Ei VN (有限会社三栄ベトナム）, Long Cang, Tây Ninh, Việt NamCông Ty TNHH MTV San-Ei VN (有限会社三栄ベトナム）"/>
    <s v="WH6G+4P Hóc Môn, Hồ Chí Minh, Việt NamWH6G+4P Hóc Môn, Hồ Chí Minh, Việt Nam"/>
    <n v="1"/>
    <x v="1"/>
    <x v="12"/>
    <d v="1899-12-30T07:23:19"/>
    <x v="9"/>
  </r>
  <r>
    <s v="3565899926695272613"/>
    <s v=""/>
    <x v="12"/>
    <n v="4629889"/>
    <s v=""/>
    <s v="Motorcycle"/>
    <x v="1"/>
    <s v="2026-08-20 07:24:34"/>
    <s v="2026-08-20 07:34:00"/>
    <s v="2026-08-20 07:28:48"/>
    <s v="NULL"/>
    <s v="2026-08-20 08:01:13"/>
    <s v=""/>
    <s v="106.37712333351374"/>
    <s v="10.545146255136155"/>
    <s v="106.67779225856066"/>
    <s v="10.757727841574068"/>
    <n v="197748"/>
    <n v="153300"/>
    <n v="44448"/>
    <s v="Cash"/>
    <s v="522 Đ. Số 2, Khu đô thị, Khánh Hậu, Tây Ninh, Việt Nam522 Đường Số 2"/>
    <s v="149 Đ. Lê Hồng Phong, Phường 2, Quận 5, Hồ Chí Minh, Việt Nam149 Lê Hồng Phong"/>
    <n v="1"/>
    <x v="1"/>
    <x v="12"/>
    <d v="1899-12-30T07:24:34"/>
    <x v="252"/>
  </r>
  <r>
    <s v="3565899926695272620"/>
    <s v=""/>
    <x v="13"/>
    <n v="0"/>
    <s v=""/>
    <s v="NULL"/>
    <x v="0"/>
    <s v="2026-08-20 07:24:36"/>
    <s v="2026-08-20 07:34:34"/>
    <s v="NULL"/>
    <s v="NULL"/>
    <s v="2026-08-20 09:34:37"/>
    <s v=""/>
    <s v="106.4881433"/>
    <s v="10.6174177"/>
    <s v="106.63236022689208"/>
    <s v="10.814051079447625"/>
    <n v="193644"/>
    <n v="0"/>
    <n v="193644"/>
    <s v="Cash"/>
    <s v="Công ty CARGILL Long An, Bến Lức, Tây Ninh, Việt NamCông ty CARGILL Long An"/>
    <s v="27/29A Trường Chinh, Tây Thạnh, Hồ Chí Minh, Việt Nam27/29A Trường Chinh, Tây Thạnh, Hồ Chí Minh, Việt Nam"/>
    <n v="1"/>
    <x v="1"/>
    <x v="12"/>
    <d v="1899-12-30T07:24:36"/>
    <x v="0"/>
  </r>
  <r>
    <s v="3565899926712046257"/>
    <s v=""/>
    <x v="13"/>
    <n v="4540326"/>
    <s v=""/>
    <s v="Motorcycle"/>
    <x v="2"/>
    <s v="2026-08-20 07:33:42"/>
    <s v="2026-08-20 07:43:40"/>
    <s v="2026-08-20 09:10:57"/>
    <s v="NULL"/>
    <s v=""/>
    <s v=""/>
    <s v="106.5138828"/>
    <s v="10.6294804"/>
    <s v="106.7195372"/>
    <s v="10.9373357"/>
    <n v="288036"/>
    <n v="223295"/>
    <n v="64741"/>
    <s v="Cash"/>
    <s v="Công Ty TNHH MAY MẶC IZ DIRECT VN, Đường Số 4 Phúc Long, KCN, Mỹ Yên, Tây Ninh, Việt NamCông Ty TNHH MAY MẶC IZ DIRECT VN"/>
    <s v="Công Ty TNHH Fujikura Fiber Optics VN, Đường số 6, KCN Việt Nam-Singapore (VSIP1, Thuận Giao, Hồ Chí Minh, Việt NamCông Ty TNHH Fujikura Fiber Optics VN"/>
    <n v="1"/>
    <x v="1"/>
    <x v="12"/>
    <d v="1899-12-30T07:33:42"/>
    <x v="14"/>
  </r>
  <r>
    <s v="3565899980600467983"/>
    <s v=""/>
    <x v="13"/>
    <n v="0"/>
    <s v=""/>
    <s v="NULL"/>
    <x v="0"/>
    <s v="2026-08-20 07:20:39"/>
    <s v="2026-08-20 07:30:37"/>
    <s v="NULL"/>
    <s v="NULL"/>
    <s v="2026-08-20 09:30:37"/>
    <s v=""/>
    <s v="106.4922768"/>
    <s v="10.6041638"/>
    <s v="106.7434187"/>
    <s v="10.7934933"/>
    <n v="242892"/>
    <n v="0"/>
    <n v="242892"/>
    <s v="Cash"/>
    <s v="CÔNG TY TNHH SAN LEN C VIỆT NAM, Đường số 13, KCN Thuận Đạo mở rộng, Long Cang, Tây Ninh, Việt NamCÔNG TY TNHH SAN LEN C VIỆT NAM"/>
    <s v="Công ty TNHH iWater (Quận 2), Đường Số 31D, Khu đô thị An Phú An Khánh, Bình Trưng, Hồ Chí Minh, Việt NamCông ty TNHH iWater (Quận 2)"/>
    <n v="1"/>
    <x v="1"/>
    <x v="12"/>
    <d v="1899-12-30T07:20:39"/>
    <x v="208"/>
  </r>
  <r>
    <s v="3565899980600468474"/>
    <s v=""/>
    <x v="13"/>
    <n v="0"/>
    <s v=""/>
    <s v="NULL"/>
    <x v="0"/>
    <s v="2026-08-20 07:23:41"/>
    <s v="2026-08-20 07:33:40"/>
    <s v="NULL"/>
    <s v="NULL"/>
    <s v="2026-08-20 09:33:40"/>
    <s v=""/>
    <s v="106.4943096"/>
    <s v="10.6126435"/>
    <s v="106.64513132368161"/>
    <s v="10.880604102913596"/>
    <n v="182628"/>
    <n v="0"/>
    <n v="182628"/>
    <s v="Cash"/>
    <s v="Công Ty TNHH MTV San-Ei VN (有限会社三栄ベトナム）, Long Cang, Tây Ninh, Việt NamCông Ty TNHH MTV San-Ei VN (有限会社三栄ベトナム）"/>
    <s v="244/31/1, 244/31/11 Đường HT 17 Nối Dài, Tân Thới Hiệp, Hồ Chí Minh 700000, Việt Nam244/31/1, 244/31/11 Đường HT 17 Nối Dài, Tân Thới Hiệp, Hồ Chí Minh 700000, Việt Nam"/>
    <n v="1"/>
    <x v="1"/>
    <x v="12"/>
    <d v="1899-12-30T07:23:41"/>
    <x v="9"/>
  </r>
  <r>
    <s v="3565899980617241067"/>
    <s v=""/>
    <x v="13"/>
    <n v="2285746"/>
    <s v=""/>
    <s v="Motorcycle"/>
    <x v="2"/>
    <s v="2026-08-20 07:26:44"/>
    <s v="2026-08-20 07:36:42"/>
    <s v="2026-08-20 09:24:27"/>
    <s v="NULL"/>
    <s v=""/>
    <s v=""/>
    <s v="106.4929442"/>
    <s v="10.6307586"/>
    <s v="106.73622375267027"/>
    <s v="10.794985490139972"/>
    <n v="204444"/>
    <n v="158491"/>
    <n v="45953"/>
    <s v="Cash"/>
    <s v="Bình Quốc Tế Bến Lức, Đường Phan Văn Mãng, Bến Lức, Tây Ninh, Việt NamBình Quốc Tế Bến Lức"/>
    <s v="09, B.06.09 B.06.09, Khu phố 2, An Khánh, Hồ Chí Minh, Việt Nam09, B.06.09 B.06.09, Khu phố 2, An Khánh, Hồ Chí Minh, Việt Nam"/>
    <n v="1"/>
    <x v="1"/>
    <x v="12"/>
    <d v="1899-12-30T07:26:44"/>
    <x v="14"/>
  </r>
  <r>
    <s v="3565899980625629343"/>
    <s v=""/>
    <x v="13"/>
    <n v="0"/>
    <s v=""/>
    <s v="NULL"/>
    <x v="0"/>
    <s v="2026-08-20 07:29:17"/>
    <s v="2026-08-20 07:39:15"/>
    <s v="NULL"/>
    <s v="NULL"/>
    <s v="2026-08-20 09:39:15"/>
    <s v=""/>
    <s v="106.5111476"/>
    <s v="10.6208376"/>
    <s v="106.58354595137331"/>
    <s v="10.912253426326128"/>
    <n v="249048"/>
    <n v="0"/>
    <n v="249048"/>
    <s v="Cash"/>
    <s v="Công ty Tnhh Korviet Vina, Đường Số 7, KCN Phúc Long, Mỹ Yên, Tây Ninh, Việt NamCông ty Tnhh Korviet Vina"/>
    <s v="35/3A Đường Huỳnh Thị Mài, Hóc Môn, Hồ Chí Minh, Việt Nam35/3A Đường Huỳnh Thị Mài, Hóc Môn, Hồ Chí Minh, Việt Nam"/>
    <n v="1"/>
    <x v="1"/>
    <x v="12"/>
    <d v="1899-12-30T07:29:17"/>
    <x v="208"/>
  </r>
  <r>
    <s v="3565901290305446500"/>
    <s v=""/>
    <x v="12"/>
    <n v="4561193"/>
    <s v=""/>
    <s v="Motorcycle"/>
    <x v="2"/>
    <s v="2026-08-20 07:23:20"/>
    <s v="2026-08-20 07:33:00"/>
    <s v="2026-08-20 09:18:29"/>
    <s v="NULL"/>
    <s v=""/>
    <s v=""/>
    <s v="106.41055572777987"/>
    <s v="10.538471506331904"/>
    <s v="106.74617450684309"/>
    <s v="10.79861344450753"/>
    <n v="226584"/>
    <n v="175655"/>
    <n v="50929"/>
    <s v="Cash"/>
    <s v="Đường Nguyễn Trung Trực,82111Hung Phu Fitness And Sports Store"/>
    <s v="Affina Việt Nam, Nguyễn Hoàng, An Phú, Thủ Đức, Thành phố Hồ Chí Minh, Việt NamAffina Việt Nam"/>
    <n v="1"/>
    <x v="1"/>
    <x v="12"/>
    <d v="1899-12-30T07:23:20"/>
    <x v="14"/>
  </r>
  <r>
    <s v="3565902069053477650"/>
    <s v=""/>
    <x v="13"/>
    <n v="0"/>
    <s v=""/>
    <s v="NULL"/>
    <x v="0"/>
    <s v="2026-08-20 07:25:34"/>
    <s v="2026-08-20 07:35:33"/>
    <s v="NULL"/>
    <s v="NULL"/>
    <s v="2026-08-20 09:35:33"/>
    <s v=""/>
    <s v="106.4879115"/>
    <s v="10.6193971"/>
    <s v="106.75653187780149"/>
    <s v="10.853536928933167"/>
    <n v="272484"/>
    <n v="0"/>
    <n v="272484"/>
    <s v="Cash"/>
    <s v="CÔNG TY TNHH RICHFIELD VN, Bến Lức, Tây Ninh, Việt NamCÔNG TY TNHH RICHFIELD VN"/>
    <s v="13/22/19 Đ. 12, Khu Phố 2, Thủ Đức, Hồ Chí Minh, Việt Nam13/22/19 Đ. 12, Khu Phố 2, Thủ Đức, Hồ Chí Minh, Việt Nam"/>
    <n v="1"/>
    <x v="1"/>
    <x v="12"/>
    <d v="1899-12-30T07:25:34"/>
    <x v="9"/>
  </r>
  <r>
    <s v="3565902069078651091"/>
    <s v=""/>
    <x v="13"/>
    <n v="0"/>
    <s v=""/>
    <s v="NULL"/>
    <x v="0"/>
    <s v="2026-08-20 07:31:46"/>
    <s v="2026-08-20 07:41:45"/>
    <s v="NULL"/>
    <s v="NULL"/>
    <s v="2026-08-20 09:41:45"/>
    <s v=""/>
    <s v="106.5139871"/>
    <s v="10.6277752"/>
    <s v="106.7877331"/>
    <s v="10.8233057"/>
    <n v="268596"/>
    <n v="0"/>
    <n v="268596"/>
    <s v="Cash"/>
    <s v="CÔNG TY TNHH ISHIKAWA KIKOU VIỆT NAM, Đường Số 13, KCN Phúc Long, Mỹ Yên, Tây Ninh, Việt NamCÔNG TY TNHH ISHIKAWA KIKOU VIỆT NAM"/>
    <s v="CÔNG TY TNHH SAMIL PHARMACEUTICAL, Đường D15, Tăng Nhơn Phú, Hồ Chí Minh, Việt NamCÔNG TY TNHH SAMIL PHARMACEUTICAL"/>
    <n v="1"/>
    <x v="1"/>
    <x v="12"/>
    <d v="1899-12-30T07:31:46"/>
    <x v="9"/>
  </r>
  <r>
    <s v="3565902069095424582"/>
    <s v=""/>
    <x v="13"/>
    <n v="0"/>
    <s v=""/>
    <s v="NULL"/>
    <x v="0"/>
    <s v="2026-08-20 07:35:23"/>
    <s v="2026-08-20 07:45:21"/>
    <s v="NULL"/>
    <s v="NULL"/>
    <s v="2026-08-20 09:45:21"/>
    <s v=""/>
    <s v="106.5039447"/>
    <s v="10.6433253"/>
    <s v="106.58726976193238"/>
    <s v="10.913493273685066"/>
    <n v="193104"/>
    <n v="0"/>
    <n v="193104"/>
    <s v="Cash"/>
    <s v="Công Ty Cổ Phần Nosafood - Nhà máy Bến Lức, Đường VL7, KCN Vĩnh Lộc 2 X, Mỹ Yên, Tây Ninh, Việt NamCông Ty Cổ Phần Nosafood - Nhà máy Bến Lức"/>
    <s v="6/2E Đường Huỳnh Thị Mài, Hóc Môn, Hồ Chí Minh, Việt Nam6/2E Đường Huỳnh Thị Mài, Hóc Môn, Hồ Chí Minh, Việt Nam"/>
    <n v="1"/>
    <x v="1"/>
    <x v="12"/>
    <d v="1899-12-30T07:35:23"/>
    <x v="208"/>
  </r>
  <r>
    <s v="3565906986371601315"/>
    <s v=""/>
    <x v="13"/>
    <n v="0"/>
    <s v=""/>
    <s v="NULL"/>
    <x v="0"/>
    <s v="2026-08-20 07:39:14"/>
    <s v="2026-08-20 07:49:12"/>
    <s v="NULL"/>
    <s v="NULL"/>
    <s v="2026-08-20 09:49:12"/>
    <s v=""/>
    <s v="106.5083845"/>
    <s v="10.6428394"/>
    <s v="106.7593602"/>
    <s v="10.8544461"/>
    <n v="259092"/>
    <n v="0"/>
    <n v="259092"/>
    <s v="Cash"/>
    <s v="CÔNG TY TNHH BIBICA MIỀN TÂY, 9 VL3, KCN Vĩnh Lộc 2, Mỹ Yên, Tây Ninh, Việt NamCÔNG TY TNHH BIBICA MIỀN TÂY"/>
    <s v="Chương Dương/6B Hẻm 56, Khu phố 1, Thủ Đức, Hồ Chí Minh, Việt NamChương Dương/6B Hẻm 56, Khu phố 1, Thủ Đức, Hồ Chí Minh, Việt Nam"/>
    <n v="1"/>
    <x v="1"/>
    <x v="12"/>
    <d v="1899-12-30T07:39:14"/>
    <x v="208"/>
  </r>
  <r>
    <s v="3565906986388386049"/>
    <s v=""/>
    <x v="13"/>
    <n v="4221342"/>
    <s v=""/>
    <s v="Motorcycle"/>
    <x v="2"/>
    <s v="2026-08-20 07:40:56"/>
    <s v="2026-08-20 07:50:55"/>
    <s v="2026-08-20 09:10:01"/>
    <s v="NULL"/>
    <s v=""/>
    <s v=""/>
    <s v="106.5662616"/>
    <s v="10.6461536"/>
    <s v="106.6579677"/>
    <s v="10.9748155"/>
    <n v="262224"/>
    <n v="203284"/>
    <n v="58940"/>
    <s v="Cash"/>
    <s v="Công ty TNHH Vy Kỳ, Đ. Sân Banh, Phước Lý, Tây Ninh, Việt NamCông ty TNHH Vy Kỳ"/>
    <s v="Công Ty Bảo Việt Bình Dương, Lý Thường Kiệt, phường, Thủ Dầu Một, Hồ Chí Minh, Việt NamCông Ty Bảo Việt Bình Dương"/>
    <n v="1"/>
    <x v="1"/>
    <x v="12"/>
    <d v="1899-12-30T07:40:56"/>
    <x v="14"/>
  </r>
  <r>
    <s v="3565907640624308580"/>
    <s v=""/>
    <x v="13"/>
    <n v="0"/>
    <s v=""/>
    <s v="NULL"/>
    <x v="0"/>
    <s v="2026-08-20 07:32:31"/>
    <s v="2026-08-20 07:42:29"/>
    <s v="NULL"/>
    <s v="NULL"/>
    <s v="2026-08-20 09:42:29"/>
    <s v=""/>
    <s v="106.5138326"/>
    <s v="10.6292451"/>
    <s v="106.73866564393312"/>
    <s v="10.796531215085151"/>
    <n v="147312"/>
    <n v="0"/>
    <n v="147312"/>
    <s v="Cash"/>
    <s v="Công Ty TNHH MTV Cellutane Việt Nam, Đường Số 4 Phúc Long, KCN, Mỹ Yên, Tây Ninh, Việt NamCông Ty TNHH MTV Cellutane Việt Nam"/>
    <s v="92-94 Nguyễn Quý Đức, Khu đô thị An Phú An Khánh, Bình Trưng, Hồ Chí Minh, Việt Nam92-94 Nguyễn Quý Đức, Khu đô thị An Phú An Khánh, Bình Trưng, Hồ Chí Minh, Việt Nam"/>
    <n v="1"/>
    <x v="1"/>
    <x v="12"/>
    <d v="1899-12-30T07:32:31"/>
    <x v="208"/>
  </r>
  <r>
    <s v="3565907640641081473"/>
    <s v=""/>
    <x v="13"/>
    <n v="0"/>
    <s v=""/>
    <s v="NULL"/>
    <x v="0"/>
    <s v="2026-08-20 07:36:19"/>
    <s v="2026-08-20 07:46:17"/>
    <s v="NULL"/>
    <s v="NULL"/>
    <s v="2026-08-20 09:46:17"/>
    <s v=""/>
    <s v="106.5083845"/>
    <s v="10.6428394"/>
    <s v="106.66944023686217"/>
    <s v="10.846987333258832"/>
    <n v="199800"/>
    <n v="0"/>
    <n v="199800"/>
    <s v="Cash"/>
    <s v="CÔNG TY TNHH BIBICA MIỀN TÂY, 9 VL3, KCN Vĩnh Lộc 2, Mỹ Yên, Tây Ninh, Việt NamCÔNG TY TNHH BIBICA MIỀN TÂY"/>
    <s v="577 Đ. Lê Đức Thọ, An Hội Đông, Hồ Chí Minh 700000, Việt Nam577 Đ. Lê Đức Thọ, An Hội Đông, Hồ Chí Minh 700000, Việt Nam"/>
    <n v="1"/>
    <x v="1"/>
    <x v="12"/>
    <d v="1899-12-30T07:36:19"/>
    <x v="208"/>
  </r>
  <r>
    <s v="3565907640657867604"/>
    <s v=""/>
    <x v="13"/>
    <n v="0"/>
    <s v=""/>
    <s v="NULL"/>
    <x v="0"/>
    <s v="2026-08-20 07:45:10"/>
    <s v="2026-08-20 07:55:09"/>
    <s v="NULL"/>
    <s v="NULL"/>
    <s v="2026-08-20 09:55:09"/>
    <s v=""/>
    <s v="106.56415629521484"/>
    <s v="10.646509141632096"/>
    <s v="106.6727587"/>
    <s v="10.7604736"/>
    <n v="166212"/>
    <n v="0"/>
    <n v="166212"/>
    <s v="Cash"/>
    <s v="JHW8+92, Phước Lý, Tây Ninh, Việt NamJHW8+92, Phước Lý, Tây Ninh, Việt Nam"/>
    <s v="Quận 10, Đường Nguyễn Chí Thanh, An Đông, Hồ Chí Minh, Việt NamQuận 10"/>
    <n v="1"/>
    <x v="1"/>
    <x v="12"/>
    <d v="1899-12-30T07:45:10"/>
    <x v="9"/>
  </r>
  <r>
    <s v="3565909787579478459"/>
    <s v=""/>
    <x v="13"/>
    <n v="4670599"/>
    <s v=""/>
    <s v="Motorcycle"/>
    <x v="2"/>
    <s v="2026-08-20 07:41:55"/>
    <s v="2026-08-20 07:51:53"/>
    <s v="2026-08-20 08:18:26"/>
    <s v="NULL"/>
    <s v=""/>
    <s v=""/>
    <s v="106.5662616"/>
    <s v="10.6461536"/>
    <s v="106.9428916"/>
    <s v="10.8195426"/>
    <n v="249264"/>
    <n v="193237"/>
    <n v="56027"/>
    <s v="Cash"/>
    <s v="Công ty TNHH Vy Kỳ, Đ. Sân Banh, Phước Lý, Tây Ninh, Việt NamCông ty TNHH Vy Kỳ"/>
    <s v="Chi Nhánh Công ty TNHH TFV Industries tại Long Thành, Đ. Song Hành Quốc lộ 51, Bình An, Đồng Nai, Việt NamChi Nhánh Công ty TNHH TFV Industries tại Long Thành"/>
    <n v="1"/>
    <x v="1"/>
    <x v="12"/>
    <d v="1899-12-30T07:41:55"/>
    <x v="14"/>
  </r>
  <r>
    <s v="3565909787596251984"/>
    <s v=""/>
    <x v="13"/>
    <n v="0"/>
    <s v=""/>
    <s v="NULL"/>
    <x v="0"/>
    <s v="2026-08-20 07:48:05"/>
    <s v="2026-08-20 07:58:04"/>
    <s v="NULL"/>
    <s v="NULL"/>
    <s v="2026-08-20 09:58:04"/>
    <s v=""/>
    <s v="106.4954532"/>
    <s v="10.6028295"/>
    <s v="106.690788"/>
    <s v="10.793931"/>
    <n v="248292"/>
    <n v="0"/>
    <n v="248292"/>
    <s v="Cash"/>
    <s v="Petfood Evolution Co., Ltd, đường số 1, khu công nghiệp Thuận Đạo Mở Rộng, Long Cang, Tây Ninh, Việt NamPetfood Evolution Co., Ltd"/>
    <s v="Quận 1, Đường Trần Khắc Chân, Tân Định, Hồ Chí Minh, Việt NamQuận 1"/>
    <n v="1"/>
    <x v="1"/>
    <x v="12"/>
    <d v="1899-12-30T07:48:05"/>
    <x v="9"/>
  </r>
  <r>
    <s v="3565910214811283861"/>
    <s v=""/>
    <x v="13"/>
    <n v="0"/>
    <s v=""/>
    <s v="NULL"/>
    <x v="0"/>
    <s v="2026-08-20 07:37:15"/>
    <s v="2026-08-20 07:47:13"/>
    <s v="NULL"/>
    <s v="NULL"/>
    <s v="2026-08-20 12:30:08"/>
    <s v=""/>
    <s v="106.5083845"/>
    <s v="10.6428394"/>
    <s v="106.6006441"/>
    <s v="10.794629"/>
    <n v="149472"/>
    <n v="0"/>
    <n v="149472"/>
    <s v="Cash"/>
    <s v="CÔNG TY TNHH BIBICA MIỀN TÂY, 9 VL3, KCN Vĩnh Lộc 2, Mỹ Yên, Tây Ninh, Việt NamCÔNG TY TNHH BIBICA MIỀN TÂY"/>
    <s v="QJV2+V7 Bình Hưng Hòa, Hồ Chí Minh, Việt NamQJV2+V7 Bình Hưng Hòa, Hồ Chí Minh, Việt Nam"/>
    <n v="1"/>
    <x v="1"/>
    <x v="12"/>
    <d v="1899-12-30T07:37:15"/>
    <x v="253"/>
  </r>
  <r>
    <s v="3565910214836446200"/>
    <s v=""/>
    <x v="13"/>
    <n v="4421808"/>
    <s v=""/>
    <s v="Motorcycle"/>
    <x v="2"/>
    <s v="2026-08-20 07:44:52"/>
    <s v="2026-08-20 07:54:50"/>
    <s v="2026-08-20 09:09:03"/>
    <s v="NULL"/>
    <s v=""/>
    <s v=""/>
    <s v="106.56415629521484"/>
    <s v="10.646509141632096"/>
    <s v="106.6536587"/>
    <s v="10.7295791"/>
    <n v="131868"/>
    <n v="102228"/>
    <n v="29640"/>
    <s v="Cash"/>
    <s v="JHW8+92, Phước Lý, Tây Ninh, Việt NamJHW8+92, Phước Lý, Tây Ninh, Việt Nam"/>
    <s v="Quận 8, Đường Số 18, Ấp 2, Bình Hưng, Hồ Chí Minh, Việt NamQuận 8"/>
    <n v="1"/>
    <x v="1"/>
    <x v="12"/>
    <d v="1899-12-30T07:44:52"/>
    <x v="14"/>
  </r>
  <r>
    <s v="3565910259447062803"/>
    <s v=""/>
    <x v="13"/>
    <n v="0"/>
    <s v=""/>
    <s v="NULL"/>
    <x v="0"/>
    <s v="2026-08-20 07:36:34"/>
    <s v="2026-08-20 07:46:33"/>
    <s v="NULL"/>
    <s v="NULL"/>
    <s v="2026-08-20 09:46:33"/>
    <s v=""/>
    <s v="106.5083845"/>
    <s v="10.6428394"/>
    <s v="106.63209812198183"/>
    <s v="10.81384099643381"/>
    <n v="177768"/>
    <n v="0"/>
    <n v="177768"/>
    <s v="Cash"/>
    <s v="CÔNG TY TNHH BIBICA MIỀN TÂY, 9 VL3, KCN Vĩnh Lộc 2, Mỹ Yên, Tây Ninh, Việt NamCÔNG TY TNHH BIBICA MIỀN TÂY"/>
    <s v="28/02 Trường Chinh, Tây Thạnh, Hồ Chí Minh, Việt Nam28/02 Trường Chinh, Tây Thạnh, Hồ Chí Minh, Việt Nam"/>
    <n v="1"/>
    <x v="1"/>
    <x v="12"/>
    <d v="1899-12-30T07:36:34"/>
    <x v="9"/>
  </r>
  <r>
    <s v="3565911328088613727"/>
    <s v=""/>
    <x v="13"/>
    <n v="3755745"/>
    <s v=""/>
    <s v="Motorcycle"/>
    <x v="2"/>
    <s v="2026-08-20 07:41:23"/>
    <s v="2026-08-20 07:51:21"/>
    <s v="2026-08-20 10:10:41"/>
    <s v="NULL"/>
    <s v=""/>
    <s v=""/>
    <s v="106.5662616"/>
    <s v="10.6461536"/>
    <s v="106.7509567"/>
    <s v="10.8856414"/>
    <n v="290412"/>
    <n v="225137"/>
    <n v="65275"/>
    <s v="Cash"/>
    <s v="Công ty TNHH Vy Kỳ, Đ. Sân Banh, Phước Lý, Tây Ninh, Việt NamCông ty TNHH Vy Kỳ"/>
    <s v="Công ty Bao Bì NgaiMee, Đường Số 6, Dĩ An, Hồ Chí Minh, Việt NamCông ty Bao Bì NgaiMee"/>
    <n v="1"/>
    <x v="1"/>
    <x v="12"/>
    <d v="1899-12-30T07:41:23"/>
    <x v="14"/>
  </r>
  <r>
    <s v="3565911328105386462"/>
    <s v=""/>
    <x v="13"/>
    <n v="4446979"/>
    <s v=""/>
    <s v="Motorcycle"/>
    <x v="2"/>
    <s v="2026-08-20 07:44:15"/>
    <s v="2026-08-20 07:54:14"/>
    <s v="2026-08-20 09:32:40"/>
    <s v="NULL"/>
    <s v=""/>
    <s v=""/>
    <s v="106.55402827397461"/>
    <s v="10.644653366161537"/>
    <s v="106.6408802"/>
    <s v="10.7471372"/>
    <n v="120528"/>
    <n v="93437"/>
    <n v="27091"/>
    <s v="Cash"/>
    <s v="JHV3+QCP, Phước Lý, Tây Ninh, Việt NamJHV3+QCP, Phước Lý, Tây Ninh, Việt Nam"/>
    <s v="Quận 6, Đường Phan Văn Khỏe, Bình Tây, Hồ Chí Minh, Việt NamQuận 6"/>
    <n v="1"/>
    <x v="1"/>
    <x v="12"/>
    <d v="1899-12-30T07:44:15"/>
    <x v="14"/>
  </r>
  <r>
    <s v="3565911328122171539"/>
    <s v=""/>
    <x v="13"/>
    <n v="0"/>
    <s v=""/>
    <s v="NULL"/>
    <x v="0"/>
    <s v="2026-08-20 07:47:37"/>
    <s v="2026-08-20 07:57:35"/>
    <s v="NULL"/>
    <s v="NULL"/>
    <s v="2026-08-20 11:03:02"/>
    <s v=""/>
    <s v="106.4954532"/>
    <s v="10.6028295"/>
    <s v="106.6989609"/>
    <s v="10.7469416"/>
    <n v="232308"/>
    <n v="0"/>
    <n v="232308"/>
    <s v="Cash"/>
    <s v="Petfood Evolution Co., Ltd, đường số 1, khu công nghiệp Thuận Đạo Mở Rộng, Long Cang, Tây Ninh, Việt NamPetfood Evolution Co., Ltd"/>
    <s v="Quận 4 TP HCM, Tân Hưng, Hồ Chí Minh, Việt NamQuận 4 TP HCM"/>
    <n v="1"/>
    <x v="1"/>
    <x v="12"/>
    <d v="1899-12-30T07:47:37"/>
    <x v="254"/>
  </r>
  <r>
    <s v="3565911328122172172"/>
    <s v=""/>
    <x v="13"/>
    <n v="0"/>
    <s v=""/>
    <s v="NULL"/>
    <x v="0"/>
    <s v="2026-08-20 07:50:25"/>
    <s v="2026-08-20 08:00:23"/>
    <s v="NULL"/>
    <s v="NULL"/>
    <s v="2026-08-20 10:00:23"/>
    <s v=""/>
    <s v="106.5142456"/>
    <s v="10.6372476"/>
    <s v="106.6727587"/>
    <s v="10.7604736"/>
    <n v="189216"/>
    <n v="0"/>
    <n v="189216"/>
    <s v="Cash"/>
    <s v="Kho công ty TNHH Daiichi Sankyo Việt Nam, Đường VL1 khu công nghiệp, vĩnh lộc 2, Mỹ Yên, Tây Ninh, Việt NamKho công ty TNHH Daiichi Sankyo Việt Nam"/>
    <s v="Quận 10, Đường Nguyễn Chí Thanh, An Đông, Hồ Chí Minh, Việt NamQuận 10"/>
    <n v="1"/>
    <x v="1"/>
    <x v="12"/>
    <d v="1899-12-30T07:50:25"/>
    <x v="208"/>
  </r>
  <r>
    <s v="3565911764380115353"/>
    <s v=""/>
    <x v="13"/>
    <n v="0"/>
    <s v=""/>
    <s v="NULL"/>
    <x v="0"/>
    <s v="2026-08-20 07:49:19"/>
    <s v="2026-08-20 07:59:18"/>
    <s v="NULL"/>
    <s v="NULL"/>
    <s v="2026-08-20 10:26:29"/>
    <s v=""/>
    <s v="106.5142456"/>
    <s v="10.6372476"/>
    <s v="106.6989609"/>
    <s v="10.7469416"/>
    <n v="203148"/>
    <n v="0"/>
    <n v="203148"/>
    <s v="Cash"/>
    <s v="Kho công ty TNHH Daiichi Sankyo Việt Nam, Đường VL1 khu công nghiệp, vĩnh lộc 2, Mỹ Yên, Tây Ninh, Việt NamKho công ty TNHH Daiichi Sankyo Việt Nam"/>
    <s v="Quận 4 TP HCM, Tân Hưng, Hồ Chí Minh, Việt NamQuận 4 TP HCM"/>
    <n v="1"/>
    <x v="1"/>
    <x v="12"/>
    <d v="1899-12-30T07:49:19"/>
    <x v="255"/>
  </r>
  <r>
    <s v="3565911764380115381"/>
    <s v=""/>
    <x v="13"/>
    <n v="0"/>
    <s v=""/>
    <s v="NULL"/>
    <x v="0"/>
    <s v="2026-08-20 07:49:32"/>
    <s v="2026-08-20 07:59:30"/>
    <s v="NULL"/>
    <s v="NULL"/>
    <s v="2026-08-20 09:59:30"/>
    <s v=""/>
    <s v="106.5142456"/>
    <s v="10.6372476"/>
    <s v="106.6746036"/>
    <s v="10.7504578"/>
    <n v="148392"/>
    <n v="0"/>
    <n v="148392"/>
    <s v="Cash"/>
    <s v="Kho công ty TNHH Daiichi Sankyo Việt Nam, Đường VL1 khu công nghiệp, vĩnh lộc 2, Mỹ Yên, Tây Ninh, Việt NamKho công ty TNHH Daiichi Sankyo Việt Nam"/>
    <s v="Quận 5, Trần Tuấn Khải, An Đông, Hồ Chí Minh, Việt NamQuận 5"/>
    <n v="1"/>
    <x v="1"/>
    <x v="12"/>
    <d v="1899-12-30T07:49:32"/>
    <x v="208"/>
  </r>
  <r>
    <s v="3565911764380115543"/>
    <s v=""/>
    <x v="13"/>
    <n v="0"/>
    <s v=""/>
    <s v="NULL"/>
    <x v="0"/>
    <s v="2026-08-20 07:50:11"/>
    <s v="2026-08-20 08:00:09"/>
    <s v="NULL"/>
    <s v="NULL"/>
    <s v="2026-08-20 10:00:09"/>
    <s v=""/>
    <s v="106.5142456"/>
    <s v="10.6372476"/>
    <s v="106.6536587"/>
    <s v="10.7295791"/>
    <n v="160596"/>
    <n v="0"/>
    <n v="160596"/>
    <s v="Cash"/>
    <s v="Kho công ty TNHH Daiichi Sankyo Việt Nam, Đường VL1 khu công nghiệp, vĩnh lộc 2, Mỹ Yên, Tây Ninh, Việt NamKho công ty TNHH Daiichi Sankyo Việt Nam"/>
    <s v="Quận 8, Đường Số 18, Ấp 2, Bình Hưng, Hồ Chí Minh, Việt NamQuận 8"/>
    <n v="1"/>
    <x v="1"/>
    <x v="12"/>
    <d v="1899-12-30T07:50:11"/>
    <x v="208"/>
  </r>
  <r>
    <s v="3565913825695977895"/>
    <s v=""/>
    <x v="13"/>
    <n v="4336533"/>
    <s v=""/>
    <s v="Motorcycle"/>
    <x v="2"/>
    <s v="2026-08-20 07:43:29"/>
    <s v="2026-08-20 07:53:27"/>
    <s v="2026-08-20 10:02:20"/>
    <s v="NULL"/>
    <s v=""/>
    <s v=""/>
    <s v="106.55402827397461"/>
    <s v="10.644653366161537"/>
    <s v="106.6650848"/>
    <s v="10.7895815"/>
    <n v="177228"/>
    <n v="137393"/>
    <n v="39835"/>
    <s v="Cash"/>
    <s v="JHV3+QCP, Phước Lý, Tây Ninh, Việt NamJHV3+QCP, Phước Lý, Tây Ninh, Việt Nam"/>
    <s v="Quận 3, Cách Mạng Tháng Tám, Nhiêu Lộc, Hồ Chí Minh, Việt NamQuận 3"/>
    <n v="1"/>
    <x v="1"/>
    <x v="12"/>
    <d v="1899-12-30T07:43:29"/>
    <x v="14"/>
  </r>
  <r>
    <s v="3565913825712763264"/>
    <s v=""/>
    <x v="13"/>
    <n v="0"/>
    <s v=""/>
    <s v="NULL"/>
    <x v="0"/>
    <s v="2026-08-20 07:47:52"/>
    <s v="2026-08-20 07:57:51"/>
    <s v="NULL"/>
    <s v="NULL"/>
    <s v="2026-08-20 09:57:51"/>
    <s v=""/>
    <s v="106.4954532"/>
    <s v="10.6028295"/>
    <s v="106.6650848"/>
    <s v="10.7895815"/>
    <n v="195372"/>
    <n v="0"/>
    <n v="195372"/>
    <s v="Cash"/>
    <s v="Petfood Evolution Co., Ltd, đường số 1, khu công nghiệp Thuận Đạo Mở Rộng, Long Cang, Tây Ninh, Việt NamPetfood Evolution Co., Ltd"/>
    <s v="Quận 3, Cách Mạng Tháng Tám, Nhiêu Lộc, Hồ Chí Minh, Việt NamQuận 3"/>
    <n v="1"/>
    <x v="1"/>
    <x v="12"/>
    <d v="1899-12-30T07:47:52"/>
    <x v="9"/>
  </r>
  <r>
    <s v="3565915417887330680"/>
    <s v=""/>
    <x v="13"/>
    <n v="0"/>
    <s v=""/>
    <s v="NULL"/>
    <x v="0"/>
    <s v="2026-08-20 07:50:38"/>
    <s v="2026-08-20 08:00:37"/>
    <s v="NULL"/>
    <s v="NULL"/>
    <s v="2026-08-20 10:00:37"/>
    <s v=""/>
    <s v="106.5142456"/>
    <s v="10.6372476"/>
    <s v="106.6393828"/>
    <s v="10.7697352"/>
    <n v="176040"/>
    <n v="0"/>
    <n v="176040"/>
    <s v="Cash"/>
    <s v="Kho công ty TNHH Daiichi Sankyo Việt Nam, Đường VL1 khu công nghiệp, vĩnh lộc 2, Mỹ Yên, Tây Ninh, Việt NamKho công ty TNHH Daiichi Sankyo Việt Nam"/>
    <s v="Quận 11, Đường Hòa Bình, Hòa Bình, Hồ Chí Minh, Việt NamQuận 11"/>
    <n v="1"/>
    <x v="1"/>
    <x v="12"/>
    <d v="1899-12-30T07:50:38"/>
    <x v="9"/>
  </r>
  <r>
    <s v="3566607746499563923"/>
    <s v=""/>
    <x v="14"/>
    <n v="0"/>
    <s v=""/>
    <s v="NULL"/>
    <x v="0"/>
    <s v="2026-08-21 07:17:45"/>
    <s v="2026-08-21 07:27:43"/>
    <s v="NULL"/>
    <s v="NULL"/>
    <s v="2026-08-21 09:27:43"/>
    <s v=""/>
    <s v="106.4924797"/>
    <s v="10.6034783"/>
    <s v="106.6623424"/>
    <s v="10.9861726"/>
    <n v="242568"/>
    <n v="0"/>
    <n v="242568"/>
    <s v="Cash"/>
    <s v="OMV Company Limited, Long Cang, Tây Ninh, Việt NamOMV Company Limited"/>
    <s v="P&amp;C GARMENT Co.,Ltd, Yersin, Thị Xã, Thủ Dầu Một, Hồ Chí Minh, Việt NamP&amp;C GARMENT Co.,Ltd"/>
    <n v="1"/>
    <x v="1"/>
    <x v="13"/>
    <d v="1899-12-30T07:17:45"/>
    <x v="208"/>
  </r>
  <r>
    <s v="3566611398974984450"/>
    <s v=""/>
    <x v="14"/>
    <n v="2852976"/>
    <s v=""/>
    <s v="Motorcycle"/>
    <x v="1"/>
    <s v="2026-08-21 07:16:59"/>
    <s v="2026-08-21 07:26:58"/>
    <s v="2026-08-21 07:18:11"/>
    <s v="NULL"/>
    <s v="2026-08-21 07:21:23"/>
    <s v=""/>
    <s v="106.4924797"/>
    <s v="10.6034783"/>
    <s v="106.5998907"/>
    <s v="11.1261863"/>
    <n v="312012"/>
    <n v="256110"/>
    <n v="55902"/>
    <s v="Cash"/>
    <s v="OMV Company Limited, Long Cang, Tây Ninh, Việt NamOMV Company Limited"/>
    <s v="Diamond Viet Nam Co.,Ltd, Đường N6, Bến Cát, Hồ Chí Minh, Việt NamDiamond Viet Nam Co.,Ltd"/>
    <n v="1"/>
    <x v="1"/>
    <x v="13"/>
    <d v="1899-12-30T07:16:59"/>
    <x v="256"/>
  </r>
  <r>
    <s v="3566612699293110497"/>
    <s v=""/>
    <x v="14"/>
    <n v="0"/>
    <s v=""/>
    <s v="NULL"/>
    <x v="0"/>
    <s v="2026-08-21 07:18:08"/>
    <s v="2026-08-21 07:28:07"/>
    <s v="NULL"/>
    <s v="NULL"/>
    <s v="2026-08-21 09:28:07"/>
    <s v=""/>
    <s v="106.4924797"/>
    <s v="10.6034783"/>
    <s v="106.7258219"/>
    <s v="10.9593159"/>
    <n v="249696"/>
    <n v="0"/>
    <n v="249696"/>
    <s v="Cash"/>
    <s v="OMV Company Limited, Long Cang, Tây Ninh, Việt NamOMV Company Limited"/>
    <s v="CÔNG TY TNHH TM - DV MPC LOGISTICS, Thuận An Hòa, khu phố bình thuận 2, Thuận Giao, Hồ Chí Minh, Việt NamCÔNG TY TNHH TM - DV MPC LOGISTICS"/>
    <n v="1"/>
    <x v="1"/>
    <x v="13"/>
    <d v="1899-12-30T07:18:08"/>
    <x v="9"/>
  </r>
  <r>
    <s v="3566612699293111053"/>
    <s v=""/>
    <x v="14"/>
    <n v="3746341"/>
    <s v=""/>
    <s v="Motorcycle"/>
    <x v="1"/>
    <s v="2026-08-21 07:22:10"/>
    <s v="2026-08-21 07:32:09"/>
    <s v="2026-08-21 07:25:52"/>
    <s v="NULL"/>
    <s v="2026-08-21 07:28:05"/>
    <s v=""/>
    <s v="106.4983642"/>
    <s v="10.6043798"/>
    <s v="106.8582511"/>
    <s v="10.9835759"/>
    <n v="295272"/>
    <n v="242369"/>
    <n v="52903"/>
    <s v="Cash"/>
    <s v="CÔNG TY TNHH QUỐC TẾ RYTHERN (VIỆT NAM), đường số 14, Long Cang, Tây Ninh, Việt NamCÔNG TY TNHH QUỐC TẾ RYTHERN (VIỆT NAM)"/>
    <s v="Công Ty TNHH MJ Apparel, KP3, Phường, Trảng Dài, Đồng Nai, Việt NamCông Ty TNHH MJ Apparel"/>
    <n v="1"/>
    <x v="1"/>
    <x v="13"/>
    <d v="1899-12-30T07:22:10"/>
    <x v="257"/>
  </r>
  <r>
    <s v="3566614771296063535"/>
    <s v=""/>
    <x v="14"/>
    <n v="0"/>
    <s v=""/>
    <s v="NULL"/>
    <x v="0"/>
    <s v="2026-08-21 07:18:49"/>
    <s v="2026-08-21 07:28:48"/>
    <s v="NULL"/>
    <s v="NULL"/>
    <s v="2026-08-21 09:28:48"/>
    <s v=""/>
    <s v="106.4983642"/>
    <s v="10.6043798"/>
    <s v="106.7464376"/>
    <s v="10.8958555"/>
    <n v="223344"/>
    <n v="0"/>
    <n v="223344"/>
    <s v="Cash"/>
    <s v="CÔNG TY TNHH QUỐC TẾ RYTHERN (VIỆT NAM), đường số 14, Long Cang, Tây Ninh, Việt NamCÔNG TY TNHH QUỐC TẾ RYTHERN (VIỆT NAM)"/>
    <s v="Công Ty TNHH Eins Vina Co., Ltd, Thống Nhất, Quận, Dĩ An, Hồ Chí Minh, Việt NamCông Ty TNHH Eins Vina Co., Ltd"/>
    <n v="1"/>
    <x v="1"/>
    <x v="13"/>
    <d v="1899-12-30T07:18:49"/>
    <x v="9"/>
  </r>
  <r>
    <s v="3566614771296063630"/>
    <s v=""/>
    <x v="14"/>
    <n v="0"/>
    <s v=""/>
    <s v="NULL"/>
    <x v="0"/>
    <s v="2026-08-21 07:19:35"/>
    <s v="2026-08-21 07:29:34"/>
    <s v="NULL"/>
    <s v="NULL"/>
    <s v="2026-08-21 09:29:34"/>
    <s v=""/>
    <s v="106.4983642"/>
    <s v="10.6043798"/>
    <s v="106.9335037"/>
    <s v="10.9455416"/>
    <n v="312876"/>
    <n v="0"/>
    <n v="312876"/>
    <s v="Cash"/>
    <s v="CÔNG TY TNHH QUỐC TẾ RYTHERN (VIỆT NAM), đường số 14, Long Cang, Tây Ninh, Việt NamCÔNG TY TNHH QUỐC TẾ RYTHERN (VIỆT NAM)"/>
    <s v="CÔNG TY TNHH OKURA, Đường số 2, Khu Công Nghiệp, Hố Nai, Đồng Nai, Việt NamCÔNG TY TNHH OKURA"/>
    <n v="1"/>
    <x v="1"/>
    <x v="13"/>
    <d v="1899-12-30T07:19:35"/>
    <x v="9"/>
  </r>
  <r>
    <s v="3566617534671311867"/>
    <s v=""/>
    <x v="14"/>
    <n v="0"/>
    <s v=""/>
    <s v="NULL"/>
    <x v="0"/>
    <s v="2026-08-21 07:29:04"/>
    <s v="2026-08-21 07:39:03"/>
    <s v="NULL"/>
    <s v="NULL"/>
    <s v="2026-08-21 09:39:03"/>
    <s v=""/>
    <s v="106.4942645"/>
    <s v="10.6027099"/>
    <s v="106.6325789129364"/>
    <s v="10.872893833587009"/>
    <n v="246564"/>
    <n v="0"/>
    <n v="246564"/>
    <s v="Cash"/>
    <s v="Công ty TNHH INTEC VIỆT NAM HOLDINGS ( Xưởng gia công), Đường số 1, kcn Thuận Đạo mở rộng, Long Cang, Tây Ninh, Việt NamCông ty TNHH INTEC VIỆT NAM HOLDINGS ( Xưởng gia công)"/>
    <s v="81 Nguyễn Thị Búp, Trung Mỹ Tây, Hồ Chí Minh, Việt Nam81 Nguyễn Thị Búp, Trung Mỹ Tây, Hồ Chí Minh, Việt Nam"/>
    <n v="1"/>
    <x v="1"/>
    <x v="13"/>
    <d v="1899-12-30T07:29:04"/>
    <x v="9"/>
  </r>
  <r>
    <s v="3566624478484193469"/>
    <s v=""/>
    <x v="14"/>
    <n v="0"/>
    <s v=""/>
    <s v="NULL"/>
    <x v="0"/>
    <s v="2026-08-21 07:26:07"/>
    <s v="2026-08-21 07:36:06"/>
    <s v="NULL"/>
    <s v="NULL"/>
    <s v="2026-08-21 09:36:06"/>
    <s v=""/>
    <s v="106.4990706"/>
    <s v="10.6113348"/>
    <s v="106.7572747"/>
    <s v="10.8246347"/>
    <n v="272484"/>
    <n v="0"/>
    <n v="272484"/>
    <s v="Cash"/>
    <s v="CÔNG TY TNHH QUANG HỌC SUN TAT VIỆT NAM, Đường số 15, Khu công nghiệp Thuận Đạo mở rộng, Long Cang, Tây Ninh, Việt NamCÔNG TY TNHH QUANG HỌC SUN TAT VIỆT NAM"/>
    <s v="CÔNG TY TNHH JM (JMGROUP), Đường Nguyễn Văn Bá, Thủ Đức, Hồ Chí Minh, Việt NamCÔNG TY TNHH JM (JMGROUP)"/>
    <n v="1"/>
    <x v="1"/>
    <x v="13"/>
    <d v="1899-12-30T07:26:07"/>
    <x v="9"/>
  </r>
  <r>
    <s v="3566625112209977925"/>
    <s v=""/>
    <x v="14"/>
    <n v="0"/>
    <s v=""/>
    <s v="NULL"/>
    <x v="0"/>
    <s v="2026-08-21 07:23:17"/>
    <s v="2026-08-21 07:33:16"/>
    <s v="NULL"/>
    <s v="NULL"/>
    <s v="2026-08-21 09:33:16"/>
    <s v=""/>
    <s v="106.4983642"/>
    <s v="10.6043798"/>
    <s v="106.59586510240787"/>
    <s v="10.886319649702079"/>
    <n v="189000"/>
    <n v="0"/>
    <n v="189000"/>
    <s v="Cash"/>
    <s v="CÔNG TY TNHH QUỐC TẾ RYTHERN (VIỆT NAM), đường số 14, Long Cang, Tây Ninh, Việt NamCÔNG TY TNHH QUỐC TẾ RYTHERN (VIỆT NAM)"/>
    <s v="44 Bà Triệu, Hóc Môn, Hồ Chí Minh, Việt Nam44 Bà Triệu, Hóc Môn, Hồ Chí Minh, Việt Nam"/>
    <n v="1"/>
    <x v="1"/>
    <x v="13"/>
    <d v="1899-12-30T07:23:17"/>
    <x v="9"/>
  </r>
  <r>
    <s v="3566625112243523816"/>
    <s v=""/>
    <x v="14"/>
    <n v="0"/>
    <s v=""/>
    <s v="NULL"/>
    <x v="0"/>
    <s v="2026-08-21 07:33:58"/>
    <s v="2026-08-21 07:43:57"/>
    <s v="NULL"/>
    <s v="NULL"/>
    <s v="2026-08-21 09:43:57"/>
    <s v=""/>
    <s v="106.5114111"/>
    <s v="10.6193946"/>
    <s v="106.63598869870302"/>
    <s v="10.874582864909797"/>
    <n v="208980"/>
    <n v="0"/>
    <n v="208980"/>
    <s v="Cash"/>
    <s v="Cty SEJIN VINA, Phúc Long, Mỹ Yên, Tây Ninh, Việt NamCty SEJIN VINA"/>
    <s v="10a Trần Thị Bảy, Tân Thới Hiệp, Hồ Chí Minh, Việt Nam10a Trần Thị Bảy, Tân Thới Hiệp, Hồ Chí Minh, Việt Nam"/>
    <n v="1"/>
    <x v="1"/>
    <x v="13"/>
    <d v="1899-12-30T07:33:58"/>
    <x v="9"/>
  </r>
  <r>
    <s v="3566625112243524012"/>
    <s v=""/>
    <x v="14"/>
    <n v="0"/>
    <s v=""/>
    <s v="NULL"/>
    <x v="0"/>
    <s v="2026-08-21 07:35:02"/>
    <s v="2026-08-21 07:45:01"/>
    <s v="NULL"/>
    <s v="NULL"/>
    <s v="2026-08-21 09:45:01"/>
    <s v=""/>
    <s v="106.511192"/>
    <s v="10.6227633"/>
    <s v="106.59078650632935"/>
    <s v="10.794560976215262"/>
    <n v="110916"/>
    <n v="0"/>
    <n v="110916"/>
    <s v="Cash"/>
    <s v="CÔNG TY TNHH KEUM WOO, Đ. Số 1, khu công nghiệp, Mỹ Yên, Tây Ninh, Việt NamCÔNG TY TNHH KEUM WOO"/>
    <s v="118/22/11 Đường Số 6, Bình Tân, Hồ Chí Minh, Việt Nam118/22/11 Đường Số 6, Bình Tân, Hồ Chí Minh, Việt Nam"/>
    <n v="1"/>
    <x v="1"/>
    <x v="13"/>
    <d v="1899-12-30T07:35:02"/>
    <x v="9"/>
  </r>
  <r>
    <s v="3566626914519183493"/>
    <s v=""/>
    <x v="14"/>
    <n v="0"/>
    <s v=""/>
    <s v="NULL"/>
    <x v="0"/>
    <s v="2026-08-21 07:22:35"/>
    <s v="2026-08-21 07:32:34"/>
    <s v="NULL"/>
    <s v="NULL"/>
    <s v="2026-08-21 09:32:34"/>
    <s v=""/>
    <s v="106.4983642"/>
    <s v="10.6043798"/>
    <s v="106.73304881595642"/>
    <s v="10.794101629555987"/>
    <n v="176580"/>
    <n v="0"/>
    <n v="176580"/>
    <s v="Cash"/>
    <s v="CÔNG TY TNHH QUỐC TẾ RYTHERN (VIỆT NAM), đường số 14, Long Cang, Tây Ninh, Việt NamCÔNG TY TNHH QUỐC TẾ RYTHERN (VIỆT NAM)"/>
    <s v="32/2 Đ. Số 8, Khu Phố 4, An Khánh, Hồ Chí Minh 700000, Việt Nam32/2 Đ. Số 8, Khu Phố 4, An Khánh, Hồ Chí Minh 700000, Việt Nam"/>
    <n v="1"/>
    <x v="1"/>
    <x v="13"/>
    <d v="1899-12-30T07:22:35"/>
    <x v="9"/>
  </r>
  <r>
    <s v="3566626914519184180"/>
    <s v=""/>
    <x v="14"/>
    <n v="2852976"/>
    <s v=""/>
    <s v="Motorcycle"/>
    <x v="1"/>
    <s v="2026-08-21 07:27:16"/>
    <s v="2026-08-21 07:37:15"/>
    <s v="2026-08-21 07:27:39"/>
    <s v="NULL"/>
    <s v="2026-08-21 07:32:16"/>
    <s v=""/>
    <s v="106.4941308"/>
    <s v="10.6096558"/>
    <s v="106.8582511"/>
    <s v="10.9835759"/>
    <n v="398520"/>
    <n v="327118"/>
    <n v="71402"/>
    <s v="Cash"/>
    <s v="Công ty TNHH Sản xuất và Thương mại Khải Tín Huy, đường số 1, KCN Thuận Đạo (mở rộng, Long Cang, Tây Ninh, Việt NamCông ty TNHH Sản xuất và Thương mại Khải Tín Huy"/>
    <s v="Công Ty TNHH MJ Apparel, KP3, Phường, Trảng Dài, Đồng Nai, Việt NamCông Ty TNHH MJ Apparel"/>
    <n v="1"/>
    <x v="1"/>
    <x v="13"/>
    <d v="1899-12-30T07:27:16"/>
    <x v="258"/>
  </r>
  <r>
    <s v="3566627510403953629"/>
    <s v=""/>
    <x v="14"/>
    <n v="0"/>
    <s v=""/>
    <s v="NULL"/>
    <x v="0"/>
    <s v="2026-08-21 07:29:20"/>
    <s v="2026-08-21 07:39:19"/>
    <s v="NULL"/>
    <s v="NULL"/>
    <s v="2026-08-21 09:39:19"/>
    <s v=""/>
    <s v="106.4942645"/>
    <s v="10.6027099"/>
    <s v="106.67422232855832"/>
    <s v="10.83205352759634"/>
    <n v="232092"/>
    <n v="0"/>
    <n v="232092"/>
    <s v="Cash"/>
    <s v="Công ty TNHH INTEC VIỆT NAM HOLDINGS ( Xưởng gia công), Đường số 1, kcn Thuận Đạo mở rộng, Long Cang, Tây Ninh, Việt NamCông ty TNHH INTEC VIỆT NAM HOLDINGS ( Xưởng gia công)"/>
    <s v="Du Miên Garden - 7 Phan Văn Trị, Gò Vấp, Thành phố Hồ Chí Minh, Hồ Chí Minh, Việt NamDu Miên Garden - 7 Phan Văn Trị, Gò Vấp, Thành phố Hồ Chí Minh, Hồ Chí Minh, Việt Nam"/>
    <n v="1"/>
    <x v="1"/>
    <x v="13"/>
    <d v="1899-12-30T07:29:20"/>
    <x v="9"/>
  </r>
  <r>
    <s v="3566627510403953708"/>
    <s v=""/>
    <x v="14"/>
    <n v="0"/>
    <s v=""/>
    <s v="NULL"/>
    <x v="0"/>
    <s v="2026-08-21 07:29:57"/>
    <s v="2026-08-21 07:39:56"/>
    <s v="NULL"/>
    <s v="NULL"/>
    <s v="2026-08-21 09:39:56"/>
    <s v=""/>
    <s v="106.4951467"/>
    <s v="10.6033893"/>
    <s v="106.5934258"/>
    <s v="10.7918946"/>
    <n v="126360"/>
    <n v="0"/>
    <n v="126360"/>
    <s v="Cash"/>
    <s v="CÔNG TY TNHH MTV PARAMOUNT BRIGHT HOLDING LIMITED (PARK BRIGHT HOLDING LIMITED), Long Cang, Long An Province Việt NamCÔNG TY TNHH MTV PARAMOUNT BRIGHT HOLDING LIMITED (PARK BRIGHT HOLDING LIMITED)"/>
    <s v="56 Đường số 10, Bình Tân, Hồ Chí Minh, Việt Nam56 Đường số 10, Bình Tân, Hồ Chí Minh, Việt Nam"/>
    <n v="1"/>
    <x v="1"/>
    <x v="13"/>
    <d v="1899-12-30T07:29:57"/>
    <x v="9"/>
  </r>
  <r>
    <s v="3566627510420725981"/>
    <s v=""/>
    <x v="14"/>
    <n v="0"/>
    <s v=""/>
    <s v="NULL"/>
    <x v="0"/>
    <s v="2026-08-21 07:31:05"/>
    <s v="2026-08-21 07:41:04"/>
    <s v="NULL"/>
    <s v="NULL"/>
    <s v="2026-08-21 09:41:04"/>
    <s v=""/>
    <s v="106.4946141"/>
    <s v="10.6118874"/>
    <s v="106.986139"/>
    <s v="10.7867221"/>
    <n v="271296"/>
    <n v="0"/>
    <n v="271296"/>
    <s v="Cash"/>
    <s v="Chi nhánh Long An - Công ty TNHH Nutreco International Việt Nam (Nutreco Long An), H, Đường Số 1, Long Cang, Tây Ninh, Việt NamChi nhánh Long An - Công ty TNHH Nutreco International Việt Nam (Nutreco Long An)"/>
    <s v="KAWAJUN VIETNAM INDUSTRY Co., Ltd, Road N 4, Loc An Industrial Park, Long Thành, Đồng Nai, Việt NamKAWAJUN VIETNAM INDUSTRY Co., Ltd"/>
    <n v="1"/>
    <x v="1"/>
    <x v="13"/>
    <d v="1899-12-30T07:31:05"/>
    <x v="9"/>
  </r>
  <r>
    <s v="3566627777203630697"/>
    <s v=""/>
    <x v="14"/>
    <n v="4880327"/>
    <s v=""/>
    <s v="Motorcycle"/>
    <x v="3"/>
    <s v="2026-08-21 07:27:35"/>
    <s v="2026-08-21 07:37:34"/>
    <s v="2026-08-21 07:31:23"/>
    <s v="NULL"/>
    <s v=""/>
    <s v="2026-08-31 07:38:34"/>
    <s v="106.4941308"/>
    <s v="10.6096558"/>
    <s v="106.74603133210758"/>
    <s v="10.803222289523852"/>
    <n v="237708"/>
    <n v="184279"/>
    <n v="53429"/>
    <s v="Cash"/>
    <s v="Công ty TNHH Sản xuất và Thương mại Khải Tín Huy, đường số 1, KCN Thuận Đạo (mở rộng, Long Cang, Tây Ninh, Việt NamCông ty TNHH Sản xuất và Thương mại Khải Tín Huy"/>
    <s v="1p Lê Thước, An Khánh, Hồ Chí Minh, Việt Nam1p Lê Thước, An Khánh, Hồ Chí Minh, Việt Nam"/>
    <n v="1"/>
    <x v="1"/>
    <x v="13"/>
    <d v="1899-12-30T07:27:35"/>
    <x v="15"/>
  </r>
  <r>
    <s v="3566627777228792117"/>
    <s v=""/>
    <x v="14"/>
    <n v="4879802"/>
    <s v=""/>
    <s v="Motorcycle"/>
    <x v="2"/>
    <s v="2026-08-21 07:32:09"/>
    <s v="2026-08-21 07:42:08"/>
    <s v="2026-08-21 08:42:52"/>
    <s v="NULL"/>
    <s v=""/>
    <s v=""/>
    <s v="106.4879115"/>
    <s v="10.6193971"/>
    <s v="107.0360858"/>
    <s v="10.9457592"/>
    <n v="456516"/>
    <n v="353906"/>
    <n v="102610"/>
    <s v="Cash"/>
    <s v="CÔNG TY TNHH RICHFIELD VN, Bến Lức, Tây Ninh, Việt NamCÔNG TY TNHH RICHFIELD VN"/>
    <s v="Cty Pou Phong Vietnam CO.,LTD, KCN BÀU XÉO, An Viễn, Đồng Nai, Việt NamCty Pou Phong Vietnam CO.,LTD"/>
    <n v="1"/>
    <x v="1"/>
    <x v="13"/>
    <d v="1899-12-30T07:32:09"/>
    <x v="14"/>
  </r>
  <r>
    <s v="3566627777228792221"/>
    <s v=""/>
    <x v="14"/>
    <n v="0"/>
    <s v=""/>
    <s v="NULL"/>
    <x v="0"/>
    <s v="2026-08-21 07:32:49"/>
    <s v="2026-08-21 07:42:48"/>
    <s v="NULL"/>
    <s v="NULL"/>
    <s v="2026-08-21 09:42:48"/>
    <s v=""/>
    <s v="106.4899714365234"/>
    <s v="10.626483313911612"/>
    <s v="106.7484745341461"/>
    <s v="10.801176674864642"/>
    <n v="154656"/>
    <n v="0"/>
    <n v="154656"/>
    <s v="Cash"/>
    <s v="JFGR+G2H, Bến Lức, Tây Ninh, Việt NamJFGR+G2H, Bến Lức, Tây Ninh, Việt Nam"/>
    <s v="88 Đ. Số 24, Bình Trưng, Hồ Chí Minh 70000, Việt Nam88 Đ. Số 24, Bình Trưng, Hồ Chí Minh 70000, Việt Nam"/>
    <n v="1"/>
    <x v="1"/>
    <x v="13"/>
    <d v="1899-12-30T07:32:49"/>
    <x v="9"/>
  </r>
  <r>
    <s v="3566628863561920958"/>
    <s v=""/>
    <x v="14"/>
    <n v="0"/>
    <s v=""/>
    <s v="NULL"/>
    <x v="0"/>
    <s v="2026-08-21 07:28:24"/>
    <s v="2026-08-21 07:38:23"/>
    <s v="NULL"/>
    <s v="NULL"/>
    <s v="2026-08-21 09:38:23"/>
    <s v=""/>
    <s v="106.4942645"/>
    <s v="10.6027099"/>
    <s v="106.7062312526703"/>
    <s v="10.815467655713105"/>
    <n v="155304"/>
    <n v="0"/>
    <n v="155304"/>
    <s v="Cash"/>
    <s v="Công ty TNHH INTEC VIỆT NAM HOLDINGS ( Xưởng gia công), Đường số 1, kcn Thuận Đạo mở rộng, Long Cang, Tây Ninh, Việt NamCông ty TNHH INTEC VIỆT NAM HOLDINGS ( Xưởng gia công)"/>
    <s v="201/14 Đ. Nguyễn Xí, Bình Thạnh, Hồ Chí Minh, Việt Nam201/14 Đ. Nguyễn Xí, Bình Thạnh, Hồ Chí Minh, Việt Nam"/>
    <n v="1"/>
    <x v="1"/>
    <x v="13"/>
    <d v="1899-12-30T07:28:24"/>
    <x v="9"/>
  </r>
  <r>
    <s v="3566629677147844946"/>
    <s v=""/>
    <x v="14"/>
    <n v="0"/>
    <s v=""/>
    <s v="NULL"/>
    <x v="0"/>
    <s v="2026-08-21 07:28:45"/>
    <s v="2026-08-21 07:38:44"/>
    <s v="NULL"/>
    <s v="NULL"/>
    <s v="2026-08-21 10:39:29"/>
    <s v=""/>
    <s v="106.4942645"/>
    <s v="10.6027099"/>
    <s v="106.5959475"/>
    <s v="10.8862756"/>
    <n v="251100"/>
    <n v="0"/>
    <n v="251100"/>
    <s v="Cash"/>
    <s v="Công ty TNHH INTEC VIỆT NAM HOLDINGS ( Xưởng gia công), Đường số 1, kcn Thuận Đạo mở rộng, Long Cang, Tây Ninh, Việt NamCông ty TNHH INTEC VIỆT NAM HOLDINGS ( Xưởng gia công)"/>
    <s v="44 Bà Triệu, Hóc Môn, Hồ Chí Minh, Việt Nam44 Bà Triệu, Hóc Môn, Hồ Chí Minh, Việt Nam"/>
    <n v="1"/>
    <x v="1"/>
    <x v="13"/>
    <d v="1899-12-30T07:28:45"/>
    <x v="259"/>
  </r>
  <r>
    <s v="3566629677147845386"/>
    <s v=""/>
    <x v="14"/>
    <n v="4868126"/>
    <s v=""/>
    <s v="Motorcycle"/>
    <x v="2"/>
    <s v="2026-08-21 07:31:32"/>
    <s v="2026-08-21 07:41:31"/>
    <s v="2026-08-21 10:00:16"/>
    <s v="NULL"/>
    <s v=""/>
    <s v=""/>
    <s v="106.4881433"/>
    <s v="10.6174177"/>
    <s v="106.7572747"/>
    <s v="10.8246347"/>
    <n v="244944"/>
    <n v="189888"/>
    <n v="55056"/>
    <s v="Cash"/>
    <s v="Công ty CARGILL Long An, Bến Lức, Tây Ninh, Việt NamCông ty CARGILL Long An"/>
    <s v="CÔNG TY TNHH JM (JMGROUP), Đường Nguyễn Văn Bá, Thủ Đức, Hồ Chí Minh, Việt NamCÔNG TY TNHH JM (JMGROUP)"/>
    <n v="1"/>
    <x v="1"/>
    <x v="13"/>
    <d v="1899-12-30T07:31:32"/>
    <x v="14"/>
  </r>
  <r>
    <s v="3566629677164618117"/>
    <s v=""/>
    <x v="14"/>
    <n v="0"/>
    <s v=""/>
    <s v="NULL"/>
    <x v="0"/>
    <s v="2026-08-21 07:35:45"/>
    <s v="2026-08-21 07:45:44"/>
    <s v="NULL"/>
    <s v="NULL"/>
    <s v="2026-08-21 09:45:44"/>
    <s v=""/>
    <s v="106.5112188"/>
    <s v="10.6230088"/>
    <s v="106.7464376"/>
    <s v="10.8958555"/>
    <n v="204984"/>
    <n v="0"/>
    <n v="204984"/>
    <s v="Cash"/>
    <s v="CHANG MAO VIETNAM CO., LTD, Nhà Xưởng N 5, Đ. Số 1, Mỹ Yên, Tây Ninh, Việt NamCHANG MAO VIETNAM CO., LTD"/>
    <s v="Công Ty TNHH Eins Vina Co., Ltd, Thống Nhất, Quận, Dĩ An, Hồ Chí Minh, Việt NamCông Ty TNHH Eins Vina Co., Ltd"/>
    <n v="1"/>
    <x v="1"/>
    <x v="13"/>
    <d v="1899-12-30T07:35:45"/>
    <x v="9"/>
  </r>
  <r>
    <s v="3566630819156160703"/>
    <s v=""/>
    <x v="14"/>
    <n v="0"/>
    <s v=""/>
    <s v="NULL"/>
    <x v="0"/>
    <s v="2026-08-21 07:30:10"/>
    <s v="2026-08-21 07:40:09"/>
    <s v="NULL"/>
    <s v="NULL"/>
    <s v="2026-08-21 09:40:09"/>
    <s v=""/>
    <s v="106.4951467"/>
    <s v="10.6033893"/>
    <s v="106.7258219"/>
    <s v="10.9593159"/>
    <n v="332208"/>
    <n v="0"/>
    <n v="332208"/>
    <s v="Cash"/>
    <s v="CÔNG TY TNHH MTV PARAMOUNT BRIGHT HOLDING LIMITED (PARK BRIGHT HOLDING LIMITED), Long Cang, Long An Province Việt NamCÔNG TY TNHH MTV PARAMOUNT BRIGHT HOLDING LIMITED (PARK BRIGHT HOLDING LIMITED)"/>
    <s v="CÔNG TY TNHH TM - DV MPC LOGISTICS, Thuận An Hòa, khu phố bình thuận 2, Thuận Giao, Hồ Chí Minh, Việt NamCÔNG TY TNHH TM - DV MPC LOGISTICS"/>
    <n v="1"/>
    <x v="1"/>
    <x v="13"/>
    <d v="1899-12-30T07:30:10"/>
    <x v="9"/>
  </r>
  <r>
    <s v="3566630819156160811"/>
    <s v=""/>
    <x v="14"/>
    <n v="0"/>
    <s v=""/>
    <s v="NULL"/>
    <x v="0"/>
    <s v="2026-08-21 07:30:51"/>
    <s v="2026-08-21 07:40:50"/>
    <s v="NULL"/>
    <s v="NULL"/>
    <s v="2026-08-21 09:40:50"/>
    <s v=""/>
    <s v="106.4946141"/>
    <s v="10.6118874"/>
    <s v="106.9335037"/>
    <s v="10.9455416"/>
    <n v="308448"/>
    <n v="0"/>
    <n v="308448"/>
    <s v="Cash"/>
    <s v="Chi nhánh Long An - Công ty TNHH Nutreco International Việt Nam (Nutreco Long An), H, Đường Số 1, Long Cang, Tây Ninh, Việt NamChi nhánh Long An - Công ty TNHH Nutreco International Việt Nam (Nutreco Long An)"/>
    <s v="CÔNG TY TNHH OKURA, Đường số 2, Khu Công Nghiệp, Hố Nai, Đồng Nai, Việt NamCÔNG TY TNHH OKURA"/>
    <n v="1"/>
    <x v="1"/>
    <x v="13"/>
    <d v="1899-12-30T07:30:51"/>
    <x v="9"/>
  </r>
  <r>
    <s v="3566630819156161365"/>
    <s v=""/>
    <x v="14"/>
    <n v="0"/>
    <s v=""/>
    <s v="NULL"/>
    <x v="0"/>
    <s v="2026-08-21 07:34:16"/>
    <s v="2026-08-21 07:44:15"/>
    <s v="NULL"/>
    <s v="NULL"/>
    <s v="2026-08-21 09:44:15"/>
    <s v=""/>
    <s v="106.5114111"/>
    <s v="10.6193946"/>
    <s v="106.67151187564085"/>
    <s v="10.829459635742715"/>
    <n v="195156"/>
    <n v="0"/>
    <n v="195156"/>
    <s v="Cash"/>
    <s v="Cty SEJIN VINA, Phúc Long, Mỹ Yên, Tây Ninh, Việt NamCty SEJIN VINA"/>
    <s v="325 Quang Trung, Gò Vấp, Hồ Chí Minh 727010, Việt Nam325 Quang Trung, Gò Vấp, Hồ Chí Minh 727010, Việt Nam"/>
    <n v="1"/>
    <x v="1"/>
    <x v="13"/>
    <d v="1899-12-30T07:34:16"/>
    <x v="9"/>
  </r>
  <r>
    <s v="3566630819156161549"/>
    <s v=""/>
    <x v="14"/>
    <n v="0"/>
    <s v=""/>
    <s v="NULL"/>
    <x v="0"/>
    <s v="2026-08-21 07:35:13"/>
    <s v="2026-08-21 07:45:12"/>
    <s v="NULL"/>
    <s v="NULL"/>
    <s v="2026-08-21 09:45:12"/>
    <s v=""/>
    <s v="106.511192"/>
    <s v="10.6227633"/>
    <s v="106.7258219"/>
    <s v="10.9593159"/>
    <n v="233712"/>
    <n v="0"/>
    <n v="233712"/>
    <s v="Cash"/>
    <s v="CÔNG TY TNHH KEUM WOO, Đ. Số 1, khu công nghiệp, Mỹ Yên, Tây Ninh, Việt NamCÔNG TY TNHH KEUM WOO"/>
    <s v="CÔNG TY TNHH TM - DV MPC LOGISTICS, Thuận An Hòa, khu phố bình thuận 2, Thuận Giao, Hồ Chí Minh, Việt NamCÔNG TY TNHH TM - DV MPC LOGISTICS"/>
    <n v="1"/>
    <x v="1"/>
    <x v="13"/>
    <d v="1899-12-30T07:35:13"/>
    <x v="9"/>
  </r>
  <r>
    <s v="3566630819172934403"/>
    <s v=""/>
    <x v="14"/>
    <n v="4420373"/>
    <s v=""/>
    <s v="Motorcycle"/>
    <x v="2"/>
    <s v="2026-08-21 07:39:11"/>
    <s v="2026-08-21 07:49:10"/>
    <s v="2026-08-21 11:17:09"/>
    <s v="2026-08-21 11:18:10"/>
    <s v=""/>
    <s v=""/>
    <s v="106.5111467"/>
    <s v="10.6321096"/>
    <s v="106.67182842275393"/>
    <s v="10.830947323124132"/>
    <n v="174636"/>
    <n v="135383"/>
    <n v="39253"/>
    <s v="Cash"/>
    <s v="CÔNG TY TNHH SOLVAY PEROXIDES VIỆT NAM, Đ. Số 1, Khu Công Nghiệp, Mỹ Yên, Tây Ninh, Việt NamCÔNG TY TNHH SOLVAY PEROXIDES VIỆT NAM"/>
    <s v="214/21 Đ. Số 7, Gò Vấp, Hồ Chí Minh, Việt Nam214/21 Đ. Số 7, Gò Vấp, Hồ Chí Minh, Việt Nam"/>
    <n v="1"/>
    <x v="1"/>
    <x v="13"/>
    <d v="1899-12-30T07:39:11"/>
    <x v="14"/>
  </r>
  <r>
    <s v="3566630819172934719"/>
    <s v=""/>
    <x v="14"/>
    <n v="4518343"/>
    <s v=""/>
    <s v="Motorcycle"/>
    <x v="2"/>
    <s v="2026-08-21 07:40:58"/>
    <s v="2026-08-21 07:50:57"/>
    <s v="2026-08-21 10:11:42"/>
    <s v="NULL"/>
    <s v=""/>
    <s v=""/>
    <s v="106.5083845"/>
    <s v="10.6428394"/>
    <s v="106.986139"/>
    <s v="10.7867221"/>
    <n v="254124"/>
    <n v="197005"/>
    <n v="57119"/>
    <s v="Cash"/>
    <s v="CÔNG TY TNHH BIBICA MIỀN TÂY, 9 VL3, KCN Vĩnh Lộc 2, Mỹ Yên, Tây Ninh, Việt NamCÔNG TY TNHH BIBICA MIỀN TÂY"/>
    <s v="KAWAJUN VIETNAM INDUSTRY Co., Ltd, Road N 4, Loc An Industrial Park, Long Thành, Đồng Nai, Việt NamKAWAJUN VIETNAM INDUSTRY Co., Ltd"/>
    <n v="1"/>
    <x v="1"/>
    <x v="13"/>
    <d v="1899-12-30T07:40:58"/>
    <x v="14"/>
  </r>
  <r>
    <s v="3566635598414573675"/>
    <s v=""/>
    <x v="14"/>
    <n v="0"/>
    <s v=""/>
    <s v="NULL"/>
    <x v="0"/>
    <s v="2026-08-21 07:37:56"/>
    <s v="2026-08-21 07:47:55"/>
    <s v="NULL"/>
    <s v="NULL"/>
    <s v="2026-08-21 09:47:55"/>
    <s v=""/>
    <s v="106.5139871"/>
    <s v="10.6277752"/>
    <s v="106.7049546"/>
    <s v="10.820836"/>
    <n v="203904"/>
    <n v="0"/>
    <n v="203904"/>
    <s v="Cash"/>
    <s v="CÔNG TY TNHH ISHIKAWA KIKOU VIỆT NAM, Đường Số 13, KCN Phúc Long, Mỹ Yên, Tây Ninh, Việt NamCÔNG TY TNHH ISHIKAWA KIKOU VIỆT NAM"/>
    <s v="427 Nơ Trang Long, Bình Lợi Trung, Hồ Chí Minh, Việt Nam427 Nơ Trang Long, Bình Lợi Trung, Hồ Chí Minh, Việt Nam"/>
    <n v="1"/>
    <x v="1"/>
    <x v="13"/>
    <d v="1899-12-30T07:37:56"/>
    <x v="9"/>
  </r>
  <r>
    <s v="3566635598414574259"/>
    <s v=""/>
    <x v="14"/>
    <n v="2109626"/>
    <s v=""/>
    <s v="Motorcycle"/>
    <x v="2"/>
    <s v="2026-08-21 07:41:10"/>
    <s v="2026-08-21 07:51:10"/>
    <s v="2026-08-21 11:57:56"/>
    <s v="2026-08-21 11:58:40"/>
    <s v=""/>
    <s v=""/>
    <s v="106.5083845"/>
    <s v="10.6428394"/>
    <s v="106.7572747"/>
    <s v="10.8246347"/>
    <n v="235440"/>
    <n v="182520"/>
    <n v="52920"/>
    <s v="Cash"/>
    <s v="CÔNG TY TNHH BIBICA MIỀN TÂY, 9 VL3, KCN Vĩnh Lộc 2, Mỹ Yên, Tây Ninh, Việt NamCÔNG TY TNHH BIBICA MIỀN TÂY"/>
    <s v="CÔNG TY TNHH JM (JMGROUP), Đường Nguyễn Văn Bá, Thủ Đức, Hồ Chí Minh, Việt NamCÔNG TY TNHH JM (JMGROUP)"/>
    <n v="1"/>
    <x v="1"/>
    <x v="13"/>
    <d v="1899-12-30T07:41:10"/>
    <x v="14"/>
  </r>
  <r>
    <s v="3566635598414574295"/>
    <s v=""/>
    <x v="14"/>
    <n v="0"/>
    <s v=""/>
    <s v="NULL"/>
    <x v="0"/>
    <s v="2026-08-21 07:41:23"/>
    <s v="2026-08-21 07:51:22"/>
    <s v="NULL"/>
    <s v="NULL"/>
    <s v="2026-08-21 09:51:22"/>
    <s v=""/>
    <s v="106.5083845"/>
    <s v="10.6428394"/>
    <s v="106.8021041"/>
    <s v="10.8263777"/>
    <n v="190188"/>
    <n v="0"/>
    <n v="190188"/>
    <s v="Cash"/>
    <s v="CÔNG TY TNHH BIBICA MIỀN TÂY, 9 VL3, KCN Vĩnh Lộc 2, Mỹ Yên, Tây Ninh, Việt NamCÔNG TY TNHH BIBICA MIỀN TÂY"/>
    <s v="Công Ty TNHH MTV Daeyoung Electronics Vina, Đường D2, Tăng Nhơn Phú, Hồ Chí Minh, Việt NamCông Ty TNHH MTV Daeyoung Electronics Vina"/>
    <n v="1"/>
    <x v="1"/>
    <x v="13"/>
    <d v="1899-12-30T07:41:23"/>
    <x v="9"/>
  </r>
  <r>
    <s v="3566635598431347104"/>
    <s v=""/>
    <x v="14"/>
    <n v="0"/>
    <s v=""/>
    <s v="NULL"/>
    <x v="0"/>
    <s v="2026-08-21 07:44:45"/>
    <s v="2026-08-21 07:54:44"/>
    <s v="NULL"/>
    <s v="NULL"/>
    <s v="2026-08-21 09:54:44"/>
    <s v=""/>
    <s v="106.50137753115236"/>
    <s v="10.63451774619226"/>
    <s v="106.7464376"/>
    <s v="10.8958555"/>
    <n v="273132"/>
    <n v="0"/>
    <n v="273132"/>
    <s v="Cash"/>
    <s v="JGM2+QJ6, Bến Lức, Tây Ninh, Việt NamJGM2+QJ6, Bến Lức, Tây Ninh, Việt Nam"/>
    <s v="Công Ty TNHH Eins Vina Co., Ltd, Thống Nhất, Quận, Dĩ An, Hồ Chí Minh, Việt NamCông Ty TNHH Eins Vina Co., Ltd"/>
    <n v="1"/>
    <x v="1"/>
    <x v="13"/>
    <d v="1899-12-30T07:44:45"/>
    <x v="9"/>
  </r>
  <r>
    <s v="3566635598448120605"/>
    <s v=""/>
    <x v="14"/>
    <n v="0"/>
    <s v=""/>
    <s v="NULL"/>
    <x v="0"/>
    <s v="2026-08-21 07:52:05"/>
    <s v="2026-08-21 08:02:04"/>
    <s v="NULL"/>
    <s v="NULL"/>
    <s v="2026-08-21 10:02:04"/>
    <s v=""/>
    <s v="106.4949754"/>
    <s v="10.6041049"/>
    <s v="106.6989609"/>
    <s v="10.7469416"/>
    <n v="188028"/>
    <n v="0"/>
    <n v="188028"/>
    <s v="Cash"/>
    <s v="Cty TNHH MTV Benkan Việt Nam 1, Đạo mỡ rộng, đường số 01, KCN Thuận, Long Cang, Tây Ninh, Việt NamCty TNHH MTV Benkan Việt Nam 1"/>
    <s v="Quận 4 TP HCM, Tân Hưng, Hồ Chí Minh, Việt NamQuận 4 TP HCM"/>
    <n v="1"/>
    <x v="1"/>
    <x v="13"/>
    <d v="1899-12-30T07:52:05"/>
    <x v="9"/>
  </r>
  <r>
    <s v="3566635769349239154"/>
    <s v=""/>
    <x v="14"/>
    <n v="3524241"/>
    <s v=""/>
    <s v="Motorcycle"/>
    <x v="2"/>
    <s v="2026-08-21 07:39:27"/>
    <s v="2026-08-21 07:49:26"/>
    <s v="2026-08-21 09:43:11"/>
    <s v="NULL"/>
    <s v=""/>
    <s v=""/>
    <s v="106.5111467"/>
    <s v="10.6321096"/>
    <s v="106.65199134526065"/>
    <s v="10.800998077528455"/>
    <n v="104868"/>
    <n v="81297"/>
    <n v="23571"/>
    <s v="Cash"/>
    <s v="CÔNG TY TNHH SOLVAY PEROXIDES VIỆT NAM, Đ. Số 1, Khu Công Nghiệp, Mỹ Yên, Tây Ninh, Việt NamCÔNG TY TNHH SOLVAY PEROXIDES VIỆT NAM"/>
    <s v="2 Quách Văn Tuấn, Bảy Hiền, Hồ Chí Minh, Việt Nam2 Quách Văn Tuấn, Bảy Hiền, Hồ Chí Minh, Việt Nam"/>
    <n v="1"/>
    <x v="1"/>
    <x v="13"/>
    <d v="1899-12-30T07:39:27"/>
    <x v="14"/>
  </r>
  <r>
    <s v="3566635769349239635"/>
    <s v=""/>
    <x v="14"/>
    <n v="0"/>
    <s v=""/>
    <s v="NULL"/>
    <x v="0"/>
    <s v="2026-08-21 07:42:12"/>
    <s v="2026-08-21 07:52:11"/>
    <s v="NULL"/>
    <s v="NULL"/>
    <s v="2026-08-21 09:52:11"/>
    <s v=""/>
    <s v="106.5161509"/>
    <s v="10.6456886"/>
    <s v="106.7482328"/>
    <s v="10.8008839"/>
    <n v="199368"/>
    <n v="0"/>
    <n v="199368"/>
    <s v="Cash"/>
    <s v="Công ty Cổ Phần In DICA, Đường VL1, KCN Vĩnh Lộc 2, Mỹ Yên, Tây Ninh, Việt NamCông ty Cổ Phần In DICA"/>
    <s v="88 Đ. Số 24, Bình Trưng, Hồ Chí Minh 70000, Việt Nam88 Đ. Số 24, Bình Trưng, Hồ Chí Minh 70000, Việt Nam"/>
    <n v="1"/>
    <x v="1"/>
    <x v="13"/>
    <d v="1899-12-30T07:42:12"/>
    <x v="9"/>
  </r>
  <r>
    <s v="3566635769366012092"/>
    <s v=""/>
    <x v="14"/>
    <n v="0"/>
    <s v=""/>
    <s v="NULL"/>
    <x v="0"/>
    <s v="2026-08-21 07:43:54"/>
    <s v="2026-08-21 07:53:54"/>
    <s v="NULL"/>
    <s v="NULL"/>
    <s v="2026-08-21 09:53:54"/>
    <s v=""/>
    <s v="106.5099606"/>
    <s v="10.6414349"/>
    <s v="106.6519609"/>
    <s v="10.8009677"/>
    <n v="164268"/>
    <n v="0"/>
    <n v="164268"/>
    <s v="Cash"/>
    <s v="Công ty Thuốc Thú Y APA, Đường VL3, Mỹ Yên, Tây Ninh, Việt NamCông ty Thuốc Thú Y APA"/>
    <s v="2 Quách Văn Tuấn, Bảy Hiền, Hồ Chí Minh, Việt Nam2 Quách Văn Tuấn, Bảy Hiền, Hồ Chí Minh, Việt Nam"/>
    <n v="1"/>
    <x v="1"/>
    <x v="13"/>
    <d v="1899-12-30T07:43:54"/>
    <x v="4"/>
  </r>
  <r>
    <s v="3566635769366012389"/>
    <s v=""/>
    <x v="14"/>
    <n v="0"/>
    <s v=""/>
    <s v="NULL"/>
    <x v="0"/>
    <s v="2026-08-21 07:45:21"/>
    <s v="2026-08-21 07:55:20"/>
    <s v="NULL"/>
    <s v="NULL"/>
    <s v="2026-08-21 09:55:20"/>
    <s v=""/>
    <s v="106.50137753115236"/>
    <s v="10.63451774619226"/>
    <s v="106.7572747"/>
    <s v="10.8246347"/>
    <n v="176580"/>
    <n v="0"/>
    <n v="176580"/>
    <s v="Cash"/>
    <s v="JGM2+QJ6, Bến Lức, Tây Ninh, Việt NamJGM2+QJ6, Bến Lức, Tây Ninh, Việt Nam"/>
    <s v="CÔNG TY TNHH JM (JMGROUP), Đường Nguyễn Văn Bá, Thủ Đức, Hồ Chí Minh, Việt NamCÔNG TY TNHH JM (JMGROUP)"/>
    <n v="1"/>
    <x v="1"/>
    <x v="13"/>
    <d v="1899-12-30T07:45:21"/>
    <x v="9"/>
  </r>
  <r>
    <s v="3566635769382785990"/>
    <s v=""/>
    <x v="14"/>
    <n v="0"/>
    <s v=""/>
    <s v="NULL"/>
    <x v="0"/>
    <s v="2026-08-21 07:52:35"/>
    <s v="2026-08-21 08:02:34"/>
    <s v="NULL"/>
    <s v="NULL"/>
    <s v="2026-08-21 10:02:34"/>
    <s v=""/>
    <s v="106.4949754"/>
    <s v="10.6041049"/>
    <s v="106.690788"/>
    <s v="10.793931"/>
    <n v="248292"/>
    <n v="0"/>
    <n v="248292"/>
    <s v="Cash"/>
    <s v="Cty TNHH MTV Benkan Việt Nam 1, Đạo mỡ rộng, đường số 01, KCN Thuận, Long Cang, Tây Ninh, Việt NamCty TNHH MTV Benkan Việt Nam 1"/>
    <s v="Quận 1, Đường Trần Khắc Chân, Tân Định, Hồ Chí Minh, Việt NamQuận 1"/>
    <n v="1"/>
    <x v="1"/>
    <x v="13"/>
    <d v="1899-12-30T07:52:35"/>
    <x v="9"/>
  </r>
  <r>
    <s v="3566636218525643224"/>
    <s v=""/>
    <x v="14"/>
    <n v="0"/>
    <s v=""/>
    <s v="NULL"/>
    <x v="0"/>
    <s v="2026-08-21 07:40:33"/>
    <s v="2026-08-21 07:50:32"/>
    <s v="NULL"/>
    <s v="NULL"/>
    <s v="2026-08-21 09:50:32"/>
    <s v=""/>
    <s v="106.5039447"/>
    <s v="10.6433253"/>
    <s v="106.9335037"/>
    <s v="10.9455416"/>
    <n v="304452"/>
    <n v="0"/>
    <n v="304452"/>
    <s v="Cash"/>
    <s v="Công Ty Cổ Phần Nosafood - Nhà máy Bến Lức, Đường VL7, KCN Vĩnh Lộc 2 X, Mỹ Yên, Tây Ninh, Việt NamCông Ty Cổ Phần Nosafood - Nhà máy Bến Lức"/>
    <s v="CÔNG TY TNHH OKURA, Đường số 2, Khu Công Nghiệp, Hố Nai, Đồng Nai, Việt NamCÔNG TY TNHH OKURA"/>
    <n v="1"/>
    <x v="1"/>
    <x v="13"/>
    <d v="1899-12-30T07:40:33"/>
    <x v="9"/>
  </r>
  <r>
    <s v="3566636218567577695"/>
    <s v=""/>
    <x v="14"/>
    <n v="3711487"/>
    <s v=""/>
    <s v="Motorcycle"/>
    <x v="3"/>
    <s v="2026-08-21 07:49:20"/>
    <s v="2026-08-21 07:59:19"/>
    <s v="2026-08-21 09:52:08"/>
    <s v="NULL"/>
    <s v=""/>
    <s v="2026-08-21 10:56:51"/>
    <s v="106.574113"/>
    <s v="10.646726"/>
    <s v="106.7076858"/>
    <s v="10.7295817"/>
    <n v="116532"/>
    <n v="90339"/>
    <n v="26193"/>
    <s v="Cash"/>
    <s v="Kho Công ty TNHH G&amp;F Việt Nam, Ba Trung, Phước Lý, Tây Ninh, Việt NamKho Công ty TNHH G&amp;F Việt Nam"/>
    <s v="quận 7, Hưng Phước 4, Khu đô thị Phú Mỹ Hưng, Tân Hưng, Hồ Chí Minh, Việt Namquận 7"/>
    <n v="1"/>
    <x v="1"/>
    <x v="13"/>
    <d v="1899-12-30T07:49:20"/>
    <x v="260"/>
  </r>
  <r>
    <s v="3566637518785048800"/>
    <s v=""/>
    <x v="14"/>
    <n v="469029"/>
    <s v=""/>
    <s v="Motorcycle"/>
    <x v="2"/>
    <s v="2026-08-21 07:41:47"/>
    <s v="2026-08-21 07:51:46"/>
    <s v="2026-08-21 10:01:46"/>
    <s v="NULL"/>
    <s v=""/>
    <s v=""/>
    <s v="106.5161509"/>
    <s v="10.6456886"/>
    <s v="107.0360858"/>
    <s v="10.9457592"/>
    <n v="323244"/>
    <n v="265329"/>
    <n v="57915"/>
    <s v="Cash"/>
    <s v="Công ty Cổ Phần In DICA, Đường VL1, KCN Vĩnh Lộc 2, Mỹ Yên, Tây Ninh, Việt NamCông ty Cổ Phần In DICA"/>
    <s v="Cty Pou Phong Vietnam CO.,LTD, KCN BÀU XÉO, An Viễn, Đồng Nai, Việt NamCty Pou Phong Vietnam CO.,LTD"/>
    <n v="1"/>
    <x v="1"/>
    <x v="13"/>
    <d v="1899-12-30T07:41:47"/>
    <x v="14"/>
  </r>
  <r>
    <s v="3566637518785048845"/>
    <s v=""/>
    <x v="14"/>
    <n v="0"/>
    <s v=""/>
    <s v="NULL"/>
    <x v="0"/>
    <s v="2026-08-21 07:42:00"/>
    <s v="2026-08-21 07:51:59"/>
    <s v="NULL"/>
    <s v="NULL"/>
    <s v="2026-08-21 09:51:59"/>
    <s v=""/>
    <s v="106.5161509"/>
    <s v="10.6456886"/>
    <s v="106.8582511"/>
    <s v="10.9835759"/>
    <n v="259740"/>
    <n v="0"/>
    <n v="259740"/>
    <s v="Cash"/>
    <s v="Công ty Cổ Phần In DICA, Đường VL1, KCN Vĩnh Lộc 2, Mỹ Yên, Tây Ninh, Việt NamCông ty Cổ Phần In DICA"/>
    <s v="Công Ty TNHH MJ Apparel, KP3, Phường, Trảng Dài, Đồng Nai, Việt NamCông Ty TNHH MJ Apparel"/>
    <n v="1"/>
    <x v="1"/>
    <x v="13"/>
    <d v="1899-12-30T07:42:00"/>
    <x v="9"/>
  </r>
  <r>
    <s v="3566637518785048988"/>
    <s v=""/>
    <x v="14"/>
    <n v="0"/>
    <s v=""/>
    <s v="NULL"/>
    <x v="0"/>
    <s v="2026-08-21 07:42:51"/>
    <s v="2026-08-21 07:52:50"/>
    <s v="NULL"/>
    <s v="NULL"/>
    <s v="2026-08-21 09:52:50"/>
    <s v=""/>
    <s v="106.5171232"/>
    <s v="10.6425146"/>
    <s v="106.5956222338379"/>
    <s v="10.886631064055171"/>
    <n v="197208"/>
    <n v="0"/>
    <n v="197208"/>
    <s v="Cash"/>
    <s v="CÔNG TY CỔ PHẦN TẬP ĐOÀN KIM ĐỨC, Đường VL1, KCN Vĩnh, Mỹ Yên, Tây Ninh, Việt NamCÔNG TY CỔ PHẦN TẬP ĐOÀN KIM ĐỨC"/>
    <s v="VHPW+M63, Hóc Môn, Hồ Chí Minh, Việt NamVHPW+M63, Hóc Môn, Hồ Chí Minh, Việt Nam"/>
    <n v="1"/>
    <x v="1"/>
    <x v="13"/>
    <d v="1899-12-30T07:42:51"/>
    <x v="9"/>
  </r>
  <r>
    <s v="3566637518801822260"/>
    <s v=""/>
    <x v="14"/>
    <n v="3522477"/>
    <s v=""/>
    <s v="Motorcycle"/>
    <x v="2"/>
    <s v="2026-08-21 07:49:05"/>
    <s v="2026-08-21 07:59:04"/>
    <s v="2026-08-21 09:54:05"/>
    <s v="2026-08-21 10:15:05"/>
    <s v=""/>
    <s v=""/>
    <s v="106.574113"/>
    <s v="10.646726"/>
    <s v="106.6408802"/>
    <s v="10.7471372"/>
    <n v="93312"/>
    <n v="72338"/>
    <n v="20974"/>
    <s v="Cash"/>
    <s v="Kho Công ty TNHH G&amp;F Việt Nam, Ba Trung, Phước Lý, Tây Ninh, Việt NamKho Công ty TNHH G&amp;F Việt Nam"/>
    <s v="Quận 6, Đường Phan Văn Khỏe, Bình Tây, Hồ Chí Minh, Việt NamQuận 6"/>
    <n v="1"/>
    <x v="1"/>
    <x v="13"/>
    <d v="1899-12-30T07:49:05"/>
    <x v="14"/>
  </r>
  <r>
    <s v="3566637518818595327"/>
    <s v=""/>
    <x v="14"/>
    <n v="0"/>
    <s v=""/>
    <s v="NULL"/>
    <x v="0"/>
    <s v="2026-08-21 07:53:28"/>
    <s v="2026-08-21 08:03:27"/>
    <s v="NULL"/>
    <s v="NULL"/>
    <s v="2026-08-21 10:03:27"/>
    <s v=""/>
    <s v="106.5094209"/>
    <s v="10.64068"/>
    <s v="106.6650848"/>
    <s v="10.7895815"/>
    <n v="169776"/>
    <n v="0"/>
    <n v="169776"/>
    <s v="Cash"/>
    <s v="TLT Electronics Vietnam, Đường Vĩnh Lộc 3 Voi Lá, KCN Vĩnh Lộc 2, Mỹ Yên, Tây Ninh, Việt NamTLT Electronics Vietnam"/>
    <s v="Quận 3, Cách Mạng Tháng Tám, Nhiêu Lộc, Hồ Chí Minh, Việt NamQuận 3"/>
    <n v="1"/>
    <x v="1"/>
    <x v="13"/>
    <d v="1899-12-30T07:53:28"/>
    <x v="9"/>
  </r>
  <r>
    <s v="3566637518818595567"/>
    <s v=""/>
    <x v="14"/>
    <n v="4279770"/>
    <s v=""/>
    <s v="Motorcycle"/>
    <x v="2"/>
    <s v="2026-08-21 07:54:36"/>
    <s v="2026-08-21 08:04:35"/>
    <s v="2026-08-21 09:31:29"/>
    <s v="NULL"/>
    <s v=""/>
    <s v=""/>
    <s v="106.5094209"/>
    <s v="10.64068"/>
    <s v="106.6536587"/>
    <s v="10.7295791"/>
    <n v="132948"/>
    <n v="103065"/>
    <n v="29883"/>
    <s v="Cash"/>
    <s v="TLT Electronics Vietnam, Đường Vĩnh Lộc 3 Voi Lá, KCN Vĩnh Lộc 2, Mỹ Yên, Tây Ninh, Việt NamTLT Electronics Vietnam"/>
    <s v="Quận 8, Đường Số 18, Ấp 2, Bình Hưng, Hồ Chí Minh, Việt NamQuận 8"/>
    <n v="1"/>
    <x v="1"/>
    <x v="13"/>
    <d v="1899-12-30T07:54:36"/>
    <x v="14"/>
  </r>
  <r>
    <s v="3566638017756230645"/>
    <s v=""/>
    <x v="14"/>
    <n v="0"/>
    <s v=""/>
    <s v="NULL"/>
    <x v="0"/>
    <s v="2026-08-21 07:46:52"/>
    <s v="2026-08-21 07:56:51"/>
    <s v="NULL"/>
    <s v="NULL"/>
    <s v="2026-08-21 09:56:51"/>
    <s v=""/>
    <s v="106.55364842043458"/>
    <s v="10.643670288115208"/>
    <s v="106.5955846"/>
    <s v="10.8866588"/>
    <n v="182844"/>
    <n v="0"/>
    <n v="182844"/>
    <s v="Cash"/>
    <s v="JHV3+QCP, Phước Lý, Tây Ninh, Việt NamJHV3+QCP, Phước Lý, Tây Ninh, Việt Nam"/>
    <s v="VHPW+M63, Hóc Môn, Hồ Chí Minh, Việt NamVHPW+M63, Hóc Môn, Hồ Chí Minh, Việt Nam"/>
    <n v="1"/>
    <x v="1"/>
    <x v="13"/>
    <d v="1899-12-30T07:46:52"/>
    <x v="9"/>
  </r>
  <r>
    <s v="3566638017781392022"/>
    <s v=""/>
    <x v="14"/>
    <n v="3491557"/>
    <s v=""/>
    <s v="Motorcycle"/>
    <x v="2"/>
    <s v="2026-08-21 07:50:02"/>
    <s v="2026-08-21 08:00:02"/>
    <s v="2026-08-21 10:07:02"/>
    <s v="2026-08-21 10:13:19"/>
    <s v=""/>
    <s v=""/>
    <s v="106.574113"/>
    <s v="10.646726"/>
    <s v="106.6393828"/>
    <s v="10.7697352"/>
    <n v="93420"/>
    <n v="72422"/>
    <n v="20998"/>
    <s v="Cash"/>
    <s v="Kho Công ty TNHH G&amp;F Việt Nam, Ba Trung, Phước Lý, Tây Ninh, Việt NamKho Công ty TNHH G&amp;F Việt Nam"/>
    <s v="Quận 11, Đường Hòa Bình, Hòa Bình, Hồ Chí Minh, Việt NamQuận 11"/>
    <n v="1"/>
    <x v="1"/>
    <x v="13"/>
    <d v="1899-12-30T07:50:02"/>
    <x v="14"/>
  </r>
  <r>
    <s v="3566638312892625502"/>
    <s v=""/>
    <x v="14"/>
    <n v="3655869"/>
    <s v=""/>
    <s v="Motorcycle"/>
    <x v="2"/>
    <s v="2026-08-21 07:44:57"/>
    <s v="2026-08-21 07:54:56"/>
    <s v="2026-08-21 10:43:41"/>
    <s v="NULL"/>
    <s v=""/>
    <s v=""/>
    <s v="106.50137753115236"/>
    <s v="10.63451774619226"/>
    <s v="106.9335037"/>
    <s v="10.9455416"/>
    <n v="293220"/>
    <n v="227313"/>
    <n v="65907"/>
    <s v="Cash"/>
    <s v="JGM2+QJ6, Bến Lức, Tây Ninh, Việt NamJGM2+QJ6, Bến Lức, Tây Ninh, Việt Nam"/>
    <s v="CÔNG TY TNHH OKURA, Đường số 2, Khu Công Nghiệp, Hố Nai, Đồng Nai, Việt NamCÔNG TY TNHH OKURA"/>
    <n v="1"/>
    <x v="1"/>
    <x v="13"/>
    <d v="1899-12-30T07:44:57"/>
    <x v="14"/>
  </r>
  <r>
    <s v="3566638312892625755"/>
    <s v=""/>
    <x v="14"/>
    <n v="0"/>
    <s v=""/>
    <s v="NULL"/>
    <x v="0"/>
    <s v="2026-08-21 07:46:13"/>
    <s v="2026-08-21 07:56:12"/>
    <s v="NULL"/>
    <s v="NULL"/>
    <s v="2026-08-21 09:56:12"/>
    <s v=""/>
    <s v="106.55364842043458"/>
    <s v="10.643670288115208"/>
    <s v="106.8582511"/>
    <s v="10.9835759"/>
    <n v="254124"/>
    <n v="0"/>
    <n v="254124"/>
    <s v="Cash"/>
    <s v="JHV3+QCP, Phước Lý, Tây Ninh, Việt NamJHV3+QCP, Phước Lý, Tây Ninh, Việt Nam"/>
    <s v="Công Ty TNHH MJ Apparel, KP3, Phường, Trảng Dài, Đồng Nai, Việt NamCông Ty TNHH MJ Apparel"/>
    <n v="1"/>
    <x v="1"/>
    <x v="13"/>
    <d v="1899-12-30T07:46:13"/>
    <x v="9"/>
  </r>
  <r>
    <s v="3566639032500973607"/>
    <s v=""/>
    <x v="14"/>
    <n v="0"/>
    <s v=""/>
    <s v="NULL"/>
    <x v="0"/>
    <s v="2026-08-21 07:43:39"/>
    <s v="2026-08-21 07:53:38"/>
    <s v="NULL"/>
    <s v="NULL"/>
    <s v="2026-08-21 09:53:38"/>
    <s v=""/>
    <s v="106.5099606"/>
    <s v="10.6414349"/>
    <s v="106.67386064208067"/>
    <s v="10.830120662259644"/>
    <n v="139968"/>
    <n v="0"/>
    <n v="139968"/>
    <s v="Cash"/>
    <s v="Công ty Thuốc Thú Y APA, Đường VL3, Mỹ Yên, Tây Ninh, Việt NamCông ty Thuốc Thú Y APA"/>
    <s v="02 Đ. Số 7, Gò Vấp, Hồ Chí Minh, Việt Nam02 Đ. Số 7, Gò Vấp, Hồ Chí Minh, Việt Nam"/>
    <n v="1"/>
    <x v="1"/>
    <x v="13"/>
    <d v="1899-12-30T07:43:39"/>
    <x v="9"/>
  </r>
  <r>
    <s v="3566639032500973879"/>
    <s v=""/>
    <x v="14"/>
    <n v="0"/>
    <s v=""/>
    <s v="NULL"/>
    <x v="0"/>
    <s v="2026-08-21 07:45:09"/>
    <s v="2026-08-21 07:55:08"/>
    <s v="NULL"/>
    <s v="NULL"/>
    <s v="2026-08-21 09:55:08"/>
    <s v=""/>
    <s v="106.50137753115236"/>
    <s v="10.63451774619226"/>
    <s v="106.986139"/>
    <s v="10.7867221"/>
    <n v="266868"/>
    <n v="0"/>
    <n v="266868"/>
    <s v="Cash"/>
    <s v="JGM2+QJ6, Bến Lức, Tây Ninh, Việt NamJGM2+QJ6, Bến Lức, Tây Ninh, Việt Nam"/>
    <s v="KAWAJUN VIETNAM INDUSTRY Co., Ltd, Road N 4, Loc An Industrial Park, Long Thành, Đồng Nai, Việt NamKAWAJUN VIETNAM INDUSTRY Co., Ltd"/>
    <n v="1"/>
    <x v="1"/>
    <x v="13"/>
    <d v="1899-12-30T07:45:09"/>
    <x v="9"/>
  </r>
  <r>
    <s v="3566639032500974053"/>
    <s v=""/>
    <x v="14"/>
    <n v="3635033"/>
    <s v=""/>
    <s v="Motorcycle"/>
    <x v="2"/>
    <s v="2026-08-21 07:46:01"/>
    <s v="2026-08-21 07:56:00"/>
    <s v="2026-08-21 09:47:51"/>
    <s v="NULL"/>
    <s v=""/>
    <s v=""/>
    <s v="106.55364842043458"/>
    <s v="10.643670288115208"/>
    <s v="107.0360858"/>
    <s v="10.9457592"/>
    <n v="247968"/>
    <n v="192233"/>
    <n v="55735"/>
    <s v="Cash"/>
    <s v="JHV3+QCP, Phước Lý, Tây Ninh, Việt NamJHV3+QCP, Phước Lý, Tây Ninh, Việt Nam"/>
    <s v="Cty Pou Phong Vietnam CO.,LTD, KCN BÀU XÉO, An Viễn, Đồng Nai, Việt NamCty Pou Phong Vietnam CO.,LTD"/>
    <n v="1"/>
    <x v="1"/>
    <x v="13"/>
    <d v="1899-12-30T07:46:01"/>
    <x v="14"/>
  </r>
  <r>
    <s v="3566639032542908468"/>
    <s v=""/>
    <x v="14"/>
    <n v="0"/>
    <s v=""/>
    <s v="NULL"/>
    <x v="0"/>
    <s v="2026-08-21 07:53:43"/>
    <s v="2026-08-21 08:03:42"/>
    <s v="NULL"/>
    <s v="NULL"/>
    <s v="2026-08-21 10:03:42"/>
    <s v=""/>
    <s v="106.5094209"/>
    <s v="10.64068"/>
    <s v="106.6989609"/>
    <s v="10.7469416"/>
    <n v="166536"/>
    <n v="0"/>
    <n v="166536"/>
    <s v="Cash"/>
    <s v="TLT Electronics Vietnam, Đường Vĩnh Lộc 3 Voi Lá, KCN Vĩnh Lộc 2, Mỹ Yên, Tây Ninh, Việt NamTLT Electronics Vietnam"/>
    <s v="Quận 4 TP HCM, Tân Hưng, Hồ Chí Minh, Việt NamQuận 4 TP HCM"/>
    <n v="1"/>
    <x v="1"/>
    <x v="13"/>
    <d v="1899-12-30T07:53:43"/>
    <x v="9"/>
  </r>
  <r>
    <s v="3566639032542908595"/>
    <s v=""/>
    <x v="14"/>
    <n v="0"/>
    <s v=""/>
    <s v="NULL"/>
    <x v="0"/>
    <s v="2026-08-21 07:54:23"/>
    <s v="2026-08-21 08:04:23"/>
    <s v="NULL"/>
    <s v="NULL"/>
    <s v="2026-08-21 10:04:23"/>
    <s v=""/>
    <s v="106.5094209"/>
    <s v="10.64068"/>
    <s v="106.7076858"/>
    <s v="10.7295817"/>
    <n v="158760"/>
    <n v="0"/>
    <n v="158760"/>
    <s v="Cash"/>
    <s v="TLT Electronics Vietnam, Đường Vĩnh Lộc 3 Voi Lá, KCN Vĩnh Lộc 2, Mỹ Yên, Tây Ninh, Việt NamTLT Electronics Vietnam"/>
    <s v="quận 7, Hưng Phước 4, Khu đô thị Phú Mỹ Hưng, Tân Hưng, Hồ Chí Minh, Việt Namquận 7"/>
    <n v="1"/>
    <x v="1"/>
    <x v="13"/>
    <d v="1899-12-30T07:54:23"/>
    <x v="4"/>
  </r>
  <r>
    <s v="3566639686820786829"/>
    <s v=""/>
    <x v="14"/>
    <n v="3836681"/>
    <s v=""/>
    <s v="Motorcycle"/>
    <x v="2"/>
    <s v="2026-08-21 07:48:04"/>
    <s v="2026-08-21 07:58:03"/>
    <s v="2026-08-21 09:28:41"/>
    <s v="NULL"/>
    <s v=""/>
    <s v=""/>
    <s v="106.5724577"/>
    <s v="10.6514818"/>
    <s v="106.6650848"/>
    <s v="10.7895815"/>
    <n v="124848"/>
    <n v="96786"/>
    <n v="28062"/>
    <s v="Cash"/>
    <s v="CTY mỹ phẩm trị liệu, Ba Trung, Phước Lý, Tây Ninh, Việt NamCTY mỹ phẩm trị liệu"/>
    <s v="Quận 3, Cách Mạng Tháng Tám, Nhiêu Lộc, Hồ Chí Minh, Việt NamQuận 3"/>
    <n v="1"/>
    <x v="1"/>
    <x v="13"/>
    <d v="1899-12-30T07:48:04"/>
    <x v="14"/>
  </r>
  <r>
    <s v="3566639686837559662"/>
    <s v=""/>
    <x v="14"/>
    <n v="0"/>
    <s v=""/>
    <s v="NULL"/>
    <x v="0"/>
    <s v="2026-08-21 07:51:27"/>
    <s v="2026-08-21 08:01:26"/>
    <s v="NULL"/>
    <s v="NULL"/>
    <s v="2026-08-21 10:01:26"/>
    <s v=""/>
    <s v="106.4949754"/>
    <s v="10.6041049"/>
    <s v="106.7076858"/>
    <s v="10.7295817"/>
    <n v="182844"/>
    <n v="0"/>
    <n v="182844"/>
    <s v="Cash"/>
    <s v="Cty TNHH MTV Benkan Việt Nam 1, Đạo mỡ rộng, đường số 01, KCN Thuận, Long Cang, Tây Ninh, Việt NamCty TNHH MTV Benkan Việt Nam 1"/>
    <s v="quận 7, Hưng Phước 4, Khu đô thị Phú Mỹ Hưng, Tân Hưng, Hồ Chí Minh, Việt Namquận 7"/>
    <n v="1"/>
    <x v="1"/>
    <x v="13"/>
    <d v="1899-12-30T07:51:27"/>
    <x v="9"/>
  </r>
  <r>
    <s v="3566639686837559849"/>
    <s v=""/>
    <x v="14"/>
    <n v="0"/>
    <s v=""/>
    <s v="NULL"/>
    <x v="0"/>
    <s v="2026-08-21 07:52:19"/>
    <s v="2026-08-21 08:02:18"/>
    <s v="NULL"/>
    <s v="NULL"/>
    <s v="2026-08-21 10:02:18"/>
    <s v=""/>
    <s v="106.4949754"/>
    <s v="10.6041049"/>
    <s v="106.6650848"/>
    <s v="10.7895815"/>
    <n v="190188"/>
    <n v="0"/>
    <n v="190188"/>
    <s v="Cash"/>
    <s v="Cty TNHH MTV Benkan Việt Nam 1, Đạo mỡ rộng, đường số 01, KCN Thuận, Long Cang, Tây Ninh, Việt NamCty TNHH MTV Benkan Việt Nam 1"/>
    <s v="Quận 3, Cách Mạng Tháng Tám, Nhiêu Lộc, Hồ Chí Minh, Việt NamQuận 3"/>
    <n v="1"/>
    <x v="1"/>
    <x v="13"/>
    <d v="1899-12-30T07:52:19"/>
    <x v="9"/>
  </r>
  <r>
    <s v="3566640593377652868"/>
    <s v=""/>
    <x v="14"/>
    <n v="864345"/>
    <s v=""/>
    <s v="Motorcycle"/>
    <x v="2"/>
    <s v="2026-08-21 07:46:38"/>
    <s v="2026-08-21 07:56:37"/>
    <s v="2026-08-21 09:54:24"/>
    <s v="NULL"/>
    <s v=""/>
    <s v=""/>
    <s v="106.55364842043458"/>
    <s v="10.643670288115208"/>
    <s v="106.7049546"/>
    <s v="10.820836"/>
    <n v="115560"/>
    <n v="89586"/>
    <n v="25974"/>
    <s v="Cash"/>
    <s v="JHV3+QCP, Phước Lý, Tây Ninh, Việt NamJHV3+QCP, Phước Lý, Tây Ninh, Việt Nam"/>
    <s v="427 Nơ Trang Long, Bình Lợi Trung, Hồ Chí Minh, Việt Nam427 Nơ Trang Long, Bình Lợi Trung, Hồ Chí Minh, Việt Nam"/>
    <n v="1"/>
    <x v="1"/>
    <x v="13"/>
    <d v="1899-12-30T07:46:38"/>
    <x v="14"/>
  </r>
  <r>
    <s v="3567347751169774237"/>
    <s v=""/>
    <x v="15"/>
    <n v="0"/>
    <s v=""/>
    <s v="NULL"/>
    <x v="0"/>
    <s v="2026-08-22 07:35:05"/>
    <s v="2026-08-22 07:45:05"/>
    <s v="NULL"/>
    <s v="NULL"/>
    <s v="2026-08-22 09:46:55"/>
    <s v=""/>
    <s v="106.4951938"/>
    <s v="10.6017891"/>
    <s v="106.6320003"/>
    <s v="11.1229655"/>
    <n v="307260"/>
    <n v="0"/>
    <n v="307260"/>
    <s v="Cash"/>
    <s v="Công ty TNHH Quick Pack Việt Nam, Đường Số 13, KCN Thuận Đạo mở rộng, Long Cang, Tây Ninh, Việt NamCông ty TNHH Quick Pack Việt Nam"/>
    <s v="Công Ty TNHH Yakult Việt Nam Tại Bình Dương - Cửa Hàng Bến Cát, Khu phố 6, Chánh Phú Hòa, Thới Hòa, Hồ Chí Minh, Việt NamCông Ty TNHH Yakult Việt Nam Tại Bình Dương - Cửa Hàng Bến Cát"/>
    <n v="1"/>
    <x v="1"/>
    <x v="14"/>
    <d v="1899-12-30T07:35:05"/>
    <x v="261"/>
  </r>
  <r>
    <s v="3567350015657730328"/>
    <s v=""/>
    <x v="15"/>
    <n v="4823731"/>
    <s v=""/>
    <s v="Motorcycle"/>
    <x v="2"/>
    <s v="2026-08-22 07:37:09"/>
    <s v="2026-08-22 07:47:08"/>
    <s v="2026-08-22 11:32:11"/>
    <s v="NULL"/>
    <s v=""/>
    <s v=""/>
    <s v="106.4951938"/>
    <s v="10.6017891"/>
    <s v="106.7369988"/>
    <s v="10.9322267"/>
    <n v="237276"/>
    <n v="183944"/>
    <n v="53332"/>
    <s v="Cash"/>
    <s v="Công ty TNHH Quick Pack Việt Nam, Đường Số 13, KCN Thuận Đạo mở rộng, Long Cang, Tây Ninh, Việt NamCông ty TNHH Quick Pack Việt Nam"/>
    <s v="Công ty vinata 19 đường số 10. Kcn vsip1. Thuận an. Bình Dương, Đường số 10, An Phú, Hồ Chí Minh, Việt NamCông ty vinata 19 đường số 10. Kcn vsip1. Thuận an. Bình Dương"/>
    <n v="1"/>
    <x v="1"/>
    <x v="14"/>
    <d v="1899-12-30T07:37:09"/>
    <x v="14"/>
  </r>
  <r>
    <s v="3567356205947114515"/>
    <s v=""/>
    <x v="15"/>
    <n v="3424733"/>
    <s v=""/>
    <s v="Motorcycle"/>
    <x v="2"/>
    <s v="2026-08-22 07:43:15"/>
    <s v="2026-08-22 07:53:14"/>
    <s v="2026-08-22 11:26:47"/>
    <s v="NULL"/>
    <s v=""/>
    <s v=""/>
    <s v="106.4929753"/>
    <s v="10.6058762"/>
    <s v="106.7369988"/>
    <s v="10.9322267"/>
    <n v="223776"/>
    <n v="173478"/>
    <n v="50298"/>
    <s v="Cash"/>
    <s v="SHUNDAO (VIETNAM) INDUSTRIAL COMPANY LIMITED, Đường số 10, Khu công nghiệp Thuận Đạomở rộng, Long Cang, Tây Ninh, Việt NamSHUNDAO (VIETNAM) INDUSTRIAL COMPANY LIMITED"/>
    <s v="Công ty vinata 19 đường số 10. Kcn vsip1. Thuận an. Bình Dương, Đường số 10, An Phú, Hồ Chí Minh, Việt NamCông ty vinata 19 đường số 10. Kcn vsip1. Thuận an. Bình Dương"/>
    <n v="1"/>
    <x v="1"/>
    <x v="14"/>
    <d v="1899-12-30T07:43:15"/>
    <x v="14"/>
  </r>
  <r>
    <s v="3567356205963899612"/>
    <s v=""/>
    <x v="15"/>
    <n v="0"/>
    <s v=""/>
    <s v="NULL"/>
    <x v="0"/>
    <s v="2026-08-22 07:47:05"/>
    <s v="2026-08-22 07:57:05"/>
    <s v="NULL"/>
    <s v="NULL"/>
    <s v="2026-08-22 10:03:10"/>
    <s v=""/>
    <s v="106.5083845"/>
    <s v="10.6428394"/>
    <s v="106.6733441"/>
    <s v="10.8314858"/>
    <n v="139968"/>
    <n v="0"/>
    <n v="139968"/>
    <s v="Cash"/>
    <s v="CÔNG TY TNHH BIBICA MIỀN TÂY, 9 VL3, KCN Vĩnh Lộc 2, Mỹ Yên, Tây Ninh, Việt NamCÔNG TY TNHH BIBICA MIỀN TÂY"/>
    <s v="Gò Vấp, Hồ Chí Minh, Việt NamGò Vấp"/>
    <n v="1"/>
    <x v="1"/>
    <x v="14"/>
    <d v="1899-12-30T07:47:05"/>
    <x v="262"/>
  </r>
  <r>
    <s v="3567357702399283779"/>
    <s v=""/>
    <x v="15"/>
    <n v="3922341"/>
    <s v=""/>
    <s v="Motorcycle"/>
    <x v="2"/>
    <s v="2026-08-22 07:42:39"/>
    <s v="2026-08-22 07:52:39"/>
    <s v="2026-08-22 11:03:47"/>
    <s v="NULL"/>
    <s v=""/>
    <s v=""/>
    <s v="106.4929753"/>
    <s v="10.6058762"/>
    <s v="106.8272646"/>
    <s v="11.0918947"/>
    <n v="305640"/>
    <n v="236942"/>
    <n v="68698"/>
    <s v="Cash"/>
    <s v="SHUNDAO (VIETNAM) INDUSTRIAL COMPANY LIMITED, Đường số 10, Khu công nghiệp Thuận Đạomở rộng, Long Cang, Tây Ninh, Việt NamSHUNDAO (VIETNAM) INDUSTRIAL COMPANY LIMITED"/>
    <s v="Công ty CP khoáng sản XD Tân Uyên Fico, Bắc Tân Uyên, Hồ Chí Minh, Việt NamCông ty CP khoáng sản XD Tân Uyên Fico"/>
    <n v="1"/>
    <x v="1"/>
    <x v="14"/>
    <d v="1899-12-30T07:42:39"/>
    <x v="14"/>
  </r>
  <r>
    <s v="3567357702416068700"/>
    <s v=""/>
    <x v="15"/>
    <n v="0"/>
    <s v=""/>
    <s v="NULL"/>
    <x v="0"/>
    <s v="2026-08-22 07:45:27"/>
    <s v="2026-08-22 07:55:27"/>
    <s v="NULL"/>
    <s v="NULL"/>
    <s v="2026-08-22 09:55:27"/>
    <s v=""/>
    <s v="106.5139871"/>
    <s v="10.6277752"/>
    <s v="106.7325363"/>
    <s v="10.7939132"/>
    <n v="144288"/>
    <n v="0"/>
    <n v="144288"/>
    <s v="Cash"/>
    <s v="CÔNG TY TNHH ISHIKAWA KIKOU VIỆT NAM, Đường Số 13, KCN Phúc Long, Mỹ Yên, Tây Ninh, Việt NamCÔNG TY TNHH ISHIKAWA KIKOU VIỆT NAM"/>
    <s v="Đ. 9/15 Hẻm 41, Khu Phố 4, An Khánh, Hồ Chí Minh, Việt NamĐ. 9/15 Hẻm 41, Khu Phố 4, An Khánh, Hồ Chí Minh, Việt Nam"/>
    <n v="1"/>
    <x v="1"/>
    <x v="14"/>
    <d v="1899-12-30T07:45:27"/>
    <x v="4"/>
  </r>
  <r>
    <s v="3567357702416068812"/>
    <s v=""/>
    <x v="15"/>
    <n v="0"/>
    <s v=""/>
    <s v="NULL"/>
    <x v="0"/>
    <s v="2026-08-22 07:46:01"/>
    <s v="2026-08-22 07:56:01"/>
    <s v="NULL"/>
    <s v="NULL"/>
    <s v="2026-08-22 09:56:01"/>
    <s v=""/>
    <s v="106.5039447"/>
    <s v="10.6433253"/>
    <s v="106.702825"/>
    <s v="10.8135113"/>
    <n v="141372"/>
    <n v="0"/>
    <n v="141372"/>
    <s v="Cash"/>
    <s v="Công Ty Cổ Phần Nosafood - Nhà máy Bến Lức, Đường VL7, KCN Vĩnh Lộc 2 X, Mỹ Yên, Tây Ninh, Việt NamCông Ty Cổ Phần Nosafood - Nhà máy Bến Lức"/>
    <s v="Bình Thạnh, Hồ Chí Minh, Việt NamBình Thạnh"/>
    <n v="1"/>
    <x v="1"/>
    <x v="14"/>
    <d v="1899-12-30T07:46:01"/>
    <x v="4"/>
  </r>
  <r>
    <s v="3567357702416069126"/>
    <s v=""/>
    <x v="15"/>
    <n v="0"/>
    <s v=""/>
    <s v="NULL"/>
    <x v="0"/>
    <s v="2026-08-22 07:47:46"/>
    <s v="2026-08-22 07:57:46"/>
    <s v="NULL"/>
    <s v="NULL"/>
    <s v="2026-08-22 09:57:46"/>
    <s v=""/>
    <s v="106.5161509"/>
    <s v="10.6456886"/>
    <s v="106.6320003"/>
    <s v="11.1229655"/>
    <n v="282528"/>
    <n v="0"/>
    <n v="282528"/>
    <s v="Cash"/>
    <s v="Công ty Cổ Phần In DICA, Đường VL1, KCN Vĩnh Lộc 2, Mỹ Yên, Tây Ninh, Việt NamCông ty Cổ Phần In DICA"/>
    <s v="Công Ty TNHH Yakult Việt Nam Tại Bình Dương - Cửa Hàng Bến Cát, Khu phố 6, Chánh Phú Hòa, Thới Hòa, Hồ Chí Minh, Việt NamCông Ty TNHH Yakult Việt Nam Tại Bình Dương - Cửa Hàng Bến Cát"/>
    <n v="1"/>
    <x v="1"/>
    <x v="14"/>
    <d v="1899-12-30T07:47:46"/>
    <x v="4"/>
  </r>
  <r>
    <s v="3567357702416069544"/>
    <s v=""/>
    <x v="15"/>
    <n v="3058182"/>
    <s v=""/>
    <s v="Motorcycle"/>
    <x v="2"/>
    <s v="2026-08-22 07:50:06"/>
    <s v="2026-08-22 08:00:06"/>
    <s v="2026-08-22 09:15:43"/>
    <s v="2026-08-22 09:39:10"/>
    <s v=""/>
    <s v=""/>
    <s v="106.55910915958249"/>
    <s v="10.645055948837653"/>
    <s v="106.7905535"/>
    <s v="10.8080538"/>
    <n v="196128"/>
    <n v="152045"/>
    <n v="44083"/>
    <s v="Cash"/>
    <s v="JHV5+W9X, ĐT835B, Phước Lý, Tây Ninh 82511, Việt NamJHV5+W9X, ĐT835B, Phước Lý, Tây Ninh 82511, Việt Nam"/>
    <s v="Công ty TNHH TV-TK-XD Phát Minh - Văn phòng Quận 9, Đường 18 tổ 8, Khu Phố 6, Phước Long, Hồ Chí Minh, Việt NamCông ty TNHH TV-TK-XD Phát Minh - Văn phòng Quận 9"/>
    <n v="1"/>
    <x v="1"/>
    <x v="14"/>
    <d v="1899-12-30T07:50:06"/>
    <x v="14"/>
  </r>
  <r>
    <s v="3567359768848982659"/>
    <s v=""/>
    <x v="15"/>
    <n v="0"/>
    <s v=""/>
    <s v="NULL"/>
    <x v="0"/>
    <s v="2026-08-22 07:40:25"/>
    <s v="2026-08-22 07:50:24"/>
    <s v="NULL"/>
    <s v="NULL"/>
    <s v="2026-08-22 09:50:24"/>
    <s v=""/>
    <s v="106.4989851"/>
    <s v="10.6100853"/>
    <s v="106.73251237415344"/>
    <s v="10.793848693310798"/>
    <n v="210492"/>
    <n v="0"/>
    <n v="210492"/>
    <s v="Cash"/>
    <s v="OKIA OPTICAL VIETNAM, Long Cang, Tây Ninh, Việt NamOKIA OPTICAL VIETNAM"/>
    <s v="Đ. 9/15 Hẻm 41, Khu Phố 4, An Khánh, Hồ Chí Minh, Việt NamĐ. 9/15 Hẻm 41, Khu Phố 4, An Khánh, Hồ Chí Minh, Việt Nam"/>
    <n v="1"/>
    <x v="1"/>
    <x v="14"/>
    <d v="1899-12-30T07:40:25"/>
    <x v="9"/>
  </r>
  <r>
    <s v="3567360007630704802"/>
    <s v=""/>
    <x v="15"/>
    <n v="4007956"/>
    <s v=""/>
    <s v="Motorcycle"/>
    <x v="1"/>
    <s v="2026-08-22 07:49:14"/>
    <s v="2026-08-22 07:59:13"/>
    <s v="2026-08-22 07:51:29"/>
    <s v="NULL"/>
    <s v="2026-08-22 07:59:46"/>
    <s v=""/>
    <s v="106.55292935001218"/>
    <s v="10.644634180666616"/>
    <s v="106.8708835"/>
    <s v="10.9513205"/>
    <n v="232956"/>
    <n v="180595"/>
    <n v="52361"/>
    <s v="Cash"/>
    <s v="JHV3+QCP, Phước Lý, Tây Ninh, Việt NamJHV3+QCP, Phước Lý, Tây Ninh, Việt Nam"/>
    <s v="Công ty Mesa - Biên Hòa, Đường Đồng Khởi, Tam Hiệp, Đồng Nai, Việt NamCông ty Mesa - Biên Hòa"/>
    <n v="1"/>
    <x v="1"/>
    <x v="14"/>
    <d v="1899-12-30T07:49:14"/>
    <x v="263"/>
  </r>
  <r>
    <s v="3567360087775470253"/>
    <s v=""/>
    <x v="15"/>
    <n v="0"/>
    <s v=""/>
    <s v="NULL"/>
    <x v="0"/>
    <s v="2026-08-22 07:41:27"/>
    <s v="2026-08-22 07:51:27"/>
    <s v="NULL"/>
    <s v="NULL"/>
    <s v="2026-08-22 09:51:27"/>
    <s v=""/>
    <s v="106.4989851"/>
    <s v="10.6100853"/>
    <s v="106.6733441"/>
    <s v="10.8314858"/>
    <n v="168696"/>
    <n v="0"/>
    <n v="168696"/>
    <s v="Cash"/>
    <s v="OKIA OPTICAL VIETNAM, Long Cang, Tây Ninh, Việt NamOKIA OPTICAL VIETNAM"/>
    <s v="Gò Vấp, Hồ Chí Minh, Việt NamGò Vấp"/>
    <n v="1"/>
    <x v="1"/>
    <x v="14"/>
    <d v="1899-12-30T07:41:27"/>
    <x v="4"/>
  </r>
  <r>
    <s v="3567360087800639650"/>
    <s v=""/>
    <x v="15"/>
    <n v="0"/>
    <s v=""/>
    <s v="NULL"/>
    <x v="0"/>
    <s v="2026-08-22 07:49:52"/>
    <s v="2026-08-22 07:59:52"/>
    <s v="NULL"/>
    <s v="NULL"/>
    <s v="2026-08-22 12:01:38"/>
    <s v=""/>
    <s v="106.55910915958249"/>
    <s v="10.645055948837653"/>
    <s v="106.8203904"/>
    <s v="10.8058417"/>
    <n v="150552"/>
    <n v="0"/>
    <n v="150552"/>
    <s v="Cash"/>
    <s v="JHV5+W9X, ĐT835B, Phước Lý, Tây Ninh 82511, Việt NamJHV5+W9X, ĐT835B, Phước Lý, Tây Ninh 82511, Việt Nam"/>
    <s v="Công Ty Cổ Phần Du Lịch Và Truyền Thông Thủ Đức, Đường Nguyễn Duy Trinh, Khu phố 3, Long Trường, Hồ Chí Minh, Việt NamCông Ty Cổ Phần Du Lịch Và Truyền Thông Thủ Đức"/>
    <n v="1"/>
    <x v="1"/>
    <x v="14"/>
    <d v="1899-12-30T07:49:52"/>
    <x v="264"/>
  </r>
  <r>
    <s v="3567361691375325926"/>
    <s v=""/>
    <x v="15"/>
    <n v="4007956"/>
    <s v=""/>
    <s v="Motorcycle"/>
    <x v="1"/>
    <s v="2026-08-22 07:44:12"/>
    <s v="2026-08-22 07:54:12"/>
    <s v="2026-08-22 07:45:56"/>
    <s v="NULL"/>
    <s v="2026-08-22 07:59:29"/>
    <s v=""/>
    <s v="106.5126803"/>
    <s v="10.6193428"/>
    <s v="106.8708835"/>
    <s v="10.9513205"/>
    <n v="254556"/>
    <n v="197340"/>
    <n v="57216"/>
    <s v="Cash"/>
    <s v="TQT TEXTILE J.S.C, Đ. Số 1, KCN Phúc Long, Mỹ Yên, Tây Ninh, Việt NamTQT TEXTILE J.S.C"/>
    <s v="Công ty Mesa - Biên Hòa, Đường Đồng Khởi, Tam Hiệp, Đồng Nai, Việt NamCông ty Mesa - Biên Hòa"/>
    <n v="1"/>
    <x v="1"/>
    <x v="14"/>
    <d v="1899-12-30T07:44:12"/>
    <x v="265"/>
  </r>
  <r>
    <s v="3567361691400499398"/>
    <s v=""/>
    <x v="15"/>
    <n v="4646720"/>
    <s v=""/>
    <s v="Motorcycle"/>
    <x v="1"/>
    <s v="2026-08-22 07:48:37"/>
    <s v="2026-08-22 07:58:36"/>
    <s v="2026-08-22 09:05:49"/>
    <s v="NULL"/>
    <s v="2026-08-22 09:14:37"/>
    <s v=""/>
    <s v="106.55292935001218"/>
    <s v="10.644634180666616"/>
    <s v="106.6752891"/>
    <s v="10.9807104"/>
    <n v="224100"/>
    <n v="173729"/>
    <n v="50371"/>
    <s v="Cash"/>
    <s v="JHV3+QCP, Phước Lý, Tây Ninh, Việt NamJHV3+QCP, Phước Lý, Tây Ninh, Việt Nam"/>
    <s v="Thu Dau Mot University, Trần Văn Ơn, Phú Lợi, Hồ Chí Minh, Việt NamThu Dau Mot University"/>
    <n v="1"/>
    <x v="1"/>
    <x v="14"/>
    <d v="1899-12-30T07:48:37"/>
    <x v="266"/>
  </r>
  <r>
    <s v="3567362746242786250"/>
    <s v=""/>
    <x v="15"/>
    <n v="0"/>
    <s v=""/>
    <s v="NULL"/>
    <x v="0"/>
    <s v="2026-08-22 07:47:18"/>
    <s v="2026-08-22 07:57:18"/>
    <s v="NULL"/>
    <s v="NULL"/>
    <s v="2026-08-22 09:57:18"/>
    <s v=""/>
    <s v="106.5083845"/>
    <s v="10.6428394"/>
    <s v="106.6393683"/>
    <s v="10.807649"/>
    <n v="118584"/>
    <n v="0"/>
    <n v="118584"/>
    <s v="Cash"/>
    <s v="CÔNG TY TNHH BIBICA MIỀN TÂY, 9 VL3, KCN Vĩnh Lộc 2, Mỹ Yên, Tây Ninh, Việt NamCÔNG TY TNHH BIBICA MIỀN TÂY"/>
    <s v="119 C12, Tân Sơn, Hồ Chí Minh, Việt Nam119 C12, Tân Sơn, Hồ Chí Minh, Việt Nam"/>
    <n v="1"/>
    <x v="1"/>
    <x v="14"/>
    <d v="1899-12-30T07:47:18"/>
    <x v="4"/>
  </r>
  <r>
    <s v="3567362746259558848"/>
    <s v=""/>
    <x v="15"/>
    <n v="4007956"/>
    <s v=""/>
    <s v="Motorcycle"/>
    <x v="1"/>
    <s v="2026-08-22 07:49:36"/>
    <s v="2026-08-22 07:59:36"/>
    <s v="2026-08-22 07:52:14"/>
    <s v="NULL"/>
    <s v="2026-08-22 07:59:53"/>
    <s v=""/>
    <s v="106.55910915958249"/>
    <s v="10.645055948837653"/>
    <s v="106.8557943"/>
    <s v="10.899171"/>
    <n v="212112"/>
    <n v="164436"/>
    <n v="47676"/>
    <s v="Cash"/>
    <s v="JHV5+W9X, ĐT835B, Phước Lý, Tây Ninh 82511, Việt NamJHV5+W9X, ĐT835B, Phước Lý, Tây Ninh 82511, Việt Nam"/>
    <s v="Công Ty Tnhh Một Thành Viên Long Thành Tuấn, Quốc lộ 51, Ấp 2, Long Hưng, Đồng Nai, Việt NamCông Ty Tnhh Một Thành Viên Long Thành Tuấn"/>
    <n v="1"/>
    <x v="1"/>
    <x v="14"/>
    <d v="1899-12-30T07:49:36"/>
    <x v="267"/>
  </r>
  <r>
    <s v="3567378991855924062"/>
    <s v=""/>
    <x v="15"/>
    <n v="0"/>
    <s v=""/>
    <s v="NULL"/>
    <x v="0"/>
    <s v="2026-08-22 08:20:57"/>
    <s v="2026-08-22 08:30:56"/>
    <s v="NULL"/>
    <s v="NULL"/>
    <s v="2026-08-22 10:30:56"/>
    <s v=""/>
    <s v="106.4951938"/>
    <s v="10.6017891"/>
    <s v="106.6776275"/>
    <s v="10.7577667"/>
    <n v="185436"/>
    <n v="0"/>
    <n v="185436"/>
    <s v="Cash"/>
    <s v="Công ty TNHH Quick Pack Việt Nam, Đường Số 13, KCN Thuận Đạo mở rộng, Long Cang, Tây Ninh, Việt NamCông ty TNHH Quick Pack Việt Nam"/>
    <s v="Công Ty Tnhh Mtv Dịch Vụ Công Ích Quận 5, Đường Lê Hồng Phong, Chợ Quán, Hồ Chí Minh, Việt NamCông Ty Tnhh Mtv Dịch Vụ Công Ích Quận 5"/>
    <n v="1"/>
    <x v="1"/>
    <x v="14"/>
    <d v="1899-12-30T08:20:57"/>
    <x v="9"/>
  </r>
  <r>
    <s v="3567381519200908134"/>
    <s v=""/>
    <x v="15"/>
    <n v="3727801"/>
    <s v=""/>
    <s v="Motorcycle"/>
    <x v="2"/>
    <s v="2026-08-22 08:25:17"/>
    <s v="2026-08-22 08:35:16"/>
    <s v="2026-08-22 11:19:50"/>
    <s v="NULL"/>
    <s v=""/>
    <s v=""/>
    <s v="106.4951938"/>
    <s v="10.6017891"/>
    <s v="106.6077078"/>
    <s v="10.8554599"/>
    <n v="210060"/>
    <n v="162845"/>
    <n v="47215"/>
    <s v="Cash"/>
    <s v="Công ty TNHH Quick Pack Việt Nam, Đường Số 13, KCN Thuận Đạo mở rộng, Long Cang, Tây Ninh, Việt NamCông ty TNHH Quick Pack Việt Nam"/>
    <s v="Trung Tâm Văn Hoá Quận 12, Quốc lộ 22, Trung Mỹ Tây, Hồ Chí Minh, Việt NamTrung Tâm Văn Hoá Quận 12"/>
    <n v="1"/>
    <x v="1"/>
    <x v="14"/>
    <d v="1899-12-30T08:25:17"/>
    <x v="14"/>
  </r>
  <r>
    <s v="3567382784798585341"/>
    <s v=""/>
    <x v="15"/>
    <n v="0"/>
    <s v=""/>
    <s v="NULL"/>
    <x v="0"/>
    <s v="2026-08-22 08:19:34"/>
    <s v="2026-08-22 08:29:32"/>
    <s v="NULL"/>
    <s v="NULL"/>
    <s v="2026-08-22 10:29:32"/>
    <s v=""/>
    <s v="106.4951938"/>
    <s v="10.6017891"/>
    <s v="106.7040212"/>
    <s v="10.7733574"/>
    <n v="197208"/>
    <n v="0"/>
    <n v="197208"/>
    <s v="Cash"/>
    <s v="Công ty TNHH Quick Pack Việt Nam, Đường Số 13, KCN Thuận Đạo mở rộng, Long Cang, Tây Ninh, Việt NamCông ty TNHH Quick Pack Việt Nam"/>
    <s v="The Gangs Central, Nguyễn Huệ, Sài Gòn, Quận 1, Hồ Chí Minh, Việt NamThe Gangs Central"/>
    <n v="1"/>
    <x v="1"/>
    <x v="14"/>
    <d v="1899-12-30T08:19:34"/>
    <x v="208"/>
  </r>
  <r>
    <s v="3567382784815358268"/>
    <s v=""/>
    <x v="15"/>
    <n v="0"/>
    <s v=""/>
    <s v="NULL"/>
    <x v="0"/>
    <s v="2026-08-22 08:22:28"/>
    <s v="2026-08-22 08:32:26"/>
    <s v="NULL"/>
    <s v="NULL"/>
    <s v="2026-08-22 10:32:26"/>
    <s v=""/>
    <s v="106.4951938"/>
    <s v="10.6017891"/>
    <s v="106.6619867"/>
    <s v="10.7397192"/>
    <n v="174744"/>
    <n v="0"/>
    <n v="174744"/>
    <s v="Cash"/>
    <s v="Công ty TNHH Quick Pack Việt Nam, Đường Số 13, KCN Thuận Đạo mở rộng, Long Cang, Tây Ninh, Việt NamCông ty TNHH Quick Pack Việt Nam"/>
    <s v="Quận 8, Bình Đông, Hồ Chí Minh, Việt NamQuận 8"/>
    <n v="1"/>
    <x v="1"/>
    <x v="14"/>
    <d v="1899-12-30T08:22:28"/>
    <x v="208"/>
  </r>
  <r>
    <s v="3567382784815358684"/>
    <s v=""/>
    <x v="15"/>
    <n v="4411069"/>
    <s v=""/>
    <s v="Motorcycle"/>
    <x v="1"/>
    <s v="2026-08-22 08:23:47"/>
    <s v="2026-08-22 08:33:46"/>
    <s v="2026-08-22 10:50:03"/>
    <s v="NULL"/>
    <s v="2026-08-22 10:57:50"/>
    <s v=""/>
    <s v="106.4951938"/>
    <s v="10.6017891"/>
    <s v="106.7905535"/>
    <s v="10.8080538"/>
    <n v="257796"/>
    <n v="199852"/>
    <n v="57944"/>
    <s v="Cash"/>
    <s v="Công ty TNHH Quick Pack Việt Nam, Đường Số 13, KCN Thuận Đạo mở rộng, Long Cang, Tây Ninh, Việt NamCông ty TNHH Quick Pack Việt Nam"/>
    <s v="Công ty TNHH TV-TK-XD Phát Minh - Văn phòng Quận 9, Đường 18 tổ 8, Khu Phố 6, Phước Long, Hồ Chí Minh, Việt NamCông ty TNHH TV-TK-XD Phát Minh - Văn phòng Quận 9"/>
    <n v="1"/>
    <x v="1"/>
    <x v="14"/>
    <d v="1899-12-30T08:23:47"/>
    <x v="268"/>
  </r>
  <r>
    <s v="3567383536384303335"/>
    <s v=""/>
    <x v="15"/>
    <n v="4200093"/>
    <s v=""/>
    <s v="Motorcycle"/>
    <x v="2"/>
    <s v="2026-08-22 08:26:52"/>
    <s v="2026-08-22 08:36:50"/>
    <s v="2026-08-22 11:37:07"/>
    <s v="2026-08-22 11:46:49"/>
    <s v=""/>
    <s v=""/>
    <s v="106.5161509"/>
    <s v="10.6456886"/>
    <s v="106.6823683"/>
    <s v="10.7801292"/>
    <n v="170316"/>
    <n v="132034"/>
    <n v="38282"/>
    <s v="Cash"/>
    <s v="Công ty Cổ Phần In DICA, Đường VL1, KCN Vĩnh Lộc 2, Mỹ Yên, Tây Ninh, Việt NamCông ty Cổ Phần In DICA"/>
    <s v="CÔNG TY CỔ PHẦN THƯƠNG MẠI DỊCH VỤ QUẬN 3, Lý Chính Thắng, Nhiêu Lộc, Hồ Chí Minh, Việt NamCÔNG TY CỔ PHẦN THƯƠNG MẠI DỊCH VỤ QUẬN 3"/>
    <n v="1"/>
    <x v="1"/>
    <x v="14"/>
    <d v="1899-12-30T08:26:52"/>
    <x v="14"/>
  </r>
  <r>
    <s v="3567383720388423992"/>
    <s v=""/>
    <x v="15"/>
    <n v="0"/>
    <s v=""/>
    <s v="NULL"/>
    <x v="0"/>
    <s v="2026-08-22 08:24:11"/>
    <s v="2026-08-22 08:34:10"/>
    <s v="NULL"/>
    <s v="NULL"/>
    <s v="2026-08-22 10:34:10"/>
    <s v=""/>
    <s v="106.4951938"/>
    <s v="10.6017891"/>
    <s v="106.6707851"/>
    <s v="10.7627387"/>
    <n v="184680"/>
    <n v="0"/>
    <n v="184680"/>
    <s v="Cash"/>
    <s v="Công ty TNHH Quick Pack Việt Nam, Đường Số 13, KCN Thuận Đạo mở rộng, Long Cang, Tây Ninh, Việt NamCông ty TNHH Quick Pack Việt Nam"/>
    <s v="Công Ty Cp Dược Phẩm Quận 10, Đường Ngô Gia Tự, Vườn Lài, Hồ Chí Minh, Việt NamCông Ty Cp Dược Phẩm Quận 10"/>
    <n v="1"/>
    <x v="1"/>
    <x v="14"/>
    <d v="1899-12-30T08:24:11"/>
    <x v="9"/>
  </r>
  <r>
    <s v="3567384295536546831"/>
    <s v=""/>
    <x v="15"/>
    <n v="3058182"/>
    <s v=""/>
    <s v="Motorcycle"/>
    <x v="2"/>
    <s v="2026-08-22 08:27:27"/>
    <s v="2026-08-22 08:37:26"/>
    <s v="2026-08-22 10:19:06"/>
    <s v="NULL"/>
    <s v=""/>
    <s v=""/>
    <s v="106.5161509"/>
    <s v="10.6456886"/>
    <s v="106.6408802"/>
    <s v="10.7471372"/>
    <n v="147636"/>
    <n v="114452"/>
    <n v="33184"/>
    <s v="Cash"/>
    <s v="Công ty Cổ Phần In DICA, Đường VL1, KCN Vĩnh Lộc 2, Mỹ Yên, Tây Ninh, Việt NamCông ty Cổ Phần In DICA"/>
    <s v="Quận 6, Đường Phan Văn Khỏe, Bình Tây, Hồ Chí Minh, Việt NamQuận 6"/>
    <n v="1"/>
    <x v="1"/>
    <x v="14"/>
    <d v="1899-12-30T08:27:27"/>
    <x v="14"/>
  </r>
  <r>
    <s v="3534003311185458062"/>
    <s v=""/>
    <x v="0"/>
    <n v="0"/>
    <s v=""/>
    <s v="NULL"/>
    <x v="0"/>
    <s v="2026-07-07 07:28:44"/>
    <s v="2026-07-07 07:38:45"/>
    <s v="NULL"/>
    <s v="NULL"/>
    <s v="2026-07-07 09:38:45"/>
    <s v=""/>
    <s v="106.5231879"/>
    <s v="10.6277377"/>
    <s v="106.690788"/>
    <s v="10.793931"/>
    <n v="123660"/>
    <n v="0"/>
    <n v="123660"/>
    <s v="Cash"/>
    <s v="Công ty Lavie Long An - Nhà phân phối nước khoáng lavie cửa hàng 24/24, Ấp Chánh, Mỹ Yên, Tây Ninh, Việt NamCông ty Lavie Long An - Nhà phân phối nước khoáng lavie cửa hàng 24/24"/>
    <s v="Quận 1, Đường Trần Khắc Chân, Tân Định, Hồ Chí Minh, Việt NamQuận 1"/>
    <n v="1"/>
    <x v="0"/>
    <x v="0"/>
    <d v="1899-12-30T07:28:44"/>
    <x v="0"/>
  </r>
  <r>
    <s v="3534007535487119526"/>
    <s v=""/>
    <x v="0"/>
    <n v="0"/>
    <s v=""/>
    <s v="NULL"/>
    <x v="0"/>
    <s v="2026-07-07 07:29:03"/>
    <s v="2026-07-07 07:39:04"/>
    <s v="NULL"/>
    <s v="NULL"/>
    <s v="2026-07-07 09:39:04"/>
    <s v=""/>
    <s v="106.5231879"/>
    <s v="10.6277377"/>
    <s v="106.730817218056"/>
    <s v="10.793521983679"/>
    <n v="136512"/>
    <n v="0"/>
    <n v="136512"/>
    <s v="Cash"/>
    <s v="Công ty Lavie Long An - Nhà phân phối nước khoáng lavie cửa hàng 24/24, Ấp Chánh, Mỹ Yên, Tây Ninh, Việt NamCông ty Lavie Long An - Nhà phân phối nước khoáng lavie cửa hàng 24/24"/>
    <s v="Quận 2an Khánhhồ Chí Minhviệt NamQuận 2"/>
    <n v="1"/>
    <x v="0"/>
    <x v="0"/>
    <d v="1899-12-30T07:29:03"/>
    <x v="0"/>
  </r>
  <r>
    <s v="3534007535487119816"/>
    <s v=""/>
    <x v="0"/>
    <n v="0"/>
    <s v=""/>
    <s v="NULL"/>
    <x v="0"/>
    <s v="2026-07-07 07:30:47"/>
    <s v="2026-07-07 07:40:48"/>
    <s v="NULL"/>
    <s v="NULL"/>
    <s v="2026-07-07 09:40:48"/>
    <s v=""/>
    <s v="106.5231879"/>
    <s v="10.6277377"/>
    <s v="106.6989609"/>
    <s v="10.7469416"/>
    <n v="114156"/>
    <n v="0"/>
    <n v="114156"/>
    <s v="Cash"/>
    <s v="Công ty Lavie Long An - Nhà phân phối nước khoáng lavie cửa hàng 24/24, Ấp Chánh, Mỹ Yên, Tây Ninh, Việt NamCông ty Lavie Long An - Nhà phân phối nước khoáng lavie cửa hàng 24/24"/>
    <s v="Quận 4 TP HCM, Tân Hưng, Hồ Chí Minh, Việt NamQuận 4 TP HCM"/>
    <n v="1"/>
    <x v="0"/>
    <x v="0"/>
    <d v="1899-12-30T07:30:47"/>
    <x v="0"/>
  </r>
  <r>
    <s v="3534010161784120064"/>
    <s v=""/>
    <x v="0"/>
    <n v="0"/>
    <s v=""/>
    <s v="NULL"/>
    <x v="0"/>
    <s v="2026-07-07 07:36:13"/>
    <s v="2026-07-07 07:46:14"/>
    <s v="NULL"/>
    <s v="NULL"/>
    <s v="2026-07-07 09:46:14"/>
    <s v=""/>
    <s v="106.5231879"/>
    <s v="10.6277377"/>
    <s v="106.6393828"/>
    <s v="10.7697352"/>
    <n v="99792"/>
    <n v="0"/>
    <n v="99792"/>
    <s v="Cash"/>
    <s v="Công ty Lavie Long An - Nhà phân phối nước khoáng lavie cửa hàng 24/24, Ấp Chánh, Mỹ Yên, Tây Ninh, Việt NamCông ty Lavie Long An - Nhà phân phối nước khoáng lavie cửa hàng 24/24"/>
    <s v="Quận 11, Đường Hòa Bình, Hòa Bình, Hồ Chí Minh, Việt NamQuận 11"/>
    <n v="1"/>
    <x v="0"/>
    <x v="0"/>
    <d v="1899-12-30T07:36:13"/>
    <x v="0"/>
  </r>
  <r>
    <s v="3534010775092032368"/>
    <s v=""/>
    <x v="0"/>
    <n v="0"/>
    <s v=""/>
    <s v="NULL"/>
    <x v="0"/>
    <s v="2026-07-07 07:31:48"/>
    <s v="2026-07-07 07:41:49"/>
    <s v="NULL"/>
    <s v="NULL"/>
    <s v="2026-07-07 09:41:49"/>
    <s v=""/>
    <s v="106.5231879"/>
    <s v="10.6277377"/>
    <s v="106.6408802"/>
    <s v="10.7471372"/>
    <n v="93204"/>
    <n v="0"/>
    <n v="93204"/>
    <s v="Cash"/>
    <s v="Công ty Lavie Long An - Nhà phân phối nước khoáng lavie cửa hàng 24/24, Ấp Chánh, Mỹ Yên, Tây Ninh, Việt NamCông ty Lavie Long An - Nhà phân phối nước khoáng lavie cửa hàng 24/24"/>
    <s v="Quận 6, Đường Phan Văn Khỏe, Bình Tây, Hồ Chí Minh, Việt NamQuận 6"/>
    <n v="1"/>
    <x v="0"/>
    <x v="0"/>
    <d v="1899-12-30T07:31:48"/>
    <x v="0"/>
  </r>
  <r>
    <s v="3534011301603008845"/>
    <s v=""/>
    <x v="0"/>
    <n v="0"/>
    <s v=""/>
    <s v="NULL"/>
    <x v="0"/>
    <s v="2026-07-07 07:29:22"/>
    <s v="2026-07-07 07:39:23"/>
    <s v="NULL"/>
    <s v="NULL"/>
    <s v="2026-07-07 09:39:23"/>
    <s v=""/>
    <s v="106.5231879"/>
    <s v="10.6277377"/>
    <s v="106.7371475"/>
    <s v="10.7944654"/>
    <n v="139428"/>
    <n v="0"/>
    <n v="139428"/>
    <s v="Cash"/>
    <s v="Công ty Lavie Long An - Nhà phân phối nước khoáng lavie cửa hàng 24/24, Ấp Chánh, Mỹ Yên, Tây Ninh, Việt NamCông ty Lavie Long An - Nhà phân phối nước khoáng lavie cửa hàng 24/24"/>
    <s v="quận 2, Đường Số 3, An Khánh, Hồ Chí Minh, Việt Namquận 2"/>
    <n v="1"/>
    <x v="0"/>
    <x v="0"/>
    <d v="1899-12-30T07:29:22"/>
    <x v="0"/>
  </r>
  <r>
    <s v="3534012472199697446"/>
    <s v=""/>
    <x v="0"/>
    <n v="0"/>
    <s v=""/>
    <s v="NULL"/>
    <x v="0"/>
    <s v="2026-07-07 07:35:13"/>
    <s v="2026-07-07 07:45:14"/>
    <s v="NULL"/>
    <s v="NULL"/>
    <s v="2026-07-07 09:45:14"/>
    <s v=""/>
    <s v="106.5231879"/>
    <s v="10.6277377"/>
    <s v="106.6727587"/>
    <s v="10.7604736"/>
    <n v="106812"/>
    <n v="0"/>
    <n v="106812"/>
    <s v="Cash"/>
    <s v="Công ty Lavie Long An - Nhà phân phối nước khoáng lavie cửa hàng 24/24, Ấp Chánh, Mỹ Yên, Tây Ninh, Việt NamCông ty Lavie Long An - Nhà phân phối nước khoáng lavie cửa hàng 24/24"/>
    <s v="Quận 10, Đường Nguyễn Chí Thanh, An Đông, Hồ Chí Minh, Việt NamQuận 10"/>
    <n v="1"/>
    <x v="0"/>
    <x v="0"/>
    <d v="1899-12-30T07:35:13"/>
    <x v="0"/>
  </r>
  <r>
    <s v="3534013427578261846"/>
    <s v=""/>
    <x v="0"/>
    <n v="0"/>
    <s v=""/>
    <s v="NULL"/>
    <x v="0"/>
    <s v="2026-07-07 07:32:09"/>
    <s v="2026-07-07 07:42:10"/>
    <s v="NULL"/>
    <s v="NULL"/>
    <s v="2026-07-07 09:42:10"/>
    <s v=""/>
    <s v="106.5231879"/>
    <s v="10.6277377"/>
    <s v="106.6408802"/>
    <s v="10.7471372"/>
    <n v="93204"/>
    <n v="0"/>
    <n v="93204"/>
    <s v="Cash"/>
    <s v="Công ty Lavie Long An - Nhà phân phối nước khoáng lavie cửa hàng 24/24, Ấp Chánh, Mỹ Yên, Tây Ninh, Việt NamCông ty Lavie Long An - Nhà phân phối nước khoáng lavie cửa hàng 24/24"/>
    <s v="Quận 6, Đường Phan Văn Khỏe, Bình Tây, Hồ Chí Minh, Việt NamQuận 6"/>
    <n v="1"/>
    <x v="0"/>
    <x v="0"/>
    <d v="1899-12-30T07:32:09"/>
    <x v="0"/>
  </r>
  <r>
    <s v="3534019252409553072"/>
    <s v=""/>
    <x v="0"/>
    <n v="0"/>
    <s v=""/>
    <s v="NULL"/>
    <x v="0"/>
    <s v="2026-07-07 07:35:35"/>
    <s v="2026-07-07 07:45:36"/>
    <s v="NULL"/>
    <s v="NULL"/>
    <s v="2026-07-07 09:45:36"/>
    <s v=""/>
    <s v="106.5231879"/>
    <s v="10.6277377"/>
    <s v="106.6720206"/>
    <s v="10.7723438"/>
    <n v="109728"/>
    <n v="0"/>
    <n v="109728"/>
    <s v="Cash"/>
    <s v="Công ty Lavie Long An - Nhà phân phối nước khoáng lavie cửa hàng 24/24, Ấp Chánh, Mỹ Yên, Tây Ninh, Việt NamCông ty Lavie Long An - Nhà phân phối nước khoáng lavie cửa hàng 24/24"/>
    <s v="Quận 10 TP HCM, Đường Lê Hồng Phong, Hòa Hưng, Hồ Chí Minh, Việt NamQuận 10 TP HCM"/>
    <n v="1"/>
    <x v="0"/>
    <x v="0"/>
    <d v="1899-12-30T07:35:35"/>
    <x v="0"/>
  </r>
  <r>
    <s v="3534745951573069919"/>
    <s v=""/>
    <x v="0"/>
    <n v="0"/>
    <s v=""/>
    <s v="NULL"/>
    <x v="0"/>
    <s v="2026-07-08 07:48:14"/>
    <s v="2026-07-08 07:58:14"/>
    <s v="NULL"/>
    <s v="NULL"/>
    <s v="2026-07-08 09:58:14"/>
    <s v=""/>
    <s v="106.5231879"/>
    <s v="10.6277377"/>
    <s v="106.7371475"/>
    <s v="10.7944654"/>
    <n v="139428"/>
    <n v="0"/>
    <n v="139428"/>
    <s v="Cash"/>
    <s v="Công ty Lavie Long An - Nhà phân phối nước khoáng lavie cửa hàng 24/24, Ấp Chánh, Mỹ Yên, Tây Ninh, Việt NamCông ty Lavie Long An - Nhà phân phối nước khoáng lavie cửa hàng 24/24"/>
    <s v="quận 2, Đường Số 3, An Khánh, Hồ Chí Minh, Việt Namquận 2"/>
    <n v="1"/>
    <x v="0"/>
    <x v="1"/>
    <d v="1899-12-30T07:48:14"/>
    <x v="4"/>
  </r>
  <r>
    <s v="3534749721749053645"/>
    <s v=""/>
    <x v="0"/>
    <n v="0"/>
    <s v=""/>
    <s v="NULL"/>
    <x v="1"/>
    <s v="2026-07-08 07:50:27"/>
    <s v="2026-07-08 08:00:27"/>
    <s v="NULL"/>
    <s v="NULL"/>
    <s v="2026-07-08 07:51:00"/>
    <s v=""/>
    <s v="106.5231879"/>
    <s v="10.6277377"/>
    <s v="106.6746036"/>
    <s v="10.7504578"/>
    <n v="104544"/>
    <n v="0"/>
    <n v="104544"/>
    <s v="Cash"/>
    <s v="Công ty Lavie Long An - Nhà phân phối nước khoáng lavie cửa hàng 24/24, Ấp Chánh, Mỹ Yên, Tây Ninh, Việt NamCông ty Lavie Long An - Nhà phân phối nước khoáng lavie cửa hàng 24/24"/>
    <s v="Quận 5, Trần Tuấn Khải, An Đông, Hồ Chí Minh, Việt NamQuận 5"/>
    <n v="1"/>
    <x v="0"/>
    <x v="1"/>
    <d v="1899-12-30T07:50:27"/>
    <x v="234"/>
  </r>
  <r>
    <s v="3534749721765826906"/>
    <s v=""/>
    <x v="0"/>
    <n v="0"/>
    <s v=""/>
    <s v="NULL"/>
    <x v="0"/>
    <s v="2026-07-08 07:55:38"/>
    <s v="2026-07-08 08:05:39"/>
    <s v="NULL"/>
    <s v="NULL"/>
    <s v="2026-07-08 10:05:39"/>
    <s v=""/>
    <s v="106.5231879"/>
    <s v="10.6277377"/>
    <s v="106.6745776"/>
    <s v="10.865126"/>
    <n v="151956"/>
    <n v="0"/>
    <n v="151956"/>
    <s v="Cash"/>
    <s v="Công ty Lavie Long An - Nhà phân phối nước khoáng lavie cửa hàng 24/24, Ấp Chánh, Mỹ Yên, Tây Ninh, Việt NamCông ty Lavie Long An - Nhà phân phối nước khoáng lavie cửa hàng 24/24"/>
    <s v="Quận 12, Thới An, Hồ Chí Minh, Việt NamQuận 12"/>
    <n v="1"/>
    <x v="0"/>
    <x v="1"/>
    <d v="1899-12-30T07:55:38"/>
    <x v="0"/>
  </r>
  <r>
    <s v="3534750002893255639"/>
    <s v=""/>
    <x v="0"/>
    <n v="0"/>
    <s v=""/>
    <s v="NULL"/>
    <x v="1"/>
    <s v="2026-07-08 07:49:49"/>
    <s v="2026-07-08 07:59:49"/>
    <s v="NULL"/>
    <s v="NULL"/>
    <s v="2026-07-08 07:51:11"/>
    <s v=""/>
    <s v="106.5231879"/>
    <s v="10.6277377"/>
    <s v="106.6989609"/>
    <s v="10.7469416"/>
    <n v="114156"/>
    <n v="0"/>
    <n v="114156"/>
    <s v="Cash"/>
    <s v="Công ty Lavie Long An - Nhà phân phối nước khoáng lavie cửa hàng 24/24, Ấp Chánh, Mỹ Yên, Tây Ninh, Việt NamCông ty Lavie Long An - Nhà phân phối nước khoáng lavie cửa hàng 24/24"/>
    <s v="Quận 4 TP HCM, Tân Hưng, Hồ Chí Minh, Việt NamQuận 4 TP HCM"/>
    <n v="1"/>
    <x v="0"/>
    <x v="1"/>
    <d v="1899-12-30T07:49:49"/>
    <x v="219"/>
  </r>
  <r>
    <s v="3534750176998814492"/>
    <s v=""/>
    <x v="0"/>
    <n v="0"/>
    <s v=""/>
    <s v="NULL"/>
    <x v="0"/>
    <s v="2026-07-08 07:49:13"/>
    <s v="2026-07-08 07:59:14"/>
    <s v="NULL"/>
    <s v="NULL"/>
    <s v="2026-07-08 09:59:14"/>
    <s v=""/>
    <s v="106.5231879"/>
    <s v="10.6277377"/>
    <s v="106.6650848"/>
    <s v="10.7895815"/>
    <n v="115992"/>
    <n v="0"/>
    <n v="115992"/>
    <s v="Cash"/>
    <s v="Công ty Lavie Long An - Nhà phân phối nước khoáng lavie cửa hàng 24/24, Ấp Chánh, Mỹ Yên, Tây Ninh, Việt NamCông ty Lavie Long An - Nhà phân phối nước khoáng lavie cửa hàng 24/24"/>
    <s v="Quận 3, Cách Mạng Tháng Tám, Nhiêu Lộc, Hồ Chí Minh, Việt NamQuận 3"/>
    <n v="1"/>
    <x v="0"/>
    <x v="1"/>
    <d v="1899-12-30T07:49:13"/>
    <x v="0"/>
  </r>
  <r>
    <s v="3534750177023975971"/>
    <s v=""/>
    <x v="0"/>
    <n v="4629889"/>
    <s v=""/>
    <s v="Motorcycle"/>
    <x v="1"/>
    <s v="2026-07-08 07:52:56"/>
    <s v="2026-07-08 08:02:57"/>
    <s v="2026-07-08 08:29:36"/>
    <s v="NULL"/>
    <s v="2026-07-08 08:51:52"/>
    <s v=""/>
    <s v="106.5231879"/>
    <s v="10.6277377"/>
    <s v="106.6536587"/>
    <s v="10.7295791"/>
    <n v="91692"/>
    <n v="71083"/>
    <n v="20609"/>
    <s v="Cash"/>
    <s v="Công ty Lavie Long An - Nhà phân phối nước khoáng lavie cửa hàng 24/24, Ấp Chánh, Mỹ Yên, Tây Ninh, Việt NamCông ty Lavie Long An - Nhà phân phối nước khoáng lavie cửa hàng 24/24"/>
    <s v="Quận 8, Đường Số 18, Ấp 2, Bình Hưng, Hồ Chí Minh, Việt NamQuận 8"/>
    <n v="1"/>
    <x v="0"/>
    <x v="1"/>
    <d v="1899-12-30T07:52:56"/>
    <x v="269"/>
  </r>
  <r>
    <s v="3534750177040748644"/>
    <s v=""/>
    <x v="0"/>
    <n v="0"/>
    <s v=""/>
    <s v="NULL"/>
    <x v="0"/>
    <s v="2026-07-08 07:55:23"/>
    <s v="2026-07-08 08:05:24"/>
    <s v="NULL"/>
    <s v="NULL"/>
    <s v="2026-07-08 10:05:24"/>
    <s v=""/>
    <s v="106.5231879"/>
    <s v="10.6277377"/>
    <s v="106.6483066"/>
    <s v="10.7589406"/>
    <n v="99036"/>
    <n v="0"/>
    <n v="99036"/>
    <s v="Cash"/>
    <s v="Công ty Lavie Long An - Nhà phân phối nước khoáng lavie cửa hàng 24/24, Ấp Chánh, Mỹ Yên, Tây Ninh, Việt NamCông ty Lavie Long An - Nhà phân phối nước khoáng lavie cửa hàng 24/24"/>
    <s v="Quận 11, Đường Xóm Đất, Bình Thới, Hồ Chí Minh, Việt NamQuận 11"/>
    <n v="1"/>
    <x v="0"/>
    <x v="1"/>
    <d v="1899-12-30T07:55:23"/>
    <x v="0"/>
  </r>
  <r>
    <s v="3534750781481906904"/>
    <s v=""/>
    <x v="0"/>
    <n v="0"/>
    <s v=""/>
    <s v="NULL"/>
    <x v="1"/>
    <s v="2026-07-08 07:50:09"/>
    <s v="2026-07-08 08:00:10"/>
    <s v="NULL"/>
    <s v="NULL"/>
    <s v="2026-07-08 07:50:51"/>
    <s v=""/>
    <s v="106.5231879"/>
    <s v="10.6277377"/>
    <s v="106.7012286"/>
    <s v="10.7578246"/>
    <n v="117828"/>
    <n v="0"/>
    <n v="117828"/>
    <s v="Cash"/>
    <s v="Công ty Lavie Long An - Nhà phân phối nước khoáng lavie cửa hàng 24/24, Ấp Chánh, Mỹ Yên, Tây Ninh, Việt NamCông ty Lavie Long An - Nhà phân phối nước khoáng lavie cửa hàng 24/24"/>
    <s v="Quận 4, Khánh Hội, Hồ Chí Minh, Việt NamQuận 4"/>
    <n v="1"/>
    <x v="0"/>
    <x v="1"/>
    <d v="1899-12-30T07:50:09"/>
    <x v="270"/>
  </r>
  <r>
    <s v="3534752158857786418"/>
    <s v=""/>
    <x v="0"/>
    <n v="4411069"/>
    <s v=""/>
    <s v="Motorcycle"/>
    <x v="1"/>
    <s v="2026-07-08 07:53:47"/>
    <s v="2026-07-08 08:03:48"/>
    <s v="2026-07-08 10:58:28"/>
    <s v="NULL"/>
    <s v="2026-07-08 11:13:10"/>
    <s v=""/>
    <s v="106.5231879"/>
    <s v="10.6277377"/>
    <s v="106.7866577"/>
    <s v="10.8450844"/>
    <n v="191160"/>
    <n v="148193"/>
    <n v="42967"/>
    <s v="Cash"/>
    <s v="Công ty Lavie Long An - Nhà phân phối nước khoáng lavie cửa hàng 24/24, Ấp Chánh, Mỹ Yên, Tây Ninh, Việt NamCông ty Lavie Long An - Nhà phân phối nước khoáng lavie cửa hàng 24/24"/>
    <s v="Quận 9, Tăng Nhơn Phú, Hồ Chí Minh, Việt NamQuận 9"/>
    <n v="1"/>
    <x v="0"/>
    <x v="1"/>
    <d v="1899-12-30T07:53:47"/>
    <x v="271"/>
  </r>
  <r>
    <s v="3534752199055995239"/>
    <s v=""/>
    <x v="0"/>
    <n v="0"/>
    <s v=""/>
    <s v="NULL"/>
    <x v="0"/>
    <s v="2026-07-08 07:50:48"/>
    <s v="2026-07-08 08:00:49"/>
    <s v="NULL"/>
    <s v="NULL"/>
    <s v="2026-07-08 10:00:49"/>
    <s v=""/>
    <s v="106.5231879"/>
    <s v="10.6277377"/>
    <s v="106.6746036"/>
    <s v="10.7504578"/>
    <n v="104544"/>
    <n v="0"/>
    <n v="104544"/>
    <s v="Cash"/>
    <s v="Công ty Lavie Long An - Nhà phân phối nước khoáng lavie cửa hàng 24/24, Ấp Chánh, Mỹ Yên, Tây Ninh, Việt NamCông ty Lavie Long An - Nhà phân phối nước khoáng lavie cửa hàng 24/24"/>
    <s v="Quận 5, Trần Tuấn Khải, An Đông, Hồ Chí Minh, Việt NamQuận 5"/>
    <n v="1"/>
    <x v="0"/>
    <x v="1"/>
    <d v="1899-12-30T07:50:48"/>
    <x v="0"/>
  </r>
  <r>
    <s v="3534752199081156868"/>
    <s v=""/>
    <x v="0"/>
    <n v="0"/>
    <s v=""/>
    <s v="NULL"/>
    <x v="0"/>
    <s v="2026-07-08 07:54:43"/>
    <s v="2026-07-08 08:04:44"/>
    <s v="NULL"/>
    <s v="NULL"/>
    <s v="2026-07-08 10:04:44"/>
    <s v=""/>
    <s v="106.5231879"/>
    <s v="10.6277377"/>
    <s v="106.6393828"/>
    <s v="10.7697352"/>
    <n v="99792"/>
    <n v="0"/>
    <n v="99792"/>
    <s v="Cash"/>
    <s v="Công ty Lavie Long An - Nhà phân phối nước khoáng lavie cửa hàng 24/24, Ấp Chánh, Mỹ Yên, Tây Ninh, Việt NamCông ty Lavie Long An - Nhà phân phối nước khoáng lavie cửa hàng 24/24"/>
    <s v="Quận 11, Đường Hòa Bình, Hòa Bình, Hồ Chí Minh, Việt NamQuận 11"/>
    <n v="1"/>
    <x v="0"/>
    <x v="1"/>
    <d v="1899-12-30T07:54:43"/>
    <x v="0"/>
  </r>
  <r>
    <s v="3534752291414569563"/>
    <s v=""/>
    <x v="0"/>
    <n v="0"/>
    <s v=""/>
    <s v="NULL"/>
    <x v="0"/>
    <s v="2026-07-08 07:51:56"/>
    <s v="2026-07-08 08:01:57"/>
    <s v="NULL"/>
    <s v="NULL"/>
    <s v="2026-07-08 10:01:57"/>
    <s v=""/>
    <s v="106.5231879"/>
    <s v="10.6277377"/>
    <s v="106.6408802"/>
    <s v="10.7471372"/>
    <n v="93204"/>
    <n v="0"/>
    <n v="93204"/>
    <s v="Cash"/>
    <s v="Công ty Lavie Long An - Nhà phân phối nước khoáng lavie cửa hàng 24/24, Ấp Chánh, Mỹ Yên, Tây Ninh, Việt NamCông ty Lavie Long An - Nhà phân phối nước khoáng lavie cửa hàng 24/24"/>
    <s v="Quận 6, Đường Phan Văn Khỏe, Bình Tây, Hồ Chí Minh, Việt NamQuận 6"/>
    <n v="1"/>
    <x v="0"/>
    <x v="1"/>
    <d v="1899-12-30T07:51:56"/>
    <x v="0"/>
  </r>
  <r>
    <s v="3534754181980319927"/>
    <s v=""/>
    <x v="0"/>
    <n v="0"/>
    <s v=""/>
    <s v="NULL"/>
    <x v="0"/>
    <s v="2026-07-08 07:53:13"/>
    <s v="2026-07-08 08:03:13"/>
    <s v="NULL"/>
    <s v="NULL"/>
    <s v="2026-07-08 10:03:13"/>
    <s v=""/>
    <s v="106.5231879"/>
    <s v="10.6277377"/>
    <s v="106.6536587"/>
    <s v="10.7295791"/>
    <n v="91692"/>
    <n v="0"/>
    <n v="91692"/>
    <s v="Cash"/>
    <s v="Công ty Lavie Long An - Nhà phân phối nước khoáng lavie cửa hàng 24/24, Ấp Chánh, Mỹ Yên, Tây Ninh, Việt NamCông ty Lavie Long An - Nhà phân phối nước khoáng lavie cửa hàng 24/24"/>
    <s v="Quận 8, Đường Số 18, Ấp 2, Bình Hưng, Hồ Chí Minh, Việt NamQuận 8"/>
    <n v="1"/>
    <x v="0"/>
    <x v="1"/>
    <d v="1899-12-30T07:53:13"/>
    <x v="4"/>
  </r>
  <r>
    <s v="3535857530565775556"/>
    <s v="Long mộng gà nè con"/>
    <x v="1"/>
    <n v="0"/>
    <s v=""/>
    <s v="NULL"/>
    <x v="0"/>
    <s v="2026-07-09 20:42:12"/>
    <s v="2026-07-09 20:52:11"/>
    <s v="NULL"/>
    <s v="NULL"/>
    <s v="2026-07-09 23:15:03"/>
    <s v=""/>
    <s v="106.6049649"/>
    <s v="10.6838283"/>
    <s v="106.6081537"/>
    <s v="10.6579453"/>
    <n v="11232"/>
    <n v="0"/>
    <n v="11232"/>
    <s v="Cash"/>
    <s v="An Phú Tây - Hưng Long, Bình Chánh, Hồ Chí Minh, Việt NamAn Phú Tây - Hưng Long"/>
    <s v="Chợ Hưng Long, Đoàn Nguyễn Tuấn, Hưng Long, Hồ Chí Minh, Việt NamChợ Hưng Long"/>
    <n v="1"/>
    <x v="0"/>
    <x v="8"/>
    <d v="1899-12-30T20:42:12"/>
    <x v="272"/>
  </r>
  <r>
    <s v="3536894397914505944"/>
    <s v="Mộng Trà"/>
    <x v="1"/>
    <n v="0"/>
    <s v=""/>
    <s v="NULL"/>
    <x v="0"/>
    <s v="2026-07-11 07:14:02"/>
    <s v="2026-07-11 07:24:00"/>
    <s v="NULL"/>
    <s v="NULL"/>
    <s v="2026-07-11 09:24:00"/>
    <s v=""/>
    <s v="106.5037027"/>
    <s v="10.5794517"/>
    <s v="106.75653297409671"/>
    <s v="10.910298446228467"/>
    <n v="239544"/>
    <n v="0"/>
    <n v="239544"/>
    <s v="Cash"/>
    <s v="Công ty TNHH Thức Ăn Chăn Nuôi Thiên Bang Việt Nam, Cụm CN, Long Cang, Tây Ninh, Việt NamCông ty TNHH Thức Ăn Chăn Nuôi Thiên Bang Việt Nam"/>
    <s v="813 ĐT743B, Dĩ An, Hồ Chí Minh, Việt Nam813 ĐT743B, Dĩ An, Hồ Chí Minh, Việt Nam"/>
    <n v="1"/>
    <x v="0"/>
    <x v="2"/>
    <d v="1899-12-30T07:14:02"/>
    <x v="208"/>
  </r>
  <r>
    <s v="3536894397931278626"/>
    <s v="Mộng Trà"/>
    <x v="1"/>
    <n v="0"/>
    <s v=""/>
    <s v="NULL"/>
    <x v="0"/>
    <s v="2026-07-11 07:18:21"/>
    <s v="2026-07-11 07:28:21"/>
    <s v="NULL"/>
    <s v="NULL"/>
    <s v="2026-07-11 09:28:21"/>
    <s v=""/>
    <s v="106.5058752"/>
    <s v="10.5788652"/>
    <s v="106.9327317"/>
    <s v="10.8086349"/>
    <n v="301860"/>
    <n v="0"/>
    <n v="301860"/>
    <s v="Cash"/>
    <s v="Công ty TNHH Dachan ( VN ), Long Cang, Tây Ninh, Việt NamCông ty TNHH Dachan ( VN )"/>
    <s v="nhơn trach đồng nai, ấp 5, An Phước, Đồng Nai, Việt Namnhơn trach đồng nai"/>
    <n v="1"/>
    <x v="0"/>
    <x v="2"/>
    <d v="1899-12-30T07:18:21"/>
    <x v="4"/>
  </r>
  <r>
    <s v="3536894397931278948"/>
    <s v="Mộng Trà"/>
    <x v="1"/>
    <n v="0"/>
    <s v=""/>
    <s v="NULL"/>
    <x v="0"/>
    <s v="2026-07-11 07:20:45"/>
    <s v="2026-07-11 07:30:45"/>
    <s v="NULL"/>
    <s v="NULL"/>
    <s v="2026-07-11 09:30:45"/>
    <s v=""/>
    <s v="106.5099096"/>
    <s v="10.5732368"/>
    <s v="106.59339392065432"/>
    <s v="10.79252171250129"/>
    <n v="116316"/>
    <n v="0"/>
    <n v="116316"/>
    <s v="Cash"/>
    <s v="Cty Highland Dragon Long An, Long Cang, Tây Ninh, Việt NamCty Highland Dragon Long An"/>
    <s v="61/7/43 Đường số 8, Bình Tân, Hồ Chí Minh, Việt Nam61/7/43 Đường số 8, Bình Tân, Hồ Chí Minh, Việt Nam"/>
    <n v="1"/>
    <x v="0"/>
    <x v="2"/>
    <d v="1899-12-30T07:20:45"/>
    <x v="4"/>
  </r>
  <r>
    <s v="3536894397931279163"/>
    <s v="Mộng Trà"/>
    <x v="1"/>
    <n v="0"/>
    <s v=""/>
    <s v="NULL"/>
    <x v="0"/>
    <s v="2026-07-11 07:22:31"/>
    <s v="2026-07-11 07:32:30"/>
    <s v="NULL"/>
    <s v="NULL"/>
    <s v="2026-07-11 09:32:30"/>
    <s v=""/>
    <s v="106.5078088"/>
    <s v="10.5780347"/>
    <s v="106.59133753359073"/>
    <s v="10.885371429959608"/>
    <n v="177336"/>
    <n v="0"/>
    <n v="177336"/>
    <s v="Cash"/>
    <s v="Công Ty TNHH Dinh Dưỡng Động Vật Eh Long An Việt Nam, Long Cang, Tây Ninh, Việt NamCông Ty TNHH Dinh Dưỡng Động Vật Eh Long An Việt Nam"/>
    <s v="5 23, Tổ 4, Hóc Môn, Hồ Chí Minh, Việt Nam5 23, Tổ 4, Hóc Môn, Hồ Chí Minh, Việt Nam"/>
    <n v="1"/>
    <x v="0"/>
    <x v="2"/>
    <d v="1899-12-30T07:22:31"/>
    <x v="9"/>
  </r>
  <r>
    <s v="3536894397931279362"/>
    <s v="Mộng Trà"/>
    <x v="1"/>
    <n v="0"/>
    <s v=""/>
    <s v="NULL"/>
    <x v="0"/>
    <s v="2026-07-11 07:23:53"/>
    <s v="2026-07-11 07:33:52"/>
    <s v="NULL"/>
    <s v="NULL"/>
    <s v="2026-07-11 10:09:38"/>
    <s v=""/>
    <s v="106.5078088"/>
    <s v="10.5780347"/>
    <s v="106.6743767"/>
    <s v="10.8323108"/>
    <n v="155952"/>
    <n v="0"/>
    <n v="155952"/>
    <s v="Cash"/>
    <s v="Công Ty TNHH Dinh Dưỡng Động Vật Eh Long An Việt Nam, Long Cang, Tây Ninh, Việt NamCông Ty TNHH Dinh Dưỡng Động Vật Eh Long An Việt Nam"/>
    <s v="2A Đ. Phan Văn Trị, Gò Vấp, Hồ Chí Minh 700000, Việt Nam2A Đ. Phan Văn Trị, Gò Vấp, Hồ Chí Minh 700000, Việt Nam"/>
    <n v="1"/>
    <x v="0"/>
    <x v="2"/>
    <d v="1899-12-30T07:23:53"/>
    <x v="273"/>
  </r>
  <r>
    <s v="3536895895817905132"/>
    <s v="Mộng Trà"/>
    <x v="1"/>
    <n v="2852976"/>
    <s v=""/>
    <s v="Motorcycle"/>
    <x v="1"/>
    <s v="2026-07-11 07:17:37"/>
    <s v="2026-07-11 07:27:37"/>
    <s v="2026-07-11 08:19:22"/>
    <s v="NULL"/>
    <s v="2026-07-11 08:21:09"/>
    <s v=""/>
    <s v="106.5058752"/>
    <s v="10.5788652"/>
    <s v="107.0319636"/>
    <s v="10.7914234"/>
    <n v="302076"/>
    <n v="247954"/>
    <n v="54122"/>
    <s v="Cash"/>
    <s v="Công ty TNHH Dachan ( VN ), Long Cang, Tây Ninh, Việt NamCông ty TNHH Dachan ( VN )"/>
    <s v="Q2RJ+HQ Long Thành, Đồng Nai, Việt NamQ2RJ+HQ Long Thành, Đồng Nai, Việt Nam"/>
    <n v="1"/>
    <x v="0"/>
    <x v="2"/>
    <d v="1899-12-30T07:17:37"/>
    <x v="274"/>
  </r>
  <r>
    <s v="3536895895834677362"/>
    <s v="Mộng Trà"/>
    <x v="1"/>
    <n v="0"/>
    <s v=""/>
    <s v="NULL"/>
    <x v="0"/>
    <s v="2026-07-11 07:17:59"/>
    <s v="2026-07-11 07:27:59"/>
    <s v="NULL"/>
    <s v="NULL"/>
    <s v="2026-07-11 09:27:59"/>
    <s v=""/>
    <s v="106.5058752"/>
    <s v="10.5788652"/>
    <s v="106.5230542"/>
    <s v="10.962533"/>
    <n v="235116"/>
    <n v="0"/>
    <n v="235116"/>
    <s v="Cash"/>
    <s v="Công ty TNHH Dachan ( VN ), Long Cang, Tây Ninh, Việt NamCông ty TNHH Dachan ( VN )"/>
    <s v="Củ Chi, Hồ Chí Minh, Việt NamCủ Chi"/>
    <n v="1"/>
    <x v="0"/>
    <x v="2"/>
    <d v="1899-12-30T07:17:59"/>
    <x v="4"/>
  </r>
  <r>
    <s v="3536895895834677388"/>
    <s v="Mộng Trà"/>
    <x v="1"/>
    <n v="0"/>
    <s v=""/>
    <s v="NULL"/>
    <x v="0"/>
    <s v="2026-07-11 07:18:08"/>
    <s v="2026-07-11 07:28:07"/>
    <s v="NULL"/>
    <s v="NULL"/>
    <s v="2026-07-11 09:28:07"/>
    <s v=""/>
    <s v="106.5058752"/>
    <s v="10.5788652"/>
    <s v="106.5230542"/>
    <s v="10.962533"/>
    <n v="218916"/>
    <n v="0"/>
    <n v="218916"/>
    <s v="Cash"/>
    <s v="Công ty TNHH Dachan ( VN ), Long Cang, Tây Ninh, Việt NamCông ty TNHH Dachan ( VN )"/>
    <s v="Củ Chi, Hồ Chí Minh, Việt NamCủ Chi"/>
    <n v="1"/>
    <x v="0"/>
    <x v="2"/>
    <d v="1899-12-30T07:18:08"/>
    <x v="9"/>
  </r>
  <r>
    <s v="3536895895834677634"/>
    <s v="Mộng Trà"/>
    <x v="1"/>
    <n v="0"/>
    <s v=""/>
    <s v="NULL"/>
    <x v="0"/>
    <s v="2026-07-11 07:20:10"/>
    <s v="2026-07-11 07:30:09"/>
    <s v="NULL"/>
    <s v="NULL"/>
    <s v="2026-07-11 10:15:15"/>
    <s v=""/>
    <s v="106.5099096"/>
    <s v="10.5732368"/>
    <s v="106.70549648017881"/>
    <s v="10.81323730343783"/>
    <n v="161784"/>
    <n v="0"/>
    <n v="161784"/>
    <s v="Cash"/>
    <s v="Cty Highland Dragon Long An, Long Cang, Tây Ninh, Việt NamCty Highland Dragon Long An"/>
    <s v="10, 10 Đ. Số 10, Bình Thạnh, Hồ Chí Minh, Việt Nam10, 10 Đ. Số 10, Bình Thạnh, Hồ Chí Minh, Việt Nam"/>
    <n v="1"/>
    <x v="0"/>
    <x v="2"/>
    <d v="1899-12-30T07:20:10"/>
    <x v="275"/>
  </r>
  <r>
    <s v="3536896082598650356"/>
    <s v="Mộng Trà"/>
    <x v="1"/>
    <n v="0"/>
    <s v=""/>
    <s v="NULL"/>
    <x v="0"/>
    <s v="2026-07-11 07:22:20"/>
    <s v="2026-07-11 07:32:20"/>
    <s v="NULL"/>
    <s v="NULL"/>
    <s v="2026-07-11 09:32:20"/>
    <s v=""/>
    <s v="106.5078088"/>
    <s v="10.5780347"/>
    <s v="106.5922924"/>
    <s v="10.8863934"/>
    <n v="192780"/>
    <n v="0"/>
    <n v="192780"/>
    <s v="Cash"/>
    <s v="Công Ty TNHH Dinh Dưỡng Động Vật Eh Long An Việt Nam, Long Cang, Tây Ninh, Việt NamCông Ty TNHH Dinh Dưỡng Động Vật Eh Long An Việt Nam"/>
    <s v="Hóc Môn, Hồ Chí Minh, Việt NamHóc Môn"/>
    <n v="1"/>
    <x v="0"/>
    <x v="2"/>
    <d v="1899-12-30T07:22:20"/>
    <x v="4"/>
  </r>
  <r>
    <s v="3536898880157479422"/>
    <s v="Mộng Trà"/>
    <x v="1"/>
    <n v="0"/>
    <s v=""/>
    <s v="NULL"/>
    <x v="0"/>
    <s v="2026-07-11 07:17:13"/>
    <s v="2026-07-11 07:27:12"/>
    <s v="NULL"/>
    <s v="NULL"/>
    <s v="2026-07-11 10:18:53"/>
    <s v=""/>
    <s v="106.5058752"/>
    <s v="10.5788652"/>
    <s v="106.8045949"/>
    <s v="10.9364413"/>
    <n v="242136"/>
    <n v="0"/>
    <n v="242136"/>
    <s v="Cash"/>
    <s v="Công ty TNHH Dachan ( VN ), Long Cang, Tây Ninh, Việt NamCông ty TNHH Dachan ( VN )"/>
    <s v="Biên Hòa, Đồng Nai, Việt NamBiên Hòa"/>
    <n v="1"/>
    <x v="0"/>
    <x v="2"/>
    <d v="1899-12-30T07:17:13"/>
    <x v="276"/>
  </r>
  <r>
    <s v="3536898880174252825"/>
    <s v="Mộng Trà"/>
    <x v="1"/>
    <n v="3746341"/>
    <s v=""/>
    <s v="Motorcycle"/>
    <x v="1"/>
    <s v="2026-07-11 07:27:09"/>
    <s v="2026-07-11 07:37:09"/>
    <s v="2026-07-11 07:42:54"/>
    <s v="NULL"/>
    <s v="2026-07-11 07:45:59"/>
    <s v=""/>
    <s v="106.5067945"/>
    <s v="10.5783866"/>
    <s v="106.7528749"/>
    <s v="10.8963726"/>
    <n v="317736"/>
    <n v="260808"/>
    <n v="56928"/>
    <s v="Cash"/>
    <s v="CÔNG TY SINO PACIFIC, Unnamed, Road, Long Cang, Tây Ninh, Việt NamCÔNG TY SINO PACIFIC"/>
    <s v="Dĩ An, Bình Dương, Việt NamDĩ An"/>
    <n v="1"/>
    <x v="0"/>
    <x v="2"/>
    <d v="1899-12-30T07:27:09"/>
    <x v="277"/>
  </r>
  <r>
    <s v="3536900571829334408"/>
    <s v="Mộng Trà"/>
    <x v="1"/>
    <n v="4417859"/>
    <s v=""/>
    <s v="Motorcycle"/>
    <x v="2"/>
    <s v="2026-07-11 07:17:49"/>
    <s v="2026-07-11 07:27:48"/>
    <s v="2026-07-11 09:53:43"/>
    <s v="NULL"/>
    <s v=""/>
    <s v=""/>
    <s v="106.5058752"/>
    <s v="10.5788652"/>
    <s v="107.0319636"/>
    <s v="10.7914234"/>
    <n v="439128"/>
    <n v="340426"/>
    <n v="98702"/>
    <s v="Cash"/>
    <s v="Công ty TNHH Dachan ( VN ), Long Cang, Tây Ninh, Việt NamCông ty TNHH Dachan ( VN )"/>
    <s v="Q2RJ+HQ Long Thành, Đồng Nai, Việt NamQ2RJ+HQ Long Thành, Đồng Nai, Việt Nam"/>
    <n v="1"/>
    <x v="0"/>
    <x v="2"/>
    <d v="1899-12-30T07:17:49"/>
    <x v="14"/>
  </r>
  <r>
    <s v="3536901666257465978"/>
    <s v="Mộng Trà"/>
    <x v="1"/>
    <n v="0"/>
    <s v=""/>
    <s v="NULL"/>
    <x v="0"/>
    <s v="2026-07-11 07:13:48"/>
    <s v="2026-07-11 07:23:47"/>
    <s v="NULL"/>
    <s v="NULL"/>
    <s v="2026-07-11 09:23:47"/>
    <s v=""/>
    <s v="106.5037027"/>
    <s v="10.5794517"/>
    <s v="106.7535289"/>
    <s v="10.9088973"/>
    <n v="238356"/>
    <n v="0"/>
    <n v="238356"/>
    <s v="Cash"/>
    <s v="Công ty TNHH Thức Ăn Chăn Nuôi Thiên Bang Việt Nam, Cụm CN, Long Cang, Tây Ninh, Việt NamCông ty TNHH Thức Ăn Chăn Nuôi Thiên Bang Việt Nam"/>
    <s v="Thuận An Bình Dương, Đường N2, Dĩ An, Hồ Chí Minh, Việt NamThuận An Bình Dương"/>
    <n v="1"/>
    <x v="0"/>
    <x v="2"/>
    <d v="1899-12-30T07:13:48"/>
    <x v="9"/>
  </r>
  <r>
    <s v="3536901666257466136"/>
    <s v="Mộng Trà"/>
    <x v="1"/>
    <n v="0"/>
    <s v=""/>
    <s v="NULL"/>
    <x v="0"/>
    <s v="2026-07-11 07:15:13"/>
    <s v="2026-07-11 07:25:12"/>
    <s v="NULL"/>
    <s v="NULL"/>
    <s v="2026-07-11 09:25:12"/>
    <s v=""/>
    <s v="106.5037027"/>
    <s v="10.5794517"/>
    <s v="106.6586052"/>
    <s v="10.9713673"/>
    <n v="254664"/>
    <n v="0"/>
    <n v="254664"/>
    <s v="Cash"/>
    <s v="Công ty TNHH Thức Ăn Chăn Nuôi Thiên Bang Việt Nam, Cụm CN, Long Cang, Tây Ninh, Việt NamCông ty TNHH Thức Ăn Chăn Nuôi Thiên Bang Việt Nam"/>
    <s v="Thủ Dầu Một, Hồ Chí Minh, Việt NamThủ Dầu Một"/>
    <n v="1"/>
    <x v="0"/>
    <x v="2"/>
    <d v="1899-12-30T07:15:13"/>
    <x v="9"/>
  </r>
  <r>
    <s v="3536904641201787038"/>
    <s v="Mộng Trà"/>
    <x v="1"/>
    <n v="4724963"/>
    <s v=""/>
    <s v="Motorcycle"/>
    <x v="2"/>
    <s v="2026-07-11 07:14:15"/>
    <s v="2026-07-11 07:24:14"/>
    <s v="2026-07-11 10:55:30"/>
    <s v="2026-07-11 11:11:50"/>
    <s v=""/>
    <s v=""/>
    <s v="106.5037027"/>
    <s v="10.5794517"/>
    <s v="106.7567051"/>
    <s v="10.9105455"/>
    <n v="222912"/>
    <n v="172808"/>
    <n v="50104"/>
    <s v="Cash"/>
    <s v="Công ty TNHH Thức Ăn Chăn Nuôi Thiên Bang Việt Nam, Cụm CN, Long Cang, Tây Ninh, Việt NamCông ty TNHH Thức Ăn Chăn Nuôi Thiên Bang Việt Nam"/>
    <s v="813 ĐT743B, Dĩ An, Hồ Chí Minh, Việt Nam813 ĐT743B, Dĩ An, Hồ Chí Minh, Việt Nam"/>
    <n v="1"/>
    <x v="0"/>
    <x v="2"/>
    <d v="1899-12-30T07:14:15"/>
    <x v="14"/>
  </r>
  <r>
    <s v="3536908458765013069"/>
    <s v="Mộng Trà"/>
    <x v="1"/>
    <n v="0"/>
    <s v=""/>
    <s v="NULL"/>
    <x v="0"/>
    <s v="2026-07-11 07:19:22"/>
    <s v="2026-07-11 07:29:22"/>
    <s v="NULL"/>
    <s v="NULL"/>
    <s v="2026-07-11 11:52:34"/>
    <s v=""/>
    <s v="106.5099096"/>
    <s v="10.5732368"/>
    <s v="106.7559004"/>
    <s v="10.8378053"/>
    <n v="208008"/>
    <n v="0"/>
    <n v="208008"/>
    <s v="Cash"/>
    <s v="Cty Highland Dragon Long An, Long Cang, Tây Ninh, Việt NamCty Highland Dragon Long An"/>
    <s v="Thủ Đức, Hồ Chí Minh, Việt NamThủ Đức"/>
    <n v="1"/>
    <x v="0"/>
    <x v="2"/>
    <d v="1899-12-30T07:19:22"/>
    <x v="278"/>
  </r>
  <r>
    <s v="3536908458790187231"/>
    <s v="Mộng Trà"/>
    <x v="1"/>
    <n v="2852976"/>
    <s v=""/>
    <s v="Motorcycle"/>
    <x v="1"/>
    <s v="2026-07-11 07:27:56"/>
    <s v="2026-07-11 10:00:00"/>
    <s v="2026-07-11 07:28:34"/>
    <s v="NULL"/>
    <s v="2026-07-11 07:31:50"/>
    <s v=""/>
    <s v="106.5067945"/>
    <s v="10.5783866"/>
    <s v="106.6216471"/>
    <s v="10.8750776"/>
    <n v="182412"/>
    <n v="149730"/>
    <n v="32682"/>
    <s v="Cash"/>
    <s v="CÔNG TY SINO PACIFIC, Unnamed, Road, Long Cang, Tây Ninh, Việt NamCÔNG TY SINO PACIFIC"/>
    <s v="Hoc mon, Thới Tam Thôn 17, Đông Thạnh, Hồ Chí Minh, Việt NamHoc mon"/>
    <n v="1"/>
    <x v="0"/>
    <x v="2"/>
    <d v="1899-12-30T07:27:56"/>
    <x v="279"/>
  </r>
  <r>
    <s v="3536910680043246558"/>
    <s v="Mộng Trà"/>
    <x v="1"/>
    <n v="4411069"/>
    <s v=""/>
    <s v="Motorcycle"/>
    <x v="1"/>
    <s v="2026-07-11 07:29:11"/>
    <s v="2026-07-11 10:00:00"/>
    <s v="2026-07-11 10:49:47"/>
    <s v="NULL"/>
    <s v="2026-07-11 10:57:51"/>
    <s v=""/>
    <s v="106.5067945"/>
    <s v="10.5783866"/>
    <s v="106.6263666"/>
    <s v="11.0899974"/>
    <n v="302292"/>
    <n v="234346"/>
    <n v="67946"/>
    <s v="Cash"/>
    <s v="CÔNG TY SINO PACIFIC, Unnamed, Road, Long Cang, Tây Ninh, Việt NamCÔNG TY SINO PACIFIC"/>
    <s v="Bến cát Bình Dương, Quốc lộ 13, Thới Hòa, Hồ Chí Minh, Việt NamBến cát Bình Dương"/>
    <n v="1"/>
    <x v="0"/>
    <x v="2"/>
    <d v="1899-12-30T07:29:11"/>
    <x v="280"/>
  </r>
  <r>
    <s v="3536910680068419880"/>
    <s v="Mộng Trà"/>
    <x v="1"/>
    <n v="3746341"/>
    <s v=""/>
    <s v="Motorcycle"/>
    <x v="1"/>
    <s v="2026-07-11 07:32:40"/>
    <s v="2026-07-11 10:03:00"/>
    <s v="2026-07-11 07:37:50"/>
    <s v="NULL"/>
    <s v="2026-07-11 07:40:37"/>
    <s v=""/>
    <s v="106.5067945"/>
    <s v="10.5783866"/>
    <s v="106.935861"/>
    <s v="10.8312488"/>
    <n v="288900"/>
    <n v="237139"/>
    <n v="51761"/>
    <s v="Cash"/>
    <s v="CÔNG TY SINO PACIFIC, Unnamed, Road, Long Cang, Tây Ninh, Việt NamCÔNG TY SINO PACIFIC"/>
    <s v="KCN Long Thành, Đường số 9, An Phước, Đồng Nai, Việt NamKCN Long Thành"/>
    <n v="1"/>
    <x v="0"/>
    <x v="2"/>
    <d v="1899-12-30T07:32:40"/>
    <x v="281"/>
  </r>
  <r>
    <s v="3536910680085192922"/>
    <s v="Mộng Trà"/>
    <x v="1"/>
    <n v="0"/>
    <s v=""/>
    <s v="NULL"/>
    <x v="0"/>
    <s v="2026-07-11 07:38:13"/>
    <s v="2026-07-11 07:48:12"/>
    <s v="NULL"/>
    <s v="NULL"/>
    <s v="2026-07-11 09:48:12"/>
    <s v=""/>
    <s v="106.4934381"/>
    <s v="10.6118595"/>
    <s v="106.6586052"/>
    <s v="10.9713673"/>
    <n v="248292"/>
    <n v="0"/>
    <n v="248292"/>
    <s v="Cash"/>
    <s v="Cong ty Nutreco, Long Cang, Tây Ninh, Việt NamCong ty Nutreco"/>
    <s v="Thủ Dầu Một, Hồ Chí Minh, Việt NamThủ Dầu Một"/>
    <n v="1"/>
    <x v="0"/>
    <x v="2"/>
    <d v="1899-12-30T07:38:13"/>
    <x v="9"/>
  </r>
  <r>
    <s v="3536911608066569047"/>
    <s v="Mộng Trà"/>
    <x v="1"/>
    <n v="3716057"/>
    <s v=""/>
    <s v="Motorcycle"/>
    <x v="1"/>
    <s v="2026-07-11 07:29:31"/>
    <s v="2026-07-11 10:00:00"/>
    <s v="2026-07-11 15:08:00"/>
    <s v="NULL"/>
    <s v="2026-07-11 15:21:20"/>
    <s v=""/>
    <s v="106.5067945"/>
    <s v="10.5783866"/>
    <s v="106.6733441"/>
    <s v="10.8314858"/>
    <n v="177984"/>
    <n v="146095"/>
    <n v="31889"/>
    <s v="Cash"/>
    <s v="CÔNG TY SINO PACIFIC, Unnamed, Road, Long Cang, Tây Ninh, Việt NamCÔNG TY SINO PACIFIC"/>
    <s v="Gò Vấp, Hồ Chí Minh, Việt NamGò Vấp"/>
    <n v="1"/>
    <x v="0"/>
    <x v="2"/>
    <d v="1899-12-30T07:29:31"/>
    <x v="282"/>
  </r>
  <r>
    <s v="3536911608108503965"/>
    <s v="Mộng Trà"/>
    <x v="1"/>
    <n v="0"/>
    <s v=""/>
    <s v="NULL"/>
    <x v="0"/>
    <s v="2026-07-11 07:42:35"/>
    <s v="2026-07-11 07:52:34"/>
    <s v="NULL"/>
    <s v="NULL"/>
    <s v="2026-07-11 09:52:34"/>
    <s v=""/>
    <s v="106.4934381"/>
    <s v="10.6118595"/>
    <s v="106.7559004"/>
    <s v="10.8378053"/>
    <n v="336852"/>
    <n v="0"/>
    <n v="336852"/>
    <s v="Cash"/>
    <s v="Cong ty Nutreco, Long Cang, Tây Ninh, Việt NamCong ty Nutreco"/>
    <s v="Thủ Đức, Hồ Chí Minh, Việt NamThủ Đức"/>
    <n v="1"/>
    <x v="0"/>
    <x v="2"/>
    <d v="1899-12-30T07:42:35"/>
    <x v="9"/>
  </r>
  <r>
    <s v="3536912397006758944"/>
    <s v="Mộng Trà"/>
    <x v="1"/>
    <n v="0"/>
    <s v=""/>
    <s v="NULL"/>
    <x v="0"/>
    <s v="2026-07-11 07:38:24"/>
    <s v="2026-07-11 07:48:24"/>
    <s v="NULL"/>
    <s v="NULL"/>
    <s v="2026-07-11 09:48:24"/>
    <s v=""/>
    <s v="106.4934381"/>
    <s v="10.6118595"/>
    <s v="106.6586052"/>
    <s v="10.9713673"/>
    <n v="232092"/>
    <n v="0"/>
    <n v="232092"/>
    <s v="Cash"/>
    <s v="Cong ty Nutreco, Long Cang, Tây Ninh, Việt NamCong ty Nutreco"/>
    <s v="Thủ Dầu Một, Hồ Chí Minh, Việt NamThủ Dầu Một"/>
    <n v="1"/>
    <x v="0"/>
    <x v="2"/>
    <d v="1899-12-30T07:38:24"/>
    <x v="4"/>
  </r>
  <r>
    <s v="3536912397023531212"/>
    <s v="Mộng Trà"/>
    <x v="1"/>
    <n v="0"/>
    <s v=""/>
    <s v="NULL"/>
    <x v="0"/>
    <s v="2026-07-11 07:39:31"/>
    <s v="2026-07-11 07:49:30"/>
    <s v="NULL"/>
    <s v="NULL"/>
    <s v="2026-07-11 09:49:30"/>
    <s v=""/>
    <s v="106.4934381"/>
    <s v="10.6118595"/>
    <s v="106.62164709999999"/>
    <s v="10.875077599999996"/>
    <n v="215460"/>
    <n v="0"/>
    <n v="215460"/>
    <s v="Cash"/>
    <s v="Cong ty Nutreco, Long Cang, Tây Ninh, Việt NamCong ty Nutreco"/>
    <s v="178 Thới Tam Thôn 17, Đông Thạnh, Hồ Chí Minh, Việt Nam178 Thới Tam Thôn 17, Đông Thạnh, Hồ Chí Minh, Việt Nam"/>
    <n v="1"/>
    <x v="0"/>
    <x v="2"/>
    <d v="1899-12-30T07:39:31"/>
    <x v="9"/>
  </r>
  <r>
    <s v="3536912397023531267"/>
    <s v="Mộng Trà"/>
    <x v="1"/>
    <n v="0"/>
    <s v=""/>
    <s v="NULL"/>
    <x v="0"/>
    <s v="2026-07-11 07:39:46"/>
    <s v="2026-07-11 07:49:46"/>
    <s v="NULL"/>
    <s v="NULL"/>
    <s v="2026-07-11 09:49:46"/>
    <s v=""/>
    <s v="106.4934381"/>
    <s v="10.6118595"/>
    <s v="106.6216471"/>
    <s v="10.8750776"/>
    <n v="199260"/>
    <n v="0"/>
    <n v="199260"/>
    <s v="Cash"/>
    <s v="Cong ty Nutreco, Long Cang, Tây Ninh, Việt NamCong ty Nutreco"/>
    <s v="178 Thới Tam Thôn 17, Đông Thạnh, Hồ Chí Minh, Việt Nam178 Thới Tam Thôn 17, Đông Thạnh, Hồ Chí Minh, Việt Nam"/>
    <n v="1"/>
    <x v="0"/>
    <x v="2"/>
    <d v="1899-12-30T07:39:46"/>
    <x v="4"/>
  </r>
  <r>
    <s v="3536912397023531455"/>
    <s v="Mộng Trà"/>
    <x v="1"/>
    <n v="0"/>
    <s v=""/>
    <s v="NULL"/>
    <x v="0"/>
    <s v="2026-07-11 07:40:54"/>
    <s v="2026-07-11 07:50:53"/>
    <s v="NULL"/>
    <s v="NULL"/>
    <s v="2026-07-11 09:50:53"/>
    <s v=""/>
    <s v="106.4934381"/>
    <s v="10.6118595"/>
    <s v="106.8041452"/>
    <s v="10.9378372"/>
    <n v="392364"/>
    <n v="0"/>
    <n v="392364"/>
    <s v="Cash"/>
    <s v="Cong ty Nutreco, Long Cang, Tây Ninh, Việt NamCong ty Nutreco"/>
    <s v="WRQ3+4MM, 20 Nguyễn Ái Quốc, phường, Biên Hòa, Đồng Nai, Việt NamWRQ3+4MM, 20 Nguyễn Ái Quốc, phường, Biên Hòa, Đồng Nai, Việt Nam"/>
    <n v="1"/>
    <x v="0"/>
    <x v="2"/>
    <d v="1899-12-30T07:40:54"/>
    <x v="9"/>
  </r>
  <r>
    <s v="3536912397023531501"/>
    <s v="Mộng Trà"/>
    <x v="1"/>
    <n v="0"/>
    <s v=""/>
    <s v="NULL"/>
    <x v="0"/>
    <s v="2026-07-11 07:41:11"/>
    <s v="2026-07-11 07:51:11"/>
    <s v="NULL"/>
    <s v="NULL"/>
    <s v="2026-07-11 09:51:11"/>
    <s v=""/>
    <s v="106.4934381"/>
    <s v="10.6118595"/>
    <s v="106.8041452"/>
    <s v="10.9378372"/>
    <n v="285012"/>
    <n v="0"/>
    <n v="285012"/>
    <s v="Cash"/>
    <s v="Cong ty Nutreco, Long Cang, Tây Ninh, Việt NamCong ty Nutreco"/>
    <s v="WRQ3+4MM, 20 Nguyễn Ái Quốc, phường, Biên Hòa, Đồng Nai, Việt NamWRQ3+4MM, 20 Nguyễn Ái Quốc, phường, Biên Hòa, Đồng Nai, Việt Nam"/>
    <n v="1"/>
    <x v="0"/>
    <x v="2"/>
    <d v="1899-12-30T07:41:11"/>
    <x v="4"/>
  </r>
  <r>
    <s v="3536912774259233119"/>
    <s v="Mộng Trà"/>
    <x v="1"/>
    <n v="4411069"/>
    <s v=""/>
    <s v="Motorcycle"/>
    <x v="1"/>
    <s v="2026-07-11 07:28:24"/>
    <s v="2026-07-11 10:01:00"/>
    <s v="2026-07-11 11:46:20"/>
    <s v="NULL"/>
    <s v="2026-07-11 11:53:46"/>
    <s v=""/>
    <s v="106.5067945"/>
    <s v="10.5783866"/>
    <s v="106.7528749"/>
    <s v="10.8963726"/>
    <n v="231552"/>
    <n v="179506"/>
    <n v="52046"/>
    <s v="Cash"/>
    <s v="CÔNG TY SINO PACIFIC, Unnamed, Road, Long Cang, Tây Ninh, Việt NamCÔNG TY SINO PACIFIC"/>
    <s v="Dĩ An, Bình Dương, Việt NamDĩ An"/>
    <n v="1"/>
    <x v="0"/>
    <x v="2"/>
    <d v="1899-12-30T07:28:24"/>
    <x v="283"/>
  </r>
  <r>
    <s v="3536912774276019196"/>
    <s v="Mộng Trà"/>
    <x v="1"/>
    <n v="0"/>
    <s v=""/>
    <s v="NULL"/>
    <x v="0"/>
    <s v="2026-07-11 07:38:41"/>
    <s v="2026-07-11 07:48:41"/>
    <s v="NULL"/>
    <s v="NULL"/>
    <s v="2026-07-11 09:48:41"/>
    <s v=""/>
    <s v="106.4934381"/>
    <s v="10.6118595"/>
    <s v="106.8023397"/>
    <s v="11.0762325"/>
    <n v="327888"/>
    <n v="0"/>
    <n v="327888"/>
    <s v="Cash"/>
    <s v="Cong ty Nutreco, Long Cang, Tây Ninh, Việt NamCong ty Nutreco"/>
    <s v="Tân Uyen bình dương, Tân Uyên, Hồ Chí Minh, Việt NamTân Uyen bình dương"/>
    <n v="1"/>
    <x v="0"/>
    <x v="2"/>
    <d v="1899-12-30T07:38:41"/>
    <x v="4"/>
  </r>
  <r>
    <s v="3536912774301180779"/>
    <s v="Mộng Trà"/>
    <x v="1"/>
    <n v="0"/>
    <s v=""/>
    <s v="NULL"/>
    <x v="0"/>
    <s v="2026-07-11 07:43:55"/>
    <s v="2026-07-11 07:53:55"/>
    <s v="NULL"/>
    <s v="NULL"/>
    <s v="2026-07-11 09:53:55"/>
    <s v=""/>
    <s v="106.4934381"/>
    <s v="10.6118595"/>
    <s v="106.5230542"/>
    <s v="10.962533"/>
    <n v="270540"/>
    <n v="0"/>
    <n v="270540"/>
    <s v="Cash"/>
    <s v="Cong ty Nutreco, Long Cang, Tây Ninh, Việt NamCong ty Nutreco"/>
    <s v="Củ Chi, Hồ Chí Minh, Việt NamCủ Chi"/>
    <n v="1"/>
    <x v="0"/>
    <x v="2"/>
    <d v="1899-12-30T07:43:55"/>
    <x v="4"/>
  </r>
  <r>
    <s v="3536914235596689699"/>
    <s v="Mộng Trà"/>
    <x v="1"/>
    <n v="0"/>
    <s v=""/>
    <s v="NULL"/>
    <x v="0"/>
    <s v="2026-07-11 07:30:08"/>
    <s v="2026-07-11 10:01:00"/>
    <s v="NULL"/>
    <s v="NULL"/>
    <s v="2026-07-11 12:01:01"/>
    <s v=""/>
    <s v="106.5067945"/>
    <s v="10.5783866"/>
    <s v="106.590819"/>
    <s v="10.7924374"/>
    <n v="132516"/>
    <n v="0"/>
    <n v="132516"/>
    <s v="Cash"/>
    <s v="CÔNG TY SINO PACIFIC, Unnamed, Road, Long Cang, Tây Ninh, Việt NamCÔNG TY SINO PACIFIC"/>
    <s v="Bình Tân, Hồ Chí Minh, Việt NamBình Tân"/>
    <n v="1"/>
    <x v="0"/>
    <x v="2"/>
    <d v="1899-12-30T07:30:08"/>
    <x v="284"/>
  </r>
  <r>
    <s v="3536914235638636972"/>
    <s v="Mộng Trà"/>
    <x v="1"/>
    <n v="0"/>
    <s v=""/>
    <s v="NULL"/>
    <x v="0"/>
    <s v="2026-07-11 07:43:21"/>
    <s v="2026-07-11 07:53:21"/>
    <s v="NULL"/>
    <s v="NULL"/>
    <s v="2026-07-11 09:53:21"/>
    <s v=""/>
    <s v="106.4934381"/>
    <s v="10.6118595"/>
    <s v="106.702825"/>
    <s v="10.8135113"/>
    <n v="201744"/>
    <n v="0"/>
    <n v="201744"/>
    <s v="Cash"/>
    <s v="Cong ty Nutreco, Long Cang, Tây Ninh, Việt NamCong ty Nutreco"/>
    <s v="Bình Thạnh, Hồ Chí Minh, Việt NamBình Thạnh"/>
    <n v="1"/>
    <x v="0"/>
    <x v="2"/>
    <d v="1899-12-30T07:43:21"/>
    <x v="4"/>
  </r>
  <r>
    <s v="3536915386337546505"/>
    <s v="Mộng Trà"/>
    <x v="1"/>
    <n v="3414993"/>
    <s v=""/>
    <s v="Motorcycle"/>
    <x v="2"/>
    <s v="2026-07-11 07:31:52"/>
    <s v="2026-07-11 10:02:00"/>
    <s v="2026-07-11 11:48:16"/>
    <s v="NULL"/>
    <s v=""/>
    <s v=""/>
    <s v="106.5067945"/>
    <s v="10.5783866"/>
    <s v="106.7559004"/>
    <s v="10.8378053"/>
    <n v="209196"/>
    <n v="162175"/>
    <n v="47021"/>
    <s v="Cash"/>
    <s v="CÔNG TY SINO PACIFIC, Unnamed, Road, Long Cang, Tây Ninh, Việt NamCÔNG TY SINO PACIFIC"/>
    <s v="Thủ Đức, Hồ Chí Minh, Việt NamThủ Đức"/>
    <n v="1"/>
    <x v="0"/>
    <x v="2"/>
    <d v="1899-12-30T07:31:52"/>
    <x v="14"/>
  </r>
  <r>
    <s v="3536915386337546566"/>
    <s v="Mộng Trà"/>
    <x v="1"/>
    <n v="4687153"/>
    <s v=""/>
    <s v="Motorcycle"/>
    <x v="2"/>
    <s v="2026-07-11 07:32:13"/>
    <s v="2026-07-11 10:03:00"/>
    <s v="2026-07-11 11:48:14"/>
    <s v="2026-07-11 12:07:47"/>
    <s v=""/>
    <s v=""/>
    <s v="106.5067945"/>
    <s v="10.5783866"/>
    <s v="106.8045949"/>
    <s v="10.9364413"/>
    <n v="257472"/>
    <n v="199600"/>
    <n v="57872"/>
    <s v="Cash"/>
    <s v="CÔNG TY SINO PACIFIC, Unnamed, Road, Long Cang, Tây Ninh, Việt NamCÔNG TY SINO PACIFIC"/>
    <s v="Biên Hòa, Đồng Nai, Việt NamBiên Hòa"/>
    <n v="1"/>
    <x v="0"/>
    <x v="2"/>
    <d v="1899-12-30T07:32:13"/>
    <x v="14"/>
  </r>
  <r>
    <s v="3536915386337547003"/>
    <s v="Mộng Trà"/>
    <x v="1"/>
    <n v="2852976"/>
    <s v=""/>
    <s v="Motorcycle"/>
    <x v="1"/>
    <s v="2026-07-11 07:35:11"/>
    <s v="2026-07-11 07:45:10"/>
    <s v="2026-07-11 07:37:31"/>
    <s v="NULL"/>
    <s v="2026-07-11 07:39:16"/>
    <s v=""/>
    <s v="106.4934381"/>
    <s v="10.6118595"/>
    <s v="106.6263666"/>
    <s v="11.0899974"/>
    <n v="297432"/>
    <n v="244142"/>
    <n v="53290"/>
    <s v="Cash"/>
    <s v="Cong ty Nutreco, Long Cang, Tây Ninh, Việt NamCong ty Nutreco"/>
    <s v="Bến cát Bình Dương, Quốc lộ 13, Thới Hòa, Hồ Chí Minh, Việt NamBến cát Bình Dương"/>
    <n v="1"/>
    <x v="0"/>
    <x v="2"/>
    <d v="1899-12-30T07:35:11"/>
    <x v="285"/>
  </r>
  <r>
    <s v="3536915386354331661"/>
    <s v="Mộng Trà"/>
    <x v="1"/>
    <n v="0"/>
    <s v=""/>
    <s v="NULL"/>
    <x v="0"/>
    <s v="2026-07-11 07:36:58"/>
    <s v="2026-07-11 07:46:57"/>
    <s v="NULL"/>
    <s v="NULL"/>
    <s v="2026-07-11 09:46:57"/>
    <s v=""/>
    <s v="106.4934381"/>
    <s v="10.6118595"/>
    <s v="106.7535289"/>
    <s v="10.9088973"/>
    <n v="231984"/>
    <n v="0"/>
    <n v="231984"/>
    <s v="Cash"/>
    <s v="Cong ty Nutreco, Long Cang, Tây Ninh, Việt NamCong ty Nutreco"/>
    <s v="Thuận An Bình Dương, Đường N2, Dĩ An, Hồ Chí Minh, Việt NamThuận An Bình Dương"/>
    <n v="1"/>
    <x v="0"/>
    <x v="2"/>
    <d v="1899-12-30T07:36:58"/>
    <x v="9"/>
  </r>
  <r>
    <s v="3536916284623249633"/>
    <s v="Mộng Trà"/>
    <x v="1"/>
    <n v="0"/>
    <s v=""/>
    <s v="NULL"/>
    <x v="0"/>
    <s v="2026-07-11 07:39:13"/>
    <s v="2026-07-11 07:49:13"/>
    <s v="NULL"/>
    <s v="NULL"/>
    <s v="2026-07-11 09:49:13"/>
    <s v=""/>
    <s v="106.4934381"/>
    <s v="10.6118595"/>
    <s v="106.6216471"/>
    <s v="10.8750776"/>
    <n v="158544"/>
    <n v="0"/>
    <n v="158544"/>
    <s v="Cash"/>
    <s v="Cong ty Nutreco, Long Cang, Tây Ninh, Việt NamCong ty Nutreco"/>
    <s v="Hoc mon, Thới Tam Thôn 17, Đông Thạnh, Hồ Chí Minh, Việt NamHoc mon"/>
    <n v="1"/>
    <x v="0"/>
    <x v="2"/>
    <d v="1899-12-30T07:39:13"/>
    <x v="4"/>
  </r>
  <r>
    <s v="3536916284623250047"/>
    <s v="Mộng Trà"/>
    <x v="1"/>
    <n v="0"/>
    <s v=""/>
    <s v="NULL"/>
    <x v="0"/>
    <s v="2026-07-11 07:41:27"/>
    <s v="2026-07-11 07:51:26"/>
    <s v="NULL"/>
    <s v="NULL"/>
    <s v="2026-07-11 09:51:26"/>
    <s v=""/>
    <s v="106.4934381"/>
    <s v="10.6118595"/>
    <s v="107.0303221"/>
    <s v="10.7925089"/>
    <n v="371520"/>
    <n v="0"/>
    <n v="371520"/>
    <s v="Cash"/>
    <s v="Cong ty Nutreco, Long Cang, Tây Ninh, Việt NamCong ty Nutreco"/>
    <s v="Long Thành, Đồng Nai, Việt NamLong Thành"/>
    <n v="1"/>
    <x v="0"/>
    <x v="2"/>
    <d v="1899-12-30T07:41:27"/>
    <x v="9"/>
  </r>
  <r>
    <s v="3536920659970184122"/>
    <s v="Mộng Trà"/>
    <x v="1"/>
    <n v="3447451"/>
    <s v=""/>
    <s v="Motorcycle"/>
    <x v="2"/>
    <s v="2026-07-11 07:45:00"/>
    <s v="2026-07-11 07:54:59"/>
    <s v="2026-07-11 09:58:47"/>
    <s v="NULL"/>
    <s v=""/>
    <s v=""/>
    <s v="106.4883674"/>
    <s v="10.6224901"/>
    <s v="106.8023397"/>
    <s v="11.0762325"/>
    <n v="376704"/>
    <n v="292033"/>
    <n v="84671"/>
    <s v="Cash"/>
    <s v="Công ty TNHH Koda Sài Gòn, Đường Số 1, Bến Lức, Tây Ninh, Việt NamCông ty TNHH Koda Sài Gòn"/>
    <s v="Tân Uyen bình dương, Tân Uyên, Hồ Chí Minh, Việt NamTân Uyen bình dương"/>
    <n v="1"/>
    <x v="0"/>
    <x v="2"/>
    <d v="1899-12-30T07:45:00"/>
    <x v="14"/>
  </r>
  <r>
    <s v="3536920660003742020"/>
    <s v="Mộng Trà"/>
    <x v="1"/>
    <n v="3083097"/>
    <s v=""/>
    <s v="Motorcycle"/>
    <x v="2"/>
    <s v="2026-07-11 07:52:33"/>
    <s v="2026-07-11 08:02:32"/>
    <s v="2026-07-11 10:46:15"/>
    <s v="2026-07-11 10:55:40"/>
    <s v=""/>
    <s v=""/>
    <s v="106.548153"/>
    <s v="10.6243872"/>
    <s v="106.7535289"/>
    <s v="10.9088973"/>
    <n v="267624"/>
    <n v="207471"/>
    <n v="60153"/>
    <s v="Cash"/>
    <s v="Công Ty Tnhh Crecimiento Industrial Việt Nam Chi Nhánh Long An, ẤP 3B, Mỹ Yên, Tây Ninh, Việt NamCông Ty Tnhh Crecimiento Industrial Việt Nam Chi Nhánh Long An"/>
    <s v="Thuận An Bình Dương, Đường N2, Dĩ An, Hồ Chí Minh, Việt NamThuận An Bình Dương"/>
    <n v="1"/>
    <x v="0"/>
    <x v="2"/>
    <d v="1899-12-30T07:52:33"/>
    <x v="14"/>
  </r>
  <r>
    <s v="3536922118665228481"/>
    <s v="Mộng Trà"/>
    <x v="1"/>
    <n v="0"/>
    <s v=""/>
    <s v="NULL"/>
    <x v="0"/>
    <s v="2026-07-11 07:43:07"/>
    <s v="2026-07-11 07:53:06"/>
    <s v="NULL"/>
    <s v="NULL"/>
    <s v="2026-07-11 09:53:06"/>
    <s v=""/>
    <s v="106.4934381"/>
    <s v="10.6118595"/>
    <s v="106.702825"/>
    <s v="10.8135113"/>
    <n v="217944"/>
    <n v="0"/>
    <n v="217944"/>
    <s v="Cash"/>
    <s v="Cong ty Nutreco, Long Cang, Tây Ninh, Việt NamCong ty Nutreco"/>
    <s v="Bình Thạnh, Hồ Chí Minh, Việt NamBình Thạnh"/>
    <n v="1"/>
    <x v="0"/>
    <x v="2"/>
    <d v="1899-12-30T07:43:07"/>
    <x v="9"/>
  </r>
  <r>
    <s v="3536922118665228766"/>
    <s v="Mộng Trà"/>
    <x v="1"/>
    <n v="3746341"/>
    <s v=""/>
    <s v="Motorcycle"/>
    <x v="1"/>
    <s v="2026-07-11 07:44:44"/>
    <s v="2026-07-11 07:54:44"/>
    <s v="2026-07-11 07:49:51"/>
    <s v="NULL"/>
    <s v="2026-07-11 07:52:46"/>
    <s v=""/>
    <s v="106.4883674"/>
    <s v="10.6224901"/>
    <s v="106.6263666"/>
    <s v="11.0899974"/>
    <n v="346356"/>
    <n v="284301"/>
    <n v="62055"/>
    <s v="Cash"/>
    <s v="Công ty TNHH Koda Sài Gòn, Đường Số 1, Bến Lức, Tây Ninh, Việt NamCông ty TNHH Koda Sài Gòn"/>
    <s v="Bến cát Bình Dương, Quốc lộ 13, Thới Hòa, Hồ Chí Minh, Việt NamBến cát Bình Dương"/>
    <n v="1"/>
    <x v="0"/>
    <x v="2"/>
    <d v="1899-12-30T07:44:44"/>
    <x v="286"/>
  </r>
  <r>
    <s v="3536922118665229092"/>
    <s v="Mộng Trà"/>
    <x v="1"/>
    <n v="0"/>
    <s v=""/>
    <s v="NULL"/>
    <x v="0"/>
    <s v="2026-07-11 07:46:42"/>
    <s v="2026-07-11 07:56:42"/>
    <s v="NULL"/>
    <s v="NULL"/>
    <s v="2026-07-11 09:56:42"/>
    <s v=""/>
    <s v="106.4883674"/>
    <s v="10.6224901"/>
    <s v="106.702825"/>
    <s v="10.8135113"/>
    <n v="265032"/>
    <n v="0"/>
    <n v="265032"/>
    <s v="Cash"/>
    <s v="Công ty TNHH Koda Sài Gòn, Đường Số 1, Bến Lức, Tây Ninh, Việt NamCông ty TNHH Koda Sài Gòn"/>
    <s v="Bình Thạnh, Hồ Chí Minh, Việt NamBình Thạnh"/>
    <n v="1"/>
    <x v="0"/>
    <x v="2"/>
    <d v="1899-12-30T07:46:42"/>
    <x v="4"/>
  </r>
  <r>
    <s v="3536922118690402438"/>
    <s v="Mộng Trà"/>
    <x v="1"/>
    <n v="0"/>
    <s v=""/>
    <s v="NULL"/>
    <x v="0"/>
    <s v="2026-07-11 07:48:03"/>
    <s v="2026-07-11 07:58:03"/>
    <s v="NULL"/>
    <s v="NULL"/>
    <s v="2026-07-11 09:58:03"/>
    <s v=""/>
    <s v="106.4883674"/>
    <s v="10.6224901"/>
    <s v="106.4615963"/>
    <s v="11.141591"/>
    <n v="300672"/>
    <n v="0"/>
    <n v="300672"/>
    <s v="Cash"/>
    <s v="Công ty TNHH Koda Sài Gòn, Đường Số 1, Bến Lức, Tây Ninh, Việt NamCông ty TNHH Koda Sài Gòn"/>
    <s v="Cu Chi Tunnel, Phú Hiệp, An Nhơn Tây, Củ Chi, Hồ Chí Minh, Việt NamCu Chi Tunnel"/>
    <n v="1"/>
    <x v="0"/>
    <x v="2"/>
    <d v="1899-12-30T07:48:03"/>
    <x v="4"/>
  </r>
  <r>
    <s v="3536922118690403192"/>
    <s v="Mộng Trà"/>
    <x v="1"/>
    <n v="2361946"/>
    <s v=""/>
    <s v="Motorcycle"/>
    <x v="2"/>
    <s v="2026-07-11 07:52:17"/>
    <s v="2026-07-11 08:02:17"/>
    <s v="2026-07-11 10:06:04"/>
    <s v="NULL"/>
    <s v=""/>
    <s v=""/>
    <s v="106.548153"/>
    <s v="10.6243872"/>
    <s v="106.6798923"/>
    <s v="11.0139846"/>
    <n v="280584"/>
    <n v="217518"/>
    <n v="63066"/>
    <s v="Cash"/>
    <s v="Công Ty Tnhh Crecimiento Industrial Việt Nam Chi Nhánh Long An, ẤP 3B, Mỹ Yên, Tây Ninh, Việt NamCông Ty Tnhh Crecimiento Industrial Việt Nam Chi Nhánh Long An"/>
    <s v="Thủ dầu một, Đường ĐX-025, Bình Dương, Hồ Chí Minh, Việt NamThủ dầu một"/>
    <n v="1"/>
    <x v="0"/>
    <x v="2"/>
    <d v="1899-12-30T07:52:17"/>
    <x v="14"/>
  </r>
  <r>
    <s v="3536922842828599846"/>
    <s v="Mộng Trà"/>
    <x v="1"/>
    <n v="0"/>
    <s v=""/>
    <s v="NULL"/>
    <x v="0"/>
    <s v="2026-07-11 07:46:23"/>
    <s v="2026-07-11 07:56:23"/>
    <s v="NULL"/>
    <s v="NULL"/>
    <s v="2026-07-11 09:56:23"/>
    <s v=""/>
    <s v="106.4883674"/>
    <s v="10.6224901"/>
    <s v="106.6733441"/>
    <s v="10.8314858"/>
    <n v="166752"/>
    <n v="0"/>
    <n v="166752"/>
    <s v="Cash"/>
    <s v="Công ty TNHH Koda Sài Gòn, Đường Số 1, Bến Lức, Tây Ninh, Việt NamCông ty TNHH Koda Sài Gòn"/>
    <s v="Gò Vấp, Hồ Chí Minh, Việt NamGò Vấp"/>
    <n v="1"/>
    <x v="0"/>
    <x v="2"/>
    <d v="1899-12-30T07:46:23"/>
    <x v="4"/>
  </r>
  <r>
    <s v="3536922842845372723"/>
    <s v="Mộng Trà"/>
    <x v="1"/>
    <n v="4723230"/>
    <s v=""/>
    <s v="Motorcycle"/>
    <x v="2"/>
    <s v="2026-07-11 07:50:37"/>
    <s v="2026-07-11 08:00:36"/>
    <s v="2026-07-11 09:10:30"/>
    <s v="NULL"/>
    <s v=""/>
    <s v=""/>
    <s v="106.548153"/>
    <s v="10.6243872"/>
    <s v="106.62632368465576"/>
    <s v="11.08900772040042"/>
    <n v="317304"/>
    <n v="245984"/>
    <n v="71320"/>
    <s v="Cash"/>
    <s v="Công Ty Tnhh Crecimiento Industrial Việt Nam Chi Nhánh Long An, ẤP 3B, Mỹ Yên, Tây Ninh, Việt NamCông Ty Tnhh Crecimiento Industrial Việt Nam Chi Nhánh Long An"/>
    <s v="45 QL13, Thới Hòa, Hồ Chí Minh, Việt Nam45 QL13, Thới Hòa, Hồ Chí Minh, Việt Nam"/>
    <n v="1"/>
    <x v="0"/>
    <x v="2"/>
    <d v="1899-12-30T07:50:37"/>
    <x v="14"/>
  </r>
  <r>
    <s v="3536922842845372914"/>
    <s v="Mộng Trà"/>
    <x v="1"/>
    <n v="3746341"/>
    <s v=""/>
    <s v="Motorcycle"/>
    <x v="1"/>
    <s v="2026-07-11 07:51:31"/>
    <s v="2026-07-11 08:01:31"/>
    <s v="2026-07-11 07:54:07"/>
    <s v="NULL"/>
    <s v="2026-07-11 07:56:53"/>
    <s v=""/>
    <s v="106.548153"/>
    <s v="10.6243872"/>
    <s v="106.8059236"/>
    <s v="11.0772496"/>
    <n v="279072"/>
    <n v="229072"/>
    <n v="50000"/>
    <s v="Cash"/>
    <s v="Công Ty Tnhh Crecimiento Industrial Việt Nam Chi Nhánh Long An, ẤP 3B, Mỹ Yên, Tây Ninh, Việt NamCông Ty Tnhh Crecimiento Industrial Việt Nam Chi Nhánh Long An"/>
    <s v="3RG4+V8G, Tân Uyên, Hồ Chí Minh, Việt Nam3RG4+V8G, Tân Uyên, Hồ Chí Minh, Việt Nam"/>
    <n v="1"/>
    <x v="0"/>
    <x v="2"/>
    <d v="1899-12-30T07:51:31"/>
    <x v="287"/>
  </r>
  <r>
    <s v="3536922842862146288"/>
    <s v="Mộng Trà"/>
    <x v="1"/>
    <n v="3821136"/>
    <s v=""/>
    <s v="Motorcycle"/>
    <x v="2"/>
    <s v="2026-07-11 07:57:50"/>
    <s v="2026-07-11 08:07:49"/>
    <s v="2026-07-11 11:11:30"/>
    <s v="NULL"/>
    <s v=""/>
    <s v=""/>
    <s v="106.5460635"/>
    <s v="10.6373043"/>
    <s v="106.6263666"/>
    <s v="11.0899974"/>
    <n v="309312"/>
    <n v="239788"/>
    <n v="69524"/>
    <s v="Cash"/>
    <s v="CTY TNHH Thương mại Kỹ Thuật Xuất Nhập Khẩu NAM HẢI, Lộ Đình, Phước Lý, Tây Ninh, Việt NamCTY TNHH Thương mại Kỹ Thuật Xuất Nhập Khẩu NAM HẢI"/>
    <s v="Bến cát Bình Dương, Quốc lộ 13, Thới Hòa, Hồ Chí Minh, Việt NamBến cát Bình Dương"/>
    <n v="1"/>
    <x v="0"/>
    <x v="2"/>
    <d v="1899-12-30T07:57:50"/>
    <x v="14"/>
  </r>
  <r>
    <s v="3536923446607049190"/>
    <s v="Mộng Trà"/>
    <x v="1"/>
    <n v="4062062"/>
    <s v=""/>
    <s v="Motorcycle"/>
    <x v="2"/>
    <s v="2026-07-11 07:47:01"/>
    <s v="2026-07-11 07:57:00"/>
    <s v="2026-07-11 09:56:52"/>
    <s v="NULL"/>
    <s v=""/>
    <s v=""/>
    <s v="106.4883674"/>
    <s v="10.6224901"/>
    <s v="106.8045949"/>
    <s v="10.9364413"/>
    <n v="239760"/>
    <n v="185869"/>
    <n v="53891"/>
    <s v="Cash"/>
    <s v="Công ty TNHH Koda Sài Gòn, Đường Số 1, Bến Lức, Tây Ninh, Việt NamCông ty TNHH Koda Sài Gòn"/>
    <s v="Biên Hòa, Đồng Nai, Việt NamBiên Hòa"/>
    <n v="1"/>
    <x v="0"/>
    <x v="2"/>
    <d v="1899-12-30T07:47:01"/>
    <x v="14"/>
  </r>
  <r>
    <s v="3536923446648984400"/>
    <s v="Mộng Trà"/>
    <x v="1"/>
    <n v="0"/>
    <s v=""/>
    <s v="NULL"/>
    <x v="0"/>
    <s v="2026-07-11 07:59:29"/>
    <s v="2026-07-11 08:09:28"/>
    <s v="NULL"/>
    <s v="NULL"/>
    <s v="2026-07-11 10:46:25"/>
    <s v=""/>
    <s v="106.5460635"/>
    <s v="10.6373043"/>
    <s v="106.702825"/>
    <s v="10.8135113"/>
    <n v="174960"/>
    <n v="0"/>
    <n v="174960"/>
    <s v="Cash"/>
    <s v="CTY TNHH Thương mại Kỹ Thuật Xuất Nhập Khẩu NAM HẢI, Lộ Đình, Phước Lý, Tây Ninh, Việt NamCTY TNHH Thương mại Kỹ Thuật Xuất Nhập Khẩu NAM HẢI"/>
    <s v="Bình Thạnh, Hồ Chí Minh, Việt NamBình Thạnh"/>
    <n v="1"/>
    <x v="0"/>
    <x v="2"/>
    <d v="1899-12-30T07:59:29"/>
    <x v="288"/>
  </r>
  <r>
    <s v="3536923602349937126"/>
    <s v="Mộng Trà"/>
    <x v="1"/>
    <n v="0"/>
    <s v=""/>
    <s v="NULL"/>
    <x v="0"/>
    <s v="2026-07-11 07:47:13"/>
    <s v="2026-07-11 07:57:13"/>
    <s v="NULL"/>
    <s v="NULL"/>
    <s v="2026-07-11 09:57:13"/>
    <s v=""/>
    <s v="106.4883674"/>
    <s v="10.6224901"/>
    <s v="106.8045949"/>
    <s v="10.9364413"/>
    <n v="301536"/>
    <n v="0"/>
    <n v="301536"/>
    <s v="Cash"/>
    <s v="Công ty TNHH Koda Sài Gòn, Đường Số 1, Bến Lức, Tây Ninh, Việt NamCông ty TNHH Koda Sài Gòn"/>
    <s v="Biên Hòa, Đồng Nai, Việt NamBiên Hòa"/>
    <n v="1"/>
    <x v="0"/>
    <x v="2"/>
    <d v="1899-12-30T07:47:13"/>
    <x v="4"/>
  </r>
  <r>
    <s v="3536923602391883940"/>
    <s v="Mộng Trà"/>
    <x v="1"/>
    <n v="0"/>
    <s v=""/>
    <s v="NULL"/>
    <x v="0"/>
    <s v="2026-07-11 07:56:04"/>
    <s v="2026-07-11 08:06:03"/>
    <s v="NULL"/>
    <s v="NULL"/>
    <s v="2026-07-11 10:06:03"/>
    <s v=""/>
    <s v="106.5089084"/>
    <s v="10.6378954"/>
    <s v="106.7559004"/>
    <s v="10.8378053"/>
    <n v="245268"/>
    <n v="0"/>
    <n v="245268"/>
    <s v="Cash"/>
    <s v="CÔNG TY TNHH VIETNAM WIN TEXTILES, Nhà xưởng G1, Đường VL2, Khu công nghiệp, Mỹ Yên, Tây Ninh, Việt NamCÔNG TY TNHH VIETNAM WIN TEXTILES"/>
    <s v="Thủ Đức, Hồ Chí Minh, Việt NamThủ Đức"/>
    <n v="1"/>
    <x v="0"/>
    <x v="2"/>
    <d v="1899-12-30T07:56:04"/>
    <x v="9"/>
  </r>
  <r>
    <s v="3536923602391884011"/>
    <s v="Mộng Trà"/>
    <x v="1"/>
    <n v="0"/>
    <s v=""/>
    <s v="NULL"/>
    <x v="0"/>
    <s v="2026-07-11 07:56:30"/>
    <s v="2026-07-11 08:06:30"/>
    <s v="NULL"/>
    <s v="NULL"/>
    <s v="2026-07-11 10:06:30"/>
    <s v=""/>
    <s v="106.5089084"/>
    <s v="10.6378954"/>
    <s v="106.7559004"/>
    <s v="10.8378053"/>
    <n v="229068"/>
    <n v="0"/>
    <n v="229068"/>
    <s v="Cash"/>
    <s v="CÔNG TY TNHH VIETNAM WIN TEXTILES, Nhà xưởng G1, Đường VL2, Khu công nghiệp, Mỹ Yên, Tây Ninh, Việt NamCÔNG TY TNHH VIETNAM WIN TEXTILES"/>
    <s v="Thủ Đức, Hồ Chí Minh, Việt NamThủ Đức"/>
    <n v="1"/>
    <x v="0"/>
    <x v="2"/>
    <d v="1899-12-30T07:56:30"/>
    <x v="4"/>
  </r>
  <r>
    <s v="3536924744995787486"/>
    <s v="Mộng Trà"/>
    <x v="1"/>
    <n v="3414993"/>
    <s v=""/>
    <s v="Motorcycle"/>
    <x v="2"/>
    <s v="2026-07-11 07:50:24"/>
    <s v="2026-07-11 08:00:23"/>
    <s v="2026-07-11 11:40:36"/>
    <s v="NULL"/>
    <s v=""/>
    <s v=""/>
    <s v="106.548153"/>
    <s v="10.6243872"/>
    <s v="106.6263666"/>
    <s v="11.0899974"/>
    <n v="333180"/>
    <n v="258292"/>
    <n v="74888"/>
    <s v="Cash"/>
    <s v="Công Ty Tnhh Crecimiento Industrial Việt Nam Chi Nhánh Long An, ẤP 3B, Mỹ Yên, Tây Ninh, Việt NamCông Ty Tnhh Crecimiento Industrial Việt Nam Chi Nhánh Long An"/>
    <s v="Bến cát Bình Dương, Quốc lộ 13, Thới Hòa, Hồ Chí Minh, Việt NamBến cát Bình Dương"/>
    <n v="1"/>
    <x v="0"/>
    <x v="2"/>
    <d v="1899-12-30T07:50:24"/>
    <x v="14"/>
  </r>
  <r>
    <s v="3536925697044075438"/>
    <s v="Mộng Trà"/>
    <x v="1"/>
    <n v="0"/>
    <s v=""/>
    <s v="NULL"/>
    <x v="0"/>
    <s v="2026-07-11 07:53:28"/>
    <s v="2026-07-11 08:03:27"/>
    <s v="NULL"/>
    <s v="NULL"/>
    <s v="2026-07-11 10:03:27"/>
    <s v=""/>
    <s v="106.548153"/>
    <s v="10.6243872"/>
    <s v="106.7566263"/>
    <s v="10.8973532"/>
    <n v="240192"/>
    <n v="0"/>
    <n v="240192"/>
    <s v="Cash"/>
    <s v="Công Ty Tnhh Crecimiento Industrial Việt Nam Chi Nhánh Long An, ẤP 3B, Mỹ Yên, Tây Ninh, Việt NamCông Ty Tnhh Crecimiento Industrial Việt Nam Chi Nhánh Long An"/>
    <s v="VQX4+6Q9, Đường số 12, Dĩ An, Hồ Chí Minh, Việt NamVQX4+6Q9, Đường số 12, Dĩ An, Hồ Chí Minh, Việt Nam"/>
    <n v="1"/>
    <x v="0"/>
    <x v="2"/>
    <d v="1899-12-30T07:53:28"/>
    <x v="9"/>
  </r>
  <r>
    <s v="3536925697044075485"/>
    <s v="Mộng Trà"/>
    <x v="1"/>
    <n v="0"/>
    <s v=""/>
    <s v="NULL"/>
    <x v="0"/>
    <s v="2026-07-11 07:53:46"/>
    <s v="2026-07-11 08:03:45"/>
    <s v="NULL"/>
    <s v="NULL"/>
    <s v="2026-07-11 10:03:45"/>
    <s v=""/>
    <s v="106.548153"/>
    <s v="10.6243872"/>
    <s v="106.6216471"/>
    <s v="10.8750776"/>
    <n v="199584"/>
    <n v="0"/>
    <n v="199584"/>
    <s v="Cash"/>
    <s v="Công Ty Tnhh Crecimiento Industrial Việt Nam Chi Nhánh Long An, ẤP 3B, Mỹ Yên, Tây Ninh, Việt NamCông Ty Tnhh Crecimiento Industrial Việt Nam Chi Nhánh Long An"/>
    <s v="Hoc mon, Thới Tam Thôn 17, Đông Thạnh, Hồ Chí Minh, Việt NamHoc mon"/>
    <n v="1"/>
    <x v="0"/>
    <x v="2"/>
    <d v="1899-12-30T07:53:46"/>
    <x v="9"/>
  </r>
  <r>
    <s v="3536926221197865294"/>
    <s v="Mộng Trà"/>
    <x v="1"/>
    <n v="4729280"/>
    <s v=""/>
    <s v="Motorcycle"/>
    <x v="1"/>
    <s v="2026-07-11 07:51:16"/>
    <s v="2026-07-11 08:01:16"/>
    <s v="2026-07-11 09:00:37"/>
    <s v="NULL"/>
    <s v="2026-07-11 09:04:32"/>
    <s v=""/>
    <s v="106.548153"/>
    <s v="10.6243872"/>
    <s v="106.80595531775208"/>
    <s v="11.077485446418878"/>
    <n v="351540"/>
    <n v="272525"/>
    <n v="79015"/>
    <s v="Cash"/>
    <s v="Công Ty Tnhh Crecimiento Industrial Việt Nam Chi Nhánh Long An, ẤP 3B, Mỹ Yên, Tây Ninh, Việt NamCông Ty Tnhh Crecimiento Industrial Việt Nam Chi Nhánh Long An"/>
    <s v="3RG4+V8G, Tân Uyên, Hồ Chí Minh, Việt Nam3RG4+V8G, Tân Uyên, Hồ Chí Minh, Việt Nam"/>
    <n v="1"/>
    <x v="0"/>
    <x v="2"/>
    <d v="1899-12-30T07:51:16"/>
    <x v="289"/>
  </r>
  <r>
    <s v="3536926221197865386"/>
    <s v="Mộng Trà"/>
    <x v="1"/>
    <n v="4173246"/>
    <s v=""/>
    <s v="Motorcycle"/>
    <x v="2"/>
    <s v="2026-07-11 07:51:47"/>
    <s v="2026-07-11 08:01:47"/>
    <s v="2026-07-11 09:07:14"/>
    <s v="NULL"/>
    <s v=""/>
    <s v=""/>
    <s v="106.548153"/>
    <s v="10.6243872"/>
    <s v="106.6798923"/>
    <s v="11.0139846"/>
    <n v="296784"/>
    <n v="230076"/>
    <n v="66708"/>
    <s v="Cash"/>
    <s v="Công Ty Tnhh Crecimiento Industrial Việt Nam Chi Nhánh Long An, ẤP 3B, Mỹ Yên, Tây Ninh, Việt NamCông Ty Tnhh Crecimiento Industrial Việt Nam Chi Nhánh Long An"/>
    <s v="Thủ dầu một, Đường ĐX-025, Bình Dương, Hồ Chí Minh, Việt NamThủ dầu một"/>
    <n v="1"/>
    <x v="0"/>
    <x v="2"/>
    <d v="1899-12-30T07:51:47"/>
    <x v="14"/>
  </r>
  <r>
    <s v="3536926221197865569"/>
    <s v="Mộng Trà"/>
    <x v="1"/>
    <n v="0"/>
    <s v=""/>
    <s v="NULL"/>
    <x v="0"/>
    <s v="2026-07-11 07:52:46"/>
    <s v="2026-07-11 08:02:45"/>
    <s v="NULL"/>
    <s v="NULL"/>
    <s v="2026-07-11 10:02:45"/>
    <s v=""/>
    <s v="106.548153"/>
    <s v="10.6243872"/>
    <s v="106.7535289"/>
    <s v="10.9088973"/>
    <n v="251424"/>
    <n v="0"/>
    <n v="251424"/>
    <s v="Cash"/>
    <s v="Công Ty Tnhh Crecimiento Industrial Việt Nam Chi Nhánh Long An, ẤP 3B, Mỹ Yên, Tây Ninh, Việt NamCông Ty Tnhh Crecimiento Industrial Việt Nam Chi Nhánh Long An"/>
    <s v="Thuận An Bình Dương, Đường N2, Dĩ An, Hồ Chí Minh, Việt NamThuận An Bình Dương"/>
    <n v="1"/>
    <x v="0"/>
    <x v="2"/>
    <d v="1899-12-30T07:52:46"/>
    <x v="9"/>
  </r>
  <r>
    <s v="3536926221197865674"/>
    <s v="Mộng Trà"/>
    <x v="1"/>
    <n v="0"/>
    <s v=""/>
    <s v="NULL"/>
    <x v="0"/>
    <s v="2026-07-11 07:53:15"/>
    <s v="2026-07-11 08:03:14"/>
    <s v="NULL"/>
    <s v="NULL"/>
    <s v="2026-07-16 17:32:34"/>
    <s v=""/>
    <s v="106.548153"/>
    <s v="10.6243872"/>
    <s v="106.7566263"/>
    <s v="10.8973532"/>
    <n v="219780"/>
    <n v="0"/>
    <n v="219780"/>
    <s v="Cash"/>
    <s v="Công Ty Tnhh Crecimiento Industrial Việt Nam Chi Nhánh Long An, ẤP 3B, Mỹ Yên, Tây Ninh, Việt NamCông Ty Tnhh Crecimiento Industrial Việt Nam Chi Nhánh Long An"/>
    <s v="VQX4+6Q9, Đường số 12, Dĩ An, Hồ Chí Minh, Việt NamVQX4+6Q9, Đường số 12, Dĩ An, Hồ Chí Minh, Việt Nam"/>
    <n v="1"/>
    <x v="0"/>
    <x v="2"/>
    <d v="1899-12-30T07:53:15"/>
    <x v="290"/>
  </r>
  <r>
    <s v="3536930997570588811"/>
    <s v="Mộng Trà"/>
    <x v="1"/>
    <n v="4724283"/>
    <s v=""/>
    <s v="Motorcycle"/>
    <x v="2"/>
    <s v="2026-07-11 07:58:44"/>
    <s v="2026-07-11 08:08:44"/>
    <s v="2026-07-11 09:13:19"/>
    <s v="NULL"/>
    <s v=""/>
    <s v=""/>
    <s v="106.5460635"/>
    <s v="10.6373043"/>
    <s v="106.7528749"/>
    <s v="10.8963726"/>
    <n v="311688"/>
    <n v="241630"/>
    <n v="70058"/>
    <s v="Cash"/>
    <s v="CTY TNHH Thương mại Kỹ Thuật Xuất Nhập Khẩu NAM HẢI, Lộ Đình, Phước Lý, Tây Ninh, Việt NamCTY TNHH Thương mại Kỹ Thuật Xuất Nhập Khẩu NAM HẢI"/>
    <s v="Dĩ An, Bình Dương, Việt NamDĩ An"/>
    <n v="1"/>
    <x v="0"/>
    <x v="2"/>
    <d v="1899-12-30T07:58:44"/>
    <x v="14"/>
  </r>
  <r>
    <s v="3536930997570589255"/>
    <s v="Mộng Trà"/>
    <x v="1"/>
    <n v="0"/>
    <s v=""/>
    <s v="NULL"/>
    <x v="0"/>
    <s v="2026-07-11 08:00:46"/>
    <s v="2026-07-11 08:10:45"/>
    <s v="NULL"/>
    <s v="NULL"/>
    <s v="2026-07-11 10:47:23"/>
    <s v=""/>
    <s v="106.5460635"/>
    <s v="10.6373043"/>
    <s v="106.7316218807605"/>
    <s v="10.793406054369443"/>
    <n v="173556"/>
    <n v="0"/>
    <n v="173556"/>
    <s v="Cash"/>
    <s v="CTY TNHH Thương mại Kỹ Thuật Xuất Nhập Khẩu NAM HẢI, Lộ Đình, Phước Lý, Tây Ninh, Việt NamCTY TNHH Thương mại Kỹ Thuật Xuất Nhập Khẩu NAM HẢI"/>
    <s v="97/6 Trần Não, Bình Khánh, An Khánh, Hồ Chí Minh, Việt Nam97/6 Trần Não, Bình Khánh, An Khánh, Hồ Chí Minh, Việt Nam"/>
    <n v="1"/>
    <x v="0"/>
    <x v="2"/>
    <d v="1899-12-30T08:00:46"/>
    <x v="291"/>
  </r>
  <r>
    <s v="3539497936373371498"/>
    <s v=""/>
    <x v="2"/>
    <n v="4604007"/>
    <s v=""/>
    <s v="Motorcycle"/>
    <x v="4"/>
    <s v="2026-07-14 21:26:15"/>
    <s v="2026-07-15 08:55:00"/>
    <s v="2026-07-15 01:10:24"/>
    <s v="NULL"/>
    <s v="2026-07-25 08:56:00"/>
    <s v=""/>
    <s v="106.5131415"/>
    <s v="10.5799575"/>
    <s v="106.6181936"/>
    <s v="11.0789266"/>
    <n v="400572"/>
    <n v="310536"/>
    <n v="90036"/>
    <s v="Cash"/>
    <s v="Ấp 3, Cần Đước, Long An, Việt NamChi Nhánh Long An , Công Ty TNHH Huy Đậu"/>
    <s v="79 Đường D8, 2 khu phố 4, Hòa Lợi, Hồ Chí Minh, Việt Nam79 Đường D8, 2 khu phố 4, Hòa Lợi, Hồ Chí Minh, Việt Nam"/>
    <n v="1"/>
    <x v="0"/>
    <x v="3"/>
    <d v="1899-12-30T21:26:15"/>
    <x v="292"/>
  </r>
  <r>
    <s v="3539501606087381259"/>
    <s v=""/>
    <x v="2"/>
    <n v="0"/>
    <s v=""/>
    <s v="NULL"/>
    <x v="0"/>
    <s v="2026-07-14 21:31:33"/>
    <s v="2026-07-15 09:02:00"/>
    <s v="NULL"/>
    <s v="NULL"/>
    <s v="2026-07-15 11:02:00"/>
    <s v=""/>
    <s v="106.5083424"/>
    <s v="10.5737325"/>
    <s v="107.0303221"/>
    <s v="10.7925089"/>
    <n v="302400"/>
    <n v="0"/>
    <n v="302400"/>
    <s v="Cash"/>
    <s v="CCN Long Dinh , Long Cang, Can Duoc, Long An, Long Cang, Long An, 850000, Việt NamCông ty CP TP An Long / An Long Food JSC"/>
    <s v="Long Thành, Đồng Nai, Việt NamLong Thành"/>
    <n v="1"/>
    <x v="0"/>
    <x v="3"/>
    <d v="1899-12-30T21:31:33"/>
    <x v="293"/>
  </r>
  <r>
    <s v="3539502139183424224"/>
    <s v=""/>
    <x v="2"/>
    <n v="0"/>
    <s v=""/>
    <s v="NULL"/>
    <x v="0"/>
    <s v="2026-07-14 21:28:03"/>
    <s v="2026-07-15 09:34:00"/>
    <s v="NULL"/>
    <s v="NULL"/>
    <s v="2026-07-15 11:34:00"/>
    <s v=""/>
    <s v="106.5131415"/>
    <s v="10.5799575"/>
    <s v="106.8043734"/>
    <s v="10.9384958"/>
    <n v="333504"/>
    <n v="0"/>
    <n v="333504"/>
    <s v="Cash"/>
    <s v="Ấp 3, Cần Đước, Long An, Việt NamChi Nhánh Long An , Công Ty TNHH Huy Đậu"/>
    <s v="WRQ3+9PX, Biên Hòa, Đồng Nai, Việt NamWRQ3+9PX, Biên Hòa, Đồng Nai, Việt Nam"/>
    <n v="1"/>
    <x v="0"/>
    <x v="3"/>
    <d v="1899-12-30T21:28:03"/>
    <x v="294"/>
  </r>
  <r>
    <s v="3539502139183424264"/>
    <s v=""/>
    <x v="2"/>
    <n v="0"/>
    <s v=""/>
    <s v="NULL"/>
    <x v="0"/>
    <s v="2026-07-14 21:28:24"/>
    <s v="2026-07-15 08:54:00"/>
    <s v="NULL"/>
    <s v="NULL"/>
    <s v="2026-07-15 10:54:00"/>
    <s v=""/>
    <s v="106.5131415"/>
    <s v="10.5799575"/>
    <s v="106.8043734"/>
    <s v="10.9384958"/>
    <n v="230472"/>
    <n v="0"/>
    <n v="230472"/>
    <s v="Cash"/>
    <s v="Ấp 3, Cần Đước, Long An, Việt NamChi Nhánh Long An , Công Ty TNHH Huy Đậu"/>
    <s v="WRQ3+9PX, Biên Hòa, Đồng Nai, Việt NamWRQ3+9PX, Biên Hòa, Đồng Nai, Việt Nam"/>
    <n v="1"/>
    <x v="0"/>
    <x v="3"/>
    <d v="1899-12-30T21:28:24"/>
    <x v="295"/>
  </r>
  <r>
    <s v="3539504510122811873"/>
    <s v=""/>
    <x v="2"/>
    <n v="0"/>
    <s v=""/>
    <s v="NULL"/>
    <x v="0"/>
    <s v="2026-07-14 21:30:07"/>
    <s v="2026-07-15 09:00:00"/>
    <s v="NULL"/>
    <s v="NULL"/>
    <s v="2026-07-15 11:00:00"/>
    <s v=""/>
    <s v="106.5083424"/>
    <s v="10.5737325"/>
    <s v="106.8023397"/>
    <s v="11.0762325"/>
    <n v="316008"/>
    <n v="0"/>
    <n v="316008"/>
    <s v="Cash"/>
    <s v="CCN Long Dinh , Long Cang, Can Duoc, Long An, Long Cang, Long An, 850000, Việt NamCông ty CP TP An Long / An Long Food JSC"/>
    <s v="Tân Uyen bình dương, Tân Uyên, Hồ Chí Minh, Việt NamTân Uyen bình dương"/>
    <n v="1"/>
    <x v="0"/>
    <x v="3"/>
    <d v="1899-12-30T21:30:07"/>
    <x v="55"/>
  </r>
  <r>
    <s v="3539504510139585317"/>
    <s v=""/>
    <x v="2"/>
    <n v="0"/>
    <s v=""/>
    <s v="NULL"/>
    <x v="0"/>
    <s v="2026-07-14 21:44:10"/>
    <s v="2026-07-15 10:15:00"/>
    <s v="NULL"/>
    <s v="NULL"/>
    <s v="2026-07-17 10:09:11"/>
    <s v=""/>
    <s v="106.5037935"/>
    <s v="10.5795504"/>
    <s v="106.64545592939145"/>
    <s v="10.800196730521773"/>
    <n v="124740"/>
    <n v="0"/>
    <n v="124740"/>
    <s v="Cash"/>
    <s v="Công ty TNHH Thức Ăn Chăn Nuôi Thiên Bang Việt Nam, Long Cang, Cần Đước, Long An, Việt NamCông ty TNHH Thức Ăn Chăn Nuôi Thiên Bang Việt Nam"/>
    <s v="31/19G Đồng Xoài, Tân Bình, Hồ Chí Minh, Việt Nam31/19G Đồng Xoài, Tân Bình, Hồ Chí Minh, Việt Nam"/>
    <n v="1"/>
    <x v="0"/>
    <x v="3"/>
    <d v="1899-12-30T21:44:10"/>
    <x v="296"/>
  </r>
  <r>
    <s v="3539505256725700784"/>
    <s v=""/>
    <x v="2"/>
    <n v="0"/>
    <s v=""/>
    <s v="NULL"/>
    <x v="0"/>
    <s v="2026-07-14 21:33:15"/>
    <s v="2026-07-15 10:04:00"/>
    <s v="NULL"/>
    <s v="NULL"/>
    <s v="2026-07-15 12:04:00"/>
    <s v=""/>
    <s v="106.5108855"/>
    <s v="10.5718494"/>
    <s v="106.6798923"/>
    <s v="11.0139846"/>
    <n v="248508"/>
    <n v="0"/>
    <n v="248508"/>
    <s v="Cash"/>
    <s v="Công ty cổ phần Logistics nPL (kho Long An), Long Cang, Cần Đước, Long An, Việt NamCông ty cổ phần Logistics nPL (kho Long An)"/>
    <s v="Thủ dầu một, Đường ĐX-025, Bình Dương, Hồ Chí Minh, Việt NamThủ dầu một"/>
    <n v="1"/>
    <x v="0"/>
    <x v="3"/>
    <d v="1899-12-30T21:33:15"/>
    <x v="297"/>
  </r>
  <r>
    <s v="3539505256742473972"/>
    <s v=""/>
    <x v="2"/>
    <n v="0"/>
    <s v=""/>
    <s v="NULL"/>
    <x v="0"/>
    <s v="2026-07-14 21:39:34"/>
    <s v="2026-07-15 09:10:00"/>
    <s v="NULL"/>
    <s v="NULL"/>
    <s v="2026-07-15 11:10:00"/>
    <s v=""/>
    <s v="106.5023824"/>
    <s v="10.5809064"/>
    <s v="106.59561756801453"/>
    <s v="10.886808822666506"/>
    <n v="190620"/>
    <n v="0"/>
    <n v="190620"/>
    <s v="Cash"/>
    <s v="Cầu Ô Binh, Long Cang, Cần Đước, Long An, Việt NamCông Ty Cổ Phần Tâp Đoàn Hưng Long"/>
    <s v="5A 61, Tổ 12, Hóc Môn, Hồ Chí Minh, Việt Nam5A 61, Tổ 12, Hóc Môn, Hồ Chí Minh, Việt Nam"/>
    <n v="1"/>
    <x v="0"/>
    <x v="3"/>
    <d v="1899-12-30T21:39:34"/>
    <x v="298"/>
  </r>
  <r>
    <s v="3539507869248610704"/>
    <s v=""/>
    <x v="2"/>
    <n v="0"/>
    <s v=""/>
    <s v="NULL"/>
    <x v="0"/>
    <s v="2026-07-14 21:37:34"/>
    <s v="2026-07-15 09:08:00"/>
    <s v="NULL"/>
    <s v="NULL"/>
    <s v="2026-07-15 11:08:00"/>
    <s v=""/>
    <s v="106.5028834"/>
    <s v="10.5768255"/>
    <s v="106.7528749"/>
    <s v="10.8963726"/>
    <n v="229284"/>
    <n v="0"/>
    <n v="229284"/>
    <s v="Cash"/>
    <s v="Xã Long Cang, Huyện Cần Đước, Long An, Việt NamCông Ty TNHH Ant La"/>
    <s v="Dĩ An, Bình Dương, Việt NamDĩ An"/>
    <n v="1"/>
    <x v="0"/>
    <x v="3"/>
    <d v="1899-12-30T21:37:34"/>
    <x v="298"/>
  </r>
  <r>
    <s v="3539507869265384003"/>
    <s v=""/>
    <x v="2"/>
    <n v="0"/>
    <s v=""/>
    <s v="NULL"/>
    <x v="0"/>
    <s v="2026-07-14 21:50:45"/>
    <s v="2026-07-15 09:21:00"/>
    <s v="NULL"/>
    <s v="NULL"/>
    <s v="2026-07-15 11:21:00"/>
    <s v=""/>
    <s v="106.5060105"/>
    <s v="10.5814134"/>
    <s v="106.7866577"/>
    <s v="10.8450844"/>
    <n v="217296"/>
    <n v="0"/>
    <n v="217296"/>
    <s v="Cash"/>
    <s v="Unnamed Road, Long Cang, Cần Đước, Long An, Việt NamCông ty TNHH XNK NHỰA TIẾN PHÁT 2"/>
    <s v="Quận 9, Tăng Nhơn Phú, Hồ Chí Minh, Việt NamQuận 9"/>
    <n v="1"/>
    <x v="0"/>
    <x v="3"/>
    <d v="1899-12-30T21:50:45"/>
    <x v="299"/>
  </r>
  <r>
    <s v="3539508123314381139"/>
    <s v=""/>
    <x v="2"/>
    <n v="0"/>
    <s v=""/>
    <s v="NULL"/>
    <x v="0"/>
    <s v="2026-07-14 21:27:37"/>
    <s v="2026-07-15 08:58:00"/>
    <s v="NULL"/>
    <s v="NULL"/>
    <s v="2026-07-15 10:58:00"/>
    <s v=""/>
    <s v="106.5131415"/>
    <s v="10.5799575"/>
    <s v="106.80444469629516"/>
    <s v="10.938369012361246"/>
    <n v="240948"/>
    <n v="0"/>
    <n v="240948"/>
    <s v="Cash"/>
    <s v="Ấp 3, Cần Đước, Long An, Việt NamChi Nhánh Long An , Công Ty TNHH Huy Đậu"/>
    <s v="WRQ3+9PX, Biên Hòa, Đồng Nai, Việt NamWRQ3+9PX, Biên Hòa, Đồng Nai, Việt Nam"/>
    <n v="1"/>
    <x v="0"/>
    <x v="3"/>
    <d v="1899-12-30T21:27:37"/>
    <x v="300"/>
  </r>
  <r>
    <s v="3539508123339543321"/>
    <s v=""/>
    <x v="2"/>
    <n v="0"/>
    <s v=""/>
    <s v="NULL"/>
    <x v="0"/>
    <s v="2026-07-14 21:43:32"/>
    <s v="2026-07-15 10:14:00"/>
    <s v="NULL"/>
    <s v="NULL"/>
    <s v="2026-07-15 12:14:00"/>
    <s v=""/>
    <s v="106.5037935"/>
    <s v="10.5795504"/>
    <s v="106.6419476"/>
    <s v="10.799048"/>
    <n v="134784"/>
    <n v="0"/>
    <n v="134784"/>
    <s v="Cash"/>
    <s v="Công ty TNHH Thức Ăn Chăn Nuôi Thiên Bang Việt Nam, Long Cang, Cần Đước, Long An, Việt NamCông ty TNHH Thức Ăn Chăn Nuôi Thiên Bang Việt Nam"/>
    <s v="Tân Bình, Hồ Chí Minh, Việt NamTân Bình"/>
    <n v="1"/>
    <x v="0"/>
    <x v="3"/>
    <d v="1899-12-30T21:43:32"/>
    <x v="301"/>
  </r>
  <r>
    <s v="3539508123339543523"/>
    <s v=""/>
    <x v="2"/>
    <n v="0"/>
    <s v=""/>
    <s v="NULL"/>
    <x v="0"/>
    <s v="2026-07-14 21:45:36"/>
    <s v="2026-07-15 09:16:00"/>
    <s v="NULL"/>
    <s v="NULL"/>
    <s v="2026-07-15 11:16:00"/>
    <s v=""/>
    <s v="106.4999555"/>
    <s v="10.5783561"/>
    <s v="106.590819"/>
    <s v="10.7924374"/>
    <n v="130788"/>
    <n v="0"/>
    <n v="130788"/>
    <s v="Cash"/>
    <s v="Công Ty TNHH Vôi Thành Đô Long An, Nguyễn Trung Trực, Long Cang, Tây Ninh, Việt NamCông Ty TNHH Vôi Thành Đô Long An"/>
    <s v="Bình Tân, Hồ Chí Minh, Việt NamBình Tân"/>
    <n v="1"/>
    <x v="0"/>
    <x v="3"/>
    <d v="1899-12-30T21:45:36"/>
    <x v="302"/>
  </r>
  <r>
    <s v="3539510635736035379"/>
    <s v=""/>
    <x v="2"/>
    <n v="0"/>
    <s v=""/>
    <s v="NULL"/>
    <x v="0"/>
    <s v="2026-07-14 21:30:27"/>
    <s v="2026-07-15 09:01:00"/>
    <s v="NULL"/>
    <s v="NULL"/>
    <s v="2026-07-15 11:01:01"/>
    <s v=""/>
    <s v="106.5083424"/>
    <s v="10.5737325"/>
    <s v="106.8023397"/>
    <s v="11.0762325"/>
    <n v="252828"/>
    <n v="0"/>
    <n v="252828"/>
    <s v="Cash"/>
    <s v="CCN Long Dinh , Long Cang, Can Duoc, Long An, Long Cang, Long An, 850000, Việt NamCông ty CP TP An Long / An Long Food JSC"/>
    <s v="Tân Uyen bình dương, Tân Uyên, Hồ Chí Minh, Việt NamTân Uyen bình dương"/>
    <n v="1"/>
    <x v="0"/>
    <x v="3"/>
    <d v="1899-12-30T21:30:27"/>
    <x v="303"/>
  </r>
  <r>
    <s v="3539510635761197609"/>
    <s v=""/>
    <x v="2"/>
    <n v="3785706"/>
    <s v=""/>
    <s v="Motorcycle"/>
    <x v="2"/>
    <s v="2026-07-14 21:46:13"/>
    <s v="2026-07-15 09:17:00"/>
    <s v="2026-07-15 10:01:55"/>
    <s v="NULL"/>
    <s v=""/>
    <s v=""/>
    <s v="106.4999555"/>
    <s v="10.5783561"/>
    <s v="106.6350013"/>
    <s v="10.9399035"/>
    <n v="226152"/>
    <n v="175320"/>
    <n v="50832"/>
    <s v="Cash"/>
    <s v="Công Ty TNHH Vôi Thành Đô Long An, Nguyễn Trung Trực, Long Cang, Tây Ninh, Việt NamCông Ty TNHH Vôi Thành Đô Long An"/>
    <s v="Củ chi, Bình Mỹ, Hồ Chí Minh, Việt NamCủ chi"/>
    <n v="1"/>
    <x v="0"/>
    <x v="3"/>
    <d v="1899-12-30T21:46:13"/>
    <x v="14"/>
  </r>
  <r>
    <s v="3539510635761197748"/>
    <s v=""/>
    <x v="2"/>
    <n v="0"/>
    <s v=""/>
    <s v="NULL"/>
    <x v="0"/>
    <s v="2026-07-14 21:47:43"/>
    <s v="2026-07-15 09:18:00"/>
    <s v="NULL"/>
    <s v="NULL"/>
    <s v="2026-07-15 11:18:00"/>
    <s v=""/>
    <s v="106.5077574"/>
    <s v="10.5779655"/>
    <s v="106.70409129126278"/>
    <s v="10.815242021806473"/>
    <n v="240192"/>
    <n v="0"/>
    <n v="240192"/>
    <s v="Cash"/>
    <s v="Long Cang, Cần Đước, Long An, Việt NamCông Ty TNHH Dinh Dưỡng Động Vật Eh Long An Việt Nam"/>
    <s v="79/H52B Đ. Nguyễn Xí, Bình Thạnh, Hồ Chí Minh 70000, Việt Nam79/H52B Đ. Nguyễn Xí, Bình Thạnh, Hồ Chí Minh 70000, Việt Nam"/>
    <n v="1"/>
    <x v="0"/>
    <x v="3"/>
    <d v="1899-12-30T21:47:43"/>
    <x v="304"/>
  </r>
  <r>
    <s v="3539510635786359029"/>
    <s v=""/>
    <x v="2"/>
    <n v="0"/>
    <s v=""/>
    <s v="NULL"/>
    <x v="0"/>
    <s v="2026-07-14 21:54:34"/>
    <s v="2026-07-15 08:25:00"/>
    <s v="NULL"/>
    <s v="NULL"/>
    <s v="2026-07-15 10:25:00"/>
    <s v=""/>
    <s v="106.5022924"/>
    <s v="10.5769605"/>
    <s v="106.7076858"/>
    <s v="10.7295817"/>
    <n v="121824"/>
    <n v="0"/>
    <n v="121824"/>
    <s v="Cash"/>
    <s v="KCN Long Định, Xã Long Cang, Huyện Cần Đước, Long Cang, Bến Lức, Long An 82420, Việt NamALLYBUILD VN , Nhà máy Long An"/>
    <s v="quận 7, Hưng Phước 4, Khu đô thị Phú Mỹ Hưng, Tân Hưng, Hồ Chí Minh, Việt Namquận 7"/>
    <n v="1"/>
    <x v="0"/>
    <x v="3"/>
    <d v="1899-12-30T21:54:34"/>
    <x v="64"/>
  </r>
  <r>
    <s v="3539512161028239519"/>
    <s v=""/>
    <x v="2"/>
    <n v="0"/>
    <s v=""/>
    <s v="NULL"/>
    <x v="0"/>
    <s v="2026-07-14 21:34:44"/>
    <s v="2026-07-15 09:05:00"/>
    <s v="NULL"/>
    <s v="NULL"/>
    <s v="2026-07-15 11:05:00"/>
    <s v=""/>
    <s v="106.5104934"/>
    <s v="10.5740284"/>
    <s v="106.682188"/>
    <s v="10.948222"/>
    <n v="244944"/>
    <n v="0"/>
    <n v="244944"/>
    <s v="Cash"/>
    <s v="Long Cang, Cần Đước, Long An, Việt NamNhà Xưởng Công ty Trần Phát"/>
    <s v="Thuận An, Hồ Chí Minh, Việt NamThuận An"/>
    <n v="1"/>
    <x v="0"/>
    <x v="3"/>
    <d v="1899-12-30T21:34:44"/>
    <x v="305"/>
  </r>
  <r>
    <s v="3539512161028239958"/>
    <s v=""/>
    <x v="2"/>
    <n v="0"/>
    <s v=""/>
    <s v="NULL"/>
    <x v="0"/>
    <s v="2026-07-14 21:39:15"/>
    <s v="2026-07-15 10:10:00"/>
    <s v="NULL"/>
    <s v="NULL"/>
    <s v="2026-07-15 12:10:00"/>
    <s v=""/>
    <s v="106.5023824"/>
    <s v="10.5809064"/>
    <s v="106.59229240000003"/>
    <s v="10.886393400000001"/>
    <n v="190188"/>
    <n v="0"/>
    <n v="190188"/>
    <s v="Cash"/>
    <s v="Cầu Ô Binh, Long Cang, Cần Đước, Long An, Việt NamCông Ty Cổ Phần Tâp Đoàn Hưng Long"/>
    <s v="85/3 Đ Lê Lợi, Hóc Môn, Hồ Chí Minh, Việt Nam85/3 Đ Lê Lợi, Hóc Môn, Hồ Chí Minh, Việt Nam"/>
    <n v="1"/>
    <x v="0"/>
    <x v="3"/>
    <d v="1899-12-30T21:39:15"/>
    <x v="297"/>
  </r>
  <r>
    <s v="3539512161028240028"/>
    <s v=""/>
    <x v="2"/>
    <n v="0"/>
    <s v=""/>
    <s v="NULL"/>
    <x v="0"/>
    <s v="2026-07-14 21:39:55"/>
    <s v="2026-07-15 09:10:00"/>
    <s v="NULL"/>
    <s v="NULL"/>
    <s v="2026-07-15 11:10:00"/>
    <s v=""/>
    <s v="106.5023824"/>
    <s v="10.5809064"/>
    <s v="106.59596119391782"/>
    <s v="10.888313192704077"/>
    <n v="177012"/>
    <n v="0"/>
    <n v="177012"/>
    <s v="Cash"/>
    <s v="Cầu Ô Binh, Long Cang, Cần Đước, Long An, Việt NamCông Ty Cổ Phần Tâp Đoàn Hưng Long"/>
    <s v="6 Đ. Quang Trung, Hóc Môn, Hồ Chí Minh, Việt Nam6 Đ. Quang Trung, Hóc Môn, Hồ Chí Minh, Việt Nam"/>
    <n v="1"/>
    <x v="0"/>
    <x v="3"/>
    <d v="1899-12-30T21:39:55"/>
    <x v="306"/>
  </r>
  <r>
    <s v="3539512161053401583"/>
    <s v=""/>
    <x v="2"/>
    <n v="0"/>
    <s v=""/>
    <s v="NULL"/>
    <x v="0"/>
    <s v="2026-07-14 21:48:04"/>
    <s v="2026-07-15 09:18:00"/>
    <s v="NULL"/>
    <s v="NULL"/>
    <s v="2026-07-15 11:18:00"/>
    <s v=""/>
    <s v="106.5077574"/>
    <s v="10.5779655"/>
    <s v="106.70194171241151"/>
    <s v="10.81218778002013"/>
    <n v="157896"/>
    <n v="0"/>
    <n v="157896"/>
    <s v="Cash"/>
    <s v="Long Cang, Cần Đước, Long An, Việt NamCông Ty TNHH Dinh Dưỡng Động Vật Eh Long An Việt Nam"/>
    <s v="324 Chu Văn An, Bình Thạnh, Hồ Chí Minh, Việt Nam324 Chu Văn An, Bình Thạnh, Hồ Chí Minh, Việt Nam"/>
    <n v="1"/>
    <x v="0"/>
    <x v="3"/>
    <d v="1899-12-30T21:48:04"/>
    <x v="307"/>
  </r>
  <r>
    <s v="3539512161053401725"/>
    <s v=""/>
    <x v="2"/>
    <n v="0"/>
    <s v=""/>
    <s v="NULL"/>
    <x v="0"/>
    <s v="2026-07-14 21:50:07"/>
    <s v="2026-07-15 09:20:00"/>
    <s v="NULL"/>
    <s v="NULL"/>
    <s v="2026-07-15 11:20:00"/>
    <s v=""/>
    <s v="106.5060105"/>
    <s v="10.5814134"/>
    <s v="106.71394254445802"/>
    <s v="10.830077941554423"/>
    <n v="259092"/>
    <n v="0"/>
    <n v="259092"/>
    <s v="Cash"/>
    <s v="Unnamed Road, Long Cang, Cần Đước, Long An, Việt NamCông ty TNHH XNK NHỰA TIẾN PHÁT 2"/>
    <s v="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
    <n v="1"/>
    <x v="0"/>
    <x v="3"/>
    <d v="1899-12-30T21:50:07"/>
    <x v="55"/>
  </r>
  <r>
    <s v="3539512161053401982"/>
    <s v=""/>
    <x v="2"/>
    <n v="0"/>
    <s v=""/>
    <s v="NULL"/>
    <x v="0"/>
    <s v="2026-07-14 21:53:18"/>
    <s v="2026-07-15 08:24:00"/>
    <s v="NULL"/>
    <s v="NULL"/>
    <s v="2026-07-15 10:24:00"/>
    <s v=""/>
    <s v="106.5022924"/>
    <s v="10.5769605"/>
    <s v="106.9004472"/>
    <s v="10.745397"/>
    <n v="264492"/>
    <n v="0"/>
    <n v="264492"/>
    <s v="Cash"/>
    <s v="KCN Long Định, Xã Long Cang, Huyện Cần Đước, Long Cang, Bến Lức, Long An 82420, Việt NamALLYBUILD VN , Nhà máy Long An"/>
    <s v="Nhơn Trạch, Đồng Nai, Việt NamNhơn Trạch"/>
    <n v="1"/>
    <x v="0"/>
    <x v="3"/>
    <d v="1899-12-30T21:53:18"/>
    <x v="60"/>
  </r>
  <r>
    <s v="3539512161070174570"/>
    <s v=""/>
    <x v="2"/>
    <n v="0"/>
    <s v=""/>
    <s v="NULL"/>
    <x v="0"/>
    <s v="2026-07-14 22:00:19"/>
    <s v="2026-07-15 09:31:00"/>
    <s v="NULL"/>
    <s v="NULL"/>
    <s v="2026-07-15 11:31:00"/>
    <s v=""/>
    <s v="106.4946645"/>
    <s v="10.6118377"/>
    <s v="106.8023397"/>
    <s v="11.0762325"/>
    <n v="312444"/>
    <n v="0"/>
    <n v="312444"/>
    <s v="Cash"/>
    <s v="Lô C1, H, KCN Thuận Đạo Mở Rộng, 2 Đường Số 1, Long Định, Cần Đước, Long An, Việt NamChi nhánh Long An , Công ty TNHH Nutreco International Việt Nam (Nutreco Long An)"/>
    <s v="Tân Uyen bình dương, Tân Uyên, Hồ Chí Minh, Việt NamTân Uyen bình dương"/>
    <n v="1"/>
    <x v="0"/>
    <x v="3"/>
    <d v="1899-12-30T22:00:19"/>
    <x v="46"/>
  </r>
  <r>
    <s v="3539512161070175028"/>
    <s v=""/>
    <x v="2"/>
    <n v="0"/>
    <s v=""/>
    <s v="NULL"/>
    <x v="0"/>
    <s v="2026-07-14 22:06:51"/>
    <s v="2026-07-15 08:42:00"/>
    <s v="NULL"/>
    <s v="NULL"/>
    <s v="2026-07-15 10:42:00"/>
    <s v=""/>
    <s v="106.4898855"/>
    <s v="10.6028007"/>
    <s v="106.6419476"/>
    <s v="10.799048"/>
    <n v="166968"/>
    <n v="0"/>
    <n v="166968"/>
    <s v="Cash"/>
    <s v="Unnamed, Road, Cần Đước, Long An, Việt NamCông ty CP Kim khí Nam Hưng CN Thuận Đạo"/>
    <s v="Tân Bình, Hồ Chí Minh, Việt NamTân Bình"/>
    <n v="1"/>
    <x v="0"/>
    <x v="3"/>
    <d v="1899-12-30T22:06:51"/>
    <x v="308"/>
  </r>
  <r>
    <s v="3539514814059734049"/>
    <s v=""/>
    <x v="2"/>
    <n v="0"/>
    <s v=""/>
    <s v="NULL"/>
    <x v="0"/>
    <s v="2026-07-14 22:03:07"/>
    <s v="2026-07-15 08:33:00"/>
    <s v="NULL"/>
    <s v="NULL"/>
    <s v="2026-07-15 10:33:00"/>
    <s v=""/>
    <s v="106.4951745"/>
    <s v="10.6017856"/>
    <s v="106.682188"/>
    <s v="10.948222"/>
    <n v="235764"/>
    <n v="0"/>
    <n v="235764"/>
    <s v="Cash"/>
    <s v="Lô F4,1, Lô F4,2 Đường Số 13, KCN Thuận Đạo mở rộng, Cần Đước, Long An, Việt NamCông ty TNHH Quick Pack Việt Nam"/>
    <s v="Thuận An, Hồ Chí Minh, Việt NamThuận An"/>
    <n v="1"/>
    <x v="0"/>
    <x v="3"/>
    <d v="1899-12-30T22:03:07"/>
    <x v="309"/>
  </r>
  <r>
    <s v="3539514814076506214"/>
    <s v=""/>
    <x v="2"/>
    <n v="0"/>
    <s v=""/>
    <s v="NULL"/>
    <x v="0"/>
    <s v="2026-07-14 22:04:41"/>
    <s v="2026-07-15 09:35:00"/>
    <s v="NULL"/>
    <s v="NULL"/>
    <s v="2026-07-15 11:35:00"/>
    <s v=""/>
    <s v="106.4898855"/>
    <s v="10.6028007"/>
    <s v="106.6013147"/>
    <s v="10.8600854"/>
    <n v="147312"/>
    <n v="0"/>
    <n v="147312"/>
    <s v="Cash"/>
    <s v="Unnamed, Road, Cần Đước, Long An, Việt NamCông ty CP Kim khí Nam Hưng CN Thuận Đạo"/>
    <s v="Hoc Mon Agricultural Products Wholesale Market, Nguyễn Thị Sóc, Xuân Thới Sơn, Hồ Chí Minh, Việt NamHoc Mon Agricultural Products Wholesale Market"/>
    <n v="1"/>
    <x v="0"/>
    <x v="3"/>
    <d v="1899-12-30T22:04:41"/>
    <x v="310"/>
  </r>
  <r>
    <s v="3539515745212002574"/>
    <s v=""/>
    <x v="2"/>
    <n v="0"/>
    <s v=""/>
    <s v="NULL"/>
    <x v="0"/>
    <s v="2026-07-14 21:43:53"/>
    <s v="2026-07-15 09:14:00"/>
    <s v="NULL"/>
    <s v="NULL"/>
    <s v="2026-07-15 11:14:00"/>
    <s v=""/>
    <s v="106.5037935"/>
    <s v="10.5795504"/>
    <s v="106.6419476"/>
    <s v="10.799048"/>
    <n v="184356"/>
    <n v="0"/>
    <n v="184356"/>
    <s v="Cash"/>
    <s v="Công ty TNHH Thức Ăn Chăn Nuôi Thiên Bang Việt Nam, Long Cang, Cần Đước, Long An, Việt NamCông ty TNHH Thức Ăn Chăn Nuôi Thiên Bang Việt Nam"/>
    <s v="Tân Bình, Hồ Chí Minh, Việt NamTân Bình"/>
    <n v="1"/>
    <x v="0"/>
    <x v="3"/>
    <d v="1899-12-30T21:43:53"/>
    <x v="31"/>
  </r>
  <r>
    <s v="3539515745237164709"/>
    <s v=""/>
    <x v="2"/>
    <n v="0"/>
    <s v=""/>
    <s v="NULL"/>
    <x v="0"/>
    <s v="2026-07-14 22:01:16"/>
    <s v="2026-07-15 09:32:00"/>
    <s v="NULL"/>
    <s v="NULL"/>
    <s v="2026-07-23 08:53:54"/>
    <s v=""/>
    <s v="106.4946645"/>
    <s v="10.6118377"/>
    <s v="106.6586052"/>
    <s v="10.9713673"/>
    <n v="325512"/>
    <n v="0"/>
    <n v="325512"/>
    <s v="Cash"/>
    <s v="Lô C1, H, KCN Thuận Đạo Mở Rộng, 2 Đường Số 1, Long Định, Cần Đước, Long An, Việt NamChi nhánh Long An , Công ty TNHH Nutreco International Việt Nam (Nutreco Long An)"/>
    <s v="Thủ Dầu Một, Hồ Chí Minh, Việt NamThủ Dầu Một"/>
    <n v="1"/>
    <x v="0"/>
    <x v="3"/>
    <d v="1899-12-30T22:01:16"/>
    <x v="311"/>
  </r>
  <r>
    <s v="3539518415339475466"/>
    <s v=""/>
    <x v="2"/>
    <n v="2852976"/>
    <s v=""/>
    <s v="Motorcycle"/>
    <x v="1"/>
    <s v="2026-07-14 22:21:29"/>
    <s v="2026-07-15 08:52:00"/>
    <s v="2026-07-15 09:32:57"/>
    <s v="NULL"/>
    <s v="2026-07-15 09:37:21"/>
    <s v=""/>
    <s v="106.49803853787841"/>
    <s v="10.638238216969443"/>
    <s v="106.702825"/>
    <s v="10.8135113"/>
    <n v="185328"/>
    <n v="152123"/>
    <n v="33205"/>
    <s v="Cash"/>
    <s v="JFQX+892, Bến Lức, Tây Ninh 83000, Việt NamJFQX+892, Bến Lức, Tây Ninh 83000, Việt Nam"/>
    <s v="Bình Thạnh, Hồ Chí Minh, Việt NamBình Thạnh"/>
    <n v="1"/>
    <x v="0"/>
    <x v="3"/>
    <d v="1899-12-30T22:21:29"/>
    <x v="312"/>
  </r>
  <r>
    <s v="3539519200362193919"/>
    <s v=""/>
    <x v="2"/>
    <n v="0"/>
    <s v=""/>
    <s v="NULL"/>
    <x v="0"/>
    <s v="2026-07-14 22:16:04"/>
    <s v="2026-07-15 08:46:00"/>
    <s v="NULL"/>
    <s v="NULL"/>
    <s v="2026-07-15 10:46:00"/>
    <s v=""/>
    <s v="106.51468969144287"/>
    <s v="10.640431451092626"/>
    <s v="106.8023397"/>
    <s v="11.0762325"/>
    <n v="302508"/>
    <n v="0"/>
    <n v="302508"/>
    <s v="Cash"/>
    <s v="JGR7+5V Mỹ Yên, Long An, Việt NamJGR7+5V Mỹ Yên, Long An, Việt Nam"/>
    <s v="Tân Uyen bình dương, Tân Uyên, Hồ Chí Minh, Việt NamTân Uyen bình dương"/>
    <n v="1"/>
    <x v="0"/>
    <x v="3"/>
    <d v="1899-12-30T22:16:04"/>
    <x v="313"/>
  </r>
  <r>
    <s v="3539519200362193943"/>
    <s v=""/>
    <x v="2"/>
    <n v="0"/>
    <s v=""/>
    <s v="NULL"/>
    <x v="0"/>
    <s v="2026-07-14 22:16:29"/>
    <s v="2026-07-15 08:47:00"/>
    <s v="NULL"/>
    <s v="NULL"/>
    <s v="2026-07-15 10:47:00"/>
    <s v=""/>
    <s v="106.51468969144287"/>
    <s v="10.640431451092626"/>
    <s v="106.6586052"/>
    <s v="10.9713673"/>
    <n v="222588"/>
    <n v="0"/>
    <n v="222588"/>
    <s v="Cash"/>
    <s v="JGR7+5V Mỹ Yên, Long An, Việt NamJGR7+5V Mỹ Yên, Long An, Việt Nam"/>
    <s v="Thủ Dầu Một, Hồ Chí Minh, Việt NamThủ Dầu Một"/>
    <n v="1"/>
    <x v="0"/>
    <x v="3"/>
    <d v="1899-12-30T22:16:29"/>
    <x v="314"/>
  </r>
  <r>
    <s v="3539519200378966159"/>
    <s v=""/>
    <x v="2"/>
    <n v="0"/>
    <s v=""/>
    <s v="NULL"/>
    <x v="0"/>
    <s v="2026-07-14 22:17:22"/>
    <s v="2026-07-15 08:48:00"/>
    <s v="NULL"/>
    <s v="NULL"/>
    <s v="2026-07-15 10:48:00"/>
    <s v=""/>
    <s v="106.53640485562744"/>
    <s v="10.624066170306412"/>
    <s v="106.5922924"/>
    <s v="10.8863934"/>
    <n v="141372"/>
    <n v="0"/>
    <n v="141372"/>
    <s v="Cash"/>
    <s v="JGFP+RV2, Mỹ Yên, Tây Ninh, Việt NamJGFP+RV2, Mỹ Yên, Tây Ninh, Việt Nam"/>
    <s v="Hóc Môn, Hồ Chí Minh, Việt NamHóc Môn"/>
    <n v="1"/>
    <x v="0"/>
    <x v="3"/>
    <d v="1899-12-30T22:17:22"/>
    <x v="315"/>
  </r>
  <r>
    <s v="3539519200378966385"/>
    <s v=""/>
    <x v="2"/>
    <n v="0"/>
    <s v=""/>
    <s v="NULL"/>
    <x v="0"/>
    <s v="2026-07-14 22:20:21"/>
    <s v="2026-07-15 08:51:00"/>
    <s v="NULL"/>
    <s v="NULL"/>
    <s v="2026-07-15 10:51:00"/>
    <s v=""/>
    <s v="106.49803853787841"/>
    <s v="10.638238216969443"/>
    <s v="106.7528749"/>
    <s v="10.8963726"/>
    <n v="197748"/>
    <n v="0"/>
    <n v="197748"/>
    <s v="Cash"/>
    <s v="JFQX+892, Bến Lức, Tây Ninh 83000, Việt NamJFQX+892, Bến Lức, Tây Ninh 83000, Việt Nam"/>
    <s v="Dĩ An, Bình Dương, Việt NamDĩ An"/>
    <n v="1"/>
    <x v="0"/>
    <x v="3"/>
    <d v="1899-12-30T22:20:21"/>
    <x v="316"/>
  </r>
  <r>
    <s v="3539519200378966494"/>
    <s v=""/>
    <x v="2"/>
    <n v="2479852"/>
    <s v=""/>
    <s v="Motorcycle"/>
    <x v="1"/>
    <s v="2026-07-14 22:22:20"/>
    <s v="2026-07-15 08:53:00"/>
    <s v="2026-07-15 12:12:49"/>
    <s v="NULL"/>
    <s v="2026-07-15 12:29:53"/>
    <s v=""/>
    <s v="106.5083382204956"/>
    <s v="10.63317684727272"/>
    <s v="106.8045949"/>
    <s v="10.9364413"/>
    <n v="231768"/>
    <n v="179674"/>
    <n v="52094"/>
    <s v="Cash"/>
    <s v="275 QL1A, Bến Lức, Tây Ninh, Việt Nam275 QL1A, Bến Lức, Tây Ninh, Việt Nam"/>
    <s v="Biên Hòa, Đồng Nai, Việt NamBiên Hòa"/>
    <n v="1"/>
    <x v="0"/>
    <x v="3"/>
    <d v="1899-12-30T22:22:20"/>
    <x v="317"/>
  </r>
  <r>
    <s v="3539521895865209869"/>
    <s v=""/>
    <x v="2"/>
    <n v="0"/>
    <s v=""/>
    <s v="NULL"/>
    <x v="0"/>
    <s v="2026-07-14 22:23:20"/>
    <s v="2026-07-15 08:54:00"/>
    <s v="NULL"/>
    <s v="NULL"/>
    <s v="2026-07-15 10:54:00"/>
    <s v=""/>
    <s v="106.5083382204956"/>
    <s v="10.63317684727272"/>
    <s v="106.7136356"/>
    <s v="10.838933"/>
    <n v="155304"/>
    <n v="0"/>
    <n v="155304"/>
    <s v="Cash"/>
    <s v="275 QL1A, Bến Lức, Tây Ninh, Việt Nam275 QL1A, Bến Lức, Tây Ninh, Việt Nam"/>
    <s v="Thủ Đức Garden Homes, Đường Số 3, Hiệp Bình, Hồ Chí Minh, Việt NamThủ Đức Garden Homes"/>
    <n v="1"/>
    <x v="0"/>
    <x v="3"/>
    <d v="1899-12-30T22:23:20"/>
    <x v="62"/>
  </r>
  <r>
    <s v="3539522561417372480"/>
    <s v=""/>
    <x v="2"/>
    <n v="0"/>
    <s v=""/>
    <s v="NULL"/>
    <x v="0"/>
    <s v="2026-07-14 22:22:44"/>
    <s v="2026-07-15 08:53:00"/>
    <s v="NULL"/>
    <s v="NULL"/>
    <s v="2026-07-15 10:53:00"/>
    <s v=""/>
    <s v="106.5083382204956"/>
    <s v="10.63317684727272"/>
    <s v="107.0303221"/>
    <s v="10.7925089"/>
    <n v="395388"/>
    <n v="0"/>
    <n v="395388"/>
    <s v="Cash"/>
    <s v="275 QL1A, Bến Lức, Tây Ninh, Việt Nam275 QL1A, Bến Lức, Tây Ninh, Việt Nam"/>
    <s v="Long Thành, Đồng Nai, Việt NamLong Thành"/>
    <n v="1"/>
    <x v="0"/>
    <x v="3"/>
    <d v="1899-12-30T22:22:44"/>
    <x v="318"/>
  </r>
  <r>
    <s v="3539522864564887926"/>
    <s v=""/>
    <x v="2"/>
    <n v="0"/>
    <s v=""/>
    <s v="NULL"/>
    <x v="0"/>
    <s v="2026-07-14 22:02:51"/>
    <s v="2026-07-15 09:33:00"/>
    <s v="NULL"/>
    <s v="NULL"/>
    <s v="2026-07-15 11:33:00"/>
    <s v=""/>
    <s v="106.4951745"/>
    <s v="10.6017856"/>
    <s v="106.682188"/>
    <s v="10.948222"/>
    <n v="340848"/>
    <n v="0"/>
    <n v="340848"/>
    <s v="Cash"/>
    <s v="Lô F4,1, Lô F4,2 Đường Số 13, KCN Thuận Đạo mở rộng, Cần Đước, Long An, Việt NamCông ty TNHH Quick Pack Việt Nam"/>
    <s v="Thuận An, Hồ Chí Minh, Việt NamThuận An"/>
    <n v="1"/>
    <x v="0"/>
    <x v="3"/>
    <d v="1899-12-30T22:02:51"/>
    <x v="319"/>
  </r>
  <r>
    <s v="3539522864564888078"/>
    <s v=""/>
    <x v="2"/>
    <n v="0"/>
    <s v=""/>
    <s v="NULL"/>
    <x v="0"/>
    <s v="2026-07-14 22:05:01"/>
    <s v="2026-07-15 09:35:00"/>
    <s v="NULL"/>
    <s v="NULL"/>
    <s v="2026-07-15 11:35:00"/>
    <s v=""/>
    <s v="106.4898855"/>
    <s v="10.6028007"/>
    <s v="106.60382524763796"/>
    <s v="10.86129711629571"/>
    <n v="136836"/>
    <n v="0"/>
    <n v="136836"/>
    <s v="Cash"/>
    <s v="Unnamed, Road, Cần Đước, Long An, Việt NamCông ty CP Kim khí Nam Hưng CN Thuận Đạo"/>
    <s v="1B 46, Trung Chánh, Bà Điểm, Hồ Chí Minh, Việt Nam1B 46, Trung Chánh, Bà Điểm, Hồ Chí Minh, Việt Nam"/>
    <n v="1"/>
    <x v="0"/>
    <x v="3"/>
    <d v="1899-12-30T22:05:01"/>
    <x v="320"/>
  </r>
  <r>
    <s v="3539522864564888169"/>
    <s v=""/>
    <x v="2"/>
    <n v="0"/>
    <s v=""/>
    <s v="NULL"/>
    <x v="0"/>
    <s v="2026-07-14 22:06:28"/>
    <s v="2026-07-15 08:52:00"/>
    <s v="NULL"/>
    <s v="NULL"/>
    <s v="2026-07-15 10:52:00"/>
    <s v=""/>
    <s v="106.4898855"/>
    <s v="10.6028007"/>
    <s v="106.6419476"/>
    <s v="10.799048"/>
    <n v="119232"/>
    <n v="0"/>
    <n v="119232"/>
    <s v="Cash"/>
    <s v="Unnamed, Road, Cần Đước, Long An, Việt NamCông ty CP Kim khí Nam Hưng CN Thuận Đạo"/>
    <s v="Tân Bình, Hồ Chí Minh, Việt NamTân Bình"/>
    <n v="1"/>
    <x v="0"/>
    <x v="3"/>
    <d v="1899-12-30T22:06:28"/>
    <x v="321"/>
  </r>
  <r>
    <s v="3539525944719143881"/>
    <s v=""/>
    <x v="2"/>
    <n v="0"/>
    <s v=""/>
    <s v="NULL"/>
    <x v="0"/>
    <s v="2026-07-14 22:18:16"/>
    <s v="2026-07-15 08:49:00"/>
    <s v="NULL"/>
    <s v="NULL"/>
    <s v="2026-07-15 10:49:00"/>
    <s v=""/>
    <s v="106.53640485562744"/>
    <s v="10.624066170306412"/>
    <s v="106.8045949"/>
    <s v="10.9364413"/>
    <n v="213732"/>
    <n v="0"/>
    <n v="213732"/>
    <s v="Cash"/>
    <s v="JGFP+RV2, Mỹ Yên, Tây Ninh, Việt NamJGFP+RV2, Mỹ Yên, Tây Ninh, Việt Nam"/>
    <s v="Biên Hòa, Đồng Nai, Việt NamBiên Hòa"/>
    <n v="1"/>
    <x v="0"/>
    <x v="3"/>
    <d v="1899-12-30T22:18:16"/>
    <x v="322"/>
  </r>
  <r>
    <s v="3539527374221832277"/>
    <s v=""/>
    <x v="2"/>
    <n v="0"/>
    <s v=""/>
    <s v="NULL"/>
    <x v="0"/>
    <s v="2026-07-14 22:09:28"/>
    <s v="2026-07-15 09:40:00"/>
    <s v="NULL"/>
    <s v="NULL"/>
    <s v="2026-07-16 09:26:17"/>
    <s v=""/>
    <s v="106.50134301938476"/>
    <s v="10.62292731657329"/>
    <s v="106.6350013"/>
    <s v="10.9399035"/>
    <n v="205740"/>
    <n v="0"/>
    <n v="205740"/>
    <s v="Cash"/>
    <s v="JGF2+5G Bến Lức, Long An, Việt NamJGF2+5G Bến Lức, Long An, Việt Nam"/>
    <s v="Củ chi, Bình Mỹ, Hồ Chí Minh, Việt NamCủ chi"/>
    <n v="1"/>
    <x v="0"/>
    <x v="3"/>
    <d v="1899-12-30T22:09:28"/>
    <x v="323"/>
  </r>
  <r>
    <s v="3539527374221832333"/>
    <s v=""/>
    <x v="2"/>
    <n v="0"/>
    <s v=""/>
    <s v="NULL"/>
    <x v="0"/>
    <s v="2026-07-14 22:10:07"/>
    <s v="2026-07-15 08:40:00"/>
    <s v="NULL"/>
    <s v="NULL"/>
    <s v="2026-07-15 10:40:00"/>
    <s v=""/>
    <s v="106.50134301938476"/>
    <s v="10.62292731657329"/>
    <s v="106.702825"/>
    <s v="10.8135113"/>
    <n v="144288"/>
    <n v="0"/>
    <n v="144288"/>
    <s v="Cash"/>
    <s v="JGF2+5G Bến Lức, Long An, Việt NamJGF2+5G Bến Lức, Long An, Việt Nam"/>
    <s v="Bình Thạnh, Hồ Chí Minh, Việt NamBình Thạnh"/>
    <n v="1"/>
    <x v="0"/>
    <x v="3"/>
    <d v="1899-12-30T22:10:07"/>
    <x v="309"/>
  </r>
  <r>
    <s v="3539527374221833088"/>
    <s v=""/>
    <x v="2"/>
    <n v="0"/>
    <s v=""/>
    <s v="NULL"/>
    <x v="0"/>
    <s v="2026-07-14 22:21:08"/>
    <s v="2026-07-15 08:51:00"/>
    <s v="NULL"/>
    <s v="NULL"/>
    <s v="2026-07-15 10:51:00"/>
    <s v=""/>
    <s v="106.49803853787841"/>
    <s v="10.638238216969443"/>
    <s v="106.6586052"/>
    <s v="10.9713673"/>
    <n v="218916"/>
    <n v="0"/>
    <n v="218916"/>
    <s v="Cash"/>
    <s v="JFQX+892, Bến Lức, Tây Ninh 83000, Việt NamJFQX+892, Bến Lức, Tây Ninh 83000, Việt Nam"/>
    <s v="Thủ Dầu Một, Hồ Chí Minh, Việt NamThủ Dầu Một"/>
    <n v="1"/>
    <x v="0"/>
    <x v="3"/>
    <d v="1899-12-30T22:21:08"/>
    <x v="324"/>
  </r>
  <r>
    <s v="3539599007557046845"/>
    <s v=""/>
    <x v="2"/>
    <n v="3685244"/>
    <s v=""/>
    <s v="Motorcycle"/>
    <x v="1"/>
    <s v="2026-07-15 05:32:37"/>
    <s v="2026-07-15 10:03:00"/>
    <s v="2026-07-15 11:14:57"/>
    <s v="NULL"/>
    <s v="2026-07-15 11:27:01"/>
    <s v=""/>
    <s v="106.5139924"/>
    <s v="10.6327756"/>
    <s v="106.5922924"/>
    <s v="10.8863934"/>
    <n v="130572"/>
    <n v="101224"/>
    <n v="29348"/>
    <s v="Cash"/>
    <s v="Km 1930, Voi Lá, ấp QL1A, Long Hiệp, Bến Lức, Long An 82619, Việt NamCông ty TNHH Bao Bì Xuất Khẩu và Thương Mại Vạn Thành"/>
    <s v="Hóc Môn, Hồ Chí Minh, Việt NamHóc Môn"/>
    <n v="1"/>
    <x v="0"/>
    <x v="4"/>
    <d v="1899-12-30T05:32:37"/>
    <x v="325"/>
  </r>
  <r>
    <s v="3539599007557047288"/>
    <s v=""/>
    <x v="2"/>
    <n v="4522767"/>
    <s v=""/>
    <s v="Motorcycle"/>
    <x v="1"/>
    <s v="2026-07-15 05:46:08"/>
    <s v="2026-07-15 09:57:00"/>
    <s v="2026-07-15 06:45:28"/>
    <s v="NULL"/>
    <s v="2026-07-15 07:23:37"/>
    <s v=""/>
    <s v="106.5424234"/>
    <s v="10.6455987"/>
    <s v="106.7027847"/>
    <s v="10.8134919"/>
    <n v="110808"/>
    <n v="85902"/>
    <n v="24906"/>
    <s v="Cash"/>
    <s v="58 QL1A, Mỹ Yên, Bến Lức, Long An, Việt NamCông Ty TNHH Đế Vương"/>
    <s v="Bình Thạnh, Hồ Chí Minh, Việt NamBình Thạnh"/>
    <n v="1"/>
    <x v="0"/>
    <x v="4"/>
    <d v="1899-12-30T05:46:08"/>
    <x v="326"/>
  </r>
  <r>
    <s v="3539601279234036062"/>
    <s v=""/>
    <x v="2"/>
    <n v="0"/>
    <s v=""/>
    <s v="NULL"/>
    <x v="0"/>
    <s v="2026-07-15 05:29:11"/>
    <s v="2026-07-15 08:59:00"/>
    <s v="NULL"/>
    <s v="NULL"/>
    <s v="2026-07-15 10:59:00"/>
    <s v=""/>
    <s v="106.5139924"/>
    <s v="10.6327756"/>
    <s v="106.6263666"/>
    <s v="11.0899974"/>
    <n v="269244"/>
    <n v="0"/>
    <n v="269244"/>
    <s v="Cash"/>
    <s v="Km 1930, Voi Lá, ấp QL1A, Long Hiệp, Bến Lức, Long An 82619, Việt NamCông ty TNHH Bao Bì Xuất Khẩu và Thương Mại Vạn Thành"/>
    <s v="Bến cát Bình Dương, Quốc lộ 13, Thới Hòa, Hồ Chí Minh, Việt NamBến cát Bình Dương"/>
    <n v="1"/>
    <x v="0"/>
    <x v="4"/>
    <d v="1899-12-30T05:29:11"/>
    <x v="327"/>
  </r>
  <r>
    <s v="3539618904664138600"/>
    <s v=""/>
    <x v="2"/>
    <n v="4129757"/>
    <s v=""/>
    <s v="Motorcycle"/>
    <x v="2"/>
    <s v="2026-07-15 05:32:02"/>
    <s v="2026-07-15 09:57:00"/>
    <s v="2026-07-15 10:07:59"/>
    <s v="NULL"/>
    <s v=""/>
    <s v=""/>
    <s v="106.5139924"/>
    <s v="10.6327756"/>
    <s v="106.8023397"/>
    <s v="11.0762325"/>
    <n v="273240"/>
    <n v="211824"/>
    <n v="61416"/>
    <s v="Cash"/>
    <s v="Km 1930, Voi Lá, ấp QL1A, Long Hiệp, Bến Lức, Long An 82619, Việt NamCông ty TNHH Bao Bì Xuất Khẩu và Thương Mại Vạn Thành"/>
    <s v="Tân Uyen bình dương, Tân Uyên, Hồ Chí Minh, Việt NamTân Uyen bình dương"/>
    <n v="1"/>
    <x v="0"/>
    <x v="4"/>
    <d v="1899-12-30T05:32:02"/>
    <x v="14"/>
  </r>
  <r>
    <s v="3539618904664138661"/>
    <s v=""/>
    <x v="2"/>
    <n v="0"/>
    <s v=""/>
    <s v="NULL"/>
    <x v="0"/>
    <s v="2026-07-15 05:34:41"/>
    <s v="2026-07-15 10:05:00"/>
    <s v="NULL"/>
    <s v="NULL"/>
    <s v="2026-07-15 12:05:00"/>
    <s v=""/>
    <s v="106.5139924"/>
    <s v="10.6327756"/>
    <s v="106.5230542"/>
    <s v="10.962533"/>
    <n v="201312"/>
    <n v="0"/>
    <n v="201312"/>
    <s v="Cash"/>
    <s v="Km 1930, Voi Lá, ấp QL1A, Long Hiệp, Bến Lức, Long An 82619, Việt NamCông ty TNHH Bao Bì Xuất Khẩu và Thương Mại Vạn Thành"/>
    <s v="Củ Chi, Hồ Chí Minh, Việt NamCủ Chi"/>
    <n v="1"/>
    <x v="0"/>
    <x v="4"/>
    <d v="1899-12-30T05:34:41"/>
    <x v="328"/>
  </r>
  <r>
    <s v="3539618904680910889"/>
    <s v=""/>
    <x v="2"/>
    <n v="3764010"/>
    <s v=""/>
    <s v="Motorcycle"/>
    <x v="2"/>
    <s v="2026-07-15 05:40:10"/>
    <s v="2026-07-15 10:21:00"/>
    <s v="2026-07-15 11:07:06"/>
    <s v="2026-07-15 11:44:34"/>
    <s v=""/>
    <s v=""/>
    <s v="106.5101334"/>
    <s v="10.6367997"/>
    <s v="106.8045949"/>
    <s v="10.9364413"/>
    <n v="211788"/>
    <n v="164185"/>
    <n v="47603"/>
    <s v="Cash"/>
    <s v="Lô D2,4, Đường Vl2, Khu Công Nghiệp Vĩnh Lộc 2, Ấp Vôi Lá, Lương Hoà, Bến Lức, Long An, Việt NamCông Ty Cổ Phần Kim Khí Nam Hưng"/>
    <s v="Biên Hòa, Đồng Nai, Việt NamBiên Hòa"/>
    <n v="1"/>
    <x v="0"/>
    <x v="4"/>
    <d v="1899-12-30T05:40:10"/>
    <x v="14"/>
  </r>
  <r>
    <s v="3539626075632132684"/>
    <s v=""/>
    <x v="2"/>
    <n v="0"/>
    <s v=""/>
    <s v="NULL"/>
    <x v="0"/>
    <s v="2026-07-15 05:30:52"/>
    <s v="2026-07-15 08:59:00"/>
    <s v="NULL"/>
    <s v="NULL"/>
    <s v="2026-07-15 10:59:00"/>
    <s v=""/>
    <s v="106.5139924"/>
    <s v="10.6327756"/>
    <s v="106.7518574"/>
    <s v="10.9205741"/>
    <n v="208116"/>
    <n v="0"/>
    <n v="208116"/>
    <s v="Cash"/>
    <s v="Km 1930, Voi Lá, ấp QL1A, Long Hiệp, Bến Lức, Long An 82619, Việt NamCông ty TNHH Bao Bì Xuất Khẩu và Thương Mại Vạn Thành"/>
    <s v="Dĩ An, Bình Dương, Dĩ An, Tân Đông Hiệp, Hồ Chí Minh, Việt NamDĩ An, Bình Dương"/>
    <n v="1"/>
    <x v="0"/>
    <x v="4"/>
    <d v="1899-12-30T05:30:52"/>
    <x v="329"/>
  </r>
  <r>
    <s v="3539626075632132750"/>
    <s v=""/>
    <x v="2"/>
    <n v="4411069"/>
    <s v=""/>
    <s v="Motorcycle"/>
    <x v="1"/>
    <s v="2026-07-15 05:33:14"/>
    <s v="2026-07-15 10:03:00"/>
    <s v="2026-07-15 10:00:16"/>
    <s v="NULL"/>
    <s v="2026-07-15 10:08:55"/>
    <s v=""/>
    <s v="106.5139924"/>
    <s v="10.6327756"/>
    <s v="106.6733441"/>
    <s v="10.8314858"/>
    <n v="123228"/>
    <n v="95530"/>
    <n v="27698"/>
    <s v="Cash"/>
    <s v="Km 1930, Voi Lá, ấp QL1A, Long Hiệp, Bến Lức, Long An 82619, Việt NamCông ty TNHH Bao Bì Xuất Khẩu và Thương Mại Vạn Thành"/>
    <s v="Gò Vấp, Hồ Chí Minh, Việt NamGò Vấp"/>
    <n v="1"/>
    <x v="0"/>
    <x v="4"/>
    <d v="1899-12-30T05:33:14"/>
    <x v="330"/>
  </r>
  <r>
    <s v="3539626075632132936"/>
    <s v=""/>
    <x v="2"/>
    <n v="0"/>
    <s v=""/>
    <s v="NULL"/>
    <x v="0"/>
    <s v="2026-07-15 05:39:43"/>
    <s v="2026-07-15 09:00:00"/>
    <s v="NULL"/>
    <s v="NULL"/>
    <s v="2026-07-15 11:00:00"/>
    <s v=""/>
    <s v="106.5101334"/>
    <s v="10.6367997"/>
    <s v="106.8045949"/>
    <s v="10.9364413"/>
    <n v="222588"/>
    <n v="0"/>
    <n v="222588"/>
    <s v="Cash"/>
    <s v="Lô D2,4, Đường Vl2, Khu Công Nghiệp Vĩnh Lộc 2, Ấp Vôi Lá, Lương Hoà, Bến Lức, Long An, Việt NamCông Ty Cổ Phần Kim Khí Nam Hưng"/>
    <s v="Biên Hòa, Đồng Nai, Việt NamBiên Hòa"/>
    <n v="1"/>
    <x v="0"/>
    <x v="4"/>
    <d v="1899-12-30T05:39:43"/>
    <x v="331"/>
  </r>
  <r>
    <s v="3539626075648905416"/>
    <s v=""/>
    <x v="2"/>
    <n v="0"/>
    <s v=""/>
    <s v="NULL"/>
    <x v="0"/>
    <s v="2026-07-15 05:49:52"/>
    <s v="2026-07-15 09:11:00"/>
    <s v="NULL"/>
    <s v="NULL"/>
    <s v="2026-07-15 11:11:00"/>
    <s v=""/>
    <s v="106.5532354"/>
    <s v="10.6378417"/>
    <s v="106.8532381"/>
    <s v="11.16239"/>
    <n v="338472"/>
    <n v="0"/>
    <n v="338472"/>
    <s v="Cash"/>
    <s v="36 Đường Mười Cày, Phước Lý, Cần Giuộc, Long An, Việt NamCÔNG TY TNHH SẢN XUẤT TRANG TRÍ NỘI THẤT NHẬT PHI"/>
    <s v="Bắc Tân Uyên, Hồ Chí Minh, Việt NamBắc Tân Uyên"/>
    <n v="1"/>
    <x v="0"/>
    <x v="4"/>
    <d v="1899-12-30T05:49:52"/>
    <x v="332"/>
  </r>
  <r>
    <s v="3539646846639231232"/>
    <s v=""/>
    <x v="2"/>
    <n v="0"/>
    <s v=""/>
    <s v="NULL"/>
    <x v="0"/>
    <s v="2026-07-15 05:34:17"/>
    <s v="2026-07-15 10:05:00"/>
    <s v="NULL"/>
    <s v="NULL"/>
    <s v="2026-07-15 12:05:00"/>
    <s v=""/>
    <s v="106.5139924"/>
    <s v="10.6327756"/>
    <s v="106.5908874"/>
    <s v="10.7924296"/>
    <n v="90936"/>
    <n v="0"/>
    <n v="90936"/>
    <s v="Cash"/>
    <s v="Km 1930, Voi Lá, ấp QL1A, Long Hiệp, Bến Lức, Long An 82619, Việt NamCông ty TNHH Bao Bì Xuất Khẩu và Thương Mại Vạn Thành"/>
    <s v="Bình Tân, Hồ Chí Minh, Việt NamBình Tân"/>
    <n v="1"/>
    <x v="0"/>
    <x v="4"/>
    <d v="1899-12-30T05:34:17"/>
    <x v="333"/>
  </r>
  <r>
    <s v="3539653594284515793"/>
    <s v=""/>
    <x v="2"/>
    <n v="4057288"/>
    <s v=""/>
    <s v="Motorcycle"/>
    <x v="2"/>
    <s v="2026-07-15 05:43:48"/>
    <s v="2026-07-15 10:14:00"/>
    <s v="2026-07-15 15:23:08"/>
    <s v="2026-07-15 15:27:55"/>
    <s v=""/>
    <s v=""/>
    <s v="106.5424234"/>
    <s v="10.6455987"/>
    <s v="106.8045949"/>
    <s v="10.9364413"/>
    <n v="200124"/>
    <n v="155142"/>
    <n v="44982"/>
    <s v="Cash"/>
    <s v="58 QL1A, Mỹ Yên, Bến Lức, Long An, Việt NamCông Ty TNHH Đế Vương"/>
    <s v="Biên Hòa, Đồng Nai, Việt NamBiên Hòa"/>
    <n v="1"/>
    <x v="0"/>
    <x v="4"/>
    <d v="1899-12-30T05:43:48"/>
    <x v="14"/>
  </r>
  <r>
    <s v="3539653594284516068"/>
    <s v=""/>
    <x v="2"/>
    <n v="4522767"/>
    <s v=""/>
    <s v="Motorcycle"/>
    <x v="1"/>
    <s v="2026-07-15 05:51:06"/>
    <s v="2026-07-15 09:00:00"/>
    <s v="2026-07-15 06:31:41"/>
    <s v="NULL"/>
    <s v="2026-07-15 07:16:54"/>
    <s v=""/>
    <s v="106.5532354"/>
    <s v="10.6378417"/>
    <s v="106.7518574"/>
    <s v="10.9205741"/>
    <n v="187812"/>
    <n v="145598"/>
    <n v="42214"/>
    <s v="Cash"/>
    <s v="36 Đường Mười Cày, Phước Lý, Cần Giuộc, Long An, Việt NamCÔNG TY TNHH SẢN XUẤT TRANG TRÍ NỘI THẤT NHẬT PHI"/>
    <s v="Dĩ An, Bình Dương, Dĩ An, Tân Đông Hiệp, Hồ Chí Minh, Việt NamDĩ An, Bình Dương"/>
    <n v="1"/>
    <x v="0"/>
    <x v="4"/>
    <d v="1899-12-30T05:51:06"/>
    <x v="334"/>
  </r>
  <r>
    <s v="3539663435061219936"/>
    <s v=""/>
    <x v="2"/>
    <n v="4626251"/>
    <s v=""/>
    <s v="Motorcycle"/>
    <x v="2"/>
    <s v="2026-07-15 05:54:47"/>
    <s v="2026-07-15 09:00:00"/>
    <s v="2026-07-15 10:28:21"/>
    <s v="NULL"/>
    <s v=""/>
    <s v=""/>
    <s v="106.5502011"/>
    <s v="10.6534976"/>
    <s v="106.6419476"/>
    <s v="10.799048"/>
    <n v="84672"/>
    <n v="65640"/>
    <n v="19032"/>
    <s v="Cash"/>
    <s v="Cty TNHH MTV SX TM CB Thực phẩm Vĩ Huy, Mỹ Yên, Tây Ninh, Việt NamCty TNHH MTV SX TM CB Thực phẩm Vĩ Huy"/>
    <s v="Tân Bình, Hồ Chí Minh, Việt NamTân Bình"/>
    <n v="1"/>
    <x v="0"/>
    <x v="4"/>
    <d v="1899-12-30T05:54:47"/>
    <x v="14"/>
  </r>
  <r>
    <s v="3539708641471066410"/>
    <s v=""/>
    <x v="2"/>
    <n v="0"/>
    <s v=""/>
    <s v="NULL"/>
    <x v="0"/>
    <s v="2026-07-15 05:41:15"/>
    <s v="2026-07-15 09:11:00"/>
    <s v="NULL"/>
    <s v="NULL"/>
    <s v="2026-07-15 11:11:00"/>
    <s v=""/>
    <s v="106.5101334"/>
    <s v="10.6367997"/>
    <s v="107.0303221"/>
    <s v="10.7925089"/>
    <n v="280044"/>
    <n v="0"/>
    <n v="280044"/>
    <s v="Cash"/>
    <s v="Lô D2,4, Đường Vl2, Khu Công Nghiệp Vĩnh Lộc 2, Ấp Vôi Lá, Lương Hoà, Bến Lức, Long An, Việt NamCông Ty Cổ Phần Kim Khí Nam Hưng"/>
    <s v="Long Thành, Đồng Nai, Việt NamLong Thành"/>
    <n v="1"/>
    <x v="0"/>
    <x v="4"/>
    <d v="1899-12-30T05:41:15"/>
    <x v="335"/>
  </r>
  <r>
    <s v="3539741623321849897"/>
    <s v=""/>
    <x v="2"/>
    <n v="4522767"/>
    <s v=""/>
    <s v="Motorcycle"/>
    <x v="1"/>
    <s v="2026-07-15 05:51:39"/>
    <s v="2026-07-15 09:00:00"/>
    <s v="2026-07-15 06:31:51"/>
    <s v="NULL"/>
    <s v="2026-07-15 07:21:29"/>
    <s v=""/>
    <s v="106.5532354"/>
    <s v="10.6378417"/>
    <s v="106.6586052"/>
    <s v="10.9713673"/>
    <n v="208980"/>
    <n v="162008"/>
    <n v="46972"/>
    <s v="Cash"/>
    <s v="36 Đường Mười Cày, Phước Lý, Cần Giuộc, Long An, Việt NamCÔNG TY TNHH SẢN XUẤT TRANG TRÍ NỘI THẤT NHẬT PHI"/>
    <s v="Thủ Dầu Một, Hồ Chí Minh, Việt NamThủ Dầu Một"/>
    <n v="1"/>
    <x v="0"/>
    <x v="4"/>
    <d v="1899-12-30T05:51:39"/>
    <x v="336"/>
  </r>
  <r>
    <s v="3539777959827296923"/>
    <s v=""/>
    <x v="2"/>
    <n v="3746341"/>
    <s v=""/>
    <s v="Motorcycle"/>
    <x v="1"/>
    <s v="2026-07-15 07:02:30"/>
    <s v="2026-07-15 07:12:29"/>
    <s v="2026-07-15 07:59:02"/>
    <s v="NULL"/>
    <s v="2026-07-15 08:04:40"/>
    <s v=""/>
    <s v="106.4565394"/>
    <s v="10.6698277"/>
    <s v="106.6263666"/>
    <s v="11.0899974"/>
    <n v="393984"/>
    <n v="323395"/>
    <n v="70589"/>
    <s v="Cash"/>
    <s v="47C, Provincial Road 830/2 Commune, Hamlet 3, Bến Lức, Long An 850000, Việt NamCÔNG TY TNHH MTV HÒA THÀNH LONG AN"/>
    <s v="Bến cát Bình Dương, Quốc lộ 13, Thới Hòa, Hồ Chí Minh, Việt NamBến cát Bình Dương"/>
    <n v="1"/>
    <x v="0"/>
    <x v="4"/>
    <d v="1899-12-30T07:02:30"/>
    <x v="337"/>
  </r>
  <r>
    <s v="3539784141207983077"/>
    <s v=""/>
    <x v="2"/>
    <n v="0"/>
    <s v=""/>
    <s v="NULL"/>
    <x v="0"/>
    <s v="2026-07-15 07:11:23"/>
    <s v="2026-07-15 07:21:22"/>
    <s v="NULL"/>
    <s v="NULL"/>
    <s v="2026-07-15 09:21:22"/>
    <s v=""/>
    <s v="106.5139264"/>
    <s v="10.6292206"/>
    <s v="106.702825"/>
    <s v="10.8135113"/>
    <n v="198720"/>
    <n v="0"/>
    <n v="198720"/>
    <s v="Cash"/>
    <s v="Lô B7, Đường số 4, KCN, Phúc Long, Long Hiệp, Bến Lức, Long An, Việt NamCông Ty TNHH MTV Cellutane Việt Nam"/>
    <s v="Bình Thạnh, Hồ Chí Minh, Việt NamBình Thạnh"/>
    <n v="1"/>
    <x v="0"/>
    <x v="4"/>
    <d v="1899-12-30T07:11:23"/>
    <x v="9"/>
  </r>
  <r>
    <s v="3539785046523335129"/>
    <s v=""/>
    <x v="2"/>
    <n v="0"/>
    <s v=""/>
    <s v="NULL"/>
    <x v="0"/>
    <s v="2026-07-15 07:07:42"/>
    <s v="2026-07-15 07:17:41"/>
    <s v="NULL"/>
    <s v="NULL"/>
    <s v="2026-07-15 09:17:41"/>
    <s v=""/>
    <s v="106.5110835"/>
    <s v="10.6189887"/>
    <s v="106.7167900283417"/>
    <s v="10.845021984429108"/>
    <n v="153900"/>
    <n v="0"/>
    <n v="153900"/>
    <s v="Cash"/>
    <s v="lô H5 – đường số 8 KCN Phuc Long X.Long Hiep H, Long Hiệp, Bến Lức, Long An, Việt NamCông ty cổ phần Sơn và Chống thấm Việt Nhật"/>
    <s v="9/QL13/31 Tổ 8, Khu Phố 5, Hiệp Bình, Hồ Chí Minh, Việt Nam9/QL13/31 Tổ 8, Khu Phố 5, Hiệp Bình, Hồ Chí Minh, Việt Nam"/>
    <n v="1"/>
    <x v="0"/>
    <x v="4"/>
    <d v="1899-12-30T07:07:42"/>
    <x v="9"/>
  </r>
  <r>
    <s v="3539785046523335526"/>
    <s v=""/>
    <x v="2"/>
    <n v="0"/>
    <s v=""/>
    <s v="NULL"/>
    <x v="0"/>
    <s v="2026-07-15 07:11:09"/>
    <s v="2026-07-15 07:21:09"/>
    <s v="NULL"/>
    <s v="NULL"/>
    <s v="2026-07-15 09:21:09"/>
    <s v=""/>
    <s v="106.5139264"/>
    <s v="10.6292206"/>
    <s v="106.702825"/>
    <s v="10.8135113"/>
    <n v="145044"/>
    <n v="0"/>
    <n v="145044"/>
    <s v="Cash"/>
    <s v="Lô B7, Đường số 4, KCN, Phúc Long, Long Hiệp, Bến Lức, Long An, Việt NamCông Ty TNHH MTV Cellutane Việt Nam"/>
    <s v="Bình Thạnh, Hồ Chí Minh, Việt NamBình Thạnh"/>
    <n v="1"/>
    <x v="0"/>
    <x v="4"/>
    <d v="1899-12-30T07:11:09"/>
    <x v="4"/>
  </r>
  <r>
    <s v="3539789726980723383"/>
    <s v=""/>
    <x v="2"/>
    <n v="0"/>
    <s v=""/>
    <s v="NULL"/>
    <x v="0"/>
    <s v="2026-07-15 07:14:29"/>
    <s v="2026-07-15 07:24:28"/>
    <s v="NULL"/>
    <s v="NULL"/>
    <s v="2026-07-15 09:58:04"/>
    <s v=""/>
    <s v="106.5089814"/>
    <s v="10.6378936"/>
    <s v="106.6263666"/>
    <s v="11.0899974"/>
    <n v="263304"/>
    <n v="0"/>
    <n v="263304"/>
    <s v="Cash"/>
    <s v="Lô A1, Nhà xưởng G1, 20 Đường VL2, Khu công nghiệp, Mỹ Yên, Tây Ninh, Việt NamCÔNG TY TNHH VIETNAM WIN TEXTILES"/>
    <s v="Bến cát Bình Dương, Quốc lộ 13, Thới Hòa, Hồ Chí Minh, Việt NamBến cát Bình Dương"/>
    <n v="1"/>
    <x v="0"/>
    <x v="4"/>
    <d v="1899-12-30T07:14:29"/>
    <x v="338"/>
  </r>
  <r>
    <s v="3539791382648676763"/>
    <s v=""/>
    <x v="2"/>
    <n v="4629882"/>
    <s v=""/>
    <s v="Motorcycle"/>
    <x v="2"/>
    <s v="2026-07-15 07:05:29"/>
    <s v="2026-07-15 07:15:28"/>
    <s v="2026-07-15 08:04:03"/>
    <s v="NULL"/>
    <s v=""/>
    <s v=""/>
    <s v="106.5033511"/>
    <s v="10.6243758"/>
    <s v="106.8045949"/>
    <s v="10.9364413"/>
    <n v="234144"/>
    <n v="181516"/>
    <n v="52628"/>
    <s v="Cash"/>
    <s v="Cong Ty TNHH MTV Tu Van Xay Dung Thien Kim, Ap Lo Gach, Bến Lức, Tây Ninh, Việt NamCong Ty TNHH MTV Tu Van Xay Dung Thien Kim"/>
    <s v="Biên Hòa, Đồng Nai, Việt NamBiên Hòa"/>
    <n v="1"/>
    <x v="0"/>
    <x v="4"/>
    <d v="1899-12-30T07:05:29"/>
    <x v="14"/>
  </r>
  <r>
    <s v="3539791382648677042"/>
    <s v=""/>
    <x v="2"/>
    <n v="0"/>
    <s v=""/>
    <s v="NULL"/>
    <x v="0"/>
    <s v="2026-07-15 07:08:11"/>
    <s v="2026-07-15 07:18:10"/>
    <s v="NULL"/>
    <s v="NULL"/>
    <s v="2026-07-15 09:18:10"/>
    <s v=""/>
    <s v="106.5110835"/>
    <s v="10.6189887"/>
    <s v="106.7866577"/>
    <s v="10.8450844"/>
    <n v="194940"/>
    <n v="0"/>
    <n v="194940"/>
    <s v="Cash"/>
    <s v="lô H5 – đường số 8 KCN Phuc Long X.Long Hiep H, Long Hiệp, Bến Lức, Long An, Việt NamCông ty cổ phần Sơn và Chống thấm Việt Nhật"/>
    <s v="Quận 9, Tăng Nhơn Phú, Hồ Chí Minh, Việt NamQuận 9"/>
    <n v="1"/>
    <x v="0"/>
    <x v="4"/>
    <d v="1899-12-30T07:08:11"/>
    <x v="9"/>
  </r>
  <r>
    <s v="3539791382673839020"/>
    <s v=""/>
    <x v="2"/>
    <n v="3974295"/>
    <s v=""/>
    <s v="Motorcycle"/>
    <x v="1"/>
    <s v="2026-07-15 07:17:16"/>
    <s v="2026-07-15 07:27:15"/>
    <s v="2026-07-15 08:48:52"/>
    <s v="2026-07-15 09:00:46"/>
    <s v="2026-07-15 09:34:54"/>
    <s v=""/>
    <s v="106.5083764"/>
    <s v="10.6428357"/>
    <s v="106.5230542"/>
    <s v="10.962533"/>
    <n v="275832"/>
    <n v="213834"/>
    <n v="61998"/>
    <s v="Cash"/>
    <s v="CÔNG TY TNHH BIBICA MIỀN TÂY, 9 VL3, KCN Vĩnh Lộc 2, Long Hiệp, Bến Lức, Long An, Việt NamCÔNG TY TNHH BIBICA MIỀN TÂY"/>
    <s v="Củ Chi, Hồ Chí Minh, Việt NamCủ Chi"/>
    <n v="1"/>
    <x v="0"/>
    <x v="4"/>
    <d v="1899-12-30T07:17:16"/>
    <x v="339"/>
  </r>
  <r>
    <s v="3539794729166397599"/>
    <s v=""/>
    <x v="2"/>
    <n v="0"/>
    <s v=""/>
    <s v="NULL"/>
    <x v="0"/>
    <s v="2026-07-15 07:07:09"/>
    <s v="2026-07-15 07:17:08"/>
    <s v="NULL"/>
    <s v="NULL"/>
    <s v="2026-07-15 09:17:09"/>
    <s v=""/>
    <s v="106.5110835"/>
    <s v="10.6189887"/>
    <s v="106.7136356"/>
    <s v="10.838933"/>
    <n v="156060"/>
    <n v="0"/>
    <n v="156060"/>
    <s v="Cash"/>
    <s v="lô H5 – đường số 8 KCN Phuc Long X.Long Hiep H, Long Hiệp, Bến Lức, Long An, Việt NamCông ty cổ phần Sơn và Chống thấm Việt Nhật"/>
    <s v="Thủ Đức Garden Homes, Đường Số 3, Hiệp Bình, Hồ Chí Minh, Việt NamThủ Đức Garden Homes"/>
    <n v="1"/>
    <x v="0"/>
    <x v="4"/>
    <d v="1899-12-30T07:07:09"/>
    <x v="4"/>
  </r>
  <r>
    <s v="3539794729166398243"/>
    <s v=""/>
    <x v="2"/>
    <n v="0"/>
    <s v=""/>
    <s v="NULL"/>
    <x v="0"/>
    <s v="2026-07-15 07:12:35"/>
    <s v="2026-07-15 07:22:34"/>
    <s v="NULL"/>
    <s v="NULL"/>
    <s v="2026-07-15 09:22:34"/>
    <s v=""/>
    <s v="106.5078604"/>
    <s v="10.6267066"/>
    <s v="106.7371475"/>
    <s v="10.7944654"/>
    <n v="141372"/>
    <n v="0"/>
    <n v="141372"/>
    <s v="Cash"/>
    <s v="Long Hiệp, Bến Lức, Long An, Việt NamCông Ty TNHH Rượu Đệ Nhất Gò Đen"/>
    <s v="quận 2, Đường Số 3, An Khánh, Hồ Chí Minh, Việt Namquận 2"/>
    <n v="1"/>
    <x v="0"/>
    <x v="4"/>
    <d v="1899-12-30T07:12:35"/>
    <x v="9"/>
  </r>
  <r>
    <s v="3539794729183171244"/>
    <s v=""/>
    <x v="2"/>
    <n v="0"/>
    <s v=""/>
    <s v="NULL"/>
    <x v="0"/>
    <s v="2026-07-15 07:19:39"/>
    <s v="2026-07-15 07:29:39"/>
    <s v="NULL"/>
    <s v="NULL"/>
    <s v="2026-07-15 09:29:39"/>
    <s v=""/>
    <s v="106.5226015"/>
    <s v="10.6434243"/>
    <s v="106.7528749"/>
    <s v="10.8963726"/>
    <n v="201744"/>
    <n v="0"/>
    <n v="201744"/>
    <s v="Cash"/>
    <s v="CÔNG TY CỔ PHẦN SX TM KHANG VIỆT, Ấp Voi Lá, Mỹ Yên, Tây Ninh, Việt NamCÔNG TY CỔ PHẦN SX TM KHANG VIỆT"/>
    <s v="Dĩ An, Bình Dương, Việt NamDĩ An"/>
    <n v="1"/>
    <x v="0"/>
    <x v="4"/>
    <d v="1899-12-30T07:19:39"/>
    <x v="4"/>
  </r>
  <r>
    <s v="3539796042218430890"/>
    <s v=""/>
    <x v="2"/>
    <n v="3746341"/>
    <s v=""/>
    <s v="Motorcycle"/>
    <x v="1"/>
    <s v="2026-07-15 07:03:12"/>
    <s v="2026-07-15 07:13:12"/>
    <s v="2026-07-15 07:11:43"/>
    <s v="NULL"/>
    <s v="2026-07-15 07:18:34"/>
    <s v=""/>
    <s v="106.4565394"/>
    <s v="10.6698277"/>
    <s v="106.7528749"/>
    <s v="10.8963726"/>
    <n v="218916"/>
    <n v="179694"/>
    <n v="39222"/>
    <s v="Cash"/>
    <s v="47C, Provincial Road 830/2 Commune, Hamlet 3, Bến Lức, Long An 850000, Việt NamCÔNG TY TNHH MTV HÒA THÀNH LONG AN"/>
    <s v="Dĩ An, Bình Dương, Việt NamDĩ An"/>
    <n v="1"/>
    <x v="0"/>
    <x v="4"/>
    <d v="1899-12-30T07:03:12"/>
    <x v="340"/>
  </r>
  <r>
    <s v="3539796042260377707"/>
    <s v=""/>
    <x v="2"/>
    <n v="0"/>
    <s v=""/>
    <s v="NULL"/>
    <x v="0"/>
    <s v="2026-07-15 07:17:04"/>
    <s v="2026-07-15 07:27:04"/>
    <s v="NULL"/>
    <s v="NULL"/>
    <s v="2026-07-15 09:27:04"/>
    <s v=""/>
    <s v="106.5083764"/>
    <s v="10.6428357"/>
    <s v="106.5230542"/>
    <s v="10.962533"/>
    <n v="207792"/>
    <n v="0"/>
    <n v="207792"/>
    <s v="Cash"/>
    <s v="CÔNG TY TNHH BIBICA MIỀN TÂY, 9 VL3, KCN Vĩnh Lộc 2, Long Hiệp, Bến Lức, Long An, Việt NamCÔNG TY TNHH BIBICA MIỀN TÂY"/>
    <s v="Củ Chi, Hồ Chí Minh, Việt NamCủ Chi"/>
    <n v="1"/>
    <x v="0"/>
    <x v="4"/>
    <d v="1899-12-30T07:17:04"/>
    <x v="4"/>
  </r>
  <r>
    <s v="3539797911108022354"/>
    <s v=""/>
    <x v="2"/>
    <n v="1802383"/>
    <s v=""/>
    <s v="Motorcycle"/>
    <x v="1"/>
    <s v="2026-07-15 07:02:47"/>
    <s v="2026-07-15 07:12:46"/>
    <s v="2026-07-15 09:07:18"/>
    <s v="NULL"/>
    <s v="2026-07-15 09:10:49"/>
    <s v=""/>
    <s v="106.4565394"/>
    <s v="10.6698277"/>
    <s v="106.682188"/>
    <s v="10.948222"/>
    <n v="251748"/>
    <n v="206643"/>
    <n v="45105"/>
    <s v="Cash"/>
    <s v="47C, Provincial Road 830/2 Commune, Hamlet 3, Bến Lức, Long An 850000, Việt NamCÔNG TY TNHH MTV HÒA THÀNH LONG AN"/>
    <s v="Thuận An, Hồ Chí Minh, Việt NamThuận An"/>
    <n v="1"/>
    <x v="0"/>
    <x v="4"/>
    <d v="1899-12-30T07:02:47"/>
    <x v="341"/>
  </r>
  <r>
    <s v="3539797911149958067"/>
    <s v=""/>
    <x v="2"/>
    <n v="3132768"/>
    <s v=""/>
    <s v="Motorcycle"/>
    <x v="2"/>
    <s v="2026-07-15 07:24:27"/>
    <s v="2026-07-15 07:34:26"/>
    <s v="2026-07-15 10:43:45"/>
    <s v="NULL"/>
    <s v=""/>
    <s v=""/>
    <s v="106.4933144"/>
    <s v="10.6397674"/>
    <s v="106.6419476"/>
    <s v="10.799048"/>
    <n v="146340"/>
    <n v="113447"/>
    <n v="32893"/>
    <s v="Cash"/>
    <s v="CN. CÔNG TY CPXD MINH LONG, Đường Số 2, Bến Lức, Tây Ninh, Việt NamCN. CÔNG TY CPXD MINH LONG"/>
    <s v="Tân Bình, Hồ Chí Minh, Việt NamTân Bình"/>
    <n v="1"/>
    <x v="0"/>
    <x v="4"/>
    <d v="1899-12-30T07:24:27"/>
    <x v="14"/>
  </r>
  <r>
    <s v="3539800216431718495"/>
    <s v=""/>
    <x v="2"/>
    <n v="0"/>
    <s v=""/>
    <s v="NULL"/>
    <x v="0"/>
    <s v="2026-07-15 07:06:08"/>
    <s v="2026-07-15 07:16:07"/>
    <s v="NULL"/>
    <s v="NULL"/>
    <s v="2026-07-15 09:16:07"/>
    <s v=""/>
    <s v="106.5033511"/>
    <s v="10.6243758"/>
    <s v="107.0303221"/>
    <s v="10.7925089"/>
    <n v="409644"/>
    <n v="0"/>
    <n v="409644"/>
    <s v="Cash"/>
    <s v="Cong Ty TNHH MTV Tu Van Xay Dung Thien Kim, Ap Lo Gach, Bến Lức, Tây Ninh, Việt NamCong Ty TNHH MTV Tu Van Xay Dung Thien Kim"/>
    <s v="Long Thành, Đồng Nai, Việt NamLong Thành"/>
    <n v="1"/>
    <x v="0"/>
    <x v="4"/>
    <d v="1899-12-30T07:06:08"/>
    <x v="9"/>
  </r>
  <r>
    <s v="3539800216448492493"/>
    <s v=""/>
    <x v="2"/>
    <n v="0"/>
    <s v=""/>
    <s v="NULL"/>
    <x v="0"/>
    <s v="2026-07-15 07:21:00"/>
    <s v="2026-07-15 07:30:59"/>
    <s v="NULL"/>
    <s v="NULL"/>
    <s v="2026-07-15 09:30:59"/>
    <s v=""/>
    <s v="106.5173754"/>
    <s v="10.6461136"/>
    <s v="106.8045949"/>
    <s v="10.9364413"/>
    <n v="240084"/>
    <n v="0"/>
    <n v="240084"/>
    <s v="Cash"/>
    <s v="Factory 1A, Lot B2,15, VL7 Street, Vinh Loc 2 Industrial Zone, Voi La Hamlet Long Hiep Commune, Ben Luc District, Long A Province, Long Hiệp, Ho chi minh city, Long An 82619, Việt NamDM TEXTILES COMPANY LTD."/>
    <s v="Biên Hòa, Đồng Nai, Việt NamBiên Hòa"/>
    <n v="1"/>
    <x v="0"/>
    <x v="4"/>
    <d v="1899-12-30T07:21:00"/>
    <x v="9"/>
  </r>
  <r>
    <s v="3539800216473653674"/>
    <s v=""/>
    <x v="2"/>
    <n v="4107547"/>
    <s v=""/>
    <s v="Motorcycle"/>
    <x v="2"/>
    <s v="2026-07-15 07:24:11"/>
    <s v="2026-07-15 07:34:10"/>
    <s v="2026-07-15 08:48:44"/>
    <s v="NULL"/>
    <s v=""/>
    <s v=""/>
    <s v="106.4933144"/>
    <s v="10.6397674"/>
    <s v="106.6733441"/>
    <s v="10.8314858"/>
    <n v="183384"/>
    <n v="142165"/>
    <n v="41219"/>
    <s v="Cash"/>
    <s v="CN. CÔNG TY CPXD MINH LONG, Đường Số 2, Bến Lức, Tây Ninh, Việt NamCN. CÔNG TY CPXD MINH LONG"/>
    <s v="Gò Vấp, Hồ Chí Minh, Việt NamGò Vấp"/>
    <n v="1"/>
    <x v="0"/>
    <x v="4"/>
    <d v="1899-12-30T07:24:11"/>
    <x v="14"/>
  </r>
  <r>
    <s v="3539803592536055996"/>
    <s v=""/>
    <x v="2"/>
    <n v="1297315"/>
    <s v=""/>
    <s v="Motorcycle"/>
    <x v="2"/>
    <s v="2026-07-15 07:19:52"/>
    <s v="2026-07-15 07:29:51"/>
    <s v="2026-07-15 10:35:24"/>
    <s v="NULL"/>
    <s v=""/>
    <s v=""/>
    <s v="106.5226015"/>
    <s v="10.6434243"/>
    <s v="106.7528749"/>
    <s v="10.8963726"/>
    <n v="190944"/>
    <n v="148026"/>
    <n v="42918"/>
    <s v="Cash"/>
    <s v="CÔNG TY CỔ PHẦN SX TM KHANG VIỆT, Ấp Voi Lá, Mỹ Yên, Tây Ninh, Việt NamCÔNG TY CỔ PHẦN SX TM KHANG VIỆT"/>
    <s v="Dĩ An, Bình Dương, Việt NamDĩ An"/>
    <n v="1"/>
    <x v="0"/>
    <x v="4"/>
    <d v="1899-12-30T07:19:52"/>
    <x v="14"/>
  </r>
  <r>
    <s v="3539803592544444605"/>
    <s v=""/>
    <x v="2"/>
    <n v="0"/>
    <s v=""/>
    <s v="NULL"/>
    <x v="0"/>
    <s v="2026-07-15 07:24:56"/>
    <s v="2026-07-15 07:34:56"/>
    <s v="NULL"/>
    <s v="NULL"/>
    <s v="2026-07-15 09:34:56"/>
    <s v=""/>
    <s v="106.4933144"/>
    <s v="10.6397674"/>
    <s v="107.0303221"/>
    <s v="10.7925089"/>
    <n v="287280"/>
    <n v="0"/>
    <n v="287280"/>
    <s v="Cash"/>
    <s v="CN. CÔNG TY CPXD MINH LONG, Đường Số 2, Bến Lức, Tây Ninh, Việt NamCN. CÔNG TY CPXD MINH LONG"/>
    <s v="Long Thành, Đồng Nai, Việt NamLong Thành"/>
    <n v="1"/>
    <x v="0"/>
    <x v="4"/>
    <d v="1899-12-30T07:24:56"/>
    <x v="4"/>
  </r>
  <r>
    <s v="3539803592561217808"/>
    <s v=""/>
    <x v="0"/>
    <n v="0"/>
    <s v=""/>
    <s v="NULL"/>
    <x v="0"/>
    <s v="2026-07-15 07:27:17"/>
    <s v="2026-07-15 07:37:18"/>
    <s v="NULL"/>
    <s v="NULL"/>
    <s v="2026-07-15 09:55:27"/>
    <s v=""/>
    <s v="106.6047527"/>
    <s v="10.5077325"/>
    <s v="106.7866577"/>
    <s v="10.8450844"/>
    <n v="220968"/>
    <n v="0"/>
    <n v="220968"/>
    <s v="Cash"/>
    <s v="Cần Đước High School, Khu 1B, Cần Đước, Tây Ninh, Việt NamCần Đước High School"/>
    <s v="Quận 9, Tăng Nhơn Phú, Hồ Chí Minh, Việt NamQuận 9"/>
    <n v="1"/>
    <x v="0"/>
    <x v="4"/>
    <d v="1899-12-30T07:27:17"/>
    <x v="342"/>
  </r>
  <r>
    <s v="3539807011749458096"/>
    <s v=""/>
    <x v="2"/>
    <n v="0"/>
    <s v=""/>
    <s v="NULL"/>
    <x v="0"/>
    <s v="2026-07-15 07:18:11"/>
    <s v="2026-07-15 07:28:10"/>
    <s v="NULL"/>
    <s v="NULL"/>
    <s v="2026-07-15 09:33:04"/>
    <s v=""/>
    <s v="106.5038994"/>
    <s v="10.6432606"/>
    <s v="106.6586052"/>
    <s v="10.9713673"/>
    <n v="316224"/>
    <n v="0"/>
    <n v="316224"/>
    <s v="Cash"/>
    <s v="Lô D3, 1, 4 Đường VL7, KCN Vĩnh Lộc 2 X, Bến Lức, Long An 77777, Việt NamCông Ty Cổ Phần Nosafood , Nhà máy Bến Lức"/>
    <s v="Thủ Dầu Một, Hồ Chí Minh, Việt NamThủ Dầu Một"/>
    <n v="1"/>
    <x v="0"/>
    <x v="4"/>
    <d v="1899-12-30T07:18:11"/>
    <x v="343"/>
  </r>
  <r>
    <s v="3539807011749458522"/>
    <s v=""/>
    <x v="2"/>
    <n v="0"/>
    <s v=""/>
    <s v="NULL"/>
    <x v="0"/>
    <s v="2026-07-15 07:21:14"/>
    <s v="2026-07-15 07:31:13"/>
    <s v="NULL"/>
    <s v="NULL"/>
    <s v="2026-07-15 10:00:14"/>
    <s v=""/>
    <s v="106.5173754"/>
    <s v="10.6461136"/>
    <s v="106.8045949"/>
    <s v="10.9364413"/>
    <n v="229284"/>
    <n v="0"/>
    <n v="229284"/>
    <s v="Cash"/>
    <s v="Factory 1A, Lot B2,15, VL7 Street, Vinh Loc 2 Industrial Zone, Voi La Hamlet Long Hiep Commune, Ben Luc District, Long A Province, Long Hiệp, Ho chi minh city, Long An 82619, Việt NamDM TEXTILES COMPANY LTD."/>
    <s v="Biên Hòa, Đồng Nai, Việt NamBiên Hòa"/>
    <n v="1"/>
    <x v="0"/>
    <x v="4"/>
    <d v="1899-12-30T07:21:14"/>
    <x v="344"/>
  </r>
  <r>
    <s v="3539807011749458753"/>
    <s v=""/>
    <x v="2"/>
    <n v="0"/>
    <s v=""/>
    <s v="NULL"/>
    <x v="0"/>
    <s v="2026-07-15 07:22:47"/>
    <s v="2026-07-15 07:32:46"/>
    <s v="NULL"/>
    <s v="NULL"/>
    <s v="2026-07-15 09:32:46"/>
    <s v=""/>
    <s v="106.5173754"/>
    <s v="10.6461136"/>
    <s v="106.7371475"/>
    <s v="10.7944654"/>
    <n v="179820"/>
    <n v="0"/>
    <n v="179820"/>
    <s v="Cash"/>
    <s v="Factory 1A, Lot B2,15, VL7 Street, Vinh Loc 2 Industrial Zone, Voi La Hamlet Long Hiep Commune, Ben Luc District, Long A Province, Long Hiệp, Ho chi minh city, Long An 82619, Việt NamDM TEXTILES COMPANY LTD."/>
    <s v="quận 2, Đường Số 3, An Khánh, Hồ Chí Minh, Việt Namquận 2"/>
    <n v="1"/>
    <x v="0"/>
    <x v="4"/>
    <d v="1899-12-30T07:22:47"/>
    <x v="9"/>
  </r>
  <r>
    <s v="3539807011766231304"/>
    <s v=""/>
    <x v="2"/>
    <n v="0"/>
    <s v=""/>
    <s v="NULL"/>
    <x v="0"/>
    <s v="2026-07-15 07:25:12"/>
    <s v="2026-07-15 07:35:11"/>
    <s v="NULL"/>
    <s v="NULL"/>
    <s v="2026-07-15 09:35:11"/>
    <s v=""/>
    <s v="106.4933144"/>
    <s v="10.6397674"/>
    <s v="106.682188"/>
    <s v="10.948222"/>
    <n v="235332"/>
    <n v="0"/>
    <n v="235332"/>
    <s v="Cash"/>
    <s v="CN. CÔNG TY CPXD MINH LONG, Đường Số 2, Bến Lức, Tây Ninh, Việt NamCN. CÔNG TY CPXD MINH LONG"/>
    <s v="Thuận An, Hồ Chí Minh, Việt NamThuận An"/>
    <n v="1"/>
    <x v="0"/>
    <x v="4"/>
    <d v="1899-12-30T07:25:12"/>
    <x v="9"/>
  </r>
  <r>
    <s v="3539807985817841805"/>
    <s v=""/>
    <x v="2"/>
    <n v="0"/>
    <s v=""/>
    <s v="NULL"/>
    <x v="0"/>
    <s v="2026-07-15 07:18:53"/>
    <s v="2026-07-15 07:28:53"/>
    <s v="NULL"/>
    <s v="NULL"/>
    <s v="2026-07-15 09:28:53"/>
    <s v=""/>
    <s v="106.5178464"/>
    <s v="10.6429186"/>
    <s v="106.682188"/>
    <s v="10.948222"/>
    <n v="221724"/>
    <n v="0"/>
    <n v="221724"/>
    <s v="Cash"/>
    <s v="Đường VL2, Long Hiệp, Bến Lức, Long An, Việt NamCty cổ phần tập đoàn kim đức"/>
    <s v="Thuận An, Hồ Chí Minh, Việt NamThuận An"/>
    <n v="1"/>
    <x v="0"/>
    <x v="4"/>
    <d v="1899-12-30T07:18:53"/>
    <x v="4"/>
  </r>
  <r>
    <s v="3539807985817842637"/>
    <s v=""/>
    <x v="0"/>
    <n v="0"/>
    <s v=""/>
    <s v="NULL"/>
    <x v="0"/>
    <s v="2026-07-15 07:24:30"/>
    <s v="2026-07-15 07:34:31"/>
    <s v="NULL"/>
    <s v="NULL"/>
    <s v="2026-07-15 09:34:31"/>
    <s v=""/>
    <s v="106.5231879"/>
    <s v="10.6277377"/>
    <s v="106.7529514"/>
    <s v="10.9006383"/>
    <n v="179388"/>
    <n v="0"/>
    <n v="179388"/>
    <s v="Cash"/>
    <s v="Công ty Lavie Long An - Nhà phân phối nước khoáng lavie cửa hàng 24/24, Ấp Chánh, Mỹ Yên, Tây Ninh, Việt NamCông ty Lavie Long An - Nhà phân phối nước khoáng lavie cửa hàng 24/24"/>
    <s v="Dĩ An, Thành phố Hồ Chí Minh, Bình Dương, Việt NamDĩ An"/>
    <n v="1"/>
    <x v="0"/>
    <x v="4"/>
    <d v="1899-12-30T07:24:30"/>
    <x v="0"/>
  </r>
  <r>
    <s v="3539807985834615616"/>
    <s v=""/>
    <x v="0"/>
    <n v="0"/>
    <s v=""/>
    <s v="NULL"/>
    <x v="0"/>
    <s v="2026-07-15 07:30:17"/>
    <s v="2026-07-15 07:40:17"/>
    <s v="NULL"/>
    <s v="NULL"/>
    <s v="2026-07-15 09:40:17"/>
    <s v=""/>
    <s v="106.5109555"/>
    <s v="10.6319069"/>
    <s v="106.730817218056"/>
    <s v="10.793521983679"/>
    <n v="143640"/>
    <n v="0"/>
    <n v="143640"/>
    <s v="Cash"/>
    <s v="Khu công nghiệp Phúc Long, KCN Phúc Long, Quốc lộ 1A, KP9, Mỹ Yên, Tây Ninh, Việt NamKhu công nghiệp Phúc Long"/>
    <s v="Quận 2an Khánhhồ Chí Minhviệt NamQuận 2"/>
    <n v="1"/>
    <x v="0"/>
    <x v="4"/>
    <d v="1899-12-30T07:30:17"/>
    <x v="4"/>
  </r>
  <r>
    <s v="3539807985851388103"/>
    <s v=""/>
    <x v="0"/>
    <n v="0"/>
    <s v=""/>
    <s v="NULL"/>
    <x v="0"/>
    <s v="2026-07-15 07:32:26"/>
    <s v="2026-07-15 07:42:27"/>
    <s v="NULL"/>
    <s v="NULL"/>
    <s v="2026-07-15 09:42:27"/>
    <s v=""/>
    <s v="106.5109555"/>
    <s v="10.6319069"/>
    <s v="106.6408802"/>
    <s v="10.7471372"/>
    <n v="156384"/>
    <n v="0"/>
    <n v="156384"/>
    <s v="Cash"/>
    <s v="Khu công nghiệp Phúc Long, KCN Phúc Long, Quốc lộ 1A, KP9, Mỹ Yên, Tây Ninh, Việt NamKhu công nghiệp Phúc Long"/>
    <s v="Quận 6, Đường Phan Văn Khỏe, Bình Tây, Hồ Chí Minh, Việt NamQuận 6"/>
    <n v="1"/>
    <x v="0"/>
    <x v="4"/>
    <d v="1899-12-30T07:32:26"/>
    <x v="0"/>
  </r>
  <r>
    <s v="3539809918158856838"/>
    <s v=""/>
    <x v="0"/>
    <n v="0"/>
    <s v=""/>
    <s v="NULL"/>
    <x v="0"/>
    <s v="2026-07-15 07:25:37"/>
    <s v="2026-07-15 07:35:38"/>
    <s v="NULL"/>
    <s v="NULL"/>
    <s v="2026-07-15 09:35:38"/>
    <s v=""/>
    <s v="106.5231879"/>
    <s v="10.6277377"/>
    <s v="106.8023397"/>
    <s v="11.0762325"/>
    <n v="275724"/>
    <n v="0"/>
    <n v="275724"/>
    <s v="Cash"/>
    <s v="Công ty Lavie Long An - Nhà phân phối nước khoáng lavie cửa hàng 24/24, Ấp Chánh, Mỹ Yên, Tây Ninh, Việt NamCông ty Lavie Long An - Nhà phân phối nước khoáng lavie cửa hàng 24/24"/>
    <s v="Tân Uyen bình dương, Tân Uyên, Hồ Chí Minh, Việt NamTân Uyen bình dương"/>
    <n v="1"/>
    <x v="0"/>
    <x v="4"/>
    <d v="1899-12-30T07:25:37"/>
    <x v="0"/>
  </r>
  <r>
    <s v="3539809918175629370"/>
    <s v=""/>
    <x v="0"/>
    <n v="0"/>
    <s v=""/>
    <s v="NULL"/>
    <x v="0"/>
    <s v="2026-07-15 07:28:14"/>
    <s v="2026-07-15 07:38:15"/>
    <s v="NULL"/>
    <s v="NULL"/>
    <s v="2026-07-15 09:38:15"/>
    <s v=""/>
    <s v="106.6047527"/>
    <s v="10.5077325"/>
    <s v="106.6733441"/>
    <s v="10.8314858"/>
    <n v="186192"/>
    <n v="0"/>
    <n v="186192"/>
    <s v="Cash"/>
    <s v="Cần Đước High School, Khu 1B, Cần Đước, Tây Ninh, Việt NamCần Đước High School"/>
    <s v="Gò Vấp, Hồ Chí Minh, Việt NamGò Vấp"/>
    <n v="1"/>
    <x v="0"/>
    <x v="4"/>
    <d v="1899-12-30T07:28:14"/>
    <x v="0"/>
  </r>
  <r>
    <s v="3539809918175629403"/>
    <s v=""/>
    <x v="0"/>
    <n v="0"/>
    <s v=""/>
    <s v="NULL"/>
    <x v="0"/>
    <s v="2026-07-15 07:28:31"/>
    <s v="2026-07-15 07:38:32"/>
    <s v="NULL"/>
    <s v="NULL"/>
    <s v="2026-07-15 10:44:43"/>
    <s v=""/>
    <s v="106.6047527"/>
    <s v="10.5077325"/>
    <s v="106.6733441"/>
    <s v="10.8314858"/>
    <n v="175392"/>
    <n v="0"/>
    <n v="175392"/>
    <s v="Cash"/>
    <s v="Cần Đước High School, Khu 1B, Cần Đước, Tây Ninh, Việt NamCần Đước High School"/>
    <s v="Gò Vấp, Hồ Chí Minh, Việt NamGò Vấp"/>
    <n v="1"/>
    <x v="0"/>
    <x v="4"/>
    <d v="1899-12-30T07:28:31"/>
    <x v="345"/>
  </r>
  <r>
    <s v="3539810167610896445"/>
    <s v=""/>
    <x v="2"/>
    <n v="0"/>
    <s v=""/>
    <s v="NULL"/>
    <x v="0"/>
    <s v="2026-07-15 07:22:20"/>
    <s v="2026-07-15 07:32:19"/>
    <s v="NULL"/>
    <s v="NULL"/>
    <s v="2026-07-15 09:32:19"/>
    <s v=""/>
    <s v="106.5173754"/>
    <s v="10.6461136"/>
    <s v="106.7559004"/>
    <s v="10.8378053"/>
    <n v="170208"/>
    <n v="0"/>
    <n v="170208"/>
    <s v="Cash"/>
    <s v="Factory 1A, Lot B2,15, VL7 Street, Vinh Loc 2 Industrial Zone, Voi La Hamlet Long Hiep Commune, Ben Luc District, Long A Province, Long Hiệp, Ho chi minh city, Long An 82619, Việt NamDM TEXTILES COMPANY LTD."/>
    <s v="Thủ Đức, Hồ Chí Minh, Việt NamThủ Đức"/>
    <n v="1"/>
    <x v="0"/>
    <x v="4"/>
    <d v="1899-12-30T07:22:20"/>
    <x v="9"/>
  </r>
  <r>
    <s v="3539810167644442782"/>
    <s v=""/>
    <x v="0"/>
    <n v="0"/>
    <s v=""/>
    <s v="NULL"/>
    <x v="0"/>
    <s v="2026-07-15 07:35:14"/>
    <s v="2026-07-15 07:45:15"/>
    <s v="NULL"/>
    <s v="NULL"/>
    <s v="2026-07-15 09:45:15"/>
    <s v=""/>
    <s v="106.5853853"/>
    <s v="10.6453917"/>
    <s v="106.6408802"/>
    <s v="10.7471372"/>
    <n v="133596"/>
    <n v="0"/>
    <n v="133596"/>
    <s v="Cash"/>
    <s v="ĐT835B, Phước Lý, Tây Ninh, Việt NamĐT835B"/>
    <s v="Quận 6, Đường Phan Văn Khỏe, Bình Tây, Hồ Chí Minh, Việt NamQuận 6"/>
    <n v="1"/>
    <x v="0"/>
    <x v="4"/>
    <d v="1899-12-30T07:35:14"/>
    <x v="0"/>
  </r>
  <r>
    <s v="3539810942617608446"/>
    <s v=""/>
    <x v="2"/>
    <n v="0"/>
    <s v=""/>
    <s v="NULL"/>
    <x v="0"/>
    <s v="2026-07-15 07:24:42"/>
    <s v="2026-07-15 07:34:41"/>
    <s v="NULL"/>
    <s v="NULL"/>
    <s v="2026-07-15 09:34:41"/>
    <s v=""/>
    <s v="106.4933144"/>
    <s v="10.6397674"/>
    <s v="106.8045949"/>
    <s v="10.9364413"/>
    <n v="226908"/>
    <n v="0"/>
    <n v="226908"/>
    <s v="Cash"/>
    <s v="CN. CÔNG TY CPXD MINH LONG, Đường Số 2, Bến Lức, Tây Ninh, Việt NamCN. CÔNG TY CPXD MINH LONG"/>
    <s v="Biên Hòa, Đồng Nai, Việt NamBiên Hòa"/>
    <n v="1"/>
    <x v="0"/>
    <x v="4"/>
    <d v="1899-12-30T07:24:42"/>
    <x v="9"/>
  </r>
  <r>
    <s v="3539812096017657979"/>
    <s v=""/>
    <x v="2"/>
    <n v="0"/>
    <s v=""/>
    <s v="NULL"/>
    <x v="0"/>
    <s v="2026-07-15 07:25:27"/>
    <s v="2026-07-15 07:35:27"/>
    <s v="NULL"/>
    <s v="NULL"/>
    <s v="2026-07-15 09:35:27"/>
    <s v=""/>
    <s v="106.4933144"/>
    <s v="10.6397674"/>
    <s v="106.7528749"/>
    <s v="10.8963726"/>
    <n v="274536"/>
    <n v="0"/>
    <n v="274536"/>
    <s v="Cash"/>
    <s v="CN. CÔNG TY CPXD MINH LONG, Đường Số 2, Bến Lức, Tây Ninh, Việt NamCN. CÔNG TY CPXD MINH LONG"/>
    <s v="Dĩ An, Bình Dương, Việt NamDĩ An"/>
    <n v="1"/>
    <x v="0"/>
    <x v="4"/>
    <d v="1899-12-30T07:25:27"/>
    <x v="4"/>
  </r>
  <r>
    <s v="3539812096034431870"/>
    <s v=""/>
    <x v="0"/>
    <n v="0"/>
    <s v=""/>
    <s v="NULL"/>
    <x v="0"/>
    <s v="2026-07-15 07:36:38"/>
    <s v="2026-07-15 07:46:39"/>
    <s v="NULL"/>
    <s v="NULL"/>
    <s v="2026-07-15 09:46:39"/>
    <s v=""/>
    <s v="106.5853853"/>
    <s v="10.6453917"/>
    <s v="106.6419476"/>
    <s v="10.799048"/>
    <n v="149256"/>
    <n v="0"/>
    <n v="149256"/>
    <s v="Cash"/>
    <s v="ĐT835B, Phước Lý, Tây Ninh, Việt NamĐT835B"/>
    <s v="Tân Bình, Hồ Chí Minh, Việt NamTân Bình"/>
    <n v="1"/>
    <x v="0"/>
    <x v="4"/>
    <d v="1899-12-30T07:36:38"/>
    <x v="0"/>
  </r>
  <r>
    <s v="3539816012381909363"/>
    <s v=""/>
    <x v="0"/>
    <n v="3141376"/>
    <s v=""/>
    <s v="Motorcycle"/>
    <x v="2"/>
    <s v="2026-07-15 07:34:14"/>
    <s v="2026-07-15 07:44:14"/>
    <s v="2026-07-15 09:42:17"/>
    <s v="NULL"/>
    <s v=""/>
    <s v=""/>
    <s v="106.6114474"/>
    <s v="10.6361703"/>
    <s v="106.6650848"/>
    <s v="10.7895815"/>
    <n v="159732"/>
    <n v="123829"/>
    <n v="35903"/>
    <s v="Cash"/>
    <s v="Phước Lý, Tây Ninh, Việt NamPhước Lý"/>
    <s v="Quận 3, Cách Mạng Tháng Tám, Nhiêu Lộc, Hồ Chí Minh, Việt NamQuận 3"/>
    <n v="1"/>
    <x v="0"/>
    <x v="4"/>
    <d v="1899-12-30T07:34:14"/>
    <x v="14"/>
  </r>
  <r>
    <s v="3539816376120340866"/>
    <s v=""/>
    <x v="0"/>
    <n v="4332385"/>
    <s v=""/>
    <s v="Motorcycle"/>
    <x v="1"/>
    <s v="2026-07-15 07:34:55"/>
    <s v="2026-07-15 07:44:55"/>
    <s v="2026-07-15 07:59:17"/>
    <s v="NULL"/>
    <s v="2026-07-15 08:24:33"/>
    <s v=""/>
    <s v="106.5853853"/>
    <s v="10.6453917"/>
    <s v="106.6746036"/>
    <s v="10.7504578"/>
    <n v="136728"/>
    <n v="105996"/>
    <n v="30732"/>
    <s v="Cash"/>
    <s v="ĐT835B, Phước Lý, Tây Ninh, Việt NamĐT835B"/>
    <s v="Quận 5, Trần Tuấn Khải, An Đông, Hồ Chí Minh, Việt NamQuận 5"/>
    <n v="1"/>
    <x v="0"/>
    <x v="4"/>
    <d v="1899-12-30T07:34:55"/>
    <x v="346"/>
  </r>
  <r>
    <s v="3539816376120341122"/>
    <s v=""/>
    <x v="0"/>
    <n v="2729171"/>
    <s v=""/>
    <s v="Motorcycle"/>
    <x v="1"/>
    <s v="2026-07-15 07:36:21"/>
    <s v="2026-07-15 07:46:22"/>
    <s v="2026-07-15 08:06:28"/>
    <s v="NULL"/>
    <s v="2026-07-15 08:23:07"/>
    <s v=""/>
    <s v="106.5853853"/>
    <s v="10.6453917"/>
    <s v="106.6394461"/>
    <s v="10.777513"/>
    <n v="132300"/>
    <n v="102563"/>
    <n v="29737"/>
    <s v="Cash"/>
    <s v="ĐT835B, Phước Lý, Tây Ninh, Việt NamĐT835B"/>
    <s v="Tân Phú, Hồ Chí Minh, Việt NamTân Phú"/>
    <n v="1"/>
    <x v="0"/>
    <x v="4"/>
    <d v="1899-12-30T07:36:21"/>
    <x v="347"/>
  </r>
  <r>
    <s v="3539818364371431654"/>
    <s v=""/>
    <x v="0"/>
    <n v="0"/>
    <s v=""/>
    <s v="NULL"/>
    <x v="0"/>
    <s v="2026-07-15 07:37:02"/>
    <s v="2026-07-15 07:47:03"/>
    <s v="NULL"/>
    <s v="NULL"/>
    <s v="2026-07-15 09:47:03"/>
    <s v=""/>
    <s v="106.5853853"/>
    <s v="10.6453917"/>
    <s v="106.7559004"/>
    <s v="10.8378053"/>
    <n v="239868"/>
    <n v="0"/>
    <n v="239868"/>
    <s v="Cash"/>
    <s v="ĐT835B, Phước Lý, Tây Ninh, Việt NamĐT835B"/>
    <s v="Thủ Đức, Hồ Chí Minh, Việt NamThủ Đức"/>
    <n v="1"/>
    <x v="0"/>
    <x v="4"/>
    <d v="1899-12-30T07:37:02"/>
    <x v="0"/>
  </r>
  <r>
    <s v="3539818910914408870"/>
    <s v=""/>
    <x v="0"/>
    <n v="2932063"/>
    <s v=""/>
    <s v="Motorcycle"/>
    <x v="2"/>
    <s v="2026-07-15 07:38:53"/>
    <s v="2026-07-15 07:48:54"/>
    <s v="2026-07-15 10:59:23"/>
    <s v="NULL"/>
    <s v=""/>
    <s v=""/>
    <s v="106.5853853"/>
    <s v="10.6453917"/>
    <s v="106.6733441"/>
    <s v="10.8314858"/>
    <n v="176256"/>
    <n v="136639"/>
    <n v="39617"/>
    <s v="Cash"/>
    <s v="ĐT835B, Phước Lý, Tây Ninh, Việt NamĐT835B"/>
    <s v="Gò Vấp, Hồ Chí Minh, Việt NamGò Vấp"/>
    <n v="1"/>
    <x v="0"/>
    <x v="4"/>
    <d v="1899-12-30T07:38:53"/>
    <x v="14"/>
  </r>
  <r>
    <s v="3540492280450470233"/>
    <s v="uyên phương"/>
    <x v="3"/>
    <n v="3849371"/>
    <s v=""/>
    <s v="Motorcycle"/>
    <x v="1"/>
    <s v="2026-07-16 06:49:48"/>
    <s v="2026-07-16 08:20:00"/>
    <s v="2026-07-16 10:38:16"/>
    <s v="NULL"/>
    <s v="2026-07-16 11:15:36"/>
    <s v=""/>
    <s v="106.4951467"/>
    <s v="10.6033893"/>
    <s v="106.7818405"/>
    <s v="11.0982515"/>
    <n v="307260"/>
    <n v="238198"/>
    <n v="69062"/>
    <s v="Cash"/>
    <s v="CÔNG TY TNHH MTV PARAMOUNT BRIGHT HOLDING LIMITED (PARK BRIGHT HOLDING LIMITED), Long Cang, Long An Province Việt NamCÔNG TY TNHH MTV PARAMOUNT BRIGHT HOLDING LIMITED (PARK BRIGHT HOLDING LIMITED)"/>
    <s v="Công ty TNHH XinHui, Tân Uyên, Hồ Chí Minh, Việt NamCông ty TNHH XinHui"/>
    <n v="1"/>
    <x v="0"/>
    <x v="5"/>
    <d v="1899-12-30T06:49:48"/>
    <x v="348"/>
  </r>
  <r>
    <s v="3540492280450470481"/>
    <s v="uyên phương"/>
    <x v="3"/>
    <n v="2379115"/>
    <s v=""/>
    <s v="Motorcycle"/>
    <x v="2"/>
    <s v="2026-07-16 06:52:41"/>
    <s v="2026-07-16 09:23:00"/>
    <s v="2026-07-16 12:08:06"/>
    <s v="NULL"/>
    <s v=""/>
    <s v=""/>
    <s v="106.4922768"/>
    <s v="10.6041638"/>
    <s v="106.6594396"/>
    <s v="10.9804599"/>
    <n v="232956"/>
    <n v="191218"/>
    <n v="41738"/>
    <s v="Cash"/>
    <s v="CÔNG TY TNHH SAN LEN C VIỆT NAM, Đường số 13, KCN Thuận Đạo mở rộng, Long Cang, Tây Ninh, Việt NamCÔNG TY TNHH SAN LEN C VIỆT NAM"/>
    <s v="Công ty TNHH MTV Nhựa Ngọc Thắng, Đường Chùa Hội Khánh, Phường, Thủ Dầu Một, Hồ Chí Minh, Việt NamCông ty TNHH MTV Nhựa Ngọc Thắng"/>
    <n v="1"/>
    <x v="0"/>
    <x v="5"/>
    <d v="1899-12-30T06:52:41"/>
    <x v="14"/>
  </r>
  <r>
    <s v="3540503167873806804"/>
    <s v="uyên phương"/>
    <x v="3"/>
    <n v="4020532"/>
    <s v=""/>
    <s v="Motorcycle"/>
    <x v="1"/>
    <s v="2026-07-16 06:50:15"/>
    <s v="2026-07-16 09:00:00"/>
    <s v="2026-07-16 09:07:57"/>
    <s v="NULL"/>
    <s v="2026-07-16 10:42:33"/>
    <s v=""/>
    <s v="106.4951467"/>
    <s v="10.6033893"/>
    <s v="106.7818405"/>
    <s v="11.0982515"/>
    <n v="307260"/>
    <n v="238198"/>
    <n v="69062"/>
    <s v="Cash"/>
    <s v="CÔNG TY TNHH MTV PARAMOUNT BRIGHT HOLDING LIMITED (PARK BRIGHT HOLDING LIMITED), Long Cang, Long An Province Việt NamCÔNG TY TNHH MTV PARAMOUNT BRIGHT HOLDING LIMITED (PARK BRIGHT HOLDING LIMITED)"/>
    <s v="Công ty TNHH XinHui, Tân Uyên, Hồ Chí Minh, Việt NamCông ty TNHH XinHui"/>
    <n v="1"/>
    <x v="0"/>
    <x v="5"/>
    <d v="1899-12-30T06:50:15"/>
    <x v="349"/>
  </r>
  <r>
    <s v="3540503167890579975"/>
    <s v="uyên phương"/>
    <x v="3"/>
    <n v="4361592"/>
    <s v=""/>
    <s v="Motorcycle"/>
    <x v="1"/>
    <s v="2026-07-16 07:01:40"/>
    <s v="2026-07-16 09:12:00"/>
    <s v="2026-07-16 08:09:25"/>
    <s v="2026-07-16 08:51:27"/>
    <s v="2026-07-16 09:27:39"/>
    <s v=""/>
    <s v="106.4914421"/>
    <s v="10.6249528"/>
    <s v="106.86754336007995"/>
    <s v="10.973431335682811"/>
    <n v="371304"/>
    <n v="287847"/>
    <n v="83457"/>
    <s v="Cash"/>
    <s v="Cty giày chingluh việt nam, Nguyễn Trung Trực, Bến Lức, Tây Ninh, Việt NamCty giày chingluh việt nam"/>
    <s v="44 Đ. Nguyễn Phúc Chu, Trảng Dài, Đồng Nai, Việt Nam44 Đ. Nguyễn Phúc Chu, Trảng Dài, Đồng Nai, Việt Nam"/>
    <n v="1"/>
    <x v="0"/>
    <x v="5"/>
    <d v="1899-12-30T07:01:40"/>
    <x v="350"/>
  </r>
  <r>
    <s v="3540503349772378798"/>
    <s v="uyên phương"/>
    <x v="3"/>
    <n v="3522165"/>
    <s v=""/>
    <s v="Motorcycle"/>
    <x v="2"/>
    <s v="2026-07-16 06:52:02"/>
    <s v="2026-07-16 09:22:00"/>
    <s v="2026-07-16 12:16:33"/>
    <s v="2026-07-16 12:38:15"/>
    <s v=""/>
    <s v=""/>
    <s v="106.4922768"/>
    <s v="10.6041638"/>
    <s v="106.6594396"/>
    <s v="10.9804599"/>
    <n v="232956"/>
    <n v="180595"/>
    <n v="52361"/>
    <s v="Cash"/>
    <s v="CÔNG TY TNHH SAN LEN C VIỆT NAM, Đường số 13, KCN Thuận Đạo mở rộng, Long Cang, Tây Ninh, Việt NamCÔNG TY TNHH SAN LEN C VIỆT NAM"/>
    <s v="Công ty TNHH MTV Nhựa Ngọc Thắng, Đường Chùa Hội Khánh, Phường, Thủ Dầu Một, Hồ Chí Minh, Việt NamCông ty TNHH MTV Nhựa Ngọc Thắng"/>
    <n v="1"/>
    <x v="0"/>
    <x v="5"/>
    <d v="1899-12-30T06:52:02"/>
    <x v="14"/>
  </r>
  <r>
    <s v="3540503349789151784"/>
    <s v="uyên phương"/>
    <x v="3"/>
    <n v="4306463"/>
    <s v=""/>
    <s v="Motorcycle"/>
    <x v="2"/>
    <s v="2026-07-16 07:01:18"/>
    <s v="2026-07-16 09:32:00"/>
    <s v="2026-07-16 10:36:06"/>
    <s v="NULL"/>
    <s v=""/>
    <s v=""/>
    <s v="106.4914421"/>
    <s v="10.6249528"/>
    <s v="106.8639492"/>
    <s v="10.9729363"/>
    <n v="266868"/>
    <n v="219054"/>
    <n v="47814"/>
    <s v="Cash"/>
    <s v="Cty giày chingluh việt nam, Nguyễn Trung Trực, Bến Lức, Tây Ninh, Việt NamCty giày chingluh việt nam"/>
    <s v="Công ty TNHH XD TM DV Biên Hòa, Trảng Dài, Đồng Nai, Việt NamCông ty TNHH XD TM DV Biên Hòa"/>
    <n v="1"/>
    <x v="0"/>
    <x v="5"/>
    <d v="1899-12-30T07:01:18"/>
    <x v="14"/>
  </r>
  <r>
    <s v="3540507204035760417"/>
    <s v="uyên phương"/>
    <x v="3"/>
    <n v="0"/>
    <s v=""/>
    <s v="NULL"/>
    <x v="0"/>
    <s v="2026-07-16 07:03:01"/>
    <s v="2026-07-16 08:33:00"/>
    <s v="NULL"/>
    <s v="NULL"/>
    <s v="2026-07-16 10:33:00"/>
    <s v=""/>
    <s v="106.493598"/>
    <s v="10.631643"/>
    <s v="106.9428916"/>
    <s v="10.8195426"/>
    <n v="276912"/>
    <n v="0"/>
    <n v="276912"/>
    <s v="Cash"/>
    <s v="Công Ty Liên Doanh Phát Triển Đầu Tư KCN Thuận Đạo, Bến Lức, Tây Ninh, Việt NamCông Ty Liên Doanh Phát Triển Đầu Tư KCN Thuận Đạo"/>
    <s v="Chi Nhánh Công ty TNHH TFV Industries tại Long Thành, Đường Song Hành Quốc lộ 51, Bình An, Đồng Nai, Việt NamChi Nhánh Công ty TNHH TFV Industries tại Long Thành"/>
    <n v="1"/>
    <x v="0"/>
    <x v="5"/>
    <d v="1899-12-30T07:03:01"/>
    <x v="351"/>
  </r>
  <r>
    <s v="3540510486238024075"/>
    <s v="uyên phương"/>
    <x v="3"/>
    <n v="2178671"/>
    <s v=""/>
    <s v="Motorcycle"/>
    <x v="2"/>
    <s v="2026-07-16 06:58:24"/>
    <s v="2026-07-16 09:29:00"/>
    <s v="2026-07-16 11:28:08"/>
    <s v="NULL"/>
    <s v=""/>
    <s v=""/>
    <s v="106.4950919"/>
    <s v="10.6128057"/>
    <s v="106.7585602"/>
    <s v="10.9003816"/>
    <n v="299268"/>
    <n v="232002"/>
    <n v="67266"/>
    <s v="Cash"/>
    <s v="CÔNG TY TNHH ĐẠI THẾ GIỚI LONG AN, Long Cang, Tây Ninh, Việt NamCÔNG TY TNHH ĐẠI THẾ GIỚI LONG AN"/>
    <s v="Công ty May Esprinta VN - KCN SÓNG THẦN 2, Đường số 12 2, Khu Công Nghiệp Sóng Thần, Dĩ An, Hồ Chí Minh, Việt NamCông ty May Esprinta VN - KCN SÓNG THẦN 2"/>
    <n v="1"/>
    <x v="0"/>
    <x v="5"/>
    <d v="1899-12-30T06:58:24"/>
    <x v="14"/>
  </r>
  <r>
    <s v="3540510486238024226"/>
    <s v="uyên phương"/>
    <x v="3"/>
    <n v="0"/>
    <s v=""/>
    <s v="NULL"/>
    <x v="0"/>
    <s v="2026-07-16 06:59:57"/>
    <s v="2026-07-16 08:30:00"/>
    <s v="NULL"/>
    <s v="NULL"/>
    <s v="2026-07-16 10:30:00"/>
    <s v=""/>
    <s v="106.4914421"/>
    <s v="10.6249528"/>
    <s v="106.8857365"/>
    <s v="10.937396"/>
    <n v="260496"/>
    <n v="0"/>
    <n v="260496"/>
    <s v="Cash"/>
    <s v="Cty giày chingluh việt nam, Nguyễn Trung Trực, Bến Lức, Tây Ninh, Việt NamCty giày chingluh việt nam"/>
    <s v="CÔNG TY TNHH BÌNH TIÊN BIÊN HÒA, Khu Công Nghiệp Amata, Long Bình, Đồng Nai, Việt NamCÔNG TY TNHH BÌNH TIÊN BIÊN HÒA"/>
    <n v="1"/>
    <x v="0"/>
    <x v="5"/>
    <d v="1899-12-30T06:59:57"/>
    <x v="352"/>
  </r>
  <r>
    <s v="3540516693782778153"/>
    <s v="uyên phương"/>
    <x v="3"/>
    <n v="4730103"/>
    <s v=""/>
    <s v="Motorcycle"/>
    <x v="2"/>
    <s v="2026-07-16 07:13:17"/>
    <s v="2026-07-16 08:32:00"/>
    <s v="2026-07-16 12:20:01"/>
    <s v="NULL"/>
    <s v=""/>
    <s v=""/>
    <s v="106.5003853"/>
    <s v="10.632966"/>
    <s v="106.652884"/>
    <s v="10.810889"/>
    <n v="114048"/>
    <n v="88414"/>
    <n v="25634"/>
    <s v="Cash"/>
    <s v="Công Ty Tnhh Sản Xuất Giày Toàn Cầu Elite Việt Nam, Quốc lộ 1A, ấp 3, Bến Lức, Tây Ninh, Việt NamCông Ty Tnhh Sản Xuất Giày Toàn Cầu Elite Việt Nam"/>
    <s v="Tân Bình, Ho Chi Minh City, VietnamSân Bay Tân Sơn Nhất Nhà Ga T3"/>
    <n v="1"/>
    <x v="0"/>
    <x v="5"/>
    <d v="1899-12-30T07:13:17"/>
    <x v="14"/>
  </r>
  <r>
    <s v="3540517716857410451"/>
    <s v="uyên phương"/>
    <x v="3"/>
    <n v="0"/>
    <s v=""/>
    <s v="NULL"/>
    <x v="0"/>
    <s v="2026-07-16 07:03:23"/>
    <s v="2026-07-16 08:34:00"/>
    <s v="NULL"/>
    <s v="NULL"/>
    <s v="2026-07-16 10:34:00"/>
    <s v=""/>
    <s v="106.493598"/>
    <s v="10.631643"/>
    <s v="106.96623754726565"/>
    <s v="10.806053512599432"/>
    <n v="381672"/>
    <n v="0"/>
    <n v="381672"/>
    <s v="Cash"/>
    <s v="Công Ty Liên Doanh Phát Triển Đầu Tư KCN Thuận Đạo, Bến Lức, Tây Ninh, Việt NamCông Ty Liên Doanh Phát Triển Đầu Tư KCN Thuận Đạo"/>
    <s v="RX48+CF Bình An, Đồng Nai, Việt NamRX48+CF Bình An, Đồng Nai, Việt Nam"/>
    <n v="1"/>
    <x v="0"/>
    <x v="5"/>
    <d v="1899-12-30T07:03:23"/>
    <x v="353"/>
  </r>
  <r>
    <s v="3540517716874194984"/>
    <s v="uyên phương"/>
    <x v="3"/>
    <n v="4306463"/>
    <s v=""/>
    <s v="Motorcycle"/>
    <x v="2"/>
    <s v="2026-07-16 07:04:12"/>
    <s v="2026-07-16 09:35:00"/>
    <s v="2026-07-16 09:54:33"/>
    <s v="NULL"/>
    <s v=""/>
    <s v=""/>
    <s v="106.493598"/>
    <s v="10.631643"/>
    <s v="106.9219537"/>
    <s v="10.8153073"/>
    <n v="385452"/>
    <n v="316392"/>
    <n v="69060"/>
    <s v="Cash"/>
    <s v="Công Ty Liên Doanh Phát Triển Đầu Tư KCN Thuận Đạo, Bến Lức, Tây Ninh, Việt NamCông Ty Liên Doanh Phát Triển Đầu Tư KCN Thuận Đạo"/>
    <s v="Công Ty TNHH SX - TM Thiên Long Long Thành, Đường số 7, An Phước, Đồng Nai, Việt NamCông Ty TNHH SX - TM Thiên Long Long Thành"/>
    <n v="1"/>
    <x v="0"/>
    <x v="5"/>
    <d v="1899-12-30T07:04:12"/>
    <x v="14"/>
  </r>
  <r>
    <s v="3540517716874195284"/>
    <s v="uyên phương"/>
    <x v="3"/>
    <n v="0"/>
    <s v=""/>
    <s v="NULL"/>
    <x v="0"/>
    <s v="2026-07-16 07:06:55"/>
    <s v="2026-07-16 08:37:00"/>
    <s v="NULL"/>
    <s v="NULL"/>
    <s v="2026-07-16 10:37:00"/>
    <s v=""/>
    <s v="106.4971215"/>
    <s v="10.6226478"/>
    <s v="106.5933176756714"/>
    <s v="10.880825297929633"/>
    <n v="134676"/>
    <n v="0"/>
    <n v="134676"/>
    <s v="Cash"/>
    <s v="CÔNG TY TNHH MTV HÒA THÀNH LONG AN, Đường Phan Văn Mãng, Khu Phố 9, Bến Lức, Tây Ninh, Việt NamCÔNG TY TNHH MTV HÒA THÀNH LONG AN"/>
    <s v="Tổ 1, 1/4C2 Ấp Đình, Hóc Môn, Hồ Chí Minh, Việt NamTổ 1, 1/4C2 Ấp Đình, Hóc Môn, Hồ Chí Minh, Việt Nam"/>
    <n v="1"/>
    <x v="0"/>
    <x v="5"/>
    <d v="1899-12-30T07:06:55"/>
    <x v="354"/>
  </r>
  <r>
    <s v="3540519004617789570"/>
    <s v="uyên phương"/>
    <x v="3"/>
    <n v="0"/>
    <s v=""/>
    <s v="NULL"/>
    <x v="0"/>
    <s v="2026-07-16 06:57:29"/>
    <s v="2026-07-16 08:28:00"/>
    <s v="NULL"/>
    <s v="NULL"/>
    <s v="2026-07-16 10:28:00"/>
    <s v=""/>
    <s v="106.4950919"/>
    <s v="10.6128057"/>
    <s v="106.7464376"/>
    <s v="10.8958555"/>
    <n v="302184"/>
    <n v="0"/>
    <n v="302184"/>
    <s v="Cash"/>
    <s v="CÔNG TY TNHH ĐẠI THẾ GIỚI LONG AN, Long Cang, Tây Ninh, Việt NamCÔNG TY TNHH ĐẠI THẾ GIỚI LONG AN"/>
    <s v="Công Ty TNHH Eins Vina Co., Ltd, Thống Nhất, Quận, Dĩ An, Hồ Chí Minh, Việt NamCông Ty TNHH Eins Vina Co., Ltd"/>
    <n v="1"/>
    <x v="0"/>
    <x v="5"/>
    <d v="1899-12-30T06:57:29"/>
    <x v="355"/>
  </r>
  <r>
    <s v="3540519004634574961"/>
    <s v="uyên phương"/>
    <x v="3"/>
    <n v="0"/>
    <s v=""/>
    <s v="NULL"/>
    <x v="0"/>
    <s v="2026-07-16 07:06:34"/>
    <s v="2026-07-16 08:37:00"/>
    <s v="NULL"/>
    <s v="NULL"/>
    <s v="2026-07-16 10:37:00"/>
    <s v=""/>
    <s v="106.4971215"/>
    <s v="10.6226478"/>
    <s v="106.5919873"/>
    <s v="10.8787181"/>
    <n v="196128"/>
    <n v="0"/>
    <n v="196128"/>
    <s v="Cash"/>
    <s v="CÔNG TY TNHH MTV HÒA THÀNH LONG AN, Đường Phan Văn Mãng, Khu Phố 9, Bến Lức, Tây Ninh, Việt NamCÔNG TY TNHH MTV HÒA THÀNH LONG AN"/>
    <s v="Công ty Cổ Phần Thương mại Hóc Môn (HOTRACO), Bà Triệu, Hóc Môn, Hồ Chí Minh, Việt NamCông ty Cổ Phần Thương mại Hóc Môn (HOTRACO)"/>
    <n v="1"/>
    <x v="0"/>
    <x v="5"/>
    <d v="1899-12-30T07:06:34"/>
    <x v="356"/>
  </r>
  <r>
    <s v="3540519004634575416"/>
    <s v="uyên phương"/>
    <x v="3"/>
    <n v="0"/>
    <s v=""/>
    <s v="NULL"/>
    <x v="0"/>
    <s v="2026-07-16 07:10:23"/>
    <s v="2026-07-16 08:41:00"/>
    <s v="NULL"/>
    <s v="NULL"/>
    <s v="2026-07-16 10:41:01"/>
    <s v=""/>
    <s v="106.49699275396726"/>
    <s v="10.637410402918151"/>
    <s v="106.6875265"/>
    <s v="10.8311481"/>
    <n v="131328"/>
    <n v="0"/>
    <n v="131328"/>
    <s v="Cash"/>
    <s v="JFPW+RJH, Bến Lức, Tây Ninh, Việt NamJFPW+RJH, Bến Lức, Tây Ninh, Việt Nam"/>
    <s v="Công Ty Tnhh Mtv Dịch Vụ Công Ích Quận Gò Vấp, Dương Quảng Hàm, An Nhơn, Hồ Chí Minh, Việt NamCông Ty Tnhh Mtv Dịch Vụ Công Ích Quận Gò Vấp"/>
    <n v="1"/>
    <x v="0"/>
    <x v="5"/>
    <d v="1899-12-30T07:10:23"/>
    <x v="98"/>
  </r>
  <r>
    <s v="3540519004634575621"/>
    <s v="uyên phương"/>
    <x v="3"/>
    <n v="0"/>
    <s v=""/>
    <s v="NULL"/>
    <x v="0"/>
    <s v="2026-07-16 07:12:00"/>
    <s v="2026-07-16 09:30:00"/>
    <s v="NULL"/>
    <s v="NULL"/>
    <s v="2026-07-16 11:30:00"/>
    <s v=""/>
    <s v="106.5003853"/>
    <s v="10.632966"/>
    <s v="106.6419476"/>
    <s v="10.799048"/>
    <n v="154008"/>
    <n v="0"/>
    <n v="154008"/>
    <s v="Cash"/>
    <s v="Công Ty Tnhh Sản Xuất Giày Toàn Cầu Elite Việt Nam, Quốc lộ 1A, ấp 3, Bến Lức, Tây Ninh, Việt NamCông Ty Tnhh Sản Xuất Giày Toàn Cầu Elite Việt Nam"/>
    <s v="Tân Bình, Hồ Chí Minh, Việt NamTân Bình"/>
    <n v="1"/>
    <x v="0"/>
    <x v="5"/>
    <d v="1899-12-30T07:12:00"/>
    <x v="357"/>
  </r>
  <r>
    <s v="3540519004651348199"/>
    <s v="uyên phương"/>
    <x v="3"/>
    <n v="0"/>
    <s v=""/>
    <s v="NULL"/>
    <x v="0"/>
    <s v="2026-07-16 07:15:12"/>
    <s v="2026-07-16 09:38:00"/>
    <s v="NULL"/>
    <s v="NULL"/>
    <s v="2026-07-16 11:38:00"/>
    <s v=""/>
    <s v="106.4861436"/>
    <s v="10.6206926"/>
    <s v="106.5922566"/>
    <s v="10.7697428"/>
    <n v="140724"/>
    <n v="0"/>
    <n v="140724"/>
    <s v="Cash"/>
    <s v="Công Ty Cổ Phần Bourbon Bến Lức, Nguyễn Trung Trực, Khu Phố 6, Bến Lức, Tây Ninh, Việt NamCông Ty Cổ Phần Bourbon Bến Lức"/>
    <s v="CÔNG TY TNHH SX HTD BÌNH TÂN, Hương lộ 2, Bình Trị Đông, Hồ Chí Minh, Việt NamCÔNG TY TNHH SX HTD BÌNH TÂN"/>
    <n v="1"/>
    <x v="0"/>
    <x v="5"/>
    <d v="1899-12-30T07:15:12"/>
    <x v="358"/>
  </r>
  <r>
    <s v="3540519004651348454"/>
    <s v="uyên phương"/>
    <x v="3"/>
    <n v="2178671"/>
    <s v=""/>
    <s v="Motorcycle"/>
    <x v="2"/>
    <s v="2026-07-16 07:16:59"/>
    <s v="2026-07-16 08:47:00"/>
    <s v="2026-07-16 11:16:46"/>
    <s v="2026-07-16 11:21:51"/>
    <s v=""/>
    <s v=""/>
    <s v="106.4861436"/>
    <s v="10.6206926"/>
    <s v="106.6251124"/>
    <s v="10.8162555"/>
    <n v="164808"/>
    <n v="127764"/>
    <n v="37044"/>
    <s v="Cash"/>
    <s v="Công Ty Cổ Phần Bourbon Bến Lức, Nguyễn Trung Trực, Khu Phố 6, Bến Lức, Tây Ninh, Việt NamCông Ty Cổ Phần Bourbon Bến Lức"/>
    <s v="Công ty TNHH Bao Bì Tân Thành, Tây Thạnh, Hồ Chí Minh, Việt NamCông ty TNHH Bao Bì Tân Thành"/>
    <n v="1"/>
    <x v="0"/>
    <x v="5"/>
    <d v="1899-12-30T07:16:59"/>
    <x v="14"/>
  </r>
  <r>
    <s v="3540522106565652662"/>
    <s v="uyên phương"/>
    <x v="3"/>
    <n v="3621789"/>
    <s v=""/>
    <s v="Motorcycle"/>
    <x v="1"/>
    <s v="2026-07-16 07:10:41"/>
    <s v="2026-07-16 09:41:00"/>
    <s v="2026-07-16 09:27:11"/>
    <s v="2026-07-16 09:35:05"/>
    <s v="2026-07-16 09:48:29"/>
    <s v=""/>
    <s v="106.49699275396726"/>
    <s v="10.637410402918151"/>
    <s v="106.6875265"/>
    <s v="10.8311481"/>
    <n v="183816"/>
    <n v="142500"/>
    <n v="41316"/>
    <s v="Cash"/>
    <s v="JFPW+RJH, Bến Lức, Tây Ninh, Việt NamJFPW+RJH, Bến Lức, Tây Ninh, Việt Nam"/>
    <s v="Công Ty Tnhh Mtv Dịch Vụ Công Ích Quận Gò Vấp, Dương Quảng Hàm, An Nhơn, Hồ Chí Minh, Việt NamCông Ty Tnhh Mtv Dịch Vụ Công Ích Quận Gò Vấp"/>
    <n v="1"/>
    <x v="0"/>
    <x v="5"/>
    <d v="1899-12-30T07:10:41"/>
    <x v="359"/>
  </r>
  <r>
    <s v="3540522106582426496"/>
    <s v="uyên phương"/>
    <x v="3"/>
    <n v="4458430"/>
    <s v=""/>
    <s v="Motorcycle"/>
    <x v="1"/>
    <s v="2026-07-16 07:22:57"/>
    <s v="2026-07-16 08:49:00"/>
    <s v="2026-07-16 08:16:35"/>
    <s v="NULL"/>
    <s v="2026-07-16 08:32:56"/>
    <s v=""/>
    <s v="106.4933144"/>
    <s v="10.6397674"/>
    <s v="106.7336248"/>
    <s v="10.7941473"/>
    <n v="183816"/>
    <n v="142500"/>
    <n v="41316"/>
    <s v="Cash"/>
    <s v="CN. CÔNG TY CPXD MINH LONG, Đường Số 2, Bến Lức, Tây Ninh, Việt NamCN. CÔNG TY CPXD MINH LONG"/>
    <s v="57 Đ. Số 8, Khu Phố 4, An Khánh, Hồ Chí Minh, Việt Nam57 Đ. Số 8, Khu Phố 4, An Khánh, Hồ Chí Minh, Việt Nam"/>
    <n v="1"/>
    <x v="0"/>
    <x v="5"/>
    <d v="1899-12-30T07:22:57"/>
    <x v="360"/>
  </r>
  <r>
    <s v="3540524843994927525"/>
    <s v="uyên phương"/>
    <x v="3"/>
    <n v="0"/>
    <s v=""/>
    <s v="NULL"/>
    <x v="0"/>
    <s v="2026-07-16 07:09:25"/>
    <s v="2026-07-16 08:39:00"/>
    <s v="NULL"/>
    <s v="NULL"/>
    <s v="2026-07-16 10:39:00"/>
    <s v=""/>
    <s v="106.49699275396726"/>
    <s v="10.637410402918151"/>
    <s v="106.6622332"/>
    <s v="10.8316454"/>
    <n v="147960"/>
    <n v="0"/>
    <n v="147960"/>
    <s v="Cash"/>
    <s v="JFPW+RJH, Bến Lức, Tây Ninh, Việt NamJFPW+RJH, Bến Lức, Tây Ninh, Việt Nam"/>
    <s v="Công ty sàn gỗ Gia Hoàng - Gò Vấp, Đường Số 17, Thông Tây Hội, Hồ Chí Minh, Việt NamCông ty sàn gỗ Gia Hoàng - Gò Vấp"/>
    <n v="1"/>
    <x v="0"/>
    <x v="5"/>
    <d v="1899-12-30T07:09:25"/>
    <x v="361"/>
  </r>
  <r>
    <s v="3540524844011712964"/>
    <s v="uyên phương"/>
    <x v="3"/>
    <n v="0"/>
    <s v=""/>
    <s v="NULL"/>
    <x v="0"/>
    <s v="2026-07-16 07:16:40"/>
    <s v="2026-07-16 08:47:00"/>
    <s v="NULL"/>
    <s v="NULL"/>
    <s v="2026-07-16 10:47:00"/>
    <s v=""/>
    <s v="106.4861436"/>
    <s v="10.6206926"/>
    <s v="106.6251124"/>
    <s v="10.8162555"/>
    <n v="128520"/>
    <n v="0"/>
    <n v="128520"/>
    <s v="Cash"/>
    <s v="Công Ty Cổ Phần Bourbon Bến Lức, Nguyễn Trung Trực, Khu Phố 6, Bến Lức, Tây Ninh, Việt NamCông Ty Cổ Phần Bourbon Bến Lức"/>
    <s v="Công ty TNHH Bao Bì Tân Thành, Tây Thạnh, Hồ Chí Minh, Việt NamCông ty TNHH Bao Bì Tân Thành"/>
    <n v="1"/>
    <x v="0"/>
    <x v="5"/>
    <d v="1899-12-30T07:16:40"/>
    <x v="362"/>
  </r>
  <r>
    <s v="3540524943517381065"/>
    <s v="uyên phương"/>
    <x v="3"/>
    <n v="4020532"/>
    <s v=""/>
    <s v="Motorcycle"/>
    <x v="1"/>
    <s v="2026-07-16 07:09:51"/>
    <s v="2026-07-16 09:40:00"/>
    <s v="2026-07-16 07:19:46"/>
    <s v="2026-07-16 09:22:23"/>
    <s v="2026-07-16 10:46:19"/>
    <s v=""/>
    <s v="106.49699275396726"/>
    <s v="10.637410402918151"/>
    <s v="106.6657844447357"/>
    <s v="10.830054205050612"/>
    <n v="198720"/>
    <n v="154054"/>
    <n v="44666"/>
    <s v="Cash"/>
    <s v="JFPW+RJH, Bến Lức, Tây Ninh, Việt NamJFPW+RJH, Bến Lức, Tây Ninh, Việt Nam"/>
    <s v="407/91/50, 51/5/9G Đường số 7, Gò Vấp, Hồ Chí Minh, Việt Nam407/91/50, 51/5/9G Đường số 7, Gò Vấp, Hồ Chí Minh, Việt Nam"/>
    <n v="1"/>
    <x v="0"/>
    <x v="5"/>
    <d v="1899-12-30T07:09:51"/>
    <x v="363"/>
  </r>
  <r>
    <s v="3540524943534154327"/>
    <s v="uyên phương"/>
    <x v="3"/>
    <n v="4561747"/>
    <s v=""/>
    <s v="Motorcycle"/>
    <x v="2"/>
    <s v="2026-07-16 07:18:06"/>
    <s v="2026-07-16 08:40:00"/>
    <s v="2026-07-16 10:40:43"/>
    <s v="NULL"/>
    <s v=""/>
    <s v=""/>
    <s v="106.4861436"/>
    <s v="10.6206926"/>
    <s v="106.9405288"/>
    <s v="10.7198991"/>
    <n v="259308"/>
    <n v="201024"/>
    <n v="58284"/>
    <s v="Cash"/>
    <s v="Công Ty Cổ Phần Bourbon Bến Lức, Nguyễn Trung Trực, Khu Phố 6, Bến Lức, Tây Ninh, Việt NamCông Ty Cổ Phần Bourbon Bến Lức"/>
    <s v="Công ty TNHH Palm Paper, Đường C-15, KCN Nhơn Trạch, Nhơn Trạch, Đồng Nai, Việt NamCông ty TNHH Palm Paper"/>
    <n v="1"/>
    <x v="0"/>
    <x v="5"/>
    <d v="1899-12-30T07:18:06"/>
    <x v="14"/>
  </r>
  <r>
    <s v="3540527214993040110"/>
    <s v="uyên phương"/>
    <x v="3"/>
    <n v="0"/>
    <s v=""/>
    <s v="NULL"/>
    <x v="0"/>
    <s v="2026-07-16 07:21:37"/>
    <s v="2026-07-16 08:52:00"/>
    <s v="NULL"/>
    <s v="NULL"/>
    <s v="2026-07-16 10:52:00"/>
    <s v=""/>
    <s v="106.4933144"/>
    <s v="10.6397674"/>
    <s v="106.7831922859528"/>
    <s v="10.847550097841195"/>
    <n v="274212"/>
    <n v="0"/>
    <n v="274212"/>
    <s v="Cash"/>
    <s v="CN. CÔNG TY CPXD MINH LONG, Đường Số 2, Bến Lức, Tây Ninh, Việt NamCN. CÔNG TY CPXD MINH LONG"/>
    <s v="Đ. Trương Văn Thành/Hẻm 50 Phòng 10, Khu Phố 4, Tăng Nhơn Phú, Hồ Chí Minh, Việt NamĐ. Trương Văn Thành/Hẻm 50 Phòng 10, Khu Phố 4, Tăng Nhơn Phú, Hồ Chí Minh, Việt Nam"/>
    <n v="1"/>
    <x v="0"/>
    <x v="5"/>
    <d v="1899-12-30T07:21:37"/>
    <x v="364"/>
  </r>
  <r>
    <s v="3540527215018202002"/>
    <s v="uyên phương"/>
    <x v="3"/>
    <n v="0"/>
    <s v=""/>
    <s v="NULL"/>
    <x v="0"/>
    <s v="2026-07-16 07:29:07"/>
    <s v="2026-07-16 07:39:06"/>
    <s v="NULL"/>
    <s v="NULL"/>
    <s v="2026-07-16 09:39:06"/>
    <s v=""/>
    <s v="106.5108578"/>
    <s v="10.6229679"/>
    <s v="106.7238529"/>
    <s v="10.965328"/>
    <n v="228096"/>
    <n v="0"/>
    <n v="228096"/>
    <s v="Cash"/>
    <s v="Công ty TNHH EUROPEAN SNACK FOOD (VIỆT NAM), Đường Số 6, KCN, Mỹ Yên, Tây Ninh, Việt NamCông ty TNHH EUROPEAN SNACK FOOD (VIỆT NAM)"/>
    <s v="Công Ty Bách Thuận 佰順噴漆廠, Unnamed, Road, Thuận Giao, Hồ Chí Minh, Việt NamCông Ty Bách Thuận 佰順噴漆廠"/>
    <n v="1"/>
    <x v="0"/>
    <x v="5"/>
    <d v="1899-12-30T07:29:07"/>
    <x v="9"/>
  </r>
  <r>
    <s v="3540527215018202047"/>
    <s v="uyên phương"/>
    <x v="3"/>
    <n v="0"/>
    <s v=""/>
    <s v="NULL"/>
    <x v="0"/>
    <s v="2026-07-16 07:29:22"/>
    <s v="2026-07-16 07:39:22"/>
    <s v="NULL"/>
    <s v="NULL"/>
    <s v="2026-07-16 09:54:00"/>
    <s v=""/>
    <s v="106.5108578"/>
    <s v="10.6229679"/>
    <s v="106.7238529"/>
    <s v="10.965328"/>
    <n v="319356"/>
    <n v="0"/>
    <n v="319356"/>
    <s v="Cash"/>
    <s v="Công ty TNHH EUROPEAN SNACK FOOD (VIỆT NAM), Đường Số 6, KCN, Mỹ Yên, Tây Ninh, Việt NamCông ty TNHH EUROPEAN SNACK FOOD (VIỆT NAM)"/>
    <s v="Công Ty Bách Thuận 佰順噴漆廠, Unnamed, Road, Thuận Giao, Hồ Chí Minh, Việt NamCông Ty Bách Thuận 佰順噴漆廠"/>
    <n v="1"/>
    <x v="0"/>
    <x v="5"/>
    <d v="1899-12-30T07:29:22"/>
    <x v="365"/>
  </r>
  <r>
    <s v="3540529294847725833"/>
    <s v="uyên phương"/>
    <x v="3"/>
    <n v="0"/>
    <s v=""/>
    <s v="NULL"/>
    <x v="0"/>
    <s v="2026-07-16 07:21:18"/>
    <s v="2026-07-16 08:36:00"/>
    <s v="NULL"/>
    <s v="NULL"/>
    <s v="2026-07-16 10:36:00"/>
    <s v=""/>
    <s v="106.4933144"/>
    <s v="10.6397674"/>
    <s v="106.7866577"/>
    <s v="10.8450844"/>
    <n v="195372"/>
    <n v="0"/>
    <n v="195372"/>
    <s v="Cash"/>
    <s v="CN. CÔNG TY CPXD MINH LONG, Đường Số 2, Bến Lức, Tây Ninh, Việt NamCN. CÔNG TY CPXD MINH LONG"/>
    <s v="Quận 9, Tăng Nhơn Phú, Hồ Chí Minh, Việt NamQuận 9"/>
    <n v="1"/>
    <x v="0"/>
    <x v="5"/>
    <d v="1899-12-30T07:21:18"/>
    <x v="366"/>
  </r>
  <r>
    <s v="3540529294864511831"/>
    <s v="uyên phương"/>
    <x v="3"/>
    <n v="0"/>
    <s v=""/>
    <s v="NULL"/>
    <x v="0"/>
    <s v="2026-07-16 07:30:44"/>
    <s v="2026-07-16 07:40:44"/>
    <s v="NULL"/>
    <s v="NULL"/>
    <s v="2026-07-16 09:40:44"/>
    <s v=""/>
    <s v="106.5144144"/>
    <s v="10.6231774"/>
    <s v="106.6798923"/>
    <s v="11.0139846"/>
    <n v="230472"/>
    <n v="0"/>
    <n v="230472"/>
    <s v="Cash"/>
    <s v="CÔNG TY TNHH SẢN XUẤT NGŨ KIM HUNG HING HONG KONG (VIỆT NAM), Mỹ Yên, Tây Ninh, Việt NamCÔNG TY TNHH SẢN XUẤT NGŨ KIM HUNG HING HONG KONG (VIỆT NAM)"/>
    <s v="Thủ dầu một, Đường ĐX-025, Bình Dương, Hồ Chí Minh, Việt NamThủ dầu một"/>
    <n v="1"/>
    <x v="0"/>
    <x v="5"/>
    <d v="1899-12-30T07:30:44"/>
    <x v="4"/>
  </r>
  <r>
    <s v="3540533194099224796"/>
    <s v="uyên phương"/>
    <x v="3"/>
    <n v="0"/>
    <s v=""/>
    <s v="NULL"/>
    <x v="0"/>
    <s v="2026-07-16 07:19:52"/>
    <s v="2026-07-16 08:34:00"/>
    <s v="NULL"/>
    <s v="NULL"/>
    <s v="2026-07-16 10:34:00"/>
    <s v=""/>
    <s v="106.4933144"/>
    <s v="10.6397674"/>
    <s v="106.7533776"/>
    <s v="10.8495118"/>
    <n v="186624"/>
    <n v="0"/>
    <n v="186624"/>
    <s v="Cash"/>
    <s v="CN. CÔNG TY CPXD MINH LONG, Đường Số 2, Bến Lức, Tây Ninh, Việt NamCN. CÔNG TY CPXD MINH LONG"/>
    <s v="CÔNG TY TNHH TM-DV THỦ ĐỨC, Dương Văn Cam, P, Linh Xuân, Hồ Chí Minh, Việt NamCÔNG TY TNHH TM-DV THỦ ĐỨC"/>
    <n v="1"/>
    <x v="0"/>
    <x v="5"/>
    <d v="1899-12-30T07:19:52"/>
    <x v="367"/>
  </r>
  <r>
    <s v="3540533194132771123"/>
    <s v="uyên phương"/>
    <x v="3"/>
    <n v="0"/>
    <s v=""/>
    <s v="NULL"/>
    <x v="0"/>
    <s v="2026-07-16 07:33:05"/>
    <s v="2026-07-16 07:43:05"/>
    <s v="NULL"/>
    <s v="NULL"/>
    <s v="2026-07-16 09:43:05"/>
    <s v=""/>
    <s v="106.5141744"/>
    <s v="10.6325718"/>
    <s v="106.8857365"/>
    <s v="10.937396"/>
    <n v="248076"/>
    <n v="0"/>
    <n v="248076"/>
    <s v="Cash"/>
    <s v="Công ty TNHH Bao Bì Xuất Khẩu và Thương Mại Vạn Thành, Quốc lộ 1A, Mỹ Yên, Tây Ninh, Việt NamCông ty TNHH Bao Bì Xuất Khẩu và Thương Mại Vạn Thành"/>
    <s v="CÔNG TY TNHH BÌNH TIÊN BIÊN HÒA, Khu Công Nghiệp Amata, Long Bình, Đồng Nai, Việt NamCÔNG TY TNHH BÌNH TIÊN BIÊN HÒA"/>
    <n v="1"/>
    <x v="0"/>
    <x v="5"/>
    <d v="1899-12-30T07:33:05"/>
    <x v="4"/>
  </r>
  <r>
    <s v="3540533661386625821"/>
    <s v="uyên phương"/>
    <x v="3"/>
    <n v="3020539"/>
    <s v=""/>
    <s v="Motorcycle"/>
    <x v="2"/>
    <s v="2026-07-16 07:24:10"/>
    <s v="2026-07-16 08:42:00"/>
    <s v="2026-07-16 10:33:21"/>
    <s v="NULL"/>
    <s v=""/>
    <s v=""/>
    <s v="106.4933144"/>
    <s v="10.6397674"/>
    <s v="106.6986219221985"/>
    <s v="10.81362038821805"/>
    <n v="187488"/>
    <n v="145347"/>
    <n v="42141"/>
    <s v="Cash"/>
    <s v="CN. CÔNG TY CPXD MINH LONG, Đường Số 2, Bến Lức, Tây Ninh, Việt NamCN. CÔNG TY CPXD MINH LONG"/>
    <s v="282/10Bis Nơ Trang Long, Bình Thạnh, Hồ Chí Minh, Việt Nam282/10Bis Nơ Trang Long, Bình Thạnh, Hồ Chí Minh, Việt Nam"/>
    <n v="1"/>
    <x v="0"/>
    <x v="5"/>
    <d v="1899-12-30T07:24:10"/>
    <x v="14"/>
  </r>
  <r>
    <s v="3540533661420183959"/>
    <s v="uyên phương"/>
    <x v="3"/>
    <n v="0"/>
    <s v=""/>
    <s v="NULL"/>
    <x v="0"/>
    <s v="2026-07-16 07:34:08"/>
    <s v="2026-07-16 07:44:08"/>
    <s v="NULL"/>
    <s v="NULL"/>
    <s v="2026-07-16 09:44:08"/>
    <s v=""/>
    <s v="106.5141744"/>
    <s v="10.6325718"/>
    <s v="106.7866577"/>
    <s v="10.8450844"/>
    <n v="186948"/>
    <n v="0"/>
    <n v="186948"/>
    <s v="Cash"/>
    <s v="Công ty TNHH Bao Bì Xuất Khẩu và Thương Mại Vạn Thành, Quốc lộ 1A, Mỹ Yên, Tây Ninh, Việt NamCông ty TNHH Bao Bì Xuất Khẩu và Thương Mại Vạn Thành"/>
    <s v="Quận 9, Tăng Nhơn Phú, Hồ Chí Minh, Việt NamQuận 9"/>
    <n v="1"/>
    <x v="0"/>
    <x v="5"/>
    <d v="1899-12-30T07:34:08"/>
    <x v="4"/>
  </r>
  <r>
    <s v="3540533661420184158"/>
    <s v="uyên phương"/>
    <x v="3"/>
    <n v="0"/>
    <s v=""/>
    <s v="NULL"/>
    <x v="0"/>
    <s v="2026-07-16 07:35:15"/>
    <s v="2026-07-16 07:45:15"/>
    <s v="NULL"/>
    <s v="NULL"/>
    <s v="2026-07-16 09:45:15"/>
    <s v=""/>
    <s v="106.5141744"/>
    <s v="10.6325718"/>
    <s v="106.70543210716245"/>
    <s v="10.81381691125486"/>
    <n v="131004"/>
    <n v="0"/>
    <n v="131004"/>
    <s v="Cash"/>
    <s v="Công ty TNHH Bao Bì Xuất Khẩu và Thương Mại Vạn Thành, Quốc lộ 1A, Mỹ Yên, Tây Ninh, Việt NamCông ty TNHH Bao Bì Xuất Khẩu và Thương Mại Vạn Thành"/>
    <s v="201 Đ. Nguyễn Xí, Bình Thạnh, Hồ Chí Minh, Việt Nam201 Đ. Nguyễn Xí, Bình Thạnh, Hồ Chí Minh, Việt Nam"/>
    <n v="1"/>
    <x v="0"/>
    <x v="5"/>
    <d v="1899-12-30T07:35:15"/>
    <x v="4"/>
  </r>
  <r>
    <s v="3540534477774344311"/>
    <s v="uyên phương"/>
    <x v="3"/>
    <n v="0"/>
    <s v=""/>
    <s v="NULL"/>
    <x v="0"/>
    <s v="2026-07-16 07:20:57"/>
    <s v="2026-07-16 07:30:56"/>
    <s v="NULL"/>
    <s v="NULL"/>
    <s v="2026-07-16 09:46:22"/>
    <s v=""/>
    <s v="106.4933144"/>
    <s v="10.6397674"/>
    <s v="106.75425927381897"/>
    <s v="10.852546491730092"/>
    <n v="246132"/>
    <n v="0"/>
    <n v="246132"/>
    <s v="Cash"/>
    <s v="CN. CÔNG TY CPXD MINH LONG, Đường Số 2, Bến Lức, Tây Ninh, Việt NamCN. CÔNG TY CPXD MINH LONG"/>
    <s v="107/4B Kha Vạn Cân, Linh Xuân, Hồ Chí Minh, Việt Nam107/4B Kha Vạn Cân, Linh Xuân, Hồ Chí Minh, Việt Nam"/>
    <n v="1"/>
    <x v="0"/>
    <x v="5"/>
    <d v="1899-12-30T07:20:57"/>
    <x v="368"/>
  </r>
  <r>
    <s v="3540534477799518443"/>
    <s v="uyên phương"/>
    <x v="3"/>
    <n v="3106185"/>
    <s v=""/>
    <s v="Motorcycle"/>
    <x v="1"/>
    <s v="2026-07-16 07:28:31"/>
    <s v="2026-07-16 07:38:31"/>
    <s v="2026-07-16 08:47:02"/>
    <s v="NULL"/>
    <s v="2026-07-16 08:52:59"/>
    <s v=""/>
    <s v="106.5108578"/>
    <s v="10.6229679"/>
    <s v="106.7724256"/>
    <s v="10.9983167"/>
    <n v="348948"/>
    <n v="270515"/>
    <n v="78433"/>
    <s v="Cash"/>
    <s v="Công ty TNHH EUROPEAN SNACK FOOD (VIỆT NAM), Đường Số 6, KCN, Mỹ Yên, Tây Ninh, Việt NamCông ty TNHH EUROPEAN SNACK FOOD (VIỆT NAM)"/>
    <s v="A New Day Glamping Tân Uyên, Đường Thạnh Phước 26, Phường, Tân Khánh, Hồ Chí Minh, Việt NamA New Day Glamping Tân Uyên"/>
    <n v="1"/>
    <x v="0"/>
    <x v="5"/>
    <d v="1899-12-30T07:28:31"/>
    <x v="369"/>
  </r>
  <r>
    <s v="3540534477799518730"/>
    <s v="uyên phương"/>
    <x v="3"/>
    <n v="0"/>
    <s v=""/>
    <s v="NULL"/>
    <x v="0"/>
    <s v="2026-07-16 07:30:18"/>
    <s v="2026-07-16 07:40:18"/>
    <s v="NULL"/>
    <s v="NULL"/>
    <s v="2026-07-16 09:40:18"/>
    <s v=""/>
    <s v="106.5144144"/>
    <s v="10.6231774"/>
    <s v="106.6798923"/>
    <s v="11.0139846"/>
    <n v="241272"/>
    <n v="0"/>
    <n v="241272"/>
    <s v="Cash"/>
    <s v="CÔNG TY TNHH SẢN XUẤT NGŨ KIM HUNG HING HONG KONG (VIỆT NAM), Mỹ Yên, Tây Ninh, Việt NamCÔNG TY TNHH SẢN XUẤT NGŨ KIM HUNG HING HONG KONG (VIỆT NAM)"/>
    <s v="Thủ dầu một, Đường ĐX-025, Bình Dương, Hồ Chí Minh, Việt NamThủ dầu một"/>
    <n v="1"/>
    <x v="0"/>
    <x v="5"/>
    <d v="1899-12-30T07:30:18"/>
    <x v="4"/>
  </r>
  <r>
    <s v="3540534477816291466"/>
    <s v="uyên phương"/>
    <x v="3"/>
    <n v="4729280"/>
    <s v=""/>
    <s v="Motorcycle"/>
    <x v="1"/>
    <s v="2026-07-16 07:33:54"/>
    <s v="2026-07-16 07:43:53"/>
    <s v="2026-07-16 08:22:15"/>
    <s v="NULL"/>
    <s v="2026-07-16 08:25:08"/>
    <s v=""/>
    <s v="106.5141744"/>
    <s v="10.6325718"/>
    <s v="106.8639492"/>
    <s v="10.9729363"/>
    <n v="356832"/>
    <n v="276627"/>
    <n v="80205"/>
    <s v="Cash"/>
    <s v="Công ty TNHH Bao Bì Xuất Khẩu và Thương Mại Vạn Thành, Quốc lộ 1A, Mỹ Yên, Tây Ninh, Việt NamCông ty TNHH Bao Bì Xuất Khẩu và Thương Mại Vạn Thành"/>
    <s v="Công ty TNHH XD TM DV Biên Hòa, Trảng Dài, Đồng Nai, Việt NamCông ty TNHH XD TM DV Biên Hòa"/>
    <n v="1"/>
    <x v="0"/>
    <x v="5"/>
    <d v="1899-12-30T07:33:54"/>
    <x v="370"/>
  </r>
  <r>
    <s v="3540534477816291572"/>
    <s v="uyên phương"/>
    <x v="3"/>
    <n v="0"/>
    <s v=""/>
    <s v="NULL"/>
    <x v="0"/>
    <s v="2026-07-16 07:34:22"/>
    <s v="2026-07-16 07:44:22"/>
    <s v="NULL"/>
    <s v="NULL"/>
    <s v="2026-07-16 09:44:22"/>
    <s v=""/>
    <s v="106.5141744"/>
    <s v="10.6325718"/>
    <s v="106.78518784945987"/>
    <s v="10.843999065019544"/>
    <n v="175392"/>
    <n v="0"/>
    <n v="175392"/>
    <s v="Cash"/>
    <s v="Công ty TNHH Bao Bì Xuất Khẩu và Thương Mại Vạn Thành, Quốc lộ 1A, Mỹ Yên, Tây Ninh, Việt NamCông ty TNHH Bao Bì Xuất Khẩu và Thương Mại Vạn Thành"/>
    <s v="B185 Đ. Lê Văn Việt, Tăng Nhơn Phú, Hồ Chí Minh, Việt NamB185 Đ. Lê Văn Việt, Tăng Nhơn Phú, Hồ Chí Minh, Việt Nam"/>
    <n v="1"/>
    <x v="0"/>
    <x v="5"/>
    <d v="1899-12-30T07:34:22"/>
    <x v="4"/>
  </r>
  <r>
    <s v="3540534611924968079"/>
    <s v="uyên phương"/>
    <x v="3"/>
    <n v="0"/>
    <s v=""/>
    <s v="NULL"/>
    <x v="0"/>
    <s v="2026-07-16 07:31:18"/>
    <s v="2026-07-16 07:41:18"/>
    <s v="NULL"/>
    <s v="NULL"/>
    <s v="2026-07-16 09:41:18"/>
    <s v=""/>
    <s v="106.5144144"/>
    <s v="10.6231774"/>
    <s v="106.7550816"/>
    <s v="10.9058533"/>
    <n v="212112"/>
    <n v="0"/>
    <n v="212112"/>
    <s v="Cash"/>
    <s v="CÔNG TY TNHH SẢN XUẤT NGŨ KIM HUNG HING HONG KONG (VIỆT NAM), Mỹ Yên, Tây Ninh, Việt NamCÔNG TY TNHH SẢN XUẤT NGŨ KIM HUNG HING HONG KONG (VIỆT NAM)"/>
    <s v="Công ty bất động sản Phú Thượng-TP Dĩ An-Bình Dương, Khu Phố Thống Nhất 1, Dĩ An, Hồ Chí Minh, Việt NamCông ty bất động sản Phú Thượng-TP Dĩ An-Bình Dương"/>
    <n v="1"/>
    <x v="0"/>
    <x v="5"/>
    <d v="1899-12-30T07:31:18"/>
    <x v="4"/>
  </r>
  <r>
    <s v="3540534611924968139"/>
    <s v="uyên phương"/>
    <x v="3"/>
    <n v="0"/>
    <s v=""/>
    <s v="NULL"/>
    <x v="0"/>
    <s v="2026-07-16 07:31:41"/>
    <s v="2026-07-16 07:41:41"/>
    <s v="NULL"/>
    <s v="NULL"/>
    <s v="2026-07-16 09:41:41"/>
    <s v=""/>
    <s v="106.5144144"/>
    <s v="10.6231774"/>
    <s v="106.7550816"/>
    <s v="10.9058533"/>
    <n v="201312"/>
    <n v="0"/>
    <n v="201312"/>
    <s v="Cash"/>
    <s v="CÔNG TY TNHH SẢN XUẤT NGŨ KIM HUNG HING HONG KONG (VIỆT NAM), Mỹ Yên, Tây Ninh, Việt NamCÔNG TY TNHH SẢN XUẤT NGŨ KIM HUNG HING HONG KONG (VIỆT NAM)"/>
    <s v="Công ty bất động sản Phú Thượng-TP Dĩ An-Bình Dương, Khu Phố Thống Nhất 1, Dĩ An, Hồ Chí Minh, Việt NamCông ty bất động sản Phú Thượng-TP Dĩ An-Bình Dương"/>
    <n v="1"/>
    <x v="0"/>
    <x v="5"/>
    <d v="1899-12-30T07:31:41"/>
    <x v="4"/>
  </r>
  <r>
    <s v="3540536356931596558"/>
    <s v="uyên phương"/>
    <x v="3"/>
    <n v="0"/>
    <s v=""/>
    <s v="NULL"/>
    <x v="0"/>
    <s v="2026-07-16 07:32:01"/>
    <s v="2026-07-16 07:42:01"/>
    <s v="NULL"/>
    <s v="NULL"/>
    <s v="2026-07-16 09:42:01"/>
    <s v=""/>
    <s v="106.5144144"/>
    <s v="10.6231774"/>
    <s v="106.75802130108033"/>
    <s v="10.905610993366441"/>
    <n v="282420"/>
    <n v="0"/>
    <n v="282420"/>
    <s v="Cash"/>
    <s v="CÔNG TY TNHH SẢN XUẤT NGŨ KIM HUNG HING HONG KONG (VIỆT NAM), Mỹ Yên, Tây Ninh, Việt NamCÔNG TY TNHH SẢN XUẤT NGŨ KIM HUNG HING HONG KONG (VIỆT NAM)"/>
    <s v="48 Trần Nguyên Hãn, Dĩ An, Hồ Chí Minh 82000, Việt Nam48 Trần Nguyên Hãn, Dĩ An, Hồ Chí Minh 82000, Việt Nam"/>
    <n v="1"/>
    <x v="0"/>
    <x v="5"/>
    <d v="1899-12-30T07:32:01"/>
    <x v="4"/>
  </r>
  <r>
    <s v="3540538198096834605"/>
    <s v="uyên phương"/>
    <x v="3"/>
    <n v="0"/>
    <s v=""/>
    <s v="NULL"/>
    <x v="0"/>
    <s v="2026-07-16 07:27:05"/>
    <s v="2026-07-16 07:37:05"/>
    <s v="NULL"/>
    <s v="NULL"/>
    <s v="2026-07-16 09:37:05"/>
    <s v=""/>
    <s v="106.5108578"/>
    <s v="10.6229679"/>
    <s v="106.6263666"/>
    <s v="11.0899974"/>
    <n v="386100"/>
    <n v="0"/>
    <n v="386100"/>
    <s v="Cash"/>
    <s v="Công ty TNHH EUROPEAN SNACK FOOD (VIỆT NAM), Đường Số 6, KCN, Mỹ Yên, Tây Ninh, Việt NamCông ty TNHH EUROPEAN SNACK FOOD (VIỆT NAM)"/>
    <s v="Bến cát Bình Dương, Quốc lộ 13, Thới Hòa, Hồ Chí Minh, Việt NamBến cát Bình Dương"/>
    <n v="1"/>
    <x v="0"/>
    <x v="5"/>
    <d v="1899-12-30T07:27:05"/>
    <x v="4"/>
  </r>
  <r>
    <s v="3540538280229687329"/>
    <s v="uyên phương"/>
    <x v="3"/>
    <n v="0"/>
    <s v=""/>
    <s v="NULL"/>
    <x v="0"/>
    <s v="2026-07-16 07:27:22"/>
    <s v="2026-07-16 07:37:21"/>
    <s v="NULL"/>
    <s v="NULL"/>
    <s v="2026-07-16 09:37:21"/>
    <s v=""/>
    <s v="106.5108578"/>
    <s v="10.6229679"/>
    <s v="106.547103"/>
    <s v="11.1133992"/>
    <n v="297648"/>
    <n v="0"/>
    <n v="297648"/>
    <s v="Cash"/>
    <s v="Công ty TNHH EUROPEAN SNACK FOOD (VIỆT NAM), Đường Số 6, KCN, Mỹ Yên, Tây Ninh, Việt NamCông ty TNHH EUROPEAN SNACK FOOD (VIỆT NAM)"/>
    <s v="Công ty TNHH Chinh Long Bến Cát, Tây Nam, Hồ Chí Minh, Việt NamCông ty TNHH Chinh Long Bến Cát"/>
    <n v="1"/>
    <x v="0"/>
    <x v="5"/>
    <d v="1899-12-30T07:27:22"/>
    <x v="9"/>
  </r>
  <r>
    <s v="3540538280229687451"/>
    <s v="uyên phương"/>
    <x v="3"/>
    <n v="3370641"/>
    <s v=""/>
    <s v="Motorcycle"/>
    <x v="2"/>
    <s v="2026-07-16 07:28:19"/>
    <s v="2026-07-16 07:38:18"/>
    <s v="2026-07-16 11:27:59"/>
    <s v="NULL"/>
    <s v=""/>
    <s v=""/>
    <s v="106.5108578"/>
    <s v="10.6229679"/>
    <s v="106.7724256"/>
    <s v="10.9983167"/>
    <n v="249264"/>
    <n v="193237"/>
    <n v="56027"/>
    <s v="Cash"/>
    <s v="Công ty TNHH EUROPEAN SNACK FOOD (VIỆT NAM), Đường Số 6, KCN, Mỹ Yên, Tây Ninh, Việt NamCông ty TNHH EUROPEAN SNACK FOOD (VIỆT NAM)"/>
    <s v="A New Day Glamping Tân Uyên, Đường Thạnh Phước 26, Phường, Tân Khánh, Hồ Chí Minh, Việt NamA New Day Glamping Tân Uyên"/>
    <n v="1"/>
    <x v="0"/>
    <x v="5"/>
    <d v="1899-12-30T07:28:19"/>
    <x v="14"/>
  </r>
  <r>
    <s v="3540539682435850352"/>
    <s v="uyên phương"/>
    <x v="3"/>
    <n v="0"/>
    <s v=""/>
    <s v="NULL"/>
    <x v="0"/>
    <s v="2026-07-16 07:36:05"/>
    <s v="2026-07-16 07:46:04"/>
    <s v="NULL"/>
    <s v="NULL"/>
    <s v="2026-07-16 09:46:04"/>
    <s v=""/>
    <s v="106.5141744"/>
    <s v="10.6325718"/>
    <s v="106.6733441"/>
    <s v="10.8314858"/>
    <n v="175716"/>
    <n v="0"/>
    <n v="175716"/>
    <s v="Cash"/>
    <s v="Công ty TNHH Bao Bì Xuất Khẩu và Thương Mại Vạn Thành, Quốc lộ 1A, Mỹ Yên, Tây Ninh, Việt NamCông ty TNHH Bao Bì Xuất Khẩu và Thương Mại Vạn Thành"/>
    <s v="Gò Vấp, Hồ Chí Minh, Việt NamGò Vấp"/>
    <n v="1"/>
    <x v="0"/>
    <x v="5"/>
    <d v="1899-12-30T07:36:05"/>
    <x v="9"/>
  </r>
  <r>
    <s v="3540540834367889950"/>
    <s v="uyên phương"/>
    <x v="3"/>
    <n v="3227083"/>
    <s v=""/>
    <s v="Motorcycle"/>
    <x v="1"/>
    <s v="2026-07-16 07:34:57"/>
    <s v="2026-07-16 07:44:56"/>
    <s v="2026-07-16 09:17:02"/>
    <s v="2026-07-16 09:30:38"/>
    <s v="2026-07-16 10:34:07"/>
    <s v=""/>
    <s v="106.5141744"/>
    <s v="10.6325718"/>
    <s v="106.7590484"/>
    <s v="10.8653024"/>
    <n v="177336"/>
    <n v="145563"/>
    <n v="31773"/>
    <s v="Cash"/>
    <s v="Công ty TNHH Bao Bì Xuất Khẩu và Thương Mại Vạn Thành, Quốc lộ 1A, Mỹ Yên, Tây Ninh, Việt NamCông ty TNHH Bao Bì Xuất Khẩu và Thương Mại Vạn Thành"/>
    <s v="Thủ đức, Đường Phạm Văn Đồng, Linh Xuân, Hồ Chí Minh, Việt NamThủ đức"/>
    <n v="1"/>
    <x v="0"/>
    <x v="5"/>
    <d v="1899-12-30T07:34:57"/>
    <x v="371"/>
  </r>
  <r>
    <s v="3540540834409837072"/>
    <s v="uyên phương"/>
    <x v="3"/>
    <n v="0"/>
    <s v=""/>
    <s v="NULL"/>
    <x v="0"/>
    <s v="2026-07-16 07:45:26"/>
    <s v="2026-07-16 07:55:25"/>
    <s v="NULL"/>
    <s v="NULL"/>
    <s v="2026-07-16 09:58:06"/>
    <s v=""/>
    <s v="106.5161509"/>
    <s v="10.6456886"/>
    <s v="106.61146258592223"/>
    <s v="11.341549716353532"/>
    <n v="397116"/>
    <n v="0"/>
    <n v="397116"/>
    <s v="Cash"/>
    <s v="Công ty Cổ Phần In DICA, Đường VL1, KCN Vĩnh Lộc 2, Mỹ Yên, Tây Ninh, Việt NamCông ty Cổ Phần In DICA"/>
    <s v="8JR6+V6H, Trừ Văn Thố, Hồ Chí Minh, Việt Nam8JR6+V6H, Trừ Văn Thố, Hồ Chí Minh, Việt Nam"/>
    <n v="1"/>
    <x v="0"/>
    <x v="5"/>
    <d v="1899-12-30T07:45:26"/>
    <x v="372"/>
  </r>
  <r>
    <s v="3540543764886151808"/>
    <s v="uyên phương"/>
    <x v="3"/>
    <n v="0"/>
    <s v=""/>
    <s v="NULL"/>
    <x v="0"/>
    <s v="2026-07-16 07:45:39"/>
    <s v="2026-07-16 07:55:39"/>
    <s v="NULL"/>
    <s v="NULL"/>
    <s v="2026-07-16 09:55:39"/>
    <s v=""/>
    <s v="106.5161509"/>
    <s v="10.6456886"/>
    <s v="106.6105034"/>
    <s v="11.342176"/>
    <n v="307152"/>
    <n v="0"/>
    <n v="307152"/>
    <s v="Cash"/>
    <s v="Công ty Cổ Phần In DICA, Đường VL1, KCN Vĩnh Lộc 2, Mỹ Yên, Tây Ninh, Việt NamCông ty Cổ Phần In DICA"/>
    <s v="8JR6+V6H, Trừ Văn Thố, Hồ Chí Minh, Việt Nam8JR6+V6H, Trừ Văn Thố, Hồ Chí Minh, Việt Nam"/>
    <n v="1"/>
    <x v="0"/>
    <x v="5"/>
    <d v="1899-12-30T07:45:39"/>
    <x v="4"/>
  </r>
  <r>
    <s v="3540543764902925073"/>
    <s v="uyên phương"/>
    <x v="3"/>
    <n v="0"/>
    <s v=""/>
    <s v="NULL"/>
    <x v="0"/>
    <s v="2026-07-16 07:51:19"/>
    <s v="2026-07-16 08:01:18"/>
    <s v="NULL"/>
    <s v="NULL"/>
    <s v="2026-07-16 10:01:18"/>
    <s v=""/>
    <s v="106.5121615"/>
    <s v="10.6382124"/>
    <s v="106.8729589"/>
    <s v="10.9505035"/>
    <n v="252504"/>
    <n v="0"/>
    <n v="252504"/>
    <s v="Cash"/>
    <s v="Phi Long Food Manufactory Co.,LTD, Đường VL2, KCN, Mỹ Yên, Tây Ninh, Việt NamPhi Long Food Manufactory Co.,LTD"/>
    <s v="Công ty Cổ phần Đô thị Amata Biên Hoà (Amata), Amata, Long Bình, Đồng Nai, Việt NamCông ty Cổ phần Đô thị Amata Biên Hoà (Amata)"/>
    <n v="1"/>
    <x v="0"/>
    <x v="5"/>
    <d v="1899-12-30T07:51:19"/>
    <x v="9"/>
  </r>
  <r>
    <s v="3540544673850552862"/>
    <s v="uyên phương"/>
    <x v="3"/>
    <n v="3737957"/>
    <s v=""/>
    <s v="Motorcycle"/>
    <x v="2"/>
    <s v="2026-07-16 07:47:09"/>
    <s v="2026-07-16 07:57:09"/>
    <s v="2026-07-16 10:17:00"/>
    <s v="NULL"/>
    <s v=""/>
    <s v=""/>
    <s v="106.5171232"/>
    <s v="10.6425146"/>
    <s v="106.82954984208068"/>
    <s v="11.09109453896851"/>
    <n v="425628"/>
    <n v="329960"/>
    <n v="95668"/>
    <s v="Cash"/>
    <s v="CÔNG TY CỔ PHẦN TẬP ĐOÀN KIM ĐỨC, Đường VL1, KCN Vĩnh, Mỹ Yên, Tây Ninh, Việt NamCÔNG TY CỔ PHẦN TẬP ĐOÀN KIM ĐỨC"/>
    <s v="3RRJ+G2H, ĐH411, Bắc Tân Uyên, Hồ Chí Minh, Việt Nam3RRJ+G2H, ĐH411, Bắc Tân Uyên, Hồ Chí Minh, Việt Nam"/>
    <n v="1"/>
    <x v="0"/>
    <x v="5"/>
    <d v="1899-12-30T07:47:09"/>
    <x v="14"/>
  </r>
  <r>
    <s v="3540544955909104527"/>
    <s v="uyên phương"/>
    <x v="3"/>
    <n v="0"/>
    <s v=""/>
    <s v="NULL"/>
    <x v="0"/>
    <s v="2026-07-16 07:49:06"/>
    <s v="2026-07-16 07:59:06"/>
    <s v="NULL"/>
    <s v="NULL"/>
    <s v="2026-07-16 09:59:06"/>
    <s v=""/>
    <s v="106.5039447"/>
    <s v="10.6433253"/>
    <s v="106.7550816"/>
    <s v="10.9058533"/>
    <n v="212544"/>
    <n v="0"/>
    <n v="212544"/>
    <s v="Cash"/>
    <s v="Công Ty Cổ Phần Nosafood - Nhà máy Bến Lức, Đường VL7, KCN Vĩnh Lộc 2 X, Mỹ Yên, Tây Ninh, Việt NamCông Ty Cổ Phần Nosafood - Nhà máy Bến Lức"/>
    <s v="Công ty bất động sản Phú Thượng-TP Dĩ An-Bình Dương, Khu Phố Thống Nhất 1, Dĩ An, Hồ Chí Minh, Việt NamCông ty bất động sản Phú Thượng-TP Dĩ An-Bình Dương"/>
    <n v="1"/>
    <x v="0"/>
    <x v="5"/>
    <d v="1899-12-30T07:49:06"/>
    <x v="4"/>
  </r>
  <r>
    <s v="3540546260119540239"/>
    <s v="uyên phương"/>
    <x v="3"/>
    <n v="0"/>
    <s v=""/>
    <s v="NULL"/>
    <x v="0"/>
    <s v="2026-07-16 07:43:58"/>
    <s v="2026-07-16 07:53:58"/>
    <s v="NULL"/>
    <s v="NULL"/>
    <s v="2026-07-16 09:53:58"/>
    <s v=""/>
    <s v="106.5083845"/>
    <s v="10.6428394"/>
    <s v="106.6320003"/>
    <s v="11.1229655"/>
    <n v="274428"/>
    <n v="0"/>
    <n v="274428"/>
    <s v="Cash"/>
    <s v="CÔNG TY TNHH BIBICA MIỀN TÂY, 9 VL3, KCN Vĩnh Lộc 2, Mỹ Yên, Tây Ninh, Việt NamCÔNG TY TNHH BIBICA MIỀN TÂY"/>
    <s v="Công Ty TNHH Yakult Việt Nam Tại Bình Dương - Cửa Hàng Bến Cát, Khu phố 6, Chánh Phú Hòa, Thới Hòa, Hồ Chí Minh, Việt NamCông Ty TNHH Yakult Việt Nam Tại Bình Dương - Cửa Hàng Bến Cát"/>
    <n v="1"/>
    <x v="0"/>
    <x v="5"/>
    <d v="1899-12-30T07:43:58"/>
    <x v="4"/>
  </r>
  <r>
    <s v="3540547721784156234"/>
    <s v="uyên phương"/>
    <x v="3"/>
    <n v="0"/>
    <s v=""/>
    <s v="NULL"/>
    <x v="0"/>
    <s v="2026-07-16 07:49:21"/>
    <s v="2026-07-16 07:59:21"/>
    <s v="NULL"/>
    <s v="NULL"/>
    <s v="2026-07-16 09:59:21"/>
    <s v=""/>
    <s v="106.5039447"/>
    <s v="10.6433253"/>
    <s v="106.7550816"/>
    <s v="10.9058533"/>
    <n v="293220"/>
    <n v="0"/>
    <n v="293220"/>
    <s v="Cash"/>
    <s v="Công Ty Cổ Phần Nosafood - Nhà máy Bến Lức, Đường VL7, KCN Vĩnh Lộc 2 X, Mỹ Yên, Tây Ninh, Việt NamCông Ty Cổ Phần Nosafood - Nhà máy Bến Lức"/>
    <s v="Công ty bất động sản Phú Thượng-TP Dĩ An-Bình Dương, Khu Phố Thống Nhất 1, Dĩ An, Hồ Chí Minh, Việt NamCông ty bất động sản Phú Thượng-TP Dĩ An-Bình Dương"/>
    <n v="1"/>
    <x v="0"/>
    <x v="5"/>
    <d v="1899-12-30T07:49:21"/>
    <x v="4"/>
  </r>
  <r>
    <s v="3540547799261336089"/>
    <s v="uyên phương"/>
    <x v="3"/>
    <n v="4729280"/>
    <s v=""/>
    <s v="Motorcycle"/>
    <x v="1"/>
    <s v="2026-07-16 07:46:42"/>
    <s v="2026-07-16 07:56:41"/>
    <s v="2026-07-16 08:58:02"/>
    <s v="NULL"/>
    <s v="2026-07-16 09:00:10"/>
    <s v=""/>
    <s v="106.5171232"/>
    <s v="10.6425146"/>
    <s v="106.8272646"/>
    <s v="11.0918947"/>
    <n v="410076"/>
    <n v="317904"/>
    <n v="92172"/>
    <s v="Cash"/>
    <s v="CÔNG TY CỔ PHẦN TẬP ĐOÀN KIM ĐỨC, Đường VL1, KCN Vĩnh, Mỹ Yên, Tây Ninh, Việt NamCÔNG TY CỔ PHẦN TẬP ĐOÀN KIM ĐỨC"/>
    <s v="Công ty CP khoáng sản XD Tân Uyên Fico, Bắc Tân Uyên, Hồ Chí Minh, Việt NamCông ty CP khoáng sản XD Tân Uyên Fico"/>
    <n v="1"/>
    <x v="0"/>
    <x v="5"/>
    <d v="1899-12-30T07:46:42"/>
    <x v="373"/>
  </r>
  <r>
    <s v="3540547799303283597"/>
    <s v="uyên phương"/>
    <x v="3"/>
    <n v="4432422"/>
    <s v=""/>
    <s v="Motorcycle"/>
    <x v="2"/>
    <s v="2026-07-16 07:57:39"/>
    <s v="2026-07-16 08:07:38"/>
    <s v="2026-07-16 09:19:42"/>
    <s v="NULL"/>
    <s v=""/>
    <s v=""/>
    <s v="106.5171391"/>
    <s v="10.6461325"/>
    <s v="106.64205282537841"/>
    <s v="10.801257244143244"/>
    <n v="143208"/>
    <n v="111019"/>
    <n v="32189"/>
    <s v="Cash"/>
    <s v="DM TEXTILES COMPANY LTD., VL7 Street Commune, Vinh Loc 2 Industrial Zone, Voi La Hamlet, Mỹ Yên, Tây Ninh, Việt NamDM TEXTILES COMPANY LTD."/>
    <s v="Nhà anh Tuy, 9/3 Đ. Núi Thành, Tân Bình, Hồ Chí Minh, Việt NamNhà anh Tuy, 9/3 Đ. Núi Thành, Tân Bình, Hồ Chí Minh, Việt Nam"/>
    <n v="1"/>
    <x v="0"/>
    <x v="5"/>
    <d v="1899-12-30T07:57:39"/>
    <x v="14"/>
  </r>
  <r>
    <s v="3540548931673092782"/>
    <s v="uyên phương"/>
    <x v="3"/>
    <n v="0"/>
    <s v=""/>
    <s v="NULL"/>
    <x v="0"/>
    <s v="2026-07-16 07:49:37"/>
    <s v="2026-07-16 07:59:36"/>
    <s v="NULL"/>
    <s v="NULL"/>
    <s v="2026-07-16 09:59:36"/>
    <s v=""/>
    <s v="106.5039447"/>
    <s v="10.6433253"/>
    <s v="106.7550816"/>
    <s v="10.9058533"/>
    <n v="201744"/>
    <n v="0"/>
    <n v="201744"/>
    <s v="Cash"/>
    <s v="Công Ty Cổ Phần Nosafood - Nhà máy Bến Lức, Đường VL7, KCN Vĩnh Lộc 2 X, Mỹ Yên, Tây Ninh, Việt NamCông Ty Cổ Phần Nosafood - Nhà máy Bến Lức"/>
    <s v="Công ty bất động sản Phú Thượng-TP Dĩ An-Bình Dương, Khu Phố Thống Nhất 1, Dĩ An, Hồ Chí Minh, Việt NamCông ty bất động sản Phú Thượng-TP Dĩ An-Bình Dương"/>
    <n v="1"/>
    <x v="0"/>
    <x v="5"/>
    <d v="1899-12-30T07:49:37"/>
    <x v="9"/>
  </r>
  <r>
    <s v="3540548931698253986"/>
    <s v="uyên phương"/>
    <x v="3"/>
    <n v="0"/>
    <s v=""/>
    <s v="NULL"/>
    <x v="0"/>
    <s v="2026-07-16 07:52:00"/>
    <s v="2026-07-16 08:02:00"/>
    <s v="NULL"/>
    <s v="NULL"/>
    <s v="2026-07-16 10:02:00"/>
    <s v=""/>
    <s v="106.5121615"/>
    <s v="10.6382124"/>
    <s v="106.87633848335878"/>
    <s v="10.950545633923754"/>
    <n v="244080"/>
    <n v="0"/>
    <n v="244080"/>
    <s v="Cash"/>
    <s v="Phi Long Food Manufactory Co.,LTD, Đường VL2, KCN, Mỹ Yên, Tây Ninh, Việt NamPhi Long Food Manufactory Co.,LTD"/>
    <s v="55 Long Bình, Đồng Nai, Việt Nam55 Long Bình, Đồng Nai, Việt Nam"/>
    <n v="1"/>
    <x v="0"/>
    <x v="5"/>
    <d v="1899-12-30T07:52:00"/>
    <x v="4"/>
  </r>
  <r>
    <s v="3540549839513408014"/>
    <s v="uyên phương"/>
    <x v="3"/>
    <n v="0"/>
    <s v=""/>
    <s v="NULL"/>
    <x v="0"/>
    <s v="2026-07-16 07:55:08"/>
    <s v="2026-07-16 08:05:08"/>
    <s v="NULL"/>
    <s v="NULL"/>
    <s v="2026-07-16 10:05:08"/>
    <s v=""/>
    <s v="106.5171391"/>
    <s v="10.6461325"/>
    <s v="106.7286124"/>
    <s v="10.7916086"/>
    <n v="178740"/>
    <n v="0"/>
    <n v="178740"/>
    <s v="Cash"/>
    <s v="DM TEXTILES COMPANY LTD., VL7 Street Commune, Vinh Loc 2 Industrial Zone, Voi La Hamlet, Mỹ Yên, Tây Ninh, Việt NamDM TEXTILES COMPANY LTD."/>
    <s v="25 Đường Số 30, Khu phố 1, An Khánh, Hồ Chí Minh, Việt Nam25 Đường Số 30, Khu phố 1, An Khánh, Hồ Chí Minh, Việt Nam"/>
    <n v="1"/>
    <x v="0"/>
    <x v="5"/>
    <d v="1899-12-30T07:55:08"/>
    <x v="4"/>
  </r>
  <r>
    <s v="3540549839513408412"/>
    <s v="uyên phương"/>
    <x v="3"/>
    <n v="647565"/>
    <s v=""/>
    <s v="Motorcycle"/>
    <x v="2"/>
    <s v="2026-07-16 07:56:50"/>
    <s v="2026-07-16 08:06:50"/>
    <s v="2026-07-16 10:44:37"/>
    <s v="NULL"/>
    <s v=""/>
    <s v=""/>
    <s v="106.5171391"/>
    <s v="10.6461325"/>
    <s v="106.678001"/>
    <s v="10.8456917"/>
    <n v="142884"/>
    <n v="110768"/>
    <n v="32116"/>
    <s v="Cash"/>
    <s v="DM TEXTILES COMPANY LTD., VL7 Street Commune, Vinh Loc 2 Industrial Zone, Voi La Hamlet, Mỹ Yên, Tây Ninh, Việt NamDM TEXTILES COMPANY LTD."/>
    <s v="gò vấp, Dương Quảng Hàm, An Nhơn, Hồ Chí Minh, Việt Namgò vấp"/>
    <n v="1"/>
    <x v="0"/>
    <x v="5"/>
    <d v="1899-12-30T07:56:50"/>
    <x v="14"/>
  </r>
  <r>
    <s v="3540552180346089968"/>
    <s v="uyên phương"/>
    <x v="3"/>
    <n v="0"/>
    <s v=""/>
    <s v="NULL"/>
    <x v="0"/>
    <s v="2026-07-16 07:54:44"/>
    <s v="2026-07-16 08:04:44"/>
    <s v="NULL"/>
    <s v="NULL"/>
    <s v="2026-07-16 10:04:44"/>
    <s v=""/>
    <s v="106.5171391"/>
    <s v="10.6461325"/>
    <s v="106.730817218056"/>
    <s v="10.793521983679"/>
    <n v="186948"/>
    <n v="0"/>
    <n v="186948"/>
    <s v="Cash"/>
    <s v="DM TEXTILES COMPANY LTD., VL7 Street Commune, Vinh Loc 2 Industrial Zone, Voi La Hamlet, Mỹ Yên, Tây Ninh, Việt NamDM TEXTILES COMPANY LTD."/>
    <s v="Quận 2an Khánhhồ Chí Minhviệt NamQuận 2"/>
    <n v="1"/>
    <x v="0"/>
    <x v="5"/>
    <d v="1899-12-30T07:54:44"/>
    <x v="4"/>
  </r>
  <r>
    <s v="3540552180346090033"/>
    <s v="uyên phương"/>
    <x v="3"/>
    <n v="0"/>
    <s v=""/>
    <s v="NULL"/>
    <x v="0"/>
    <s v="2026-07-16 07:54:57"/>
    <s v="2026-07-16 08:04:57"/>
    <s v="NULL"/>
    <s v="NULL"/>
    <s v="2026-07-16 10:04:57"/>
    <s v=""/>
    <s v="106.5171391"/>
    <s v="10.6461325"/>
    <s v="106.72855343364746"/>
    <s v="10.791572257524995"/>
    <n v="127656"/>
    <n v="0"/>
    <n v="127656"/>
    <s v="Cash"/>
    <s v="DM TEXTILES COMPANY LTD., VL7 Street Commune, Vinh Loc 2 Industrial Zone, Voi La Hamlet, Mỹ Yên, Tây Ninh, Việt NamDM TEXTILES COMPANY LTD."/>
    <s v="25 Đường Số 30, Khu phố 1, An Khánh, Hồ Chí Minh, Việt Nam25 Đường Số 30, Khu phố 1, An Khánh, Hồ Chí Minh, Việt Nam"/>
    <n v="1"/>
    <x v="0"/>
    <x v="5"/>
    <d v="1899-12-30T07:54:57"/>
    <x v="4"/>
  </r>
  <r>
    <s v="3540552570206638164"/>
    <s v="uyên phương"/>
    <x v="3"/>
    <n v="0"/>
    <s v=""/>
    <s v="NULL"/>
    <x v="0"/>
    <s v="2026-07-16 07:55:23"/>
    <s v="2026-07-16 08:05:22"/>
    <s v="NULL"/>
    <s v="NULL"/>
    <s v="2026-07-16 10:05:22"/>
    <s v=""/>
    <s v="106.5171391"/>
    <s v="10.6461325"/>
    <s v="106.702825"/>
    <s v="10.8135113"/>
    <n v="138456"/>
    <n v="0"/>
    <n v="138456"/>
    <s v="Cash"/>
    <s v="DM TEXTILES COMPANY LTD., VL7 Street Commune, Vinh Loc 2 Industrial Zone, Voi La Hamlet, Mỹ Yên, Tây Ninh, Việt NamDM TEXTILES COMPANY LTD."/>
    <s v="Bình Thạnh, Hồ Chí Minh, Việt NamBình Thạnh"/>
    <n v="1"/>
    <x v="0"/>
    <x v="5"/>
    <d v="1899-12-30T07:55:23"/>
    <x v="9"/>
  </r>
  <r>
    <s v="3540553049951129930"/>
    <s v="uyên phương"/>
    <x v="3"/>
    <n v="0"/>
    <s v=""/>
    <s v="NULL"/>
    <x v="0"/>
    <s v="2026-07-16 07:55:36"/>
    <s v="2026-07-16 08:05:35"/>
    <s v="NULL"/>
    <s v="NULL"/>
    <s v="2026-07-16 10:05:35"/>
    <s v=""/>
    <s v="106.5171391"/>
    <s v="10.6461325"/>
    <s v="106.702825"/>
    <s v="10.8135113"/>
    <n v="178740"/>
    <n v="0"/>
    <n v="178740"/>
    <s v="Cash"/>
    <s v="DM TEXTILES COMPANY LTD., VL7 Street Commune, Vinh Loc 2 Industrial Zone, Voi La Hamlet, Mỹ Yên, Tây Ninh, Việt NamDM TEXTILES COMPANY LTD."/>
    <s v="Bình Thạnh, Hồ Chí Minh, Việt NamBình Thạnh"/>
    <n v="1"/>
    <x v="0"/>
    <x v="5"/>
    <d v="1899-12-30T07:55:36"/>
    <x v="9"/>
  </r>
  <r>
    <s v="3540553253492323436"/>
    <s v="uyên phương"/>
    <x v="3"/>
    <n v="0"/>
    <s v=""/>
    <s v="NULL"/>
    <x v="0"/>
    <s v="2026-07-16 07:57:24"/>
    <s v="2026-07-16 08:07:23"/>
    <s v="NULL"/>
    <s v="NULL"/>
    <s v="2026-07-16 10:07:23"/>
    <s v=""/>
    <s v="106.5171391"/>
    <s v="10.6461325"/>
    <s v="106.64446887647397"/>
    <s v="10.798521057923887"/>
    <n v="111996"/>
    <n v="0"/>
    <n v="111996"/>
    <s v="Cash"/>
    <s v="DM TEXTILES COMPANY LTD., VL7 Street Commune, Vinh Loc 2 Industrial Zone, Voi La Hamlet, Mỹ Yên, Tây Ninh, Việt NamDM TEXTILES COMPANY LTD."/>
    <s v="304/21 Cách Mạng Tháng Tám, Tân Bình, Hồ Chí Minh, Việt Nam304/21 Cách Mạng Tháng Tám, Tân Bình, Hồ Chí Minh, Việt Nam"/>
    <n v="1"/>
    <x v="0"/>
    <x v="5"/>
    <d v="1899-12-30T07:57:24"/>
    <x v="9"/>
  </r>
  <r>
    <s v="3540553253492323646"/>
    <s v="uyên phương"/>
    <x v="3"/>
    <n v="3489357"/>
    <s v=""/>
    <s v="Motorcycle"/>
    <x v="2"/>
    <s v="2026-07-16 07:57:54"/>
    <s v="2026-07-16 08:07:53"/>
    <s v="2026-07-16 08:36:06"/>
    <s v="NULL"/>
    <s v=""/>
    <s v=""/>
    <s v="106.5171391"/>
    <s v="10.6461325"/>
    <s v="106.0640179"/>
    <s v="11.3494766"/>
    <n v="606960"/>
    <n v="470534"/>
    <n v="136426"/>
    <s v="Cash"/>
    <s v="DM TEXTILES COMPANY LTD., VL7 Street Commune, Vinh Loc 2 Industrial Zone, Voi La Hamlet, Mỹ Yên, Tây Ninh, Việt NamDM TEXTILES COMPANY LTD."/>
    <s v="Tây Ninh, Việt NamTây Ninh"/>
    <n v="1"/>
    <x v="0"/>
    <x v="5"/>
    <d v="1899-12-30T07:57:54"/>
    <x v="14"/>
  </r>
  <r>
    <s v="3541245722336907575"/>
    <s v="chị hồng nhung"/>
    <x v="4"/>
    <n v="0"/>
    <s v=""/>
    <s v="NULL"/>
    <x v="0"/>
    <s v="2026-07-17 07:15:22"/>
    <s v="2026-07-17 07:25:21"/>
    <s v="NULL"/>
    <s v="NULL"/>
    <s v="2026-07-17 09:25:21"/>
    <s v=""/>
    <s v="106.4949754"/>
    <s v="10.6041049"/>
    <s v="106.6259675"/>
    <s v="11.0694349"/>
    <n v="280908"/>
    <n v="0"/>
    <n v="280908"/>
    <s v="Cash"/>
    <s v="Cty TNHH MTV Benkan Việt Nam 1, Đạo mỡ rộng, đường số 01, KCN Thuận, Long Cang, Tây Ninh, Việt NamCty TNHH MTV Benkan Việt Nam 1"/>
    <s v="Công ty Bến Cát Event, Hòa Lợi, Hồ Chí Minh, Việt NamCông ty Bến Cát Event"/>
    <n v="1"/>
    <x v="0"/>
    <x v="6"/>
    <d v="1899-12-30T07:15:22"/>
    <x v="9"/>
  </r>
  <r>
    <s v="3541246832057471442"/>
    <s v="chị hồng nhung"/>
    <x v="4"/>
    <n v="0"/>
    <s v=""/>
    <s v="NULL"/>
    <x v="0"/>
    <s v="2026-07-17 07:17:49"/>
    <s v="2026-07-17 07:27:48"/>
    <s v="NULL"/>
    <s v="NULL"/>
    <s v="2026-07-17 10:17:03"/>
    <s v=""/>
    <s v="106.4943096"/>
    <s v="10.6126435"/>
    <s v="106.8272646"/>
    <s v="11.0918947"/>
    <n v="334800"/>
    <n v="0"/>
    <n v="334800"/>
    <s v="Cash"/>
    <s v="Công Ty TNHH MTV San-Ei VN (有限会社三栄ベトナム）, Long Cang, Tây Ninh, Việt NamCông Ty TNHH MTV San-Ei VN (有限会社三栄ベトナム）"/>
    <s v="Công ty CP khoáng sản XD Tân Uyên Fico, Bắc Tân Uyên, Hồ Chí Minh, Việt NamCông ty CP khoáng sản XD Tân Uyên Fico"/>
    <n v="1"/>
    <x v="0"/>
    <x v="6"/>
    <d v="1899-12-30T07:17:49"/>
    <x v="374"/>
  </r>
  <r>
    <s v="3541251113972093266"/>
    <s v="chị hồng nhung"/>
    <x v="4"/>
    <n v="4405426"/>
    <s v=""/>
    <s v="Motorcycle"/>
    <x v="2"/>
    <s v="2026-07-17 07:16:03"/>
    <s v="2026-07-17 09:46:00"/>
    <s v="2026-07-17 11:10:45"/>
    <s v="NULL"/>
    <s v=""/>
    <s v=""/>
    <s v="106.4949754"/>
    <s v="10.6041049"/>
    <s v="106.6320003"/>
    <s v="11.1229655"/>
    <n v="306504"/>
    <n v="237612"/>
    <n v="68892"/>
    <s v="Cash"/>
    <s v="Cty TNHH MTV Benkan Việt Nam 1, Đạo mỡ rộng, đường số 01, KCN Thuận, Long Cang, Tây Ninh, Việt NamCty TNHH MTV Benkan Việt Nam 1"/>
    <s v="Công Ty TNHH Yakult Việt Nam Tại Bình Dương - Cửa Hàng Bến Cát, Khu phố 6, Chánh Phú Hòa, Thới Hòa, Hồ Chí Minh, Việt NamCông Ty TNHH Yakult Việt Nam Tại Bình Dương - Cửa Hàng Bến Cát"/>
    <n v="1"/>
    <x v="0"/>
    <x v="6"/>
    <d v="1899-12-30T07:16:03"/>
    <x v="14"/>
  </r>
  <r>
    <s v="3541251113972093892"/>
    <s v="chị hồng nhung"/>
    <x v="4"/>
    <n v="4393620"/>
    <s v=""/>
    <s v="Motorcycle"/>
    <x v="2"/>
    <s v="2026-07-17 07:20:07"/>
    <s v="2026-07-17 08:50:00"/>
    <s v="2026-07-17 09:33:12"/>
    <s v="2026-07-17 10:19:49"/>
    <s v=""/>
    <s v=""/>
    <s v="106.4934381"/>
    <s v="10.6118595"/>
    <s v="106.6189835"/>
    <s v="11.3503227"/>
    <n v="615492"/>
    <n v="477149"/>
    <n v="138343"/>
    <s v="Cash"/>
    <s v="Cong ty Nutreco, Long Cang, Tây Ninh, Việt NamCong ty Nutreco"/>
    <s v="Công Ty Cổ Phần Nước Thủ Dầu Một(Nhà Máy Nước Thô Bàu Bàng), Trừ Văn Thố, Hồ Chí Minh, Việt NamCông Ty Cổ Phần Nước Thủ Dầu Một(Nhà Máy Nước Thô Bàu Bàng)"/>
    <n v="1"/>
    <x v="0"/>
    <x v="6"/>
    <d v="1899-12-30T07:20:07"/>
    <x v="14"/>
  </r>
  <r>
    <s v="3541251113988878608"/>
    <s v="chị hồng nhung"/>
    <x v="4"/>
    <n v="0"/>
    <s v=""/>
    <s v="NULL"/>
    <x v="0"/>
    <s v="2026-07-17 07:22:12"/>
    <s v="2026-07-17 07:32:11"/>
    <s v="NULL"/>
    <s v="NULL"/>
    <s v="2026-07-17 09:39:22"/>
    <s v=""/>
    <s v="106.4951938"/>
    <s v="10.6017891"/>
    <s v="106.7369988"/>
    <s v="10.9322267"/>
    <n v="226476"/>
    <n v="0"/>
    <n v="226476"/>
    <s v="Cash"/>
    <s v="Công ty TNHH Quick Pack Việt Nam, Đường Số 13, KCN Thuận Đạo mở rộng, Long Cang, Tây Ninh, Việt NamCông ty TNHH Quick Pack Việt Nam"/>
    <s v="Công ty vinata 19 đường số 10. Kcn vsip1. Thuận an. Bình Dương, Đường số 10, An Phú, Hồ Chí Minh, Việt NamCông ty vinata 19 đường số 10. Kcn vsip1. Thuận an. Bình Dương"/>
    <n v="1"/>
    <x v="0"/>
    <x v="6"/>
    <d v="1899-12-30T07:22:12"/>
    <x v="375"/>
  </r>
  <r>
    <s v="3541253329034367193"/>
    <s v="chị hồng nhung"/>
    <x v="4"/>
    <n v="4729280"/>
    <s v=""/>
    <s v="Motorcycle"/>
    <x v="1"/>
    <s v="2026-07-17 07:18:13"/>
    <s v="2026-07-17 08:49:00"/>
    <s v="2026-07-17 07:30:18"/>
    <s v="NULL"/>
    <s v="2026-07-17 07:32:44"/>
    <s v=""/>
    <s v="106.4943096"/>
    <s v="10.6126435"/>
    <s v="106.8295862"/>
    <s v="11.0819766"/>
    <n v="338040"/>
    <n v="262059"/>
    <n v="75981"/>
    <s v="Cash"/>
    <s v="Công Ty TNHH MTV San-Ei VN (有限会社三栄ベトナム）, Long Cang, Tây Ninh, Việt NamCông Ty TNHH MTV San-Ei VN (有限会社三栄ベトナム）"/>
    <s v="Công ty Honda, Đường huyện 411, Tân Uyên, Hồ Chí Minh, Việt NamCông ty Honda"/>
    <n v="1"/>
    <x v="0"/>
    <x v="6"/>
    <d v="1899-12-30T07:18:13"/>
    <x v="376"/>
  </r>
  <r>
    <s v="3541253329034367828"/>
    <s v="chị hồng nhung"/>
    <x v="4"/>
    <n v="0"/>
    <s v=""/>
    <s v="NULL"/>
    <x v="0"/>
    <s v="2026-07-17 07:22:00"/>
    <s v="2026-07-17 07:31:59"/>
    <s v="NULL"/>
    <s v="NULL"/>
    <s v="2026-07-17 10:11:17"/>
    <s v=""/>
    <s v="106.4951938"/>
    <s v="10.6017891"/>
    <s v="106.7369988"/>
    <s v="10.9322267"/>
    <n v="327888"/>
    <n v="0"/>
    <n v="327888"/>
    <s v="Cash"/>
    <s v="Công ty TNHH Quick Pack Việt Nam, Đường Số 13, KCN Thuận Đạo mở rộng, Long Cang, Tây Ninh, Việt NamCông ty TNHH Quick Pack Việt Nam"/>
    <s v="Công ty vinata 19 đường số 10. Kcn vsip1. Thuận an. Bình Dương, Đường số 10, An Phú, Hồ Chí Minh, Việt NamCông ty vinata 19 đường số 10. Kcn vsip1. Thuận an. Bình Dương"/>
    <n v="1"/>
    <x v="0"/>
    <x v="6"/>
    <d v="1899-12-30T07:22:00"/>
    <x v="377"/>
  </r>
  <r>
    <s v="3541253329034367982"/>
    <s v="chị hồng nhung"/>
    <x v="4"/>
    <n v="3543660"/>
    <s v=""/>
    <s v="Motorcycle"/>
    <x v="2"/>
    <s v="2026-07-17 07:23:03"/>
    <s v="2026-07-17 08:53:00"/>
    <s v="2026-07-17 09:54:18"/>
    <s v="NULL"/>
    <s v=""/>
    <s v=""/>
    <s v="106.4951938"/>
    <s v="10.6017891"/>
    <s v="106.71635937670831"/>
    <s v="10.929858433343279"/>
    <n v="322164"/>
    <n v="249752"/>
    <n v="72412"/>
    <s v="Cash"/>
    <s v="Công ty TNHH Quick Pack Việt Nam, Đường Số 13, KCN Thuận Đạo mở rộng, Long Cang, Tây Ninh, Việt NamCông ty TNHH Quick Pack Việt Nam"/>
    <s v="Khu, 1 Đường Số 4, Bình Hòa, Hồ Chí Minh, Việt NamKhu, 1 Đường Số 4, Bình Hòa, Hồ Chí Minh, Việt Nam"/>
    <n v="1"/>
    <x v="0"/>
    <x v="6"/>
    <d v="1899-12-30T07:23:03"/>
    <x v="14"/>
  </r>
  <r>
    <s v="3541253329051153386"/>
    <s v="chị hồng nhung"/>
    <x v="4"/>
    <n v="0"/>
    <s v=""/>
    <s v="NULL"/>
    <x v="0"/>
    <s v="2026-07-17 07:29:16"/>
    <s v="2026-07-17 07:39:15"/>
    <s v="NULL"/>
    <s v="NULL"/>
    <s v="2026-07-17 09:39:15"/>
    <s v=""/>
    <s v="106.4998332"/>
    <s v="10.6088996"/>
    <s v="106.8045347"/>
    <s v="10.7835451"/>
    <n v="199368"/>
    <n v="0"/>
    <n v="199368"/>
    <s v="Cash"/>
    <s v="CÔNG TY TNHH IN ẤN PHỤ LIỆU MAY MẶC SAMSON (VIỆT NAM), Đường số 15, KCN Thuận Đạo mở rộng, Long Cang, Tây Ninh, Việt NamCÔNG TY TNHH IN ẤN PHỤ LIỆU MAY MẶC SAMSON (VIỆT NAM)"/>
    <s v="Công Ty Thủ Đức Land, Gò Cát, Long Trường, Hồ Chí Minh, Việt NamCông Ty Thủ Đức Land"/>
    <n v="1"/>
    <x v="0"/>
    <x v="6"/>
    <d v="1899-12-30T07:29:16"/>
    <x v="9"/>
  </r>
  <r>
    <s v="3541254792661917856"/>
    <s v="chị hồng nhung"/>
    <x v="4"/>
    <n v="0"/>
    <s v=""/>
    <s v="NULL"/>
    <x v="0"/>
    <s v="2026-07-17 07:19:52"/>
    <s v="2026-07-17 07:29:51"/>
    <s v="NULL"/>
    <s v="NULL"/>
    <s v="2026-07-17 10:56:20"/>
    <s v=""/>
    <s v="106.4934381"/>
    <s v="10.6118595"/>
    <s v="106.6189835"/>
    <s v="11.3503227"/>
    <n v="442692"/>
    <n v="0"/>
    <n v="442692"/>
    <s v="Cash"/>
    <s v="Cong ty Nutreco, Long Cang, Tây Ninh, Việt NamCong ty Nutreco"/>
    <s v="Công Ty Cổ Phần Nước Thủ Dầu Một(Nhà Máy Nước Thô Bàu Bàng), Trừ Văn Thố, Hồ Chí Minh, Việt NamCông Ty Cổ Phần Nước Thủ Dầu Một(Nhà Máy Nước Thô Bàu Bàng)"/>
    <n v="1"/>
    <x v="0"/>
    <x v="6"/>
    <d v="1899-12-30T07:19:52"/>
    <x v="363"/>
  </r>
  <r>
    <s v="3541254792661917937"/>
    <s v="chị hồng nhung"/>
    <x v="4"/>
    <n v="470750"/>
    <s v=""/>
    <s v="Motorcycle"/>
    <x v="2"/>
    <s v="2026-07-17 07:20:22"/>
    <s v="2026-07-17 09:51:00"/>
    <s v="2026-07-17 10:47:02"/>
    <s v="NULL"/>
    <s v=""/>
    <s v=""/>
    <s v="106.4934381"/>
    <s v="10.6118595"/>
    <s v="106.6189835"/>
    <s v="11.3503227"/>
    <n v="431892"/>
    <n v="334816"/>
    <n v="97076"/>
    <s v="Cash"/>
    <s v="Cong ty Nutreco, Long Cang, Tây Ninh, Việt NamCong ty Nutreco"/>
    <s v="Công Ty Cổ Phần Nước Thủ Dầu Một(Nhà Máy Nước Thô Bàu Bàng), Trừ Văn Thố, Hồ Chí Minh, Việt NamCông Ty Cổ Phần Nước Thủ Dầu Một(Nhà Máy Nước Thô Bàu Bàng)"/>
    <n v="1"/>
    <x v="0"/>
    <x v="6"/>
    <d v="1899-12-30T07:20:22"/>
    <x v="14"/>
  </r>
  <r>
    <s v="3541259460309901513"/>
    <s v="chị hồng nhung"/>
    <x v="4"/>
    <n v="0"/>
    <s v=""/>
    <s v="NULL"/>
    <x v="0"/>
    <s v="2026-07-17 07:27:35"/>
    <s v="2026-07-17 07:37:34"/>
    <s v="NULL"/>
    <s v="NULL"/>
    <s v="2026-07-17 09:51:19"/>
    <s v=""/>
    <s v="106.4979375"/>
    <s v="10.6135625"/>
    <s v="106.9833759"/>
    <s v="10.7944043"/>
    <n v="396252"/>
    <n v="0"/>
    <n v="396252"/>
    <s v="Cash"/>
    <s v="BW Thuan Dao Logistics Park, Long Cang, Tây Ninh, Việt NamBW Thuan Dao Logistics Park"/>
    <s v="Cong Ty Changshin Long Thanh, Long Thành, Đồng Nai, Việt NamCong Ty Changshin Long Thanh"/>
    <n v="1"/>
    <x v="0"/>
    <x v="6"/>
    <d v="1899-12-30T07:27:35"/>
    <x v="378"/>
  </r>
  <r>
    <s v="3541259460326674952"/>
    <s v="chị hồng nhung"/>
    <x v="4"/>
    <n v="0"/>
    <s v=""/>
    <s v="NULL"/>
    <x v="0"/>
    <s v="2026-07-17 07:34:30"/>
    <s v="2026-07-17 07:44:29"/>
    <s v="NULL"/>
    <s v="NULL"/>
    <s v="2026-07-17 09:44:29"/>
    <s v=""/>
    <s v="106.4973945"/>
    <s v="10.6090006"/>
    <s v="106.5922924"/>
    <s v="10.8863934"/>
    <n v="177768"/>
    <n v="0"/>
    <n v="177768"/>
    <s v="Cash"/>
    <s v="CÔNG TY TNHH KUZCO VIỆT NAM, Long Cang, Tây Ninh, Việt NamCÔNG TY TNHH KUZCO VIỆT NAM"/>
    <s v="Hóc Môn, Hồ Chí Minh, Việt NamHóc Môn"/>
    <n v="1"/>
    <x v="0"/>
    <x v="6"/>
    <d v="1899-12-30T07:34:30"/>
    <x v="9"/>
  </r>
  <r>
    <s v="3541259460326675215"/>
    <s v="chị hồng nhung"/>
    <x v="4"/>
    <n v="4153228"/>
    <s v=""/>
    <s v="Motorcycle"/>
    <x v="1"/>
    <s v="2026-07-17 07:35:58"/>
    <s v="2026-07-17 07:45:57"/>
    <s v="2026-07-17 09:24:37"/>
    <s v="NULL"/>
    <s v="2026-07-17 09:27:38"/>
    <s v=""/>
    <s v="106.4945620872803"/>
    <s v="10.609000600000003"/>
    <s v="106.67400928783566"/>
    <s v="10.832360427201655"/>
    <n v="214164"/>
    <n v="166027"/>
    <n v="48137"/>
    <s v="Cash"/>
    <s v="JF5V+JR Long Cang, Long An, Việt NamJF5V+JR Long Cang, Long An, Việt Nam"/>
    <s v="17 Đ. Phan Văn Trị, Gò Vấp, Hồ Chí Minh, Việt Nam17 Đ. Phan Văn Trị, Gò Vấp, Hồ Chí Minh, Việt Nam"/>
    <n v="1"/>
    <x v="0"/>
    <x v="6"/>
    <d v="1899-12-30T07:35:58"/>
    <x v="379"/>
  </r>
  <r>
    <s v="3541259460326675473"/>
    <s v="chị hồng nhung"/>
    <x v="4"/>
    <n v="0"/>
    <s v=""/>
    <s v="NULL"/>
    <x v="0"/>
    <s v="2026-07-17 07:37:16"/>
    <s v="2026-07-17 09:08:00"/>
    <s v="NULL"/>
    <s v="NULL"/>
    <s v="2026-07-17 11:08:00"/>
    <s v=""/>
    <s v="106.4945620872803"/>
    <s v="10.609000600000003"/>
    <s v="106.6431864"/>
    <s v="10.7994481"/>
    <n v="120312"/>
    <n v="0"/>
    <n v="120312"/>
    <s v="Cash"/>
    <s v="JF5V+JR Long Cang, Long An, Việt NamJF5V+JR Long Cang, Long An, Việt Nam"/>
    <s v="12 Trường Chinh, Tân Bình, Hồ Chí Minh 700000, Việt Nam12 Trường Chinh, Tân Bình, Hồ Chí Minh 700000, Việt Nam"/>
    <n v="1"/>
    <x v="0"/>
    <x v="6"/>
    <d v="1899-12-30T07:37:16"/>
    <x v="380"/>
  </r>
  <r>
    <s v="3541260143394255331"/>
    <s v="chị hồng nhung"/>
    <x v="4"/>
    <n v="0"/>
    <s v=""/>
    <s v="NULL"/>
    <x v="0"/>
    <s v="2026-07-17 07:24:04"/>
    <s v="2026-07-17 07:34:03"/>
    <s v="NULL"/>
    <s v="NULL"/>
    <s v="2026-07-17 10:13:40"/>
    <s v=""/>
    <s v="106.4989851"/>
    <s v="10.6100853"/>
    <s v="106.7537088"/>
    <s v="10.8844969"/>
    <n v="302184"/>
    <n v="0"/>
    <n v="302184"/>
    <s v="Cash"/>
    <s v="OKIA OPTICAL VIETNAM, Long Cang, Tây Ninh, Việt NamOKIA OPTICAL VIETNAM"/>
    <s v="KCN Sóng Thần, Dĩ An, Hồ Chí Minh, Việt NamKCN Sóng Thần"/>
    <n v="1"/>
    <x v="0"/>
    <x v="6"/>
    <d v="1899-12-30T07:24:04"/>
    <x v="381"/>
  </r>
  <r>
    <s v="3541260143394255453"/>
    <s v="chị hồng nhung"/>
    <x v="4"/>
    <n v="4221159"/>
    <s v=""/>
    <s v="Motorcycle"/>
    <x v="2"/>
    <s v="2026-07-17 07:24:51"/>
    <s v="2026-07-17 09:55:00"/>
    <s v="2026-07-17 10:44:41"/>
    <s v="NULL"/>
    <s v=""/>
    <s v=""/>
    <s v="106.4989851"/>
    <s v="10.6100853"/>
    <s v="106.79357"/>
    <s v="10.90029"/>
    <n v="296460"/>
    <n v="229825"/>
    <n v="66635"/>
    <s v="Cash"/>
    <s v="OKIA OPTICAL VIETNAM, Long Cang, Tây Ninh, Việt NamOKIA OPTICAL VIETNAM"/>
    <s v="VISA5S Bình Dương, Đường Trần Đại Nghĩa, Phường Bình Thắng, Dĩ An, Bình Dương, Việt NamVISA5S Bình Dương"/>
    <n v="1"/>
    <x v="0"/>
    <x v="6"/>
    <d v="1899-12-30T07:24:51"/>
    <x v="14"/>
  </r>
  <r>
    <s v="3541260143394255895"/>
    <s v="chị hồng nhung"/>
    <x v="4"/>
    <n v="4729280"/>
    <s v=""/>
    <s v="Motorcycle"/>
    <x v="1"/>
    <s v="2026-07-17 07:27:26"/>
    <s v="2026-07-17 07:37:25"/>
    <s v="2026-07-17 07:27:34"/>
    <s v="NULL"/>
    <s v="2026-07-17 07:29:58"/>
    <s v=""/>
    <s v="106.4979375"/>
    <s v="10.6135625"/>
    <s v="106.9833759"/>
    <s v="10.7944043"/>
    <n v="286092"/>
    <n v="221788"/>
    <n v="64304"/>
    <s v="Cash"/>
    <s v="BW Thuan Dao Logistics Park, Long Cang, Tây Ninh, Việt NamBW Thuan Dao Logistics Park"/>
    <s v="Cong Ty Changshin Long Thanh, Long Thành, Đồng Nai, Việt NamCong Ty Changshin Long Thanh"/>
    <n v="1"/>
    <x v="0"/>
    <x v="6"/>
    <d v="1899-12-30T07:27:26"/>
    <x v="382"/>
  </r>
  <r>
    <s v="3541260143411028525"/>
    <s v="chị hồng nhung"/>
    <x v="4"/>
    <n v="2852976"/>
    <s v=""/>
    <s v="Motorcycle"/>
    <x v="1"/>
    <s v="2026-07-17 07:30:16"/>
    <s v="2026-07-17 09:01:00"/>
    <s v="2026-07-17 08:39:14"/>
    <s v="NULL"/>
    <s v="2026-07-17 08:42:24"/>
    <s v=""/>
    <s v="106.4998332"/>
    <s v="10.6088996"/>
    <s v="106.8202616539673"/>
    <s v="10.806705863451757"/>
    <n v="274536"/>
    <n v="225348"/>
    <n v="49188"/>
    <s v="Cash"/>
    <s v="CÔNG TY TNHH IN ẤN PHỤ LIỆU MAY MẶC SAMSON (VIỆT NAM), Đường số 15, KCN Thuận Đạo mở rộng, Long Cang, Tây Ninh, Việt NamCÔNG TY TNHH IN ẤN PHỤ LIỆU MAY MẶC SAMSON (VIỆT NAM)"/>
    <s v="48 A4, Khu đô thị mới Đông Tăng Long, Long Phước, Hồ Chí Minh, Việt Nam48 A4, Khu đô thị mới Đông Tăng Long, Long Phước, Hồ Chí Minh, Việt Nam"/>
    <n v="1"/>
    <x v="0"/>
    <x v="6"/>
    <d v="1899-12-30T07:30:16"/>
    <x v="383"/>
  </r>
  <r>
    <s v="3541260143427801490"/>
    <s v="chị hồng nhung"/>
    <x v="4"/>
    <n v="0"/>
    <s v=""/>
    <s v="NULL"/>
    <x v="0"/>
    <s v="2026-07-17 07:34:57"/>
    <s v="2026-07-17 09:05:00"/>
    <s v="NULL"/>
    <s v="NULL"/>
    <s v="2026-07-17 11:05:00"/>
    <s v=""/>
    <s v="106.4973945"/>
    <s v="10.6090006"/>
    <s v="106.59326872408145"/>
    <s v="10.887784116485335"/>
    <n v="166536"/>
    <n v="0"/>
    <n v="166536"/>
    <s v="Cash"/>
    <s v="CÔNG TY TNHH KUZCO VIỆT NAM, Long Cang, Tây Ninh, Việt NamCÔNG TY TNHH KUZCO VIỆT NAM"/>
    <s v="VHQV+47P, Lý Thường Kiệt, Hóc Môn, Hồ Chí Minh, Việt NamVHQV+47P, Lý Thường Kiệt, Hóc Môn, Hồ Chí Minh, Việt Nam"/>
    <n v="1"/>
    <x v="0"/>
    <x v="6"/>
    <d v="1899-12-30T07:34:57"/>
    <x v="352"/>
  </r>
  <r>
    <s v="3541260143427801990"/>
    <s v="chị hồng nhung"/>
    <x v="4"/>
    <n v="0"/>
    <s v=""/>
    <s v="NULL"/>
    <x v="0"/>
    <s v="2026-07-17 07:37:46"/>
    <s v="2026-07-17 07:47:45"/>
    <s v="NULL"/>
    <s v="NULL"/>
    <s v="2026-07-17 09:47:45"/>
    <s v=""/>
    <s v="106.4945620872803"/>
    <s v="10.609000600000003"/>
    <s v="106.5230542"/>
    <s v="10.962533"/>
    <n v="225720"/>
    <n v="0"/>
    <n v="225720"/>
    <s v="Cash"/>
    <s v="JF5V+JR Long Cang, Long An, Việt NamJF5V+JR Long Cang, Long An, Việt Nam"/>
    <s v="Củ Chi, Hồ Chí Minh, Việt NamCủ Chi"/>
    <n v="1"/>
    <x v="0"/>
    <x v="6"/>
    <d v="1899-12-30T07:37:46"/>
    <x v="9"/>
  </r>
  <r>
    <s v="3541261238191485010"/>
    <s v="chị hồng nhung"/>
    <x v="4"/>
    <n v="0"/>
    <s v=""/>
    <s v="NULL"/>
    <x v="0"/>
    <s v="2026-07-17 07:23:47"/>
    <s v="2026-07-17 07:33:47"/>
    <s v="NULL"/>
    <s v="NULL"/>
    <s v="2026-07-17 09:33:47"/>
    <s v=""/>
    <s v="106.4989851"/>
    <s v="10.6100853"/>
    <s v="106.7444713"/>
    <s v="10.9268776"/>
    <n v="233712"/>
    <n v="0"/>
    <n v="233712"/>
    <s v="Cash"/>
    <s v="OKIA OPTICAL VIETNAM, Long Cang, Tây Ninh, Việt NamOKIA OPTICAL VIETNAM"/>
    <s v="Công Ty, Đường số 29, Dĩ An, Hồ Chí Minh, Việt NamCông Ty"/>
    <n v="1"/>
    <x v="0"/>
    <x v="6"/>
    <d v="1899-12-30T07:23:47"/>
    <x v="4"/>
  </r>
  <r>
    <s v="3541261238191485115"/>
    <s v="chị hồng nhung"/>
    <x v="4"/>
    <n v="2920483"/>
    <s v=""/>
    <s v="Motorcycle"/>
    <x v="2"/>
    <s v="2026-07-17 07:24:34"/>
    <s v="2026-07-17 08:55:00"/>
    <s v="2026-07-17 11:42:44"/>
    <s v="NULL"/>
    <s v=""/>
    <s v=""/>
    <s v="106.4989851"/>
    <s v="10.6100853"/>
    <s v="106.79357"/>
    <s v="10.90029"/>
    <n v="211788"/>
    <n v="164185"/>
    <n v="47603"/>
    <s v="Cash"/>
    <s v="OKIA OPTICAL VIETNAM, Long Cang, Tây Ninh, Việt NamOKIA OPTICAL VIETNAM"/>
    <s v="VISA5S Bình Dương, Đường Trần Đại Nghĩa, Phường Bình Thắng, Dĩ An, Bình Dương, Việt NamVISA5S Bình Dương"/>
    <n v="1"/>
    <x v="0"/>
    <x v="6"/>
    <d v="1899-12-30T07:24:34"/>
    <x v="14"/>
  </r>
  <r>
    <s v="3541261238225031564"/>
    <s v="chị hồng nhung"/>
    <x v="4"/>
    <n v="0"/>
    <s v=""/>
    <s v="NULL"/>
    <x v="0"/>
    <s v="2026-07-17 07:36:40"/>
    <s v="2026-07-17 07:46:40"/>
    <s v="NULL"/>
    <s v="NULL"/>
    <s v="2026-07-17 09:46:40"/>
    <s v=""/>
    <s v="106.4945620872803"/>
    <s v="10.609000600000003"/>
    <s v="106.6419476"/>
    <s v="10.799048"/>
    <n v="130032"/>
    <n v="0"/>
    <n v="130032"/>
    <s v="Cash"/>
    <s v="JF5V+JR Long Cang, Long An, Việt NamJF5V+JR Long Cang, Long An, Việt Nam"/>
    <s v="Tân Bình, Hồ Chí Minh, Việt NamTân Bình"/>
    <n v="1"/>
    <x v="0"/>
    <x v="6"/>
    <d v="1899-12-30T07:36:40"/>
    <x v="4"/>
  </r>
  <r>
    <s v="3541262948846756025"/>
    <s v="chị hồng nhung"/>
    <x v="4"/>
    <n v="0"/>
    <s v=""/>
    <s v="NULL"/>
    <x v="0"/>
    <s v="2026-07-17 07:32:37"/>
    <s v="2026-07-17 07:42:36"/>
    <s v="NULL"/>
    <s v="NULL"/>
    <s v="2026-07-17 09:42:36"/>
    <s v=""/>
    <s v="106.4973945"/>
    <s v="10.6090006"/>
    <s v="106.730817218056"/>
    <s v="10.793521983679"/>
    <n v="156060"/>
    <n v="0"/>
    <n v="156060"/>
    <s v="Cash"/>
    <s v="CÔNG TY TNHH KUZCO VIỆT NAM, Long Cang, Tây Ninh, Việt NamCÔNG TY TNHH KUZCO VIỆT NAM"/>
    <s v="Quận 2an Khánhhồ Chí Minhviệt NamQuận 2"/>
    <n v="1"/>
    <x v="0"/>
    <x v="6"/>
    <d v="1899-12-30T07:32:37"/>
    <x v="9"/>
  </r>
  <r>
    <s v="3541262948846756415"/>
    <s v="chị hồng nhung"/>
    <x v="4"/>
    <n v="0"/>
    <s v=""/>
    <s v="NULL"/>
    <x v="0"/>
    <s v="2026-07-17 07:34:41"/>
    <s v="2026-07-17 07:44:40"/>
    <s v="NULL"/>
    <s v="NULL"/>
    <s v="2026-07-17 11:22:34"/>
    <s v=""/>
    <s v="106.4973945"/>
    <s v="10.6090006"/>
    <s v="106.5922924"/>
    <s v="10.8863934"/>
    <n v="244512"/>
    <n v="0"/>
    <n v="244512"/>
    <s v="Cash"/>
    <s v="CÔNG TY TNHH KUZCO VIỆT NAM, Long Cang, Tây Ninh, Việt NamCÔNG TY TNHH KUZCO VIỆT NAM"/>
    <s v="Hóc Môn, Hồ Chí Minh, Việt NamHóc Môn"/>
    <n v="1"/>
    <x v="0"/>
    <x v="6"/>
    <d v="1899-12-30T07:34:41"/>
    <x v="384"/>
  </r>
  <r>
    <s v="3541264454367006849"/>
    <s v="chị hồng nhung"/>
    <x v="4"/>
    <n v="4391348"/>
    <s v=""/>
    <s v="Motorcycle"/>
    <x v="2"/>
    <s v="2026-07-17 07:35:12"/>
    <s v="2026-07-17 09:06:00"/>
    <s v="2026-07-17 11:10:18"/>
    <s v="NULL"/>
    <s v=""/>
    <s v=""/>
    <s v="106.4973945"/>
    <s v="10.6090006"/>
    <s v="106.5970267637848"/>
    <s v="10.889620378658988"/>
    <n v="232092"/>
    <n v="179925"/>
    <n v="52167"/>
    <s v="Cash"/>
    <s v="CÔNG TY TNHH KUZCO VIỆT NAM, Long Cang, Tây Ninh, Việt NamCÔNG TY TNHH KUZCO VIỆT NAM"/>
    <s v="1 Trần Khắc Chân, Hóc Môn, Hồ Chí Minh, Việt Nam1 Trần Khắc Chân, Hóc Môn, Hồ Chí Minh, Việt Nam"/>
    <n v="1"/>
    <x v="0"/>
    <x v="6"/>
    <d v="1899-12-30T07:35:12"/>
    <x v="14"/>
  </r>
  <r>
    <s v="3541264454367007071"/>
    <s v="chị hồng nhung"/>
    <x v="4"/>
    <n v="4318845"/>
    <s v=""/>
    <s v="Motorcycle"/>
    <x v="2"/>
    <s v="2026-07-17 07:36:29"/>
    <s v="2026-07-17 09:07:00"/>
    <s v="2026-07-17 09:30:00"/>
    <s v="NULL"/>
    <s v=""/>
    <s v=""/>
    <s v="106.4945620872803"/>
    <s v="10.609000600000003"/>
    <s v="106.67623783967285"/>
    <s v="10.835556582704205"/>
    <n v="204444"/>
    <n v="158491"/>
    <n v="45953"/>
    <s v="Cash"/>
    <s v="JF5V+JR Long Cang, Long An, Việt NamJF5V+JR Long Cang, Long An, Việt Nam"/>
    <s v="212 Nguyễn Oanh, Gò Vấp, Hồ Chí Minh, Việt Nam212 Nguyễn Oanh, Gò Vấp, Hồ Chí Minh, Việt Nam"/>
    <n v="1"/>
    <x v="0"/>
    <x v="6"/>
    <d v="1899-12-30T07:36:29"/>
    <x v="14"/>
  </r>
  <r>
    <s v="3541264454367007165"/>
    <s v="chị hồng nhung"/>
    <x v="4"/>
    <n v="0"/>
    <s v=""/>
    <s v="NULL"/>
    <x v="0"/>
    <s v="2026-07-17 07:36:55"/>
    <s v="2026-07-17 07:46:55"/>
    <s v="NULL"/>
    <s v="NULL"/>
    <s v="2026-07-17 10:19:25"/>
    <s v=""/>
    <s v="106.4945620872803"/>
    <s v="10.609000600000003"/>
    <s v="106.64323506032711"/>
    <s v="10.799459014177666"/>
    <n v="178740"/>
    <n v="0"/>
    <n v="178740"/>
    <s v="Cash"/>
    <s v="JF5V+JR Long Cang, Long An, Việt NamJF5V+JR Long Cang, Long An, Việt Nam"/>
    <s v="12 Trường Chinh, Tân Bình, Hồ Chí Minh 700000, Việt Nam12 Trường Chinh, Tân Bình, Hồ Chí Minh 700000, Việt Nam"/>
    <n v="1"/>
    <x v="0"/>
    <x v="6"/>
    <d v="1899-12-30T07:36:55"/>
    <x v="385"/>
  </r>
  <r>
    <s v="3541264454383792399"/>
    <s v="chị hồng nhung"/>
    <x v="4"/>
    <n v="0"/>
    <s v=""/>
    <s v="NULL"/>
    <x v="0"/>
    <s v="2026-07-17 07:41:05"/>
    <s v="2026-07-17 07:51:05"/>
    <s v="NULL"/>
    <s v="NULL"/>
    <s v="2026-07-17 09:51:05"/>
    <s v=""/>
    <s v="106.5108578"/>
    <s v="10.6229679"/>
    <s v="106.7369988"/>
    <s v="10.9322267"/>
    <n v="303372"/>
    <n v="0"/>
    <n v="303372"/>
    <s v="Cash"/>
    <s v="Công ty TNHH EUROPEAN SNACK FOOD (VIỆT NAM), Đường Số 6, KCN, Mỹ Yên, Tây Ninh, Việt NamCông ty TNHH EUROPEAN SNACK FOOD (VIỆT NAM)"/>
    <s v="Công ty vinata 19 đường số 10. Kcn vsip1. Thuận an. Bình Dương, Đường số 10, An Phú, Hồ Chí Minh, Việt NamCông ty vinata 19 đường số 10. Kcn vsip1. Thuận an. Bình Dương"/>
    <n v="1"/>
    <x v="0"/>
    <x v="6"/>
    <d v="1899-12-30T07:41:05"/>
    <x v="4"/>
  </r>
  <r>
    <s v="3541264675977261123"/>
    <s v="chị hồng nhung"/>
    <x v="4"/>
    <n v="4143931"/>
    <s v=""/>
    <s v="Motorcycle"/>
    <x v="2"/>
    <s v="2026-07-17 07:30:00"/>
    <s v="2026-07-17 09:00:00"/>
    <s v="2026-07-17 10:51:08"/>
    <s v="NULL"/>
    <s v=""/>
    <s v=""/>
    <s v="106.4998332"/>
    <s v="10.6088996"/>
    <s v="106.8203904"/>
    <s v="10.8058417"/>
    <n v="194940"/>
    <n v="151124"/>
    <n v="43816"/>
    <s v="Cash"/>
    <s v="CÔNG TY TNHH IN ẤN PHỤ LIỆU MAY MẶC SAMSON (VIỆT NAM), Đường số 15, KCN Thuận Đạo mở rộng, Long Cang, Tây Ninh, Việt NamCÔNG TY TNHH IN ẤN PHỤ LIỆU MAY MẶC SAMSON (VIỆT NAM)"/>
    <s v="Công Ty Cổ Phần Du Lịch Và Truyền Thông Thủ Đức, Đường Nguyễn Duy Trinh, Khu phố 3, Long Trường, Hồ Chí Minh, Việt NamCông Ty Cổ Phần Du Lịch Và Truyền Thông Thủ Đức"/>
    <n v="1"/>
    <x v="0"/>
    <x v="6"/>
    <d v="1899-12-30T07:30:00"/>
    <x v="14"/>
  </r>
  <r>
    <s v="3541264675977261400"/>
    <s v="chị hồng nhung"/>
    <x v="4"/>
    <n v="4710974"/>
    <s v=""/>
    <s v="Motorcycle"/>
    <x v="2"/>
    <s v="2026-07-17 07:31:26"/>
    <s v="2026-07-17 09:02:00"/>
    <s v="2026-07-17 11:24:49"/>
    <s v="NULL"/>
    <s v=""/>
    <s v=""/>
    <s v="106.4992702"/>
    <s v="10.606825"/>
    <s v="106.7855182449524"/>
    <s v="10.84722328624567"/>
    <n v="205308"/>
    <n v="159161"/>
    <n v="46147"/>
    <s v="Cash"/>
    <s v="Cty Phước Hưng LA ( Phân Bón Đầu Bò ), Long Cang, Tây Ninh, Việt NamCty Phước Hưng LA ( Phân Bón Đầu Bò )"/>
    <s v="RQWP+V8R, Tăng Nhơn Phú, Hồ Chí Minh, Việt NamRQWP+V8R, Tăng Nhơn Phú, Hồ Chí Minh, Việt Nam"/>
    <n v="1"/>
    <x v="0"/>
    <x v="6"/>
    <d v="1899-12-30T07:31:26"/>
    <x v="14"/>
  </r>
  <r>
    <s v="3541264675985649964"/>
    <s v="chị hồng nhung"/>
    <x v="4"/>
    <n v="0"/>
    <s v=""/>
    <s v="NULL"/>
    <x v="0"/>
    <s v="2026-07-17 07:33:05"/>
    <s v="2026-07-17 09:03:00"/>
    <s v="NULL"/>
    <s v="NULL"/>
    <s v="2026-07-17 11:03:00"/>
    <s v=""/>
    <s v="106.4973945"/>
    <s v="10.6090006"/>
    <s v="106.7342471"/>
    <s v="10.7950124"/>
    <n v="157896"/>
    <n v="0"/>
    <n v="157896"/>
    <s v="Cash"/>
    <s v="CÔNG TY TNHH KUZCO VIỆT NAM, Long Cang, Tây Ninh, Việt NamCÔNG TY TNHH KUZCO VIỆT NAM"/>
    <s v="QPWM+3M6, 30 Đ. Số 3, Khu Phố 4, An Khánh, Hồ Chí Minh, Việt NamQPWM+3M6, 30 Đ. Số 3, Khu Phố 4, An Khánh, Hồ Chí Minh, Việt Nam"/>
    <n v="1"/>
    <x v="0"/>
    <x v="6"/>
    <d v="1899-12-30T07:33:05"/>
    <x v="386"/>
  </r>
  <r>
    <s v="3541264675985649998"/>
    <s v="chị hồng nhung"/>
    <x v="4"/>
    <n v="879993"/>
    <s v=""/>
    <s v="Motorcycle"/>
    <x v="2"/>
    <s v="2026-07-17 07:33:20"/>
    <s v="2026-07-17 09:04:00"/>
    <s v="2026-07-17 11:39:05"/>
    <s v="NULL"/>
    <s v=""/>
    <s v=""/>
    <s v="106.4973945"/>
    <s v="10.6090006"/>
    <s v="106.7342471"/>
    <s v="10.7950124"/>
    <n v="221076"/>
    <n v="171385"/>
    <n v="49691"/>
    <s v="Cash"/>
    <s v="CÔNG TY TNHH KUZCO VIỆT NAM, Long Cang, Tây Ninh, Việt NamCÔNG TY TNHH KUZCO VIỆT NAM"/>
    <s v="QPWM+3M6, 30 Đ. Số 3, Khu Phố 4, An Khánh, Hồ Chí Minh, Việt NamQPWM+3M6, 30 Đ. Số 3, Khu Phố 4, An Khánh, Hồ Chí Minh, Việt Nam"/>
    <n v="1"/>
    <x v="0"/>
    <x v="6"/>
    <d v="1899-12-30T07:33:20"/>
    <x v="14"/>
  </r>
  <r>
    <s v="3541264676002422925"/>
    <s v="chị hồng nhung"/>
    <x v="4"/>
    <n v="0"/>
    <s v=""/>
    <s v="NULL"/>
    <x v="0"/>
    <s v="2026-07-17 07:35:47"/>
    <s v="2026-07-17 07:45:46"/>
    <s v="NULL"/>
    <s v="NULL"/>
    <s v="2026-07-17 09:45:46"/>
    <s v=""/>
    <s v="106.4945620872803"/>
    <s v="10.609000600000003"/>
    <s v="106.6733441"/>
    <s v="10.8314858"/>
    <n v="156492"/>
    <n v="0"/>
    <n v="156492"/>
    <s v="Cash"/>
    <s v="JF5V+JR Long Cang, Long An, Việt NamJF5V+JR Long Cang, Long An, Việt Nam"/>
    <s v="Gò Vấp, Hồ Chí Minh, Việt NamGò Vấp"/>
    <n v="1"/>
    <x v="0"/>
    <x v="6"/>
    <d v="1899-12-30T07:35:47"/>
    <x v="9"/>
  </r>
  <r>
    <s v="3541264676002423321"/>
    <s v="chị hồng nhung"/>
    <x v="4"/>
    <n v="0"/>
    <s v=""/>
    <s v="NULL"/>
    <x v="0"/>
    <s v="2026-07-17 07:37:58"/>
    <s v="2026-07-17 07:47:58"/>
    <s v="NULL"/>
    <s v="NULL"/>
    <s v="2026-07-17 11:52:38"/>
    <s v=""/>
    <s v="106.4945620872803"/>
    <s v="10.609000600000003"/>
    <s v="106.52305420000002"/>
    <s v="10.962533000000008"/>
    <n v="214920"/>
    <n v="0"/>
    <n v="214920"/>
    <s v="Cash"/>
    <s v="JF5V+JR Long Cang, Long An, Việt NamJF5V+JR Long Cang, Long An, Việt Nam"/>
    <s v="Đ. Số 93/110 Lê Thị Giót, Củ Chi, Hồ Chí Minh, Việt NamĐ. Số 93/110 Lê Thị Giót, Củ Chi, Hồ Chí Minh, Việt Nam"/>
    <n v="1"/>
    <x v="0"/>
    <x v="6"/>
    <d v="1899-12-30T07:37:58"/>
    <x v="387"/>
  </r>
  <r>
    <s v="3541264676019196337"/>
    <s v="chị hồng nhung"/>
    <x v="4"/>
    <n v="0"/>
    <s v=""/>
    <s v="NULL"/>
    <x v="0"/>
    <s v="2026-07-17 07:42:19"/>
    <s v="2026-07-17 07:52:19"/>
    <s v="NULL"/>
    <s v="NULL"/>
    <s v="2026-07-17 09:52:19"/>
    <s v=""/>
    <s v="106.5108578"/>
    <s v="10.6229679"/>
    <s v="106.7550816"/>
    <s v="10.9058533"/>
    <n v="213300"/>
    <n v="0"/>
    <n v="213300"/>
    <s v="Cash"/>
    <s v="Công ty TNHH EUROPEAN SNACK FOOD (VIỆT NAM), Đường Số 6, KCN, Mỹ Yên, Tây Ninh, Việt NamCông ty TNHH EUROPEAN SNACK FOOD (VIỆT NAM)"/>
    <s v="Công ty bất động sản Phú Thượng-TP Dĩ An-Bình Dương, Khu Phố Thống Nhất 1, Dĩ An, Hồ Chí Minh, Việt NamCông ty bất động sản Phú Thượng-TP Dĩ An-Bình Dương"/>
    <n v="1"/>
    <x v="0"/>
    <x v="6"/>
    <d v="1899-12-30T07:42:19"/>
    <x v="4"/>
  </r>
  <r>
    <s v="3541264676019196686"/>
    <s v="chị hồng nhung"/>
    <x v="4"/>
    <n v="0"/>
    <s v=""/>
    <s v="NULL"/>
    <x v="0"/>
    <s v="2026-07-17 07:44:00"/>
    <s v="2026-07-17 07:54:00"/>
    <s v="NULL"/>
    <s v="NULL"/>
    <s v="2026-07-17 11:53:26"/>
    <s v=""/>
    <s v="106.5144144"/>
    <s v="10.6231774"/>
    <s v="106.8521626"/>
    <s v="10.9102814"/>
    <n v="235332"/>
    <n v="0"/>
    <n v="235332"/>
    <s v="Cash"/>
    <s v="CÔNG TY TNHH SẢN XUẤT NGŨ KIM HUNG HING HONG KONG (VIỆT NAM), Mỹ Yên, Tây Ninh, Việt NamCÔNG TY TNHH SẢN XUẤT NGŨ KIM HUNG HING HONG KONG (VIỆT NAM)"/>
    <s v="Công ty Bibica Biên Hoà, Đường số 1, KCN Biên, Trấn Biên, Đồng Nai, Việt NamCông ty Bibica Biên Hoà"/>
    <n v="1"/>
    <x v="0"/>
    <x v="6"/>
    <d v="1899-12-30T07:44:00"/>
    <x v="388"/>
  </r>
  <r>
    <s v="3541264676019196882"/>
    <s v="chị hồng nhung"/>
    <x v="4"/>
    <n v="3395236"/>
    <s v=""/>
    <s v="Motorcycle"/>
    <x v="2"/>
    <s v="2026-07-17 07:44:57"/>
    <s v="2026-07-17 09:15:00"/>
    <s v="2026-07-17 09:57:57"/>
    <s v="NULL"/>
    <s v=""/>
    <s v=""/>
    <s v="106.5144144"/>
    <s v="10.6231774"/>
    <s v="106.8519051079346"/>
    <s v="10.911703609423753"/>
    <n v="314928"/>
    <n v="244142"/>
    <n v="70786"/>
    <s v="Cash"/>
    <s v="CÔNG TY TNHH SẢN XUẤT NGŨ KIM HUNG HING HONG KONG (VIỆT NAM), Mỹ Yên, Tây Ninh, Việt NamCÔNG TY TNHH SẢN XUẤT NGŨ KIM HUNG HING HONG KONG (VIỆT NAM)"/>
    <s v="5 Đường số 1, Trấn Biên, Đồng Nai, Việt Nam5 Đường số 1, Trấn Biên, Đồng Nai, Việt Nam"/>
    <n v="1"/>
    <x v="0"/>
    <x v="6"/>
    <d v="1899-12-30T07:44:57"/>
    <x v="14"/>
  </r>
  <r>
    <s v="3541265388505624747"/>
    <s v="chị hồng nhung"/>
    <x v="4"/>
    <n v="2821597"/>
    <s v=""/>
    <s v="Motorcycle"/>
    <x v="2"/>
    <s v="2026-07-17 07:31:43"/>
    <s v="2026-07-17 09:02:00"/>
    <s v="2026-07-17 12:19:38"/>
    <s v="2026-07-17 12:28:27"/>
    <s v=""/>
    <s v=""/>
    <s v="106.4992702"/>
    <s v="10.606825"/>
    <s v="106.79161720216067"/>
    <s v="10.853047746531296"/>
    <n v="217296"/>
    <n v="168455"/>
    <n v="48841"/>
    <s v="Cash"/>
    <s v="Cty Phước Hưng LA ( Phân Bón Đầu Bò ), Long Cang, Tây Ninh, Việt NamCty Phước Hưng LA ( Phân Bón Đầu Bò )"/>
    <s v="VQ3R+7M6 Công viên đoàn kết, Man Thiện, Tăng Nhơn Phú, Hồ Chí Minh, Việt NamVQ3R+7M6 Công viên đoàn kết, Man Thiện, Tăng Nhơn Phú, Hồ Chí Minh, Việt Nam"/>
    <n v="1"/>
    <x v="0"/>
    <x v="6"/>
    <d v="1899-12-30T07:31:43"/>
    <x v="14"/>
  </r>
  <r>
    <s v="3541269029094388055"/>
    <s v="chị hồng nhung"/>
    <x v="4"/>
    <n v="0"/>
    <s v=""/>
    <s v="NULL"/>
    <x v="0"/>
    <s v="2026-07-17 07:39:12"/>
    <s v="2026-07-17 07:49:11"/>
    <s v="NULL"/>
    <s v="NULL"/>
    <s v="2026-07-17 10:15:20"/>
    <s v=""/>
    <s v="106.5108578"/>
    <s v="10.6229679"/>
    <s v="106.547103"/>
    <s v="11.1133992"/>
    <n v="308448"/>
    <n v="0"/>
    <n v="308448"/>
    <s v="Cash"/>
    <s v="Công ty TNHH EUROPEAN SNACK FOOD (VIỆT NAM), Đường Số 6, KCN, Mỹ Yên, Tây Ninh, Việt NamCông ty TNHH EUROPEAN SNACK FOOD (VIỆT NAM)"/>
    <s v="Công ty TNHH Chinh Long Bến Cát, Tây Nam, Hồ Chí Minh, Việt NamCông ty TNHH Chinh Long Bến Cát"/>
    <n v="1"/>
    <x v="0"/>
    <x v="6"/>
    <d v="1899-12-30T07:39:12"/>
    <x v="389"/>
  </r>
  <r>
    <s v="3541269324968977318"/>
    <s v="chị hồng nhung"/>
    <x v="4"/>
    <n v="0"/>
    <s v=""/>
    <s v="NULL"/>
    <x v="0"/>
    <s v="2026-07-17 07:52:09"/>
    <s v="2026-07-17 08:02:08"/>
    <s v="NULL"/>
    <s v="NULL"/>
    <s v="2026-07-17 12:01:25"/>
    <s v=""/>
    <s v="106.5039447"/>
    <s v="10.6433253"/>
    <s v="106.8023397"/>
    <s v="11.0762325"/>
    <n v="354132"/>
    <n v="0"/>
    <n v="354132"/>
    <s v="Cash"/>
    <s v="Công Ty Cổ Phần Nosafood - Nhà máy Bến Lức, Đường VL7, KCN Vĩnh Lộc 2 X, Mỹ Yên, Tây Ninh, Việt NamCông Ty Cổ Phần Nosafood - Nhà máy Bến Lức"/>
    <s v="Tân Uyen bình dương, Tân Uyên, Hồ Chí Minh, Việt NamTân Uyen bình dương"/>
    <n v="1"/>
    <x v="0"/>
    <x v="6"/>
    <d v="1899-12-30T07:52:09"/>
    <x v="390"/>
  </r>
  <r>
    <s v="3541269546654716314"/>
    <s v="chị hồng nhung"/>
    <x v="4"/>
    <n v="2625118"/>
    <s v=""/>
    <s v="Motorcycle"/>
    <x v="2"/>
    <s v="2026-07-17 07:50:06"/>
    <s v="2026-07-17 08:00:06"/>
    <s v="2026-07-17 09:04:00"/>
    <s v="NULL"/>
    <s v=""/>
    <s v=""/>
    <s v="106.5139871"/>
    <s v="10.6277752"/>
    <s v="106.4615963"/>
    <s v="11.141591"/>
    <n v="290088"/>
    <n v="224885"/>
    <n v="65203"/>
    <s v="Cash"/>
    <s v="CÔNG TY TNHH ISHIKAWA KIKOU VIỆT NAM, Đ. Số 13, KCN Phúc Long, Mỹ Yên, Tây Ninh, Việt NamCÔNG TY TNHH ISHIKAWA KIKOU VIỆT NAM"/>
    <s v="Cu Chi Tunnel, Phú Hiệp, An Nhơn Tây, Củ Chi, Hồ Chí Minh, Việt NamCu Chi Tunnel"/>
    <n v="1"/>
    <x v="0"/>
    <x v="6"/>
    <d v="1899-12-30T07:50:06"/>
    <x v="14"/>
  </r>
  <r>
    <s v="3541270327416025709"/>
    <s v="chị hồng nhung"/>
    <x v="4"/>
    <n v="3746922"/>
    <s v=""/>
    <s v="Motorcycle"/>
    <x v="2"/>
    <s v="2026-07-17 07:42:52"/>
    <s v="2026-07-17 09:13:00"/>
    <s v="2026-07-17 11:17:02"/>
    <s v="2026-07-17 11:23:13"/>
    <s v=""/>
    <s v=""/>
    <s v="106.5108578"/>
    <s v="10.6229679"/>
    <s v="106.75761360531007"/>
    <s v="10.90653807854915"/>
    <n v="202500"/>
    <n v="156984"/>
    <n v="45516"/>
    <s v="Cash"/>
    <s v="Công ty TNHH EUROPEAN SNACK FOOD (VIỆT NAM), Đường Số 6, KCN, Mỹ Yên, Tây Ninh, Việt NamCông ty TNHH EUROPEAN SNACK FOOD (VIỆT NAM)"/>
    <s v="72/3 Nguyễn Trãi, Dĩ An, Hồ Chí Minh, Việt Nam72/3 Nguyễn Trãi, Dĩ An, Hồ Chí Minh, Việt Nam"/>
    <n v="1"/>
    <x v="0"/>
    <x v="6"/>
    <d v="1899-12-30T07:42:52"/>
    <x v="14"/>
  </r>
  <r>
    <s v="3541270327432798827"/>
    <s v="chị hồng nhung"/>
    <x v="4"/>
    <n v="3337945"/>
    <s v=""/>
    <s v="Motorcycle"/>
    <x v="2"/>
    <s v="2026-07-17 07:47:41"/>
    <s v="2026-07-17 09:18:00"/>
    <s v="2026-07-17 11:57:51"/>
    <s v="NULL"/>
    <s v=""/>
    <s v=""/>
    <s v="106.5139871"/>
    <s v="10.6277752"/>
    <s v="106.80813958891602"/>
    <s v="10.78439878822912"/>
    <n v="176580"/>
    <n v="136890"/>
    <n v="39690"/>
    <s v="Cash"/>
    <s v="CÔNG TY TNHH ISHIKAWA KIKOU VIỆT NAM, Đ. Số 13, KCN Phúc Long, Mỹ Yên, Tây Ninh, Việt NamCÔNG TY TNHH ISHIKAWA KIKOU VIỆT NAM"/>
    <s v="QRM5+Q7C, Long Trường, Hồ Chí Minh, Việt NamQRM5+Q7C, Long Trường, Hồ Chí Minh, Việt Nam"/>
    <n v="1"/>
    <x v="0"/>
    <x v="6"/>
    <d v="1899-12-30T07:47:41"/>
    <x v="14"/>
  </r>
  <r>
    <s v="3541270327432798978"/>
    <s v="chị hồng nhung"/>
    <x v="4"/>
    <n v="0"/>
    <s v=""/>
    <s v="NULL"/>
    <x v="0"/>
    <s v="2026-07-17 07:48:19"/>
    <s v="2026-07-17 07:58:19"/>
    <s v="NULL"/>
    <s v="NULL"/>
    <s v="2026-07-17 09:58:19"/>
    <s v=""/>
    <s v="106.5139871"/>
    <s v="10.6277752"/>
    <s v="106.70288937301633"/>
    <s v="10.813511299999996"/>
    <n v="144288"/>
    <n v="0"/>
    <n v="144288"/>
    <s v="Cash"/>
    <s v="CÔNG TY TNHH ISHIKAWA KIKOU VIỆT NAM, Đ. Số 13, KCN Phúc Long, Mỹ Yên, Tây Ninh, Việt NamCÔNG TY TNHH ISHIKAWA KIKOU VIỆT NAM"/>
    <s v="RP73+C44, Bình Thạnh, Hồ Chí Minh, Việt NamRP73+C44, Bình Thạnh, Hồ Chí Minh, Việt Nam"/>
    <n v="1"/>
    <x v="0"/>
    <x v="6"/>
    <d v="1899-12-30T07:48:19"/>
    <x v="4"/>
  </r>
  <r>
    <s v="3541270327449571776"/>
    <s v="chị hồng nhung"/>
    <x v="4"/>
    <n v="3543660"/>
    <s v=""/>
    <s v="Motorcycle"/>
    <x v="2"/>
    <s v="2026-07-17 07:51:23"/>
    <s v="2026-07-17 08:01:22"/>
    <s v="2026-07-17 10:08:00"/>
    <s v="NULL"/>
    <s v=""/>
    <s v=""/>
    <s v="106.5039447"/>
    <s v="10.6433253"/>
    <s v="106.6320003"/>
    <s v="11.1229655"/>
    <n v="329724"/>
    <n v="255612"/>
    <n v="74112"/>
    <s v="Cash"/>
    <s v="Công Ty Cổ Phần Nosafood - Nhà máy Bến Lức, Đường VL7, KCN Vĩnh Lộc 2 X, Mỹ Yên, Tây Ninh, Việt NamCông Ty Cổ Phần Nosafood - Nhà máy Bến Lức"/>
    <s v="Công Ty TNHH Yakult Việt Nam Tại Bình Dương - Cửa Hàng Bến Cát, Khu phố 6, Chánh Phú Hòa, Thới Hòa, Hồ Chí Minh, Việt NamCông Ty TNHH Yakult Việt Nam Tại Bình Dương - Cửa Hàng Bến Cát"/>
    <n v="1"/>
    <x v="0"/>
    <x v="6"/>
    <d v="1899-12-30T07:51:23"/>
    <x v="14"/>
  </r>
  <r>
    <s v="3541271770214658668"/>
    <s v="chị hồng nhung"/>
    <x v="4"/>
    <n v="0"/>
    <s v=""/>
    <s v="NULL"/>
    <x v="0"/>
    <s v="2026-07-17 07:45:23"/>
    <s v="2026-07-17 07:55:23"/>
    <s v="NULL"/>
    <s v="NULL"/>
    <s v="2026-07-17 09:55:23"/>
    <s v=""/>
    <s v="106.5144144"/>
    <s v="10.6231774"/>
    <s v="106.9654191"/>
    <s v="10.7938397"/>
    <n v="271296"/>
    <n v="0"/>
    <n v="271296"/>
    <s v="Cash"/>
    <s v="CÔNG TY TNHH SẢN XUẤT NGŨ KIM HUNG HING HONG KONG (VIỆT NAM), Mỹ Yên, Tây Ninh, Việt NamCÔNG TY TNHH SẢN XUẤT NGŨ KIM HUNG HING HONG KONG (VIỆT NAM)"/>
    <s v="Công ty TNNHH TMDV LONG THANH FLY, Ấp Bình Lâm, Long Thành, Đồng Nai, Việt NamCông ty TNNHH TMDV LONG THANH FLY"/>
    <n v="1"/>
    <x v="0"/>
    <x v="6"/>
    <d v="1899-12-30T07:45:23"/>
    <x v="4"/>
  </r>
  <r>
    <s v="3541271881145611176"/>
    <s v="chị hồng nhung"/>
    <x v="4"/>
    <n v="4153228"/>
    <s v=""/>
    <s v="Motorcycle"/>
    <x v="1"/>
    <s v="2026-07-17 07:55:29"/>
    <s v="2026-07-17 08:05:28"/>
    <s v="2026-07-17 09:28:00"/>
    <s v="NULL"/>
    <s v="2026-07-17 09:29:26"/>
    <s v=""/>
    <s v="106.5162847"/>
    <s v="10.6451341"/>
    <s v="106.62397525742492"/>
    <s v="10.874055591163364"/>
    <n v="183816"/>
    <n v="142500"/>
    <n v="41316"/>
    <s v="Cash"/>
    <s v="CÔNG TY CỔ PHẦN TKMB, Đường VL1, KCN Vĩnh Lộc 2, Mỹ Yên, Tây Ninh, Việt NamCÔNG TY CỔ PHẦN TKMB"/>
    <s v="69 Đ. Tân Chánh Hiệp 07, Trung Mỹ Tây, Hồ Chí Minh, Việt Nam69 Đ. Tân Chánh Hiệp 07, Trung Mỹ Tây, Hồ Chí Minh, Việt Nam"/>
    <n v="1"/>
    <x v="0"/>
    <x v="6"/>
    <d v="1899-12-30T07:55:29"/>
    <x v="391"/>
  </r>
  <r>
    <s v="3541273104036881175"/>
    <s v="chị hồng nhung"/>
    <x v="4"/>
    <n v="0"/>
    <s v=""/>
    <s v="NULL"/>
    <x v="0"/>
    <s v="2026-07-17 07:48:34"/>
    <s v="2026-07-17 07:58:33"/>
    <s v="NULL"/>
    <s v="NULL"/>
    <s v="2026-07-17 09:58:33"/>
    <s v=""/>
    <s v="106.5139871"/>
    <s v="10.6277752"/>
    <s v="106.702825"/>
    <s v="10.8135113"/>
    <n v="197640"/>
    <n v="0"/>
    <n v="197640"/>
    <s v="Cash"/>
    <s v="CÔNG TY TNHH ISHIKAWA KIKOU VIỆT NAM, Đ. Số 13, KCN Phúc Long, Mỹ Yên, Tây Ninh, Việt NamCÔNG TY TNHH ISHIKAWA KIKOU VIỆT NAM"/>
    <s v="RP73+C44, Bình Thạnh, Hồ Chí Minh, Việt NamRP73+C44, Bình Thạnh, Hồ Chí Minh, Việt Nam"/>
    <n v="1"/>
    <x v="0"/>
    <x v="6"/>
    <d v="1899-12-30T07:48:34"/>
    <x v="9"/>
  </r>
  <r>
    <s v="3541273309775885091"/>
    <s v="chị hồng nhung"/>
    <x v="4"/>
    <n v="0"/>
    <s v=""/>
    <s v="NULL"/>
    <x v="0"/>
    <s v="2026-07-17 07:48:55"/>
    <s v="2026-07-17 07:58:55"/>
    <s v="NULL"/>
    <s v="NULL"/>
    <s v="2026-07-17 09:58:55"/>
    <s v=""/>
    <s v="106.5139871"/>
    <s v="10.6277752"/>
    <s v="106.730817218056"/>
    <s v="10.793521983679"/>
    <n v="142452"/>
    <n v="0"/>
    <n v="142452"/>
    <s v="Cash"/>
    <s v="CÔNG TY TNHH ISHIKAWA KIKOU VIỆT NAM, Đ. Số 13, KCN Phúc Long, Mỹ Yên, Tây Ninh, Việt NamCÔNG TY TNHH ISHIKAWA KIKOU VIỆT NAM"/>
    <s v="Quận 2an Khánhhồ Chí Minhviệt NamQuận 2"/>
    <n v="1"/>
    <x v="0"/>
    <x v="6"/>
    <d v="1899-12-30T07:48:55"/>
    <x v="4"/>
  </r>
  <r>
    <s v="3541273309775885202"/>
    <s v="chị hồng nhung"/>
    <x v="4"/>
    <n v="0"/>
    <s v=""/>
    <s v="NULL"/>
    <x v="0"/>
    <s v="2026-07-17 07:49:30"/>
    <s v="2026-07-17 07:59:29"/>
    <s v="NULL"/>
    <s v="NULL"/>
    <s v="2026-07-17 09:59:29"/>
    <s v=""/>
    <s v="106.5139871"/>
    <s v="10.6277752"/>
    <s v="106.678001"/>
    <s v="10.8456917"/>
    <n v="193104"/>
    <n v="0"/>
    <n v="193104"/>
    <s v="Cash"/>
    <s v="CÔNG TY TNHH ISHIKAWA KIKOU VIỆT NAM, Đ. Số 13, KCN Phúc Long, Mỹ Yên, Tây Ninh, Việt NamCÔNG TY TNHH ISHIKAWA KIKOU VIỆT NAM"/>
    <s v="gò vấp, Dương Quảng Hàm, An Nhơn, Hồ Chí Minh, Việt Namgò vấp"/>
    <n v="1"/>
    <x v="0"/>
    <x v="6"/>
    <d v="1899-12-30T07:49:30"/>
    <x v="9"/>
  </r>
  <r>
    <s v="3541273309817819805"/>
    <s v="chị hồng nhung"/>
    <x v="4"/>
    <n v="0"/>
    <s v=""/>
    <s v="NULL"/>
    <x v="0"/>
    <s v="2026-07-17 07:56:51"/>
    <s v="2026-07-17 08:06:51"/>
    <s v="NULL"/>
    <s v="NULL"/>
    <s v="2026-07-17 10:06:51"/>
    <s v=""/>
    <s v="106.5162847"/>
    <s v="10.6451341"/>
    <s v="106.4615963"/>
    <s v="11.141591"/>
    <n v="357264"/>
    <n v="0"/>
    <n v="357264"/>
    <s v="Cash"/>
    <s v="CÔNG TY CỔ PHẦN TKMB, Đường VL1, KCN Vĩnh Lộc 2, Mỹ Yên, Tây Ninh, Việt NamCÔNG TY CỔ PHẦN TKMB"/>
    <s v="Cu Chi Tunnel, Phú Hiệp, An Nhơn Tây, Củ Chi, Hồ Chí Minh, Việt NamCu Chi Tunnel"/>
    <n v="1"/>
    <x v="0"/>
    <x v="6"/>
    <d v="1899-12-30T07:56:51"/>
    <x v="4"/>
  </r>
  <r>
    <s v="3541273309817820066"/>
    <s v="chị hồng nhung"/>
    <x v="4"/>
    <n v="0"/>
    <s v=""/>
    <s v="NULL"/>
    <x v="0"/>
    <s v="2026-07-17 07:57:55"/>
    <s v="2026-07-17 08:07:54"/>
    <s v="NULL"/>
    <s v="NULL"/>
    <s v="2026-07-17 10:07:54"/>
    <s v=""/>
    <s v="106.5083845"/>
    <s v="10.6428394"/>
    <s v="106.818333"/>
    <s v="10.976944"/>
    <n v="331344"/>
    <n v="0"/>
    <n v="331344"/>
    <s v="Cash"/>
    <s v="CÔNG TY TNHH BIBICA MIỀN TÂY, 9 VL3, KCN Vĩnh Lộc 2, Mỹ Yên, Tây Ninh, Việt NamCÔNG TY TNHH BIBICA MIỀN TÂY"/>
    <s v="Bien Hoa Airport, Tân Triều, Đồng Nai, Việt NamBien Hoa Airport"/>
    <n v="1"/>
    <x v="0"/>
    <x v="6"/>
    <d v="1899-12-30T07:57:55"/>
    <x v="9"/>
  </r>
  <r>
    <s v="3541273309817820161"/>
    <s v="chị hồng nhung"/>
    <x v="4"/>
    <n v="4412847"/>
    <s v=""/>
    <s v="Motorcycle"/>
    <x v="2"/>
    <s v="2026-07-17 07:58:20"/>
    <s v="2026-07-17 08:08:19"/>
    <s v="2026-07-17 10:49:24"/>
    <s v="2026-07-17 10:52:31"/>
    <s v=""/>
    <s v=""/>
    <s v="106.5083845"/>
    <s v="10.6428394"/>
    <s v="106.885785"/>
    <s v="10.9657443"/>
    <n v="419904"/>
    <n v="325523"/>
    <n v="94381"/>
    <s v="Cash"/>
    <s v="CÔNG TY TNHH BIBICA MIỀN TÂY, 9 VL3, KCN Vĩnh Lộc 2, Mỹ Yên, Tây Ninh, Việt NamCÔNG TY TNHH BIBICA MIỀN TÂY"/>
    <s v="Cty TNHH Sơn Băng Biên Hòa, Xa Lộ Hà Nội, Long Bình, Đồng Nai, Việt NamCty TNHH Sơn Băng Biên Hòa"/>
    <n v="1"/>
    <x v="0"/>
    <x v="6"/>
    <d v="1899-12-30T07:58:20"/>
    <x v="14"/>
  </r>
  <r>
    <s v="3541273923100565701"/>
    <s v="chị hồng nhung"/>
    <x v="4"/>
    <n v="3696492"/>
    <s v=""/>
    <s v="Motorcycle"/>
    <x v="2"/>
    <s v="2026-07-17 07:51:55"/>
    <s v="2026-07-17 08:01:55"/>
    <s v="2026-07-17 10:41:20"/>
    <s v="NULL"/>
    <s v=""/>
    <s v=""/>
    <s v="106.5039447"/>
    <s v="10.6433253"/>
    <s v="106.7369988"/>
    <s v="10.9322267"/>
    <n v="265356"/>
    <n v="205712"/>
    <n v="59644"/>
    <s v="Cash"/>
    <s v="Công Ty Cổ Phần Nosafood - Nhà máy Bến Lức, Đường VL7, KCN Vĩnh Lộc 2 X, Mỹ Yên, Tây Ninh, Việt NamCông Ty Cổ Phần Nosafood - Nhà máy Bến Lức"/>
    <s v="Công ty vinata 19 đường số 10. Kcn vsip1. Thuận an. Bình Dương, Đường số 10, An Phú, Hồ Chí Minh, Việt NamCông ty vinata 19 đường số 10. Kcn vsip1. Thuận an. Bình Dương"/>
    <n v="1"/>
    <x v="0"/>
    <x v="6"/>
    <d v="1899-12-30T07:51:55"/>
    <x v="14"/>
  </r>
  <r>
    <s v="3541276806885896665"/>
    <s v="chị hồng nhung"/>
    <x v="4"/>
    <n v="0"/>
    <s v=""/>
    <s v="NULL"/>
    <x v="0"/>
    <s v="2026-07-17 07:53:37"/>
    <s v="2026-07-17 08:03:37"/>
    <s v="NULL"/>
    <s v="NULL"/>
    <s v="2026-07-17 10:03:37"/>
    <s v=""/>
    <s v="106.5039447"/>
    <s v="10.6433253"/>
    <s v="106.7550816"/>
    <s v="10.9058533"/>
    <n v="258984"/>
    <n v="0"/>
    <n v="258984"/>
    <s v="Cash"/>
    <s v="Công Ty Cổ Phần Nosafood - Nhà máy Bến Lức, Đường VL7, KCN Vĩnh Lộc 2 X, Mỹ Yên, Tây Ninh, Việt NamCông Ty Cổ Phần Nosafood - Nhà máy Bến Lức"/>
    <s v="Công ty bất động sản Phú Thượng-TP Dĩ An-Bình Dương, Khu Phố Thống Nhất 1, Dĩ An, Hồ Chí Minh, Việt NamCông ty bất động sản Phú Thượng-TP Dĩ An-Bình Dương"/>
    <n v="1"/>
    <x v="0"/>
    <x v="6"/>
    <d v="1899-12-30T07:53:37"/>
    <x v="4"/>
  </r>
  <r>
    <s v="3541276806902669513"/>
    <s v="chị hồng nhung"/>
    <x v="4"/>
    <n v="4707876"/>
    <s v=""/>
    <s v="Motorcycle"/>
    <x v="1"/>
    <s v="2026-07-17 07:56:33"/>
    <s v="2026-07-17 08:06:32"/>
    <s v="2026-07-17 09:45:20"/>
    <s v="2026-07-17 09:52:54"/>
    <s v="2026-07-17 10:14:30"/>
    <s v=""/>
    <s v="106.5162847"/>
    <s v="10.6451341"/>
    <s v="106.64263361426393"/>
    <s v="10.802737591629413"/>
    <n v="197208"/>
    <n v="152882"/>
    <n v="44326"/>
    <s v="Cash"/>
    <s v="CÔNG TY CỔ PHẦN TKMB, Đường VL1, KCN Vĩnh Lộc 2, Mỹ Yên, Tây Ninh, Việt NamCÔNG TY CỔ PHẦN TKMB"/>
    <s v="6 Thân Nhân Trung, Tân Bình, Hồ Chí Minh, Việt Nam6 Thân Nhân Trung, Tân Bình, Hồ Chí Minh, Việt Nam"/>
    <n v="1"/>
    <x v="0"/>
    <x v="6"/>
    <d v="1899-12-30T07:56:33"/>
    <x v="392"/>
  </r>
  <r>
    <s v="3541277372496175348"/>
    <s v="chị hồng nhung"/>
    <x v="4"/>
    <n v="0"/>
    <s v=""/>
    <s v="NULL"/>
    <x v="0"/>
    <s v="2026-07-17 07:57:42"/>
    <s v="2026-07-17 08:07:42"/>
    <s v="NULL"/>
    <s v="NULL"/>
    <s v="2026-07-17 10:07:42"/>
    <s v=""/>
    <s v="106.5083845"/>
    <s v="10.6428394"/>
    <s v="106.818333"/>
    <s v="10.976944"/>
    <n v="342144"/>
    <n v="0"/>
    <n v="342144"/>
    <s v="Cash"/>
    <s v="CÔNG TY TNHH BIBICA MIỀN TÂY, 9 VL3, KCN Vĩnh Lộc 2, Mỹ Yên, Tây Ninh, Việt NamCÔNG TY TNHH BIBICA MIỀN TÂY"/>
    <s v="Bien Hoa Airport, Tân Triều, Đồng Nai, Việt NamBien Hoa Airport"/>
    <n v="1"/>
    <x v="0"/>
    <x v="6"/>
    <d v="1899-12-30T07:57:42"/>
    <x v="4"/>
  </r>
  <r>
    <s v="3541278103471092322"/>
    <s v="chị hồng nhung"/>
    <x v="4"/>
    <n v="0"/>
    <s v=""/>
    <s v="NULL"/>
    <x v="0"/>
    <s v="2026-07-17 07:56:17"/>
    <s v="2026-07-17 08:06:16"/>
    <s v="NULL"/>
    <s v="NULL"/>
    <s v="2026-07-22 11:57:10"/>
    <s v=""/>
    <s v="106.5162847"/>
    <s v="10.6451341"/>
    <s v="106.64553103124386"/>
    <s v="10.799975415808792"/>
    <n v="162108"/>
    <n v="0"/>
    <n v="162108"/>
    <s v="Cash"/>
    <s v="CÔNG TY CỔ PHẦN TKMB, Đường VL1, KCN Vĩnh Lộc 2, Mỹ Yên, Tây Ninh, Việt NamCÔNG TY CỔ PHẦN TKMB"/>
    <s v="36/23 Bình Giã, Tân Bình, Hồ Chí Minh, Việt Nam36/23 Bình Giã, Tân Bình, Hồ Chí Minh, Việt Nam"/>
    <n v="1"/>
    <x v="0"/>
    <x v="6"/>
    <d v="1899-12-30T07:56:17"/>
    <x v="393"/>
  </r>
  <r>
    <s v="3541279252047688017"/>
    <s v="chị hồng nhung"/>
    <x v="4"/>
    <n v="3711577"/>
    <s v=""/>
    <s v="Motorcycle"/>
    <x v="1"/>
    <s v="2026-07-17 07:57:03"/>
    <s v="2026-07-17 08:07:02"/>
    <s v="2026-07-17 07:57:38"/>
    <s v="NULL"/>
    <s v="2026-07-17 08:01:16"/>
    <s v=""/>
    <s v="106.5162847"/>
    <s v="10.6451341"/>
    <s v="106.4615963"/>
    <s v="11.141591"/>
    <n v="462132"/>
    <n v="379333"/>
    <n v="82799"/>
    <s v="Cash"/>
    <s v="CÔNG TY CỔ PHẦN TKMB, Đường VL1, KCN Vĩnh Lộc 2, Mỹ Yên, Tây Ninh, Việt NamCÔNG TY CỔ PHẦN TKMB"/>
    <s v="Cu Chi Tunnel, Phú Hiệp, An Nhơn Tây, Củ Chi, Hồ Chí Minh, Việt NamCu Chi Tunnel"/>
    <n v="1"/>
    <x v="0"/>
    <x v="6"/>
    <d v="1899-12-30T07:57:03"/>
    <x v="394"/>
  </r>
  <r>
    <s v="3541280269267067039"/>
    <s v="chị hồng nhung"/>
    <x v="4"/>
    <n v="4608004"/>
    <s v=""/>
    <s v="Motorcycle"/>
    <x v="3"/>
    <s v="2026-07-17 07:58:36"/>
    <s v="2026-07-17 09:29:00"/>
    <s v="2026-07-17 08:35:45"/>
    <s v="NULL"/>
    <s v=""/>
    <s v="2026-07-17 10:37:52"/>
    <s v="106.5083845"/>
    <s v="10.6428394"/>
    <s v="106.885785"/>
    <s v="10.9657443"/>
    <n v="351864"/>
    <n v="272776"/>
    <n v="79088"/>
    <s v="Cash"/>
    <s v="CÔNG TY TNHH BIBICA MIỀN TÂY, 9 VL3, KCN Vĩnh Lộc 2, Mỹ Yên, Tây Ninh, Việt NamCÔNG TY TNHH BIBICA MIỀN TÂY"/>
    <s v="Cty TNHH Sơn Băng Biên Hòa, Xa Lộ Hà Nội, Long Bình, Đồng Nai, Việt NamCty TNHH Sơn Băng Biên Hòa"/>
    <n v="1"/>
    <x v="0"/>
    <x v="6"/>
    <d v="1899-12-30T07:58:36"/>
    <x v="395"/>
  </r>
  <r>
    <s v="3541280496732565885"/>
    <s v="chị hồng nhung"/>
    <x v="4"/>
    <n v="3170348"/>
    <s v=""/>
    <s v="Motorcycle"/>
    <x v="2"/>
    <s v="2026-07-17 07:59:47"/>
    <s v="2026-07-17 09:30:00"/>
    <s v="2026-07-17 11:01:21"/>
    <s v="NULL"/>
    <s v=""/>
    <s v=""/>
    <s v="106.5083845"/>
    <s v="10.6428394"/>
    <s v="106.9854680230316"/>
    <s v="10.793687647474156"/>
    <n v="359748"/>
    <n v="278888"/>
    <n v="80860"/>
    <s v="Cash"/>
    <s v="CÔNG TY TNHH BIBICA MIỀN TÂY, 9 VL3, KCN Vĩnh Lộc 2, Mỹ Yên, Tây Ninh, Việt NamCÔNG TY TNHH BIBICA MIỀN TÂY"/>
    <s v="QXVP+F5 Long Thành, Đồng Nai, Việt NamQXVP+F5 Long Thành, Đồng Nai, Việt Nam"/>
    <n v="1"/>
    <x v="0"/>
    <x v="6"/>
    <d v="1899-12-30T07:59:47"/>
    <x v="14"/>
  </r>
  <r>
    <s v="3541281044676440205"/>
    <s v="chị hồng nhung"/>
    <x v="4"/>
    <n v="4601101"/>
    <s v=""/>
    <s v="Motorcycle"/>
    <x v="2"/>
    <s v="2026-07-17 07:59:29"/>
    <s v="2026-07-17 09:30:00"/>
    <s v="2026-07-17 10:48:06"/>
    <s v="NULL"/>
    <s v=""/>
    <s v=""/>
    <s v="106.5083845"/>
    <s v="10.6428394"/>
    <s v="106.9833759"/>
    <s v="10.7944043"/>
    <n v="256500"/>
    <n v="198847"/>
    <n v="57653"/>
    <s v="Cash"/>
    <s v="CÔNG TY TNHH BIBICA MIỀN TÂY, 9 VL3, KCN Vĩnh Lộc 2, Mỹ Yên, Tây Ninh, Việt NamCÔNG TY TNHH BIBICA MIỀN TÂY"/>
    <s v="Cong Ty Changshin Long Thanh, Long Thành, Đồng Nai, Việt NamCong Ty Changshin Long Thanh"/>
    <n v="1"/>
    <x v="0"/>
    <x v="6"/>
    <d v="1899-12-30T07:59:29"/>
    <x v="14"/>
  </r>
  <r>
    <s v="3555807837433323975"/>
    <s v=""/>
    <x v="5"/>
    <n v="4600219"/>
    <s v=""/>
    <s v="Motorcycle"/>
    <x v="2"/>
    <s v="2026-08-06 09:03:45"/>
    <s v="2026-08-06 09:13:00"/>
    <s v="2026-08-06 09:41:05"/>
    <s v="NULL"/>
    <s v=""/>
    <s v=""/>
    <s v="106.3590519502759"/>
    <s v="10.488506835937978"/>
    <s v="106.75379700958729"/>
    <s v="10.881527551009158"/>
    <n v="306396"/>
    <n v="237528"/>
    <n v="68868"/>
    <s v="Cash"/>
    <s v="Unnamed Road, Tân Hương, Châu Thành, Tiền Giang, Việt NamVăn phòng cty HANSAE"/>
    <s v="KHO VINA SMART SONG THAN, Dĩ An, Bình DươngKHO VINA SMART SONG THAN"/>
    <n v="1"/>
    <x v="1"/>
    <x v="7"/>
    <d v="1899-12-30T09:03:45"/>
    <x v="14"/>
  </r>
  <r>
    <s v="3555807866432746128"/>
    <s v=""/>
    <x v="5"/>
    <n v="4812588"/>
    <s v=""/>
    <s v="Motorcycle"/>
    <x v="2"/>
    <s v="2026-08-06 09:02:09"/>
    <s v="2026-08-06 09:12:00"/>
    <s v="2026-08-06 10:43:41"/>
    <s v="NULL"/>
    <s v=""/>
    <s v=""/>
    <s v="106.30669489502907"/>
    <s v="10.467387190006193"/>
    <s v="106.7119017"/>
    <s v="10.9322688"/>
    <n v="378432"/>
    <n v="293372"/>
    <n v="85060"/>
    <s v="Cash"/>
    <s v="Xã Tân Lập 1, Huyện Tân Phước, Tiền Giang, Việt NamHailang Vietnam Copper Manufacturing Co"/>
    <s v="Thuận Giao, Thuận An, Bình Dương, Việt NamAEON Mall Binh Duong Canary"/>
    <n v="1"/>
    <x v="1"/>
    <x v="7"/>
    <d v="1899-12-30T09:02:09"/>
    <x v="14"/>
  </r>
  <r>
    <s v="3555812029690499568"/>
    <s v=""/>
    <x v="5"/>
    <n v="468517"/>
    <s v="lay hang cong so2"/>
    <s v="Motorcycle"/>
    <x v="2"/>
    <s v="2026-08-06 09:09:33"/>
    <s v="2026-08-06 09:19:00"/>
    <s v="2026-08-06 11:34:26"/>
    <s v="NULL"/>
    <s v=""/>
    <s v=""/>
    <s v="106.36431645601988"/>
    <s v="10.547799633593456"/>
    <s v="106.57868228852749"/>
    <s v="10.861394360082327"/>
    <n v="217296"/>
    <n v="168455"/>
    <n v="48841"/>
    <s v="Cash"/>
    <s v="Lô F1, Khu F, Cụm Công Nghiệp Lợi Bình Nhơn, Ấp Rạch Chanh, Xã Lợi Bình Nhơn, Thành Phố Tân An, Tỉnh Long An, Lợi Bình Nhơn, Tân An, Long An, Việt NamCông Ty TNHH TEXRAY"/>
    <s v="2 Hẻm 24 Tổ 14 Ấp 3, Xã Xuân Thới Sơn, Huyện Hóc Môn, Hồ Chí Minh, Việt Nam2 Hẻm 24 Tổ 14 Ấp 3"/>
    <n v="1"/>
    <x v="1"/>
    <x v="7"/>
    <d v="1899-12-30T09:09:33"/>
    <x v="14"/>
  </r>
  <r>
    <s v="3555812096900027068"/>
    <s v=""/>
    <x v="5"/>
    <n v="1528635"/>
    <s v=""/>
    <s v="Motorcycle"/>
    <x v="2"/>
    <s v="2026-08-06 09:10:09"/>
    <s v="2026-08-06 09:20:00"/>
    <s v="2026-08-06 09:39:42"/>
    <s v="2026-08-06 09:45:50"/>
    <s v=""/>
    <s v=""/>
    <s v="106.36486999690533"/>
    <s v="10.552004449959576"/>
    <s v="106.71026173979044"/>
    <s v="10.93470223539397"/>
    <n v="300456"/>
    <n v="232923"/>
    <n v="67533"/>
    <s v="Cash"/>
    <s v="KCN, Lợi Bình Nhơn, Tân An, Long An, Việt NamCông ty TNHH Chế Biến Nông Sản Thực Phẩm Xuất Khẩu Tân An"/>
    <s v="67 Đại lộ Bình Dương, Binh Nhâm, Thuận An, Bình Dương, Việt Nam67 Đại lộ Bình Dương"/>
    <n v="1"/>
    <x v="1"/>
    <x v="7"/>
    <d v="1899-12-30T09:10:09"/>
    <x v="14"/>
  </r>
  <r>
    <s v="3555812321035252680"/>
    <s v=""/>
    <x v="5"/>
    <n v="4734895"/>
    <s v=""/>
    <s v="Motorcycle"/>
    <x v="2"/>
    <s v="2026-08-06 09:13:03"/>
    <s v="2026-08-06 09:23:00"/>
    <s v="2026-08-06 09:30:17"/>
    <s v="NULL"/>
    <s v=""/>
    <s v=""/>
    <s v="106.36304810643196"/>
    <s v="10.481190291138835"/>
    <s v="106.718918569386"/>
    <s v="10.94356222103202"/>
    <n v="333612"/>
    <n v="258627"/>
    <n v="74985"/>
    <s v="Cash"/>
    <s v="Đường N4, Tân Hương, Châu Thành, Tiền Giang, Việt NamCông Ty TNHH Quảng Việt Tiền Giang"/>
    <s v="Làng chuyên gia Oasis, Thuận An, Bình Dương, Việt NamCông Ty Danh Nguyễn"/>
    <n v="1"/>
    <x v="1"/>
    <x v="7"/>
    <d v="1899-12-30T09:13:03"/>
    <x v="14"/>
  </r>
  <r>
    <s v="3555812741195453105"/>
    <s v=""/>
    <x v="5"/>
    <n v="2073712"/>
    <s v=""/>
    <s v="Motorcycle"/>
    <x v="1"/>
    <s v="2026-08-06 09:15:24"/>
    <s v="2026-08-06 09:25:00"/>
    <s v="2026-08-06 11:25:17"/>
    <s v="NULL"/>
    <s v="2026-08-06 11:29:23"/>
    <s v=""/>
    <s v="106.364451572299"/>
    <s v="10.54771096827286"/>
    <s v="106.44931331276894"/>
    <s v="10.785500526732179"/>
    <n v="149148"/>
    <n v="115624"/>
    <n v="33524"/>
    <s v="Cash"/>
    <s v="Lô F1, Khu F, Cụm Công Nghiệp Lợi Bình Nhơn, Ấp Rạch Chanh, Xã Lợi Bình Nhơn, Thành Phố Tân An, Tỉnh Long An, Lợi Bình Nhơn, Tân An, Long An, Việt NamCông Ty TNHH TEXRAY"/>
    <s v="Hựu Thạnh, Đức Hòa, Long An, Việt NamHONESTAR"/>
    <n v="1"/>
    <x v="1"/>
    <x v="7"/>
    <d v="1899-12-30T09:15:24"/>
    <x v="396"/>
  </r>
  <r>
    <s v="3555815029339279606"/>
    <s v=""/>
    <x v="5"/>
    <n v="2738333"/>
    <s v=""/>
    <s v="Motorcycle"/>
    <x v="2"/>
    <s v="2026-08-06 09:16:06"/>
    <s v="2026-08-06 09:26:00"/>
    <s v="2026-08-06 10:16:29"/>
    <s v="NULL"/>
    <s v=""/>
    <s v=""/>
    <s v="106.364451572299"/>
    <s v="10.54771096827286"/>
    <s v="107.14236225932837"/>
    <s v="10.408420629636892"/>
    <n v="550260"/>
    <n v="426579"/>
    <n v="123681"/>
    <s v="Cash"/>
    <s v="Lô F1, Khu F, Cụm Công Nghiệp Lợi Bình Nhơn, Ấp Rạch Chanh, Xã Lợi Bình Nhơn, Thành Phố Tân An, Tỉnh Long An, Lợi Bình Nhơn, Tân An, Long An, Việt NamCông Ty TNHH TEXRAY"/>
    <s v="29 Hẻm 139 Đô Lương, Phường 12, Vũng Tàu, Bà Rịa-Vũng Tàu, Việt Nam29 Hẻm 139 Đô Lương"/>
    <n v="1"/>
    <x v="1"/>
    <x v="7"/>
    <d v="1899-12-30T09:16:06"/>
    <x v="14"/>
  </r>
  <r>
    <s v="3555819706206351650"/>
    <s v=""/>
    <x v="5"/>
    <n v="3235334"/>
    <s v=""/>
    <s v="Motorcycle"/>
    <x v="2"/>
    <s v="2026-08-06 09:26:00"/>
    <s v="2026-08-06 09:36:00"/>
    <s v="2026-08-06 11:13:37"/>
    <s v="NULL"/>
    <s v=""/>
    <s v=""/>
    <s v="106.36007152497768"/>
    <s v="10.488509143656994"/>
    <s v="106.62767887115479"/>
    <s v="11.122395014129792"/>
    <n v="391932"/>
    <n v="303838"/>
    <n v="88094"/>
    <s v="Cash"/>
    <s v="Đ. D3, Tân Hương, Châu Thành, Tiền Giang, Việt NamCTY TNHH HANSAE TG"/>
    <s v="Công Viên Valley Of Dream, Unnamed Road, Khu đô thị Ecolakes, Bến Cát, Bình Dương, Việt NamCông Viên Valley Of Dream"/>
    <n v="1"/>
    <x v="1"/>
    <x v="7"/>
    <d v="1899-12-30T09:26:00"/>
    <x v="14"/>
  </r>
  <r>
    <s v="3556132315954635050"/>
    <s v=""/>
    <x v="5"/>
    <n v="0"/>
    <s v=""/>
    <s v="NULL"/>
    <x v="1"/>
    <s v="2026-08-06 19:53:33"/>
    <s v="2026-08-06 20:03:00"/>
    <s v="NULL"/>
    <s v="NULL"/>
    <s v="2026-08-06 19:58:28"/>
    <s v=""/>
    <s v="106.36007152497768"/>
    <s v="10.488509143656994"/>
    <s v="106.7119017"/>
    <s v="10.9322688"/>
    <n v="327996"/>
    <n v="0"/>
    <n v="327996"/>
    <s v="Cash"/>
    <s v="Đ. D3, Tân Hương, Châu Thành, Tiền Giang, Việt NamCTY TNHH HANSAE TG"/>
    <s v="Thuận Giao, Thuận An, Bình Dương, Việt NamAEON Mall Binh Duong Canary"/>
    <n v="1"/>
    <x v="1"/>
    <x v="7"/>
    <d v="1899-12-30T19:53:33"/>
    <x v="397"/>
  </r>
  <r>
    <s v="3557128920384102825"/>
    <s v=""/>
    <x v="5"/>
    <n v="0"/>
    <s v=""/>
    <s v="NULL"/>
    <x v="0"/>
    <s v="2026-08-08 08:02:06"/>
    <s v="2026-08-08 08:12:00"/>
    <s v="NULL"/>
    <s v="NULL"/>
    <s v="2026-08-09 08:29:48"/>
    <s v=""/>
    <s v="106.43740430474281"/>
    <s v="10.598307019578503"/>
    <s v="106.50222893804312"/>
    <s v="10.960075026029962"/>
    <n v="275616"/>
    <n v="0"/>
    <n v="275616"/>
    <s v="Cash"/>
    <s v="Thúy Quyên, Ấp 7, xã Nhị Thành, Huyện Thủ Thừa, Long An, Việt NamThúy Quyên"/>
    <s v="417 QL22, Ấp Thượng, Củ Chi, Hồ Chí Minh, Việt Nam417 Quốc lộ 22"/>
    <n v="1"/>
    <x v="1"/>
    <x v="1"/>
    <d v="1899-12-30T08:02:06"/>
    <x v="398"/>
  </r>
  <r>
    <s v="3557210595017319191"/>
    <s v=""/>
    <x v="5"/>
    <n v="4764031"/>
    <s v=""/>
    <s v="Motorcycle"/>
    <x v="2"/>
    <s v="2026-08-08 07:41:34"/>
    <s v="2026-08-08 07:51:00"/>
    <s v="2026-08-08 09:51:13"/>
    <s v="NULL"/>
    <s v=""/>
    <s v=""/>
    <s v="106.3640371710062"/>
    <s v="10.547589341825"/>
    <s v="106.5937284"/>
    <s v="10.5012495"/>
    <n v="198504"/>
    <n v="153887"/>
    <n v="44617"/>
    <s v="Cash"/>
    <s v="Lô F1, Khu F, Cụm Công Nghiệp Lợi Bình Nhơn, Ấp Rạch Chanh, Xã Lợi Bình Nhơn, Thành Phố Tân An, Tỉnh Long An, Lợi Bình Nhơn, Tân An, Long An, Việt NamCông Ty TNHH TEXRAY"/>
    <s v="Cần Đước, Long An, Việt NamCần Đước, Long An, Việt Nam"/>
    <n v="1"/>
    <x v="1"/>
    <x v="1"/>
    <d v="1899-12-30T07:41:34"/>
    <x v="14"/>
  </r>
  <r>
    <s v="3557210595017319311"/>
    <s v=""/>
    <x v="5"/>
    <n v="2628447"/>
    <s v=""/>
    <s v="Motorcycle"/>
    <x v="2"/>
    <s v="2026-08-08 07:42:12"/>
    <s v="2026-08-08 07:52:00"/>
    <s v="2026-08-08 08:25:31"/>
    <s v="NULL"/>
    <s v=""/>
    <s v=""/>
    <s v="106.37618087232113"/>
    <s v="10.496396497023365"/>
    <s v="106.69982861727476"/>
    <s v="10.822285068014995"/>
    <n v="267840"/>
    <n v="207638"/>
    <n v="60202"/>
    <s v="Cash"/>
    <s v="QL1A, Khánh Hậu, Tp. Tân An, Long An, Việt NamCông Ty Tnhh Tiền Vệ"/>
    <s v="420 Cầu Rạch Lăng, Phường 13, Quận Bình Thạnh, Hồ Chí Minh, Việt Nam420 Cầu Rạch Lăng"/>
    <n v="1"/>
    <x v="1"/>
    <x v="1"/>
    <d v="1899-12-30T07:42:12"/>
    <x v="14"/>
  </r>
  <r>
    <s v="3557210928774869199"/>
    <s v=""/>
    <x v="5"/>
    <n v="0"/>
    <s v=""/>
    <s v="NULL"/>
    <x v="0"/>
    <s v="2026-08-08 07:38:43"/>
    <s v="2026-08-08 07:48:00"/>
    <s v="NULL"/>
    <s v="NULL"/>
    <s v="2026-08-08 11:24:15"/>
    <s v=""/>
    <s v="106.36007152497768"/>
    <s v="10.488509143656994"/>
    <s v="106.75379700958729"/>
    <s v="10.881527551009158"/>
    <n v="374112"/>
    <n v="0"/>
    <n v="374112"/>
    <s v="Cash"/>
    <s v="Đ. D3, Tân Hương, Châu Thành, Tiền Giang, Việt NamCTY TNHH HANSAE TG"/>
    <s v="KHO VINA SMART SONG THAN, Dĩ An, Bình DươngKHO VINA SMART SONG THAN"/>
    <n v="1"/>
    <x v="1"/>
    <x v="1"/>
    <d v="1899-12-30T07:38:43"/>
    <x v="399"/>
  </r>
  <r>
    <s v="3557215742107804291"/>
    <s v=""/>
    <x v="5"/>
    <n v="0"/>
    <s v=""/>
    <s v="NULL"/>
    <x v="0"/>
    <s v="2026-08-08 07:44:15"/>
    <s v="2026-08-08 07:54:00"/>
    <s v="NULL"/>
    <s v="NULL"/>
    <s v="2026-08-08 09:54:00"/>
    <s v=""/>
    <s v="106.31307151168585"/>
    <s v="10.467790079015906"/>
    <s v="106.7119017"/>
    <s v="10.9322688"/>
    <n v="400032"/>
    <n v="0"/>
    <n v="400032"/>
    <s v="Cash"/>
    <s v="Xã Tân Lập 1, Huyện Tân Phước, Tiền Giang, Việt NamApache Footwear Vietnam HQ"/>
    <s v="Thuận Giao, Thuận An, Bình Dương, Việt NamAEON Mall Binh Duong Canary"/>
    <n v="1"/>
    <x v="1"/>
    <x v="1"/>
    <d v="1899-12-30T07:44:15"/>
    <x v="400"/>
  </r>
  <r>
    <s v="3557215785317520123"/>
    <s v=""/>
    <x v="5"/>
    <n v="0"/>
    <s v="lay hang o cong so2"/>
    <s v="NULL"/>
    <x v="0"/>
    <s v="2026-08-08 07:49:37"/>
    <s v="2026-08-08 07:59:00"/>
    <s v="NULL"/>
    <s v="NULL"/>
    <s v="2026-08-08 10:32:02"/>
    <s v=""/>
    <s v="106.36434964835644"/>
    <s v="10.547980919485402"/>
    <s v="106.5672462"/>
    <s v="10.6630417"/>
    <n v="179172"/>
    <n v="0"/>
    <n v="179172"/>
    <s v="Cash"/>
    <s v="Lô F1, Khu F, Cụm Công Nghiệp Lợi Bình Nhơn, Ấp Rạch Chanh, Xã Lợi Bình Nhơn, Thành Phố Tân An, Tỉnh Long An, Lợi Bình Nhơn, Tân An, Long An, Việt NamCông Ty TNHH TEXRAY"/>
    <s v="Bình Chánh, Hồ Chí Minh, Việt NamBình Chánh"/>
    <n v="1"/>
    <x v="1"/>
    <x v="1"/>
    <d v="1899-12-30T07:49:37"/>
    <x v="401"/>
  </r>
  <r>
    <s v="3557215953660109186"/>
    <s v=""/>
    <x v="5"/>
    <n v="4046287"/>
    <s v=""/>
    <s v="Motorcycle"/>
    <x v="2"/>
    <s v="2026-08-08 07:53:19"/>
    <s v="2026-08-08 08:03:00"/>
    <s v="2026-08-08 08:16:41"/>
    <s v="NULL"/>
    <s v=""/>
    <s v=""/>
    <s v="106.39740385115147"/>
    <s v="10.550848188869466"/>
    <s v="106.44480284303427"/>
    <s v="10.836708301099002"/>
    <n v="315252"/>
    <n v="244393"/>
    <n v="70859"/>
    <s v="Cash"/>
    <s v="Shuyi aeon tân an, Tuyến tránh QL 1, Phường 6, Tân An, Long An, Việt NamShuyi aeon tân an"/>
    <s v="Tỉnh Lộ 825,82718Quach Phuc Transportation Service"/>
    <n v="1"/>
    <x v="1"/>
    <x v="1"/>
    <d v="1899-12-30T07:53:19"/>
    <x v="14"/>
  </r>
  <r>
    <s v="3557219624221368742"/>
    <s v=""/>
    <x v="5"/>
    <n v="4442770"/>
    <s v=""/>
    <s v="Motorcycle"/>
    <x v="2"/>
    <s v="2026-08-08 07:54:26"/>
    <s v="2026-08-08 08:04:00"/>
    <s v="2026-08-08 08:17:03"/>
    <s v="NULL"/>
    <s v=""/>
    <s v=""/>
    <s v="106.36287946254015"/>
    <s v="10.547953232192453"/>
    <s v="106.7499886"/>
    <s v="10.6966426"/>
    <n v="282960"/>
    <n v="219359"/>
    <n v="63601"/>
    <s v="Cash"/>
    <s v="Cty cổ phần màng CHÂU ÂU, Đường Sô 1, Lợi Bình Nhơn, Tân An, Long An, Việt NamCty cổ phần màng CHÂU ÂU"/>
    <s v="TT. Nhà Bè, Nhà Bè, Thành phố Hồ Chí Minh, Việt NamTT. Nhà Bè, Nhà Bè, Thành phố Hồ Chí Minh, Việt Nam"/>
    <n v="1"/>
    <x v="1"/>
    <x v="1"/>
    <d v="1899-12-30T07:54:26"/>
    <x v="14"/>
  </r>
  <r>
    <s v="3557222551686177529"/>
    <s v=""/>
    <x v="5"/>
    <n v="4380493"/>
    <s v=""/>
    <s v="Motorcycle"/>
    <x v="2"/>
    <s v="2026-08-08 07:56:15"/>
    <s v="2026-08-08 08:06:00"/>
    <s v="2026-08-08 08:15:47"/>
    <s v="NULL"/>
    <s v=""/>
    <s v=""/>
    <s v="106.41836263239384"/>
    <s v="10.55842445454744"/>
    <s v="106.6263687"/>
    <s v="11.0899988"/>
    <n v="377244"/>
    <n v="292451"/>
    <n v="84793"/>
    <s v="Cash"/>
    <s v="QL.1A,82107Happiness Wedding Studio"/>
    <s v="Bến cát Bình Dương, Quốc lộ 13, Thới Hòa, Bến Cát, Bình Dương, Việt NamBến cát Bình Dương"/>
    <n v="1"/>
    <x v="1"/>
    <x v="1"/>
    <d v="1899-12-30T07:56:15"/>
    <x v="14"/>
  </r>
  <r>
    <s v="3558637355730694981"/>
    <s v=""/>
    <x v="6"/>
    <n v="0"/>
    <s v=""/>
    <s v="NULL"/>
    <x v="0"/>
    <s v="2026-08-10 07:22:32"/>
    <s v="2026-08-10 07:32:31"/>
    <s v="NULL"/>
    <s v="NULL"/>
    <s v="2026-08-10 09:32:31"/>
    <s v=""/>
    <s v="106.4862504"/>
    <s v="10.6070757"/>
    <s v="106.7463687"/>
    <s v="10.8958149"/>
    <n v="216972"/>
    <n v="0"/>
    <n v="216972"/>
    <s v="Cash"/>
    <s v="Cụm Công Nghiệp Thị Trấn Bến Lức, Thị Trấn Bến Lức, Huyện Bến Lức, Long Cang, Tây Ninh, Việt NamCông Ty TNHH Sản Xuất Khuôn Đúc Chin Chen Fuh Việt Nam"/>
    <s v="7A, Khu Công nghiệp sóng thần, 2 Thống Nhất, Quận, Dĩ An, Bình Dương, Việt NamCông Ty TNHH Eins Vina Co., Ltd"/>
    <n v="1"/>
    <x v="1"/>
    <x v="9"/>
    <d v="1899-12-30T07:22:32"/>
    <x v="9"/>
  </r>
  <r>
    <s v="3558643822080775108"/>
    <s v=""/>
    <x v="6"/>
    <n v="0"/>
    <s v=""/>
    <s v="NULL"/>
    <x v="0"/>
    <s v="2026-08-10 07:29:48"/>
    <s v="2026-08-10 07:39:47"/>
    <s v="NULL"/>
    <s v="NULL"/>
    <s v="2026-08-10 09:39:47"/>
    <s v=""/>
    <s v="106.4878464"/>
    <s v="10.6193527"/>
    <s v="106.9934938"/>
    <s v="10.7903866"/>
    <n v="216648"/>
    <n v="0"/>
    <n v="216648"/>
    <s v="Cash"/>
    <s v="Thị trấn, Bến Lức, Long An, Việt NamCÔNG TY TNHH RICHFIELD VN"/>
    <s v="Long An, Long Thành, Đồng Nai, Việt NamCông ty TNHH Shin Heung Đồng Nai"/>
    <n v="1"/>
    <x v="1"/>
    <x v="9"/>
    <d v="1899-12-30T07:29:48"/>
    <x v="9"/>
  </r>
  <r>
    <s v="3558645168712405791"/>
    <s v=""/>
    <x v="6"/>
    <n v="2852976"/>
    <s v=""/>
    <s v="Motorcycle"/>
    <x v="1"/>
    <s v="2026-08-10 07:30:59"/>
    <s v="2026-08-10 07:40:59"/>
    <s v="2026-08-10 08:09:43"/>
    <s v="NULL"/>
    <s v="2026-08-10 08:12:17"/>
    <s v=""/>
    <s v="106.4888607"/>
    <s v="10.6238328"/>
    <s v="106.7472637"/>
    <s v="10.7915587"/>
    <n v="204984"/>
    <n v="168258"/>
    <n v="36726"/>
    <s v="Cash"/>
    <s v="VP-Hiệp hội doanh nghiệp tỉnh Long An, Đường số 1, KCN Thuận Đạo, Bến Lức, Tây Ninh, Việt NamVP-Hiệp hội doanh nghiệp tỉnh Long An"/>
    <s v="326C Lương Định Của, An Phú, Thành phố Thủ Đức, Thành phố Hồ Chí Minh, Việt NamCÔNG TY TNHH NBH GROUP"/>
    <n v="1"/>
    <x v="1"/>
    <x v="9"/>
    <d v="1899-12-30T07:30:59"/>
    <x v="402"/>
  </r>
  <r>
    <s v="3558645237163446643"/>
    <s v=""/>
    <x v="6"/>
    <n v="0"/>
    <s v=""/>
    <s v="NULL"/>
    <x v="0"/>
    <s v="2026-08-10 07:27:27"/>
    <s v="2026-08-10 07:37:27"/>
    <s v="NULL"/>
    <s v="NULL"/>
    <s v="2026-08-10 09:37:27"/>
    <s v=""/>
    <s v="106.4963994"/>
    <s v="10.6121206"/>
    <s v="106.6221196"/>
    <s v="10.8241378"/>
    <n v="197208"/>
    <n v="0"/>
    <n v="197208"/>
    <s v="Cash"/>
    <s v="Việt Nam, Long An, Cần Đước, Long Định, ROAD 14 LOT D1Công Ty Seapac Việt Nam"/>
    <s v="26b Tân Thới Nhất 17, Tân Thới Nhất, Quận 12, Hồ Chí Minh 700000, Việt NamCông ty TNHH TM DV Trí Lực Việt"/>
    <n v="1"/>
    <x v="1"/>
    <x v="9"/>
    <d v="1899-12-30T07:27:27"/>
    <x v="4"/>
  </r>
  <r>
    <s v="3558645337818362522"/>
    <s v=""/>
    <x v="6"/>
    <n v="0"/>
    <s v=""/>
    <s v="NULL"/>
    <x v="0"/>
    <s v="2026-08-10 07:22:11"/>
    <s v="2026-08-10 07:32:11"/>
    <s v="NULL"/>
    <s v="NULL"/>
    <s v="2026-08-10 09:54:11"/>
    <s v=""/>
    <s v="106.4862504"/>
    <s v="10.6070757"/>
    <s v="106.6653277"/>
    <s v="10.9741618"/>
    <n v="243756"/>
    <n v="0"/>
    <n v="243756"/>
    <s v="Cash"/>
    <s v="Cụm Công Nghiệp Thị Trấn Bến Lức, Thị Trấn Bến Lức, Huyện Bến Lức, Long Cang, Tây Ninh, Việt NamCông Ty TNHH Sản Xuất Khuôn Đúc Chin Chen Fuh Việt Nam"/>
    <s v="158 Ngô Gia Tự, Chánh Nghĩa, Thủ Dầu Một, Bình Dương 820000, Việt NamCông ty cổ phần Uniland"/>
    <n v="1"/>
    <x v="1"/>
    <x v="9"/>
    <d v="1899-12-30T07:22:11"/>
    <x v="403"/>
  </r>
  <r>
    <s v="3558645337835135488"/>
    <s v=""/>
    <x v="6"/>
    <n v="0"/>
    <s v=""/>
    <s v="NULL"/>
    <x v="0"/>
    <s v="2026-08-10 07:28:45"/>
    <s v="2026-08-10 07:38:44"/>
    <s v="NULL"/>
    <s v="NULL"/>
    <s v="2026-08-10 10:36:37"/>
    <s v=""/>
    <s v="106.4989894"/>
    <s v="10.6101417"/>
    <s v="106.6653277"/>
    <s v="10.9741618"/>
    <n v="244944"/>
    <n v="0"/>
    <n v="244944"/>
    <s v="Cash"/>
    <s v="Long Định, Cần Đước, Long An, Việt NamOKIA OPTICAL VIETNAM"/>
    <s v="158 Ngô Gia Tự, Chánh Nghĩa, Thủ Dầu Một, Bình Dương 820000, Việt NamCông ty cổ phần Uniland"/>
    <n v="1"/>
    <x v="1"/>
    <x v="9"/>
    <d v="1899-12-30T07:28:45"/>
    <x v="404"/>
  </r>
  <r>
    <s v="3558645337835135559"/>
    <s v=""/>
    <x v="6"/>
    <n v="0"/>
    <s v=""/>
    <s v="NULL"/>
    <x v="0"/>
    <s v="2026-08-10 07:29:22"/>
    <s v="2026-08-10 07:39:22"/>
    <s v="NULL"/>
    <s v="NULL"/>
    <s v="2026-08-10 09:39:22"/>
    <s v=""/>
    <s v="106.4878464"/>
    <s v="10.6193527"/>
    <s v="106.7463687"/>
    <s v="10.8958149"/>
    <n v="292140"/>
    <n v="0"/>
    <n v="292140"/>
    <s v="Cash"/>
    <s v="Thị trấn, Bến Lức, Long An, Việt NamCÔNG TY TNHH RICHFIELD VN"/>
    <s v="7A, Khu Công nghiệp sóng thần, 2 Thống Nhất, Quận, Dĩ An, Bình Dương, Việt NamCông Ty TNHH Eins Vina Co., Ltd"/>
    <n v="1"/>
    <x v="1"/>
    <x v="9"/>
    <d v="1899-12-30T07:29:22"/>
    <x v="4"/>
  </r>
  <r>
    <s v="3558645337835135584"/>
    <s v=""/>
    <x v="6"/>
    <n v="0"/>
    <s v=""/>
    <s v="NULL"/>
    <x v="0"/>
    <s v="2026-08-10 07:29:35"/>
    <s v="2026-08-10 07:39:35"/>
    <s v="NULL"/>
    <s v="NULL"/>
    <s v="2026-08-10 09:39:35"/>
    <s v=""/>
    <s v="106.4878464"/>
    <s v="10.6193527"/>
    <s v="106.8753459"/>
    <s v="10.9280319"/>
    <n v="256068"/>
    <n v="0"/>
    <n v="256068"/>
    <s v="Cash"/>
    <s v="Thị trấn, Bến Lức, Long An, Việt NamCÔNG TY TNHH RICHFIELD VN"/>
    <s v="14 Đường Số 19A, An Bình, Thành phố Biên Hòa, Đồng Nai, Việt NamCông Ty Cp Scavi Việt Nam"/>
    <n v="1"/>
    <x v="1"/>
    <x v="9"/>
    <d v="1899-12-30T07:29:35"/>
    <x v="4"/>
  </r>
  <r>
    <s v="3558647856380465793"/>
    <s v=""/>
    <x v="6"/>
    <n v="0"/>
    <s v=""/>
    <s v="NULL"/>
    <x v="0"/>
    <s v="2026-08-10 07:25:42"/>
    <s v="2026-08-10 07:35:42"/>
    <s v="NULL"/>
    <s v="NULL"/>
    <s v="2026-08-10 10:07:41"/>
    <s v=""/>
    <s v="106.4973945"/>
    <s v="10.6090006"/>
    <s v="106.645950950581"/>
    <s v="10.800682469083"/>
    <n v="177768"/>
    <n v="0"/>
    <n v="177768"/>
    <s v="Cash"/>
    <s v="CÔNG TY TNHH KUZCO VIỆT NAM, Long Cang, Tây Ninh, Việt NamCÔNG TY TNHH KUZCO VIỆT NAM"/>
    <s v="2/5b Bình Giã, Tân Bình, Hồ Chí Minh, VietnamCông Ty Tnhh Thương Mại &amp; Dịch Vụ"/>
    <n v="1"/>
    <x v="1"/>
    <x v="9"/>
    <d v="1899-12-30T07:25:42"/>
    <x v="405"/>
  </r>
  <r>
    <s v="3558647856397251482"/>
    <s v=""/>
    <x v="6"/>
    <n v="0"/>
    <s v=""/>
    <s v="NULL"/>
    <x v="0"/>
    <s v="2026-08-10 07:34:30"/>
    <s v="2026-08-10 07:44:30"/>
    <s v="NULL"/>
    <s v="NULL"/>
    <s v="2026-08-10 09:44:30"/>
    <s v=""/>
    <s v="106.5138474"/>
    <s v="10.6194076"/>
    <s v="106.7354427"/>
    <s v="10.9375918"/>
    <n v="222912"/>
    <n v="0"/>
    <n v="222912"/>
    <s v="Cash"/>
    <s v="Lô F1, F2, F3, F4 Và Lô G1, G2 Đ. Số 1, Khu Công Nghiệp, Bến Lức, Long An, Việt NamCông ty TNHH MTV Dệt Công Nghệ Cao Yu Yuang Việt Nam"/>
    <s v="40Vsip, Vietnam Singapore Industrial Part, Street No 6, An Phú, Thuận An, Bình Dương, Việt NamMidea Consumer Electric (Viet Nam) Co., Ltd"/>
    <n v="1"/>
    <x v="1"/>
    <x v="9"/>
    <d v="1899-12-30T07:34:30"/>
    <x v="4"/>
  </r>
  <r>
    <s v="3558649849832501853"/>
    <s v=""/>
    <x v="6"/>
    <n v="0"/>
    <s v=""/>
    <s v="NULL"/>
    <x v="0"/>
    <s v="2026-08-10 07:20:37"/>
    <s v="2026-08-10 07:30:37"/>
    <s v="NULL"/>
    <s v="NULL"/>
    <s v="2026-08-10 09:31:06"/>
    <s v=""/>
    <s v="106.4951745"/>
    <s v="10.6017856"/>
    <s v="106.6019287"/>
    <s v="11.13104801"/>
    <n v="314820"/>
    <n v="0"/>
    <n v="314820"/>
    <s v="Cash"/>
    <s v="Lô F4,1, Lô F4,2 Đường Số 13, KCN Thuận Đạo mở rộng, Cần Đước, Long An, Việt NamCông ty TNHH Quick Pack Việt Nam"/>
    <s v="Đường D1, Mỹ Phước, Bến Cát, Bình Dương, Việt NamCông Ty Yazaki Eds Việt Nam Ltd"/>
    <n v="1"/>
    <x v="1"/>
    <x v="9"/>
    <d v="1899-12-30T07:20:37"/>
    <x v="406"/>
  </r>
  <r>
    <s v="3558649849849274584"/>
    <s v=""/>
    <x v="6"/>
    <n v="0"/>
    <s v=""/>
    <s v="NULL"/>
    <x v="0"/>
    <s v="2026-08-10 07:24:51"/>
    <s v="2026-08-10 07:34:51"/>
    <s v="NULL"/>
    <s v="NULL"/>
    <s v="2026-08-10 09:34:51"/>
    <s v=""/>
    <s v="106.4973945"/>
    <s v="10.6090006"/>
    <s v="106.8021378"/>
    <s v="10.8263158"/>
    <n v="284364"/>
    <n v="0"/>
    <n v="284364"/>
    <s v="Cash"/>
    <s v="CÔNG TY TNHH KUZCO VIỆT NAM, Long Cang, Tây Ninh, Việt NamCÔNG TY TNHH KUZCO VIỆT NAM"/>
    <s v="2,1 Đ. D2, Tăng Nhơn Phú B, Quận 9, Hồ Chí Minh, Việt NamCông Ty TNHH MTV Daeyoung Electronics Vina"/>
    <n v="1"/>
    <x v="1"/>
    <x v="9"/>
    <d v="1899-12-30T07:24:51"/>
    <x v="4"/>
  </r>
  <r>
    <s v="3558649849866047928"/>
    <s v=""/>
    <x v="6"/>
    <n v="1097438"/>
    <s v=""/>
    <s v="Motorcycle"/>
    <x v="2"/>
    <s v="2026-08-10 07:33:24"/>
    <s v="2026-08-10 07:43:24"/>
    <s v="2026-08-10 09:04:50"/>
    <s v="NULL"/>
    <s v=""/>
    <s v=""/>
    <s v="106.5144624"/>
    <s v="10.6231107"/>
    <s v="106.5814834"/>
    <s v="10.9037919"/>
    <n v="242892"/>
    <n v="188298"/>
    <n v="54594"/>
    <s v="Cash"/>
    <s v="Lô E3,E4, Đường số 06, KCN Phúc, Bến Lức, Long An, Việt NamCÔNG TY TNHH SẢN XUẤT NGŨ KIM HUNG HING HONG KONG (VIỆT NAM)"/>
    <s v="180/7B ấp Tân Thới 3, Tân Hiệp, Hóc Môn, Hồ Chí Minh, Việt NamThang Máng Cáp Bestray"/>
    <n v="1"/>
    <x v="1"/>
    <x v="9"/>
    <d v="1899-12-30T07:33:24"/>
    <x v="14"/>
  </r>
  <r>
    <s v="3558654844451643837"/>
    <s v=""/>
    <x v="6"/>
    <n v="0"/>
    <s v=""/>
    <s v="NULL"/>
    <x v="0"/>
    <s v="2026-08-10 07:27:07"/>
    <s v="2026-08-10 07:37:07"/>
    <s v="NULL"/>
    <s v="NULL"/>
    <s v="2026-08-10 09:37:07"/>
    <s v=""/>
    <s v="106.4963994"/>
    <s v="10.6121206"/>
    <s v="106.5814834"/>
    <s v="10.9037919"/>
    <n v="259632"/>
    <n v="0"/>
    <n v="259632"/>
    <s v="Cash"/>
    <s v="Việt Nam, Long An, Cần Đước, Long Định, ROAD 14 LOT D1Công Ty Seapac Việt Nam"/>
    <s v="180/7B ấp Tân Thới 3, Tân Hiệp, Hóc Môn, Hồ Chí Minh, Việt NamThang Máng Cáp Bestray"/>
    <n v="1"/>
    <x v="1"/>
    <x v="9"/>
    <d v="1899-12-30T07:27:07"/>
    <x v="4"/>
  </r>
  <r>
    <s v="3558654844485202471"/>
    <s v=""/>
    <x v="6"/>
    <n v="0"/>
    <s v=""/>
    <s v="NULL"/>
    <x v="0"/>
    <s v="2026-08-10 07:41:04"/>
    <s v="2026-08-10 07:51:04"/>
    <s v="NULL"/>
    <s v="NULL"/>
    <s v="2026-08-10 09:51:04"/>
    <s v=""/>
    <s v="106.5116794"/>
    <s v="10.6375636"/>
    <s v="106.7472637"/>
    <s v="10.7915587"/>
    <n v="192132"/>
    <n v="0"/>
    <n v="192132"/>
    <s v="Cash"/>
    <s v="Lô D1 29,30, Đường VL2/Ấp Voi Lá, KCN Vĩnh Lộc 2, Bến Lức, Long An, Việt NamCÔNG TY TNHH NIPPOVINA"/>
    <s v="326C Lương Định Của, An Phú, Thành phố Thủ Đức, Thành phố Hồ Chí Minh, Việt NamCÔNG TY TNHH NBH GROUP"/>
    <n v="1"/>
    <x v="1"/>
    <x v="9"/>
    <d v="1899-12-30T07:41:04"/>
    <x v="4"/>
  </r>
  <r>
    <s v="3558657311113433119"/>
    <s v=""/>
    <x v="6"/>
    <n v="0"/>
    <s v=""/>
    <s v="NULL"/>
    <x v="0"/>
    <s v="2026-08-10 07:28:15"/>
    <s v="2026-08-10 07:38:15"/>
    <s v="NULL"/>
    <s v="NULL"/>
    <s v="2026-08-10 09:38:15"/>
    <s v=""/>
    <s v="106.4989894"/>
    <s v="10.6101417"/>
    <s v="106.7858547"/>
    <s v="11.0982788"/>
    <n v="306828"/>
    <n v="0"/>
    <n v="306828"/>
    <s v="Cash"/>
    <s v="Long Định, Cần Đước, Long An, Việt NamOKIA OPTICAL VIETNAM"/>
    <s v="Phường Uyên Hưng, Thị Xã Tân Uyên, Bình Dương, Việt NamCông Ty Cổ Phần S Furniture"/>
    <n v="1"/>
    <x v="1"/>
    <x v="9"/>
    <d v="1899-12-30T07:28:15"/>
    <x v="4"/>
  </r>
  <r>
    <s v="3558657311113433177"/>
    <s v=""/>
    <x v="6"/>
    <n v="0"/>
    <s v=""/>
    <s v="NULL"/>
    <x v="0"/>
    <s v="2026-08-10 07:28:31"/>
    <s v="2026-08-10 07:38:31"/>
    <s v="NULL"/>
    <s v="NULL"/>
    <s v="2026-08-10 10:36:03"/>
    <s v=""/>
    <s v="106.4989894"/>
    <s v="10.6101417"/>
    <s v="106.7354427"/>
    <s v="10.9375918"/>
    <n v="228096"/>
    <n v="0"/>
    <n v="228096"/>
    <s v="Cash"/>
    <s v="Long Định, Cần Đước, Long An, Việt NamOKIA OPTICAL VIETNAM"/>
    <s v="40Vsip, Vietnam Singapore Industrial Part, Street No 6, An Phú, Thuận An, Bình Dương, Việt NamMidea Consumer Electric (Viet Nam) Co., Ltd"/>
    <n v="1"/>
    <x v="1"/>
    <x v="9"/>
    <d v="1899-12-30T07:28:31"/>
    <x v="407"/>
  </r>
  <r>
    <s v="3558657311113433929"/>
    <s v=""/>
    <x v="6"/>
    <n v="0"/>
    <s v=""/>
    <s v="NULL"/>
    <x v="0"/>
    <s v="2026-08-10 07:33:49"/>
    <s v="2026-08-10 07:43:49"/>
    <s v="NULL"/>
    <s v="NULL"/>
    <s v="2026-08-10 09:43:49"/>
    <s v=""/>
    <s v="106.5144624"/>
    <s v="10.6231107"/>
    <s v="106.6019287"/>
    <s v="11.13104801"/>
    <n v="295272"/>
    <n v="0"/>
    <n v="295272"/>
    <s v="Cash"/>
    <s v="Lô E3,E4, Đường số 06, KCN Phúc, Bến Lức, Long An, Việt NamCÔNG TY TNHH SẢN XUẤT NGŨ KIM HUNG HING HONG KONG (VIỆT NAM)"/>
    <s v="Đường D1, Mỹ Phước, Bến Cát, Bình Dương, Việt NamCông Ty Yazaki Eds Việt Nam Ltd"/>
    <n v="1"/>
    <x v="1"/>
    <x v="9"/>
    <d v="1899-12-30T07:33:49"/>
    <x v="4"/>
  </r>
  <r>
    <s v="3558657311130218710"/>
    <s v=""/>
    <x v="6"/>
    <n v="0"/>
    <s v=""/>
    <s v="NULL"/>
    <x v="0"/>
    <s v="2026-08-10 07:36:11"/>
    <s v="2026-08-10 07:46:10"/>
    <s v="NULL"/>
    <s v="NULL"/>
    <s v="2026-08-10 09:46:10"/>
    <s v=""/>
    <s v="106.5121575"/>
    <s v="10.6216357"/>
    <s v="106.8021378"/>
    <s v="10.8263158"/>
    <n v="192564"/>
    <n v="0"/>
    <n v="192564"/>
    <s v="Cash"/>
    <s v="CÔNG TY TNHH SUNRICH VIỆT NAM, Đường Số 1, kcn Phúc, Long Hiệp, Bến Lức, Long An, Việt NamCÔNG TY TNHH SUNRICH VIỆT NAM"/>
    <s v="2,1 Đ. D2, Tăng Nhơn Phú B, Quận 9, Hồ Chí Minh, Việt NamCông Ty TNHH MTV Daeyoung Electronics Vina"/>
    <n v="1"/>
    <x v="1"/>
    <x v="9"/>
    <d v="1899-12-30T07:36:11"/>
    <x v="9"/>
  </r>
  <r>
    <s v="3558657311130218957"/>
    <s v=""/>
    <x v="6"/>
    <n v="0"/>
    <s v=""/>
    <s v="NULL"/>
    <x v="0"/>
    <s v="2026-08-10 07:37:44"/>
    <s v="2026-08-10 07:47:44"/>
    <s v="NULL"/>
    <s v="NULL"/>
    <s v="2026-08-10 09:47:44"/>
    <s v=""/>
    <s v="106.5140175"/>
    <s v="10.6283877"/>
    <s v="106.7130717"/>
    <s v="10.8155619"/>
    <n v="201312"/>
    <n v="0"/>
    <n v="201312"/>
    <s v="Cash"/>
    <s v="Lô B10, KCN Phúc Long, Đ. Số 13, Long Hiệp, Bến Lức, Long An, Việt NamCông ty TNHH Việt Nông Long An"/>
    <s v="214 QL13, Phường 26, Bình Thạnh, Hồ Chí Minh, Việt NamCông Ty TNHH Việt Tân Phát"/>
    <n v="1"/>
    <x v="1"/>
    <x v="9"/>
    <d v="1899-12-30T07:37:44"/>
    <x v="4"/>
  </r>
  <r>
    <s v="3558658020554789204"/>
    <s v=""/>
    <x v="6"/>
    <n v="0"/>
    <s v=""/>
    <s v="NULL"/>
    <x v="0"/>
    <s v="2026-08-10 07:31:15"/>
    <s v="2026-08-10 07:41:15"/>
    <s v="NULL"/>
    <s v="NULL"/>
    <s v="2026-08-10 09:41:15"/>
    <s v=""/>
    <s v="106.4888607"/>
    <s v="10.6238328"/>
    <s v="106.645950950581"/>
    <s v="10.800682469083"/>
    <n v="166428"/>
    <n v="0"/>
    <n v="166428"/>
    <s v="Cash"/>
    <s v="VP-Hiệp hội doanh nghiệp tỉnh Long An, Đường số 1, KCN Thuận Đạo, Bến Lức, Tây Ninh, Việt NamVP-Hiệp hội doanh nghiệp tỉnh Long An"/>
    <s v="2/5b Bình Giã, Tân Bình, Hồ Chí Minh, VietnamCông Ty Tnhh Thương Mại &amp; Dịch Vụ"/>
    <n v="1"/>
    <x v="1"/>
    <x v="9"/>
    <d v="1899-12-30T07:31:15"/>
    <x v="4"/>
  </r>
  <r>
    <s v="3558658020571574713"/>
    <s v=""/>
    <x v="6"/>
    <n v="0"/>
    <s v=""/>
    <s v="NULL"/>
    <x v="0"/>
    <s v="2026-08-10 07:38:49"/>
    <s v="2026-08-10 07:48:49"/>
    <s v="NULL"/>
    <s v="NULL"/>
    <s v="2026-08-10 11:26:55"/>
    <s v=""/>
    <s v="106.5038994"/>
    <s v="10.6432606"/>
    <s v="106.6019287"/>
    <s v="11.13104801"/>
    <n v="296028"/>
    <n v="0"/>
    <n v="296028"/>
    <s v="Cash"/>
    <s v="Lô D3, 1, 4 Đường VL7, KCN Vĩnh Lộc 2 X, Bến Lức, Long An 77777, Việt NamCông Ty Cổ Phần Nosafood , Nhà máy Bến Lức"/>
    <s v="Đường D1, Mỹ Phước, Bến Cát, Bình Dương, Việt NamCông Ty Yazaki Eds Việt Nam Ltd"/>
    <n v="1"/>
    <x v="1"/>
    <x v="9"/>
    <d v="1899-12-30T07:38:49"/>
    <x v="408"/>
  </r>
  <r>
    <s v="3558658020571574758"/>
    <s v=""/>
    <x v="6"/>
    <n v="0"/>
    <s v=""/>
    <s v="NULL"/>
    <x v="0"/>
    <s v="2026-08-10 07:39:01"/>
    <s v="2026-08-10 07:49:01"/>
    <s v="NULL"/>
    <s v="NULL"/>
    <s v="2026-08-10 09:49:01"/>
    <s v=""/>
    <s v="106.5038994"/>
    <s v="10.6432606"/>
    <s v="106.7858547"/>
    <s v="11.0982788"/>
    <n v="300456"/>
    <n v="0"/>
    <n v="300456"/>
    <s v="Cash"/>
    <s v="Lô D3, 1, 4 Đường VL7, KCN Vĩnh Lộc 2 X, Bến Lức, Long An 77777, Việt NamCông Ty Cổ Phần Nosafood , Nhà máy Bến Lức"/>
    <s v="Phường Uyên Hưng, Thị Xã Tân Uyên, Bình Dương, Việt NamCông Ty Cổ Phần S Furniture"/>
    <n v="1"/>
    <x v="1"/>
    <x v="9"/>
    <d v="1899-12-30T07:39:01"/>
    <x v="4"/>
  </r>
  <r>
    <s v="3558658020571575161"/>
    <s v=""/>
    <x v="6"/>
    <n v="3553523"/>
    <s v=""/>
    <s v="Motorcycle"/>
    <x v="2"/>
    <s v="2026-08-10 07:41:32"/>
    <s v="2026-08-10 07:51:31"/>
    <s v="2026-08-10 09:53:23"/>
    <s v="NULL"/>
    <s v=""/>
    <s v=""/>
    <s v="106.5116794"/>
    <s v="10.6375636"/>
    <s v="106.5971334"/>
    <s v="10.8195378"/>
    <n v="157140"/>
    <n v="121820"/>
    <n v="35320"/>
    <s v="Cash"/>
    <s v="Lô D1 29,30, Đường VL2/Ấp Voi Lá, KCN Vĩnh Lộc 2, Bến Lức, Long An, Việt NamCÔNG TY TNHH NIPPOVINA"/>
    <s v="Đ. Số 4, khu công nghiệp vĩnh lộc, Bình Tân, Hồ Chí Minh 700000, Việt NamCông Ty TNHH Thang Máy Mitsu Nhật Bản"/>
    <n v="1"/>
    <x v="1"/>
    <x v="9"/>
    <d v="1899-12-30T07:41:32"/>
    <x v="14"/>
  </r>
  <r>
    <s v="3558658787709771926"/>
    <s v=""/>
    <x v="6"/>
    <n v="0"/>
    <s v=""/>
    <s v="NULL"/>
    <x v="0"/>
    <s v="2026-08-10 07:37:17"/>
    <s v="2026-08-10 07:47:17"/>
    <s v="NULL"/>
    <s v="NULL"/>
    <s v="2026-08-10 09:47:17"/>
    <s v=""/>
    <s v="106.5140175"/>
    <s v="10.6283877"/>
    <s v="106.645950950581"/>
    <s v="10.800682469083"/>
    <n v="163836"/>
    <n v="0"/>
    <n v="163836"/>
    <s v="Cash"/>
    <s v="Lô B10, KCN Phúc Long, Đ. Số 13, Long Hiệp, Bến Lức, Long An, Việt NamCông ty TNHH Việt Nông Long An"/>
    <s v="2/5b Bình Giã, Tân Bình, Hồ Chí Minh, VietnamCông Ty Tnhh Thương Mại &amp; Dịch Vụ"/>
    <n v="1"/>
    <x v="1"/>
    <x v="9"/>
    <d v="1899-12-30T07:37:17"/>
    <x v="4"/>
  </r>
  <r>
    <s v="3558658787726545562"/>
    <s v=""/>
    <x v="6"/>
    <n v="2852976"/>
    <s v=""/>
    <s v="Motorcycle"/>
    <x v="1"/>
    <s v="2026-08-10 07:46:12"/>
    <s v="2026-08-10 07:56:11"/>
    <s v="2026-08-10 08:24:00"/>
    <s v="NULL"/>
    <s v="2026-08-10 08:25:49"/>
    <s v=""/>
    <s v="106.5732964"/>
    <s v="10.6491237"/>
    <s v="106.6653277"/>
    <s v="10.9741618"/>
    <n v="200988"/>
    <n v="164978"/>
    <n v="36010"/>
    <s v="Cash"/>
    <s v="CÔNG TY TNHH SX,TM NHỰA CHỢ LỚN, tổ 9, Phước Lý, Hồ Chí Minh, Long An, Việt NamCÔNG TY TNHH SX,TM NHỰA CHỢ LỚN"/>
    <s v="158 Ngô Gia Tự, Chánh Nghĩa, Thủ Dầu Một, Bình Dương 820000, Việt NamCông ty cổ phần Uniland"/>
    <n v="1"/>
    <x v="1"/>
    <x v="9"/>
    <d v="1899-12-30T07:46:12"/>
    <x v="409"/>
  </r>
  <r>
    <s v="3558658787726545724"/>
    <s v=""/>
    <x v="5"/>
    <n v="0"/>
    <s v=""/>
    <s v="NULL"/>
    <x v="0"/>
    <s v="2026-08-10 07:47:07"/>
    <s v="2026-08-10 07:57:00"/>
    <s v="NULL"/>
    <s v="NULL"/>
    <s v="2026-08-10 09:57:00"/>
    <s v=""/>
    <s v="106.35887995362282"/>
    <s v="10.477977523993788"/>
    <s v="106.5066804"/>
    <s v="10.9583608"/>
    <n v="246348"/>
    <n v="0"/>
    <n v="246348"/>
    <s v="Cash"/>
    <s v="Việt Nam, Tien Giang, Châu Thành District, Tân Hương, IZLOT AIII,1 5 TAN HUONGYMUV CO., LTD"/>
    <s v="Chi Nhánh Củ Chi, Quốc lộ 22, Ấp Thượng, Tân Thông Hội, Củ Chi, Hồ Chí Minh, Việt NamCu Chi Branch"/>
    <n v="1"/>
    <x v="1"/>
    <x v="9"/>
    <d v="1899-12-30T07:47:07"/>
    <x v="410"/>
  </r>
  <r>
    <s v="3558659543833727245"/>
    <s v=""/>
    <x v="6"/>
    <n v="3746341"/>
    <s v=""/>
    <s v="Motorcycle"/>
    <x v="1"/>
    <s v="2026-08-10 07:45:46"/>
    <s v="2026-08-10 07:55:45"/>
    <s v="2026-08-10 07:58:01"/>
    <s v="NULL"/>
    <s v="2026-08-10 08:00:25"/>
    <s v=""/>
    <s v="106.5732964"/>
    <s v="10.6491237"/>
    <s v="106.7858547"/>
    <s v="11.0982788"/>
    <n v="270540"/>
    <n v="222068"/>
    <n v="48472"/>
    <s v="Cash"/>
    <s v="CÔNG TY TNHH SX,TM NHỰA CHỢ LỚN, tổ 9, Phước Lý, Hồ Chí Minh, Long An, Việt NamCÔNG TY TNHH SX,TM NHỰA CHỢ LỚN"/>
    <s v="Phường Uyên Hưng, Thị Xã Tân Uyên, Bình Dương, Việt NamCông Ty Cổ Phần S Furniture"/>
    <n v="1"/>
    <x v="1"/>
    <x v="9"/>
    <d v="1899-12-30T07:45:46"/>
    <x v="411"/>
  </r>
  <r>
    <s v="3558659543833727573"/>
    <s v=""/>
    <x v="6"/>
    <n v="0"/>
    <s v=""/>
    <s v="NULL"/>
    <x v="0"/>
    <s v="2026-08-10 07:47:33"/>
    <s v="2026-08-10 07:57:33"/>
    <s v="NULL"/>
    <s v="NULL"/>
    <s v="2026-08-10 09:57:33"/>
    <s v=""/>
    <s v="106.5576111"/>
    <s v="10.6433611"/>
    <s v="106.7472637"/>
    <s v="10.7915587"/>
    <n v="167940"/>
    <n v="0"/>
    <n v="167940"/>
    <s v="Cash"/>
    <s v="Công ty TNHH Manly, Đường tỉnh 835B, Ấp Phú Ân, Phước Lý, Tây Ninh, Việt NamCông ty TNHH Manly"/>
    <s v="326C Lương Định Của, An Phú, Thành phố Thủ Đức, Thành phố Hồ Chí Minh, Việt NamCÔNG TY TNHH NBH GROUP"/>
    <n v="1"/>
    <x v="1"/>
    <x v="9"/>
    <d v="1899-12-30T07:47:33"/>
    <x v="4"/>
  </r>
  <r>
    <s v="3558659667213382626"/>
    <s v=""/>
    <x v="5"/>
    <n v="0"/>
    <s v=""/>
    <s v="NULL"/>
    <x v="0"/>
    <s v="2026-08-10 07:44:05"/>
    <s v="2026-08-10 07:54:00"/>
    <s v="NULL"/>
    <s v="NULL"/>
    <s v="2026-08-10 09:54:00"/>
    <s v=""/>
    <s v="106.30548421293497"/>
    <s v="10.45838930901879"/>
    <s v="106.6263687"/>
    <s v="11.0899988"/>
    <n v="425088"/>
    <n v="0"/>
    <n v="425088"/>
    <s v="Cash"/>
    <s v="CÔNG TY TNHH BESTWAY, Khu Công Nghiệp, Tân Lập 1, Tân Phước, Tiền Giang, Việt NamCÔNG TY TNHH BESTWAY"/>
    <s v="Bến cát Bình Dương, Quốc lộ 13, Thới Hòa, Bến Cát, Bình Dương, Việt NamBến cát Bình Dương"/>
    <n v="1"/>
    <x v="1"/>
    <x v="9"/>
    <d v="1899-12-30T07:44:05"/>
    <x v="412"/>
  </r>
  <r>
    <s v="3558659760737973062"/>
    <s v=""/>
    <x v="6"/>
    <n v="0"/>
    <s v=""/>
    <s v="NULL"/>
    <x v="0"/>
    <s v="2026-08-10 07:37:03"/>
    <s v="2026-08-10 07:47:03"/>
    <s v="NULL"/>
    <s v="NULL"/>
    <s v="2026-08-10 09:47:03"/>
    <s v=""/>
    <s v="106.5140175"/>
    <s v="10.6283877"/>
    <s v="106.7472637"/>
    <s v="10.7915587"/>
    <n v="191592"/>
    <n v="0"/>
    <n v="191592"/>
    <s v="Cash"/>
    <s v="Lô B10, KCN Phúc Long, Đ. Số 13, Long Hiệp, Bến Lức, Long An, Việt NamCông ty TNHH Việt Nông Long An"/>
    <s v="326C Lương Định Của, An Phú, Thành phố Thủ Đức, Thành phố Hồ Chí Minh, Việt NamCÔNG TY TNHH NBH GROUP"/>
    <n v="1"/>
    <x v="1"/>
    <x v="9"/>
    <d v="1899-12-30T07:37:03"/>
    <x v="4"/>
  </r>
  <r>
    <s v="3558659760737973130"/>
    <s v=""/>
    <x v="6"/>
    <n v="0"/>
    <s v=""/>
    <s v="NULL"/>
    <x v="0"/>
    <s v="2026-08-10 07:37:31"/>
    <s v="2026-08-10 07:47:31"/>
    <s v="NULL"/>
    <s v="NULL"/>
    <s v="2026-08-10 09:47:31"/>
    <s v=""/>
    <s v="106.5140175"/>
    <s v="10.6283877"/>
    <s v="106.5971334"/>
    <s v="10.8195378"/>
    <n v="166860"/>
    <n v="0"/>
    <n v="166860"/>
    <s v="Cash"/>
    <s v="Lô B10, KCN Phúc Long, Đ. Số 13, Long Hiệp, Bến Lức, Long An, Việt NamCông ty TNHH Việt Nông Long An"/>
    <s v="Đ. Số 4, khu công nghiệp vĩnh lộc, Bình Tân, Hồ Chí Minh 700000, Việt NamCông Ty TNHH Thang Máy Mitsu Nhật Bản"/>
    <n v="1"/>
    <x v="1"/>
    <x v="9"/>
    <d v="1899-12-30T07:37:31"/>
    <x v="4"/>
  </r>
  <r>
    <s v="3558659760746356931"/>
    <s v=""/>
    <x v="6"/>
    <n v="4511101"/>
    <s v=""/>
    <s v="Motorcycle"/>
    <x v="2"/>
    <s v="2026-08-10 07:39:40"/>
    <s v="2026-08-10 07:49:40"/>
    <s v="2026-08-10 10:14:02"/>
    <s v="NULL"/>
    <s v=""/>
    <s v=""/>
    <s v="106.5083764"/>
    <s v="10.6428357"/>
    <s v="106.6653277"/>
    <s v="10.9741618"/>
    <n v="217728"/>
    <n v="168790"/>
    <n v="48938"/>
    <s v="Cash"/>
    <s v="CÔNG TY TNHH BIBICA MIỀN TÂY, 9 VL3, KCN Vĩnh Lộc 2, Long Hiệp, Bến Lức, Long An, Việt NamCÔNG TY TNHH BIBICA MIỀN TÂY"/>
    <s v="158 Ngô Gia Tự, Chánh Nghĩa, Thủ Dầu Một, Bình Dương 820000, Việt NamCông ty cổ phần Uniland"/>
    <n v="1"/>
    <x v="1"/>
    <x v="9"/>
    <d v="1899-12-30T07:39:40"/>
    <x v="14"/>
  </r>
  <r>
    <s v="3558659760763130238"/>
    <s v=""/>
    <x v="6"/>
    <n v="4767625"/>
    <s v=""/>
    <s v="Motorcycle"/>
    <x v="4"/>
    <s v="2026-08-10 07:46:24"/>
    <s v="2026-08-10 07:56:24"/>
    <s v="2026-08-10 07:50:55"/>
    <s v="NULL"/>
    <s v="2026-08-20 07:57:24"/>
    <s v=""/>
    <s v="106.5732964"/>
    <s v="10.6491237"/>
    <s v="106.7463687"/>
    <s v="10.8958149"/>
    <n v="166752"/>
    <n v="129271"/>
    <n v="37481"/>
    <s v="Cash"/>
    <s v="CÔNG TY TNHH SX,TM NHỰA CHỢ LỚN, tổ 9, Phước Lý, Hồ Chí Minh, Long An, Việt NamCÔNG TY TNHH SX,TM NHỰA CHỢ LỚN"/>
    <s v="7A, Khu Công nghiệp sóng thần, 2 Thống Nhất, Quận, Dĩ An, Bình Dương, Việt NamCông Ty TNHH Eins Vina Co., Ltd"/>
    <n v="1"/>
    <x v="1"/>
    <x v="9"/>
    <d v="1899-12-30T07:46:24"/>
    <x v="17"/>
  </r>
  <r>
    <s v="3558661427042668667"/>
    <s v=""/>
    <x v="6"/>
    <n v="0"/>
    <s v=""/>
    <s v="NULL"/>
    <x v="0"/>
    <s v="2026-08-10 07:42:00"/>
    <s v="2026-08-10 07:51:59"/>
    <s v="NULL"/>
    <s v="NULL"/>
    <s v="2026-08-10 09:51:59"/>
    <s v=""/>
    <s v="106.5160984"/>
    <s v="10.6456516"/>
    <s v="106.7130717"/>
    <s v="10.8155619"/>
    <n v="190620"/>
    <n v="0"/>
    <n v="190620"/>
    <s v="Cash"/>
    <s v="Lô B2/1, 6 Đường VL1, KCN Vĩnh Lộc 2, Bến Lức, Long An, Việt NamCông ty Cổ Phần In DICA"/>
    <s v="214 QL13, Phường 26, Bình Thạnh, Hồ Chí Minh, Việt NamCông Ty TNHH Việt Tân Phát"/>
    <n v="1"/>
    <x v="1"/>
    <x v="9"/>
    <d v="1899-12-30T07:42:00"/>
    <x v="9"/>
  </r>
  <r>
    <s v="3558661427059454197"/>
    <s v=""/>
    <x v="6"/>
    <n v="0"/>
    <s v=""/>
    <s v="NULL"/>
    <x v="0"/>
    <s v="2026-08-10 07:48:09"/>
    <s v="2026-08-10 07:58:08"/>
    <s v="NULL"/>
    <s v="NULL"/>
    <s v="2026-08-10 11:24:16"/>
    <s v=""/>
    <s v="106.55203210524901"/>
    <s v="10.648506653304972"/>
    <s v="106.5971334"/>
    <s v="10.8195378"/>
    <n v="132516"/>
    <n v="0"/>
    <n v="132516"/>
    <s v="Cash"/>
    <s v="JHX2+9WF, Phước Lý, Tây Ninh, Việt NamJHX2+9WF, Phước Lý, Tây Ninh, Việt Nam"/>
    <s v="Đ. Số 4, khu công nghiệp vĩnh lộc, Bình Tân, Hồ Chí Minh 700000, Việt NamCông Ty TNHH Thang Máy Mitsu Nhật Bản"/>
    <n v="1"/>
    <x v="1"/>
    <x v="9"/>
    <d v="1899-12-30T07:48:09"/>
    <x v="413"/>
  </r>
  <r>
    <s v="3558661427059454554"/>
    <s v=""/>
    <x v="6"/>
    <n v="4020532"/>
    <s v=""/>
    <s v="Motorcycle"/>
    <x v="2"/>
    <s v="2026-08-10 07:50:17"/>
    <s v="2026-08-10 08:00:17"/>
    <s v="2026-08-10 10:13:16"/>
    <s v="NULL"/>
    <s v=""/>
    <s v=""/>
    <s v="106.55306207351073"/>
    <s v="10.647241361366067"/>
    <s v="106.6407927"/>
    <s v="10.7472177"/>
    <n v="131328"/>
    <n v="101810"/>
    <n v="29518"/>
    <s v="Cash"/>
    <s v="JHX2+9WF, Phước Lý, Tây Ninh, Việt NamJHX2+9WF, Phước Lý, Tây Ninh, Việt Nam"/>
    <s v="221/2h Đ. Phan Văn Khỏe, Phường 2, Quận 6, Hồ Chí Minh, Việt NamQuận 6"/>
    <n v="1"/>
    <x v="1"/>
    <x v="9"/>
    <d v="1899-12-30T07:50:17"/>
    <x v="14"/>
  </r>
  <r>
    <s v="3558661427059454800"/>
    <s v=""/>
    <x v="6"/>
    <n v="4756358"/>
    <s v=""/>
    <s v="Motorcycle"/>
    <x v="2"/>
    <s v="2026-08-10 07:51:31"/>
    <s v="2026-08-10 08:01:30"/>
    <s v="2026-08-10 09:16:32"/>
    <s v="NULL"/>
    <s v=""/>
    <s v=""/>
    <s v="106.55306207351073"/>
    <s v="10.647241361366067"/>
    <s v="105.18873201"/>
    <s v="9.1737281"/>
    <n v="1603584"/>
    <n v="1243149"/>
    <n v="360435"/>
    <s v="Cash"/>
    <s v="JHX2+9WF, Phước Lý, Tây Ninh, Việt NamJHX2+9WF, Phước Lý, Tây Ninh, Việt Nam"/>
    <s v="Phường 6, Cà Mau, Việt NamCà mau"/>
    <n v="1"/>
    <x v="1"/>
    <x v="9"/>
    <d v="1899-12-30T07:51:31"/>
    <x v="14"/>
  </r>
  <r>
    <s v="3558662565661995295"/>
    <s v=""/>
    <x v="6"/>
    <n v="0"/>
    <s v=""/>
    <s v="NULL"/>
    <x v="0"/>
    <s v="2026-08-10 07:38:36"/>
    <s v="2026-08-10 07:48:36"/>
    <s v="NULL"/>
    <s v="NULL"/>
    <s v="2026-08-10 09:48:36"/>
    <s v=""/>
    <s v="106.5038994"/>
    <s v="10.6432606"/>
    <s v="106.6221196"/>
    <s v="10.8241378"/>
    <n v="175608"/>
    <n v="0"/>
    <n v="175608"/>
    <s v="Cash"/>
    <s v="Lô D3, 1, 4 Đường VL7, KCN Vĩnh Lộc 2 X, Bến Lức, Long An 77777, Việt NamCông Ty Cổ Phần Nosafood , Nhà máy Bến Lức"/>
    <s v="26b Tân Thới Nhất 17, Tân Thới Nhất, Quận 12, Hồ Chí Minh 700000, Việt NamCông ty TNHH TM DV Trí Lực Việt"/>
    <n v="1"/>
    <x v="1"/>
    <x v="9"/>
    <d v="1899-12-30T07:38:36"/>
    <x v="4"/>
  </r>
  <r>
    <s v="3558662565661995405"/>
    <s v=""/>
    <x v="6"/>
    <n v="0"/>
    <s v=""/>
    <s v="NULL"/>
    <x v="0"/>
    <s v="2026-08-10 07:39:14"/>
    <s v="2026-08-10 07:49:14"/>
    <s v="NULL"/>
    <s v="NULL"/>
    <s v="2026-08-10 09:49:14"/>
    <s v=""/>
    <s v="106.5038994"/>
    <s v="10.6432606"/>
    <s v="106.7354427"/>
    <s v="10.9375918"/>
    <n v="224964"/>
    <n v="0"/>
    <n v="224964"/>
    <s v="Cash"/>
    <s v="Lô D3, 1, 4 Đường VL7, KCN Vĩnh Lộc 2 X, Bến Lức, Long An 77777, Việt NamCông Ty Cổ Phần Nosafood , Nhà máy Bến Lức"/>
    <s v="40Vsip, Vietnam Singapore Industrial Part, Street No 6, An Phú, Thuận An, Bình Dương, Việt NamMidea Consumer Electric (Viet Nam) Co., Ltd"/>
    <n v="1"/>
    <x v="1"/>
    <x v="9"/>
    <d v="1899-12-30T07:39:14"/>
    <x v="4"/>
  </r>
  <r>
    <s v="3558662565695541337"/>
    <s v=""/>
    <x v="6"/>
    <n v="4580625"/>
    <s v=""/>
    <s v="Motorcycle"/>
    <x v="3"/>
    <s v="2026-08-10 07:49:27"/>
    <s v="2026-08-10 07:59:27"/>
    <s v="2026-08-10 09:07:21"/>
    <s v="NULL"/>
    <s v=""/>
    <s v="2026-08-20 08:00:01"/>
    <s v="106.54825555495604"/>
    <s v="10.643529808042967"/>
    <s v="106.7012236"/>
    <s v="10.7578147"/>
    <n v="130356"/>
    <n v="101056"/>
    <n v="29300"/>
    <s v="Cash"/>
    <s v="JGVX+C8 Phước Lý, Tây Ninh, Việt NamJGVX+C8 Phước Lý, Tây Ninh, Việt Nam"/>
    <s v="Phường 3, Quận 4, Hồ Chí Minh, Việt NamQuận 4"/>
    <n v="1"/>
    <x v="1"/>
    <x v="9"/>
    <d v="1899-12-30T07:49:27"/>
    <x v="414"/>
  </r>
  <r>
    <s v="3558662565695541797"/>
    <s v=""/>
    <x v="5"/>
    <n v="4411069"/>
    <s v=""/>
    <s v="Motorcycle"/>
    <x v="1"/>
    <s v="2026-08-10 07:52:03"/>
    <s v="2026-08-10 08:02:00"/>
    <s v="2026-08-10 08:16:59"/>
    <s v="NULL"/>
    <s v="2026-08-10 08:17:57"/>
    <s v=""/>
    <s v="106.31937872618437"/>
    <s v="10.471375174694563"/>
    <s v="106.76236800849438"/>
    <s v="10.83183367574605"/>
    <n v="379296"/>
    <n v="294042"/>
    <n v="85254"/>
    <s v="Cash"/>
    <s v="Xã Tân Lập 1, Huyện Tân Phước, Tiền Giang, Việt NamCông Ty TNHH Công Nghiệp Đồng Jintian Việt Nam"/>
    <s v="7 Đ. Nguyễn Văn Bá, Phước Long A, Thủ Đức, Hồ Chí Minh, Việt Nam7 Đường Nguyễn Văn Bá"/>
    <n v="1"/>
    <x v="1"/>
    <x v="9"/>
    <d v="1899-12-30T07:52:03"/>
    <x v="415"/>
  </r>
  <r>
    <s v="3558666359678399441"/>
    <s v=""/>
    <x v="6"/>
    <n v="466809"/>
    <s v=""/>
    <s v="Motorcycle"/>
    <x v="2"/>
    <s v="2026-08-10 07:59:20"/>
    <s v="2026-08-10 08:09:20"/>
    <s v="2026-08-10 10:29:15"/>
    <s v="NULL"/>
    <s v=""/>
    <s v=""/>
    <s v="106.5116794"/>
    <s v="10.6375636"/>
    <s v="106.7371867"/>
    <s v="10.7944087"/>
    <n v="196020"/>
    <n v="151961"/>
    <n v="44059"/>
    <s v="Cash"/>
    <s v="Lô D1 29,30, Đường VL2/Ấp Voi Lá, KCN Vĩnh Lộc 2, Bến Lức, Long An, Việt NamCÔNG TY TNHH NIPPOVINA"/>
    <s v="Chung cư Bộ Công An, Đ. Số 3, Phường An Khánh, Thủ Đức, Hồ Chí Minh, Việt Namquận 2"/>
    <n v="1"/>
    <x v="1"/>
    <x v="9"/>
    <d v="1899-12-30T07:59:20"/>
    <x v="14"/>
  </r>
  <r>
    <s v="3558668081767338383"/>
    <s v=""/>
    <x v="6"/>
    <n v="0"/>
    <s v=""/>
    <s v="NULL"/>
    <x v="0"/>
    <s v="2026-08-10 07:48:54"/>
    <s v="2026-08-10 07:58:54"/>
    <s v="NULL"/>
    <s v="NULL"/>
    <s v="2026-08-10 09:58:54"/>
    <s v=""/>
    <s v="106.54825555495604"/>
    <s v="10.643529808042967"/>
    <s v="106.6990417"/>
    <s v="10.7791767"/>
    <n v="149472"/>
    <n v="0"/>
    <n v="149472"/>
    <s v="Cash"/>
    <s v="JGVX+C8 Phước Lý, Tây Ninh, Việt NamJGVX+C8 Phước Lý, Tây Ninh, Việt Nam"/>
    <s v="Nhà Thờ Đức Bà , 1 Công Xã Paris, Số 01 Tp.HCM, Công trường Công xã Paris, Quận 1, Hồ Chí Minh, Việt NamNhà Thờ Đức Bà , 1 Công Xã Paris, Số 01 Tp.HCM, Công trường Công xã Paris, Quận 1, Hồ Chí Minh, Việt Nam"/>
    <n v="1"/>
    <x v="1"/>
    <x v="9"/>
    <d v="1899-12-30T07:48:54"/>
    <x v="4"/>
  </r>
  <r>
    <s v="3558668081767338816"/>
    <s v=""/>
    <x v="5"/>
    <n v="4468555"/>
    <s v=""/>
    <s v="Motorcycle"/>
    <x v="2"/>
    <s v="2026-08-10 07:51:26"/>
    <s v="2026-08-10 08:01:00"/>
    <s v="2026-08-10 09:29:48"/>
    <s v="NULL"/>
    <s v=""/>
    <s v=""/>
    <s v="106.30639582872391"/>
    <s v="10.475115841878175"/>
    <s v="106.7307616"/>
    <s v="10.7936217"/>
    <n v="351648"/>
    <n v="272609"/>
    <n v="79039"/>
    <s v="Cash"/>
    <s v="Lô 55 , 55B, KCN Long Giang, Tân Lập 1, Tân Phước, Tiền Giang, Việt NamCông Ty Nissei Tiền Giang"/>
    <s v="Quận 2, An Khánh, Thủ Đức, Hồ Chí Minh, Việt NamQuận 2"/>
    <n v="1"/>
    <x v="1"/>
    <x v="9"/>
    <d v="1899-12-30T07:51:26"/>
    <x v="14"/>
  </r>
  <r>
    <s v="3558669054149620102"/>
    <s v=""/>
    <x v="6"/>
    <n v="1153586"/>
    <s v=""/>
    <s v="Motorcycle"/>
    <x v="2"/>
    <s v="2026-08-10 07:50:35"/>
    <s v="2026-08-10 08:00:35"/>
    <s v="2026-08-10 08:58:52"/>
    <s v="NULL"/>
    <s v=""/>
    <s v=""/>
    <s v="106.55306207351073"/>
    <s v="10.647241361366067"/>
    <s v="106.7076046"/>
    <s v="10.7296276"/>
    <n v="151308"/>
    <n v="117299"/>
    <n v="34009"/>
    <s v="Cash"/>
    <s v="JHX2+9WF, Phước Lý, Tây Ninh, Việt NamJHX2+9WF, Phước Lý, Tây Ninh, Việt Nam"/>
    <s v="Hưng Phước 4, Tân Phong, Quận 7, Hồ Chí Minh, Việt Namquận 7"/>
    <n v="1"/>
    <x v="1"/>
    <x v="9"/>
    <d v="1899-12-30T07:50:35"/>
    <x v="14"/>
  </r>
  <r>
    <s v="3558669054191555288"/>
    <s v=""/>
    <x v="6"/>
    <n v="0"/>
    <s v=""/>
    <s v="NULL"/>
    <x v="0"/>
    <s v="2026-08-10 08:02:09"/>
    <s v="2026-08-10 08:12:09"/>
    <s v="NULL"/>
    <s v="NULL"/>
    <s v="2026-08-10 10:12:09"/>
    <s v=""/>
    <s v="106.5116794"/>
    <s v="10.6375636"/>
    <s v="106.6727737"/>
    <s v="10.7605707"/>
    <n v="162972"/>
    <n v="0"/>
    <n v="162972"/>
    <s v="Cash"/>
    <s v="Lô D1 29,30, Đường VL2/Ấp Voi Lá, KCN Vĩnh Lộc 2, Bến Lức, Long An, Việt NamCÔNG TY TNHH NIPPOVINA"/>
    <s v="13 Đ. Nguyễn Chí Thanh, Phường 9, Quận 10, Hồ Chí Minh, Việt NamQuận 10"/>
    <n v="1"/>
    <x v="1"/>
    <x v="9"/>
    <d v="1899-12-30T08:02:09"/>
    <x v="4"/>
  </r>
  <r>
    <s v="3558669054191555369"/>
    <s v=""/>
    <x v="6"/>
    <n v="0"/>
    <s v=""/>
    <s v="NULL"/>
    <x v="0"/>
    <s v="2026-08-10 08:02:27"/>
    <s v="2026-08-10 08:12:27"/>
    <s v="NULL"/>
    <s v="NULL"/>
    <s v="2026-08-10 10:12:27"/>
    <s v=""/>
    <s v="106.5116794"/>
    <s v="10.6375636"/>
    <s v="106.6482406"/>
    <s v="10.7589787"/>
    <n v="155628"/>
    <n v="0"/>
    <n v="155628"/>
    <s v="Cash"/>
    <s v="Lô D1 29,30, Đường VL2/Ấp Voi Lá, KCN Vĩnh Lộc 2, Bến Lức, Long An, Việt NamCÔNG TY TNHH NIPPOVINA"/>
    <s v="76/7 Đ. Xóm Đất, Phường 8, Quận 11, Hồ Chí Minh, Việt NamQuận 11"/>
    <n v="1"/>
    <x v="1"/>
    <x v="9"/>
    <d v="1899-12-30T08:02:27"/>
    <x v="4"/>
  </r>
  <r>
    <s v="3558669811741581590"/>
    <s v=""/>
    <x v="6"/>
    <n v="0"/>
    <s v=""/>
    <s v="NULL"/>
    <x v="0"/>
    <s v="2026-08-10 08:00:44"/>
    <s v="2026-08-10 08:10:44"/>
    <s v="NULL"/>
    <s v="NULL"/>
    <s v="2026-08-10 10:10:44"/>
    <s v=""/>
    <s v="106.5116794"/>
    <s v="10.6375636"/>
    <s v="106.6407927"/>
    <s v="10.7472177"/>
    <n v="148284"/>
    <n v="0"/>
    <n v="148284"/>
    <s v="Cash"/>
    <s v="Lô D1 29,30, Đường VL2/Ấp Voi Lá, KCN Vĩnh Lộc 2, Bến Lức, Long An, Việt NamCÔNG TY TNHH NIPPOVINA"/>
    <s v="221/2h Đ. Phan Văn Khỏe, Phường 2, Quận 6, Hồ Chí Minh, Việt NamQuận 6"/>
    <n v="1"/>
    <x v="1"/>
    <x v="9"/>
    <d v="1899-12-30T08:00:44"/>
    <x v="4"/>
  </r>
  <r>
    <s v="3558669874630976424"/>
    <s v=""/>
    <x v="5"/>
    <n v="4629889"/>
    <s v="4 thùng son 25K 1thung"/>
    <s v="Motorcycle"/>
    <x v="1"/>
    <s v="2026-08-10 07:59:30"/>
    <s v="2026-08-10 08:09:00"/>
    <s v="2026-08-10 08:03:18"/>
    <s v="NULL"/>
    <s v="2026-08-10 08:26:45"/>
    <s v=""/>
    <s v="106.40294261276722"/>
    <s v="10.521574021738363"/>
    <s v="106.69310566037893"/>
    <s v="10.870300650302369"/>
    <n v="414936"/>
    <n v="321671"/>
    <n v="93265"/>
    <s v="Cash"/>
    <s v="Đường Nguyễn Cửu Vân 141E, 82114 Tân An, Việt NamCông Ty TNHH Xây Dựng Trần House"/>
    <s v="219 Đường Thạnh Lộc 15, Thạnh Lộc, Quận 12, Hồ Chí Minh, Việt Nam219 Đường Thạnh Lộc 15"/>
    <n v="1"/>
    <x v="1"/>
    <x v="9"/>
    <d v="1899-12-30T07:59:30"/>
    <x v="416"/>
  </r>
  <r>
    <s v="3558671157702123570"/>
    <s v=""/>
    <x v="6"/>
    <n v="0"/>
    <s v=""/>
    <s v="NULL"/>
    <x v="0"/>
    <s v="2026-08-10 07:52:50"/>
    <s v="2026-08-10 08:02:50"/>
    <s v="NULL"/>
    <s v="NULL"/>
    <s v="2026-08-10 10:02:50"/>
    <s v=""/>
    <s v="106.51478158645018"/>
    <s v="10.615185548326668"/>
    <s v="109.0929538"/>
    <s v="12.2098472"/>
    <n v="2349324"/>
    <n v="0"/>
    <n v="2349324"/>
    <s v="Cash"/>
    <s v="JG87+3W Long Cang, Long An, Việt NamJG87+3W Long Cang, Long An, Việt Nam"/>
    <s v="Khánh Hòa, Việt NamKhánh Hòa"/>
    <n v="1"/>
    <x v="1"/>
    <x v="9"/>
    <d v="1899-12-30T07:52:50"/>
    <x v="4"/>
  </r>
  <r>
    <s v="3558675157533020498"/>
    <s v=""/>
    <x v="6"/>
    <n v="0"/>
    <s v=""/>
    <s v="NULL"/>
    <x v="0"/>
    <s v="2026-08-10 08:05:19"/>
    <s v="2026-08-10 08:15:19"/>
    <s v="NULL"/>
    <s v="NULL"/>
    <s v="2026-08-10 10:15:19"/>
    <s v=""/>
    <s v="106.4965855"/>
    <s v="10.6040496"/>
    <s v="106.6745926"/>
    <s v="10.7505457"/>
    <n v="180252"/>
    <n v="0"/>
    <n v="180252"/>
    <s v="Cash"/>
    <s v="JF3W+JJ Long Cang, Long An, Việt NamJF3W+JJ Long Cang, Long An, Việt Nam"/>
    <s v="65/80 Trần Tuấn Khải, An Đông, Hồ Chí Minh, Việt NamQuận 5"/>
    <n v="1"/>
    <x v="1"/>
    <x v="9"/>
    <d v="1899-12-30T08:05:19"/>
    <x v="4"/>
  </r>
  <r>
    <s v="3558675157533020570"/>
    <s v=""/>
    <x v="6"/>
    <n v="0"/>
    <s v=""/>
    <s v="NULL"/>
    <x v="0"/>
    <s v="2026-08-10 08:05:41"/>
    <s v="2026-08-10 08:15:41"/>
    <s v="NULL"/>
    <s v="NULL"/>
    <s v="2026-08-10 10:15:41"/>
    <s v=""/>
    <s v="106.4965855"/>
    <s v="10.6040496"/>
    <s v="106.6407927"/>
    <s v="10.7472177"/>
    <n v="166644"/>
    <n v="0"/>
    <n v="166644"/>
    <s v="Cash"/>
    <s v="JF3W+JJ Long Cang, Long An, Việt NamJF3W+JJ Long Cang, Long An, Việt Nam"/>
    <s v="221/2h Đ. Phan Văn Khỏe, Phường 2, Quận 6, Hồ Chí Minh, Việt NamQuận 6"/>
    <n v="1"/>
    <x v="1"/>
    <x v="9"/>
    <d v="1899-12-30T08:05:41"/>
    <x v="4"/>
  </r>
  <r>
    <s v="3558675157533020678"/>
    <s v=""/>
    <x v="6"/>
    <n v="0"/>
    <s v=""/>
    <s v="NULL"/>
    <x v="0"/>
    <s v="2026-08-10 08:06:04"/>
    <s v="2026-08-10 08:16:04"/>
    <s v="NULL"/>
    <s v="NULL"/>
    <s v="2026-08-10 10:16:04"/>
    <s v=""/>
    <s v="106.4965855"/>
    <s v="10.6040496"/>
    <s v="106.7076046"/>
    <s v="10.7296276"/>
    <n v="184680"/>
    <n v="0"/>
    <n v="184680"/>
    <s v="Cash"/>
    <s v="JF3W+JJ Long Cang, Long An, Việt NamJF3W+JJ Long Cang, Long An, Việt Nam"/>
    <s v="Hưng Phước 4, Tân Phong, Quận 7, Hồ Chí Minh, Việt Namquận 7"/>
    <n v="1"/>
    <x v="1"/>
    <x v="9"/>
    <d v="1899-12-30T08:06:04"/>
    <x v="4"/>
  </r>
  <r>
    <s v="3558675157533021118"/>
    <s v=""/>
    <x v="6"/>
    <n v="4135833"/>
    <s v=""/>
    <s v="Motorcycle"/>
    <x v="2"/>
    <s v="2026-08-10 08:07:56"/>
    <s v="2026-08-10 08:17:56"/>
    <s v="2026-08-10 11:32:34"/>
    <s v="NULL"/>
    <s v=""/>
    <s v=""/>
    <s v="106.4965855"/>
    <s v="10.6040496"/>
    <s v="106.6745986"/>
    <s v="10.8650298"/>
    <n v="244620"/>
    <n v="189637"/>
    <n v="54983"/>
    <s v="Cash"/>
    <s v="JF3W+JJ Long Cang, Long An, Việt NamJF3W+JJ Long Cang, Long An, Việt Nam"/>
    <s v="Quận 12, Thới An, Thành phố Hồ Chí Minh, Hồ Chí Minh, Việt NamQuận 12"/>
    <n v="1"/>
    <x v="1"/>
    <x v="9"/>
    <d v="1899-12-30T08:07:56"/>
    <x v="14"/>
  </r>
  <r>
    <s v="3558675157549806504"/>
    <s v=""/>
    <x v="6"/>
    <n v="0"/>
    <s v=""/>
    <s v="NULL"/>
    <x v="0"/>
    <s v="2026-08-10 08:11:20"/>
    <s v="2026-08-10 08:21:20"/>
    <s v="NULL"/>
    <s v="NULL"/>
    <s v="2026-08-10 10:21:20"/>
    <s v=""/>
    <s v="106.5124083"/>
    <s v="10.6413532"/>
    <s v="106.6407927"/>
    <s v="10.7472177"/>
    <n v="148284"/>
    <n v="0"/>
    <n v="148284"/>
    <s v="Cash"/>
    <s v="JGR6+GXV, Mỹ Yên, Tây Ninh, Việt NamJGR6+GXV, Mỹ Yên, Tây Ninh, Việt Nam"/>
    <s v="221/2h Đ. Phan Văn Khỏe, Phường 2, Quận 6, Hồ Chí Minh, Việt NamQuận 6"/>
    <n v="1"/>
    <x v="1"/>
    <x v="9"/>
    <d v="1899-12-30T08:11:20"/>
    <x v="4"/>
  </r>
  <r>
    <s v="3558676592496698151"/>
    <s v=""/>
    <x v="6"/>
    <n v="0"/>
    <s v=""/>
    <s v="NULL"/>
    <x v="0"/>
    <s v="2026-08-10 08:12:43"/>
    <s v="2026-08-10 08:22:43"/>
    <s v="NULL"/>
    <s v="NULL"/>
    <s v="2026-08-10 10:22:43"/>
    <s v=""/>
    <s v="106.5124083"/>
    <s v="10.6413532"/>
    <s v="106.6727737"/>
    <s v="10.7605707"/>
    <n v="162972"/>
    <n v="0"/>
    <n v="162972"/>
    <s v="Cash"/>
    <s v="JGR6+GXV, Mỹ Yên, Tây Ninh, Việt NamJGR6+GXV, Mỹ Yên, Tây Ninh, Việt Nam"/>
    <s v="13 Đ. Nguyễn Chí Thanh, Phường 9, Quận 10, Hồ Chí Minh, Việt NamQuận 10"/>
    <n v="1"/>
    <x v="1"/>
    <x v="9"/>
    <d v="1899-12-30T08:12:43"/>
    <x v="4"/>
  </r>
  <r>
    <s v="3558676968163734134"/>
    <s v=""/>
    <x v="6"/>
    <n v="0"/>
    <s v=""/>
    <s v="NULL"/>
    <x v="0"/>
    <s v="2026-08-10 08:09:12"/>
    <s v="2026-08-10 08:19:12"/>
    <s v="NULL"/>
    <s v="NULL"/>
    <s v="2026-08-10 10:19:12"/>
    <s v=""/>
    <s v="106.5124083"/>
    <s v="10.6413532"/>
    <s v="106.6907746"/>
    <s v="10.7939727"/>
    <n v="180252"/>
    <n v="0"/>
    <n v="180252"/>
    <s v="Cash"/>
    <s v="JGR6+GXV, Mỹ Yên, Tây Ninh, Việt NamJGR6+GXV, Mỹ Yên, Tây Ninh, Việt Nam"/>
    <s v="27/38 Trần Khắc Chân, Phường Tân Định, Quận 1, Hồ Chí Minh, Việt NamQuận 1"/>
    <n v="1"/>
    <x v="1"/>
    <x v="9"/>
    <d v="1899-12-30T08:09:12"/>
    <x v="4"/>
  </r>
  <r>
    <s v="3558677370431041851"/>
    <s v=""/>
    <x v="6"/>
    <n v="3673691"/>
    <s v=""/>
    <s v="Motorcycle"/>
    <x v="1"/>
    <s v="2026-08-10 08:04:22"/>
    <s v="2026-08-10 08:14:22"/>
    <s v="2026-08-10 10:17:45"/>
    <s v="NULL"/>
    <s v="2026-08-10 11:13:27"/>
    <s v=""/>
    <s v="106.4965855"/>
    <s v="10.6040496"/>
    <s v="106.7012236"/>
    <s v="10.7578147"/>
    <n v="193860"/>
    <n v="150286"/>
    <n v="43574"/>
    <s v="Cash"/>
    <s v="JF3W+JJ Long Cang, Long An, Việt NamJF3W+JJ Long Cang, Long An, Việt Nam"/>
    <s v="Phường 3, Quận 4, Hồ Chí Minh, Việt NamQuận 4"/>
    <n v="1"/>
    <x v="1"/>
    <x v="9"/>
    <d v="1899-12-30T08:04:22"/>
    <x v="417"/>
  </r>
  <r>
    <s v="3558677370464588040"/>
    <s v=""/>
    <x v="6"/>
    <n v="0"/>
    <s v=""/>
    <s v="NULL"/>
    <x v="0"/>
    <s v="2026-08-10 08:12:00"/>
    <s v="2026-08-10 08:22:01"/>
    <s v="NULL"/>
    <s v="NULL"/>
    <s v="2026-08-10 10:22:01"/>
    <s v=""/>
    <s v="106.5124083"/>
    <s v="10.6413532"/>
    <s v="106.6634097"/>
    <s v="10.7477536"/>
    <n v="156816"/>
    <n v="0"/>
    <n v="156816"/>
    <s v="Cash"/>
    <s v="JGR6+GXV, Mỹ Yên, Tây Ninh, Việt NamJGR6+GXV, Mỹ Yên, Tây Ninh, Việt Nam"/>
    <s v="Quận 8, Việt NamQuận 8, Việt Nam"/>
    <n v="1"/>
    <x v="1"/>
    <x v="9"/>
    <d v="1899-12-30T08:12:00"/>
    <x v="0"/>
  </r>
  <r>
    <s v="3558677862733279901"/>
    <s v=""/>
    <x v="5"/>
    <n v="4611580"/>
    <s v=""/>
    <s v="Motorcycle"/>
    <x v="2"/>
    <s v="2026-08-10 08:10:38"/>
    <s v="2026-08-10 08:20:00"/>
    <s v="2026-08-10 12:07:22"/>
    <s v="NULL"/>
    <s v=""/>
    <s v=""/>
    <s v="106.30808964371681"/>
    <s v="10.457754294260605"/>
    <s v="106.75888884812593"/>
    <s v="10.89690368200605"/>
    <n v="340416"/>
    <n v="263901"/>
    <n v="76515"/>
    <s v="Cash"/>
    <s v="Xã Tân Lập 1, Huyện Tân Phước, Tiền Giang, Việt NamApache Rubber Room"/>
    <s v="Lô F, đường số 6, KCN Sóng thần 2, Dĩ An, Bình Dương, VietnamNippon Express Vietnam"/>
    <n v="1"/>
    <x v="1"/>
    <x v="9"/>
    <d v="1899-12-30T08:10:38"/>
    <x v="14"/>
  </r>
  <r>
    <s v="3558677862733280181"/>
    <s v=""/>
    <x v="6"/>
    <n v="0"/>
    <s v=""/>
    <s v="NULL"/>
    <x v="0"/>
    <s v="2026-08-10 08:11:38"/>
    <s v="2026-08-10 08:21:38"/>
    <s v="NULL"/>
    <s v="NULL"/>
    <s v="2026-08-10 10:21:38"/>
    <s v=""/>
    <s v="106.5124083"/>
    <s v="10.6413532"/>
    <s v="106.7076046"/>
    <s v="10.7296276"/>
    <n v="165240"/>
    <n v="0"/>
    <n v="165240"/>
    <s v="Cash"/>
    <s v="JGR6+GXV, Mỹ Yên, Tây Ninh, Việt NamJGR6+GXV, Mỹ Yên, Tây Ninh, Việt Nam"/>
    <s v="Hưng Phước 4, Tân Phong, Quận 7, Hồ Chí Minh, Việt Namquận 7"/>
    <n v="1"/>
    <x v="1"/>
    <x v="9"/>
    <d v="1899-12-30T08:11:38"/>
    <x v="4"/>
  </r>
  <r>
    <s v="3558677953405743670"/>
    <s v=""/>
    <x v="6"/>
    <n v="0"/>
    <s v=""/>
    <s v="NULL"/>
    <x v="0"/>
    <s v="2026-08-10 08:06:24"/>
    <s v="2026-08-10 08:16:24"/>
    <s v="NULL"/>
    <s v="NULL"/>
    <s v="2026-08-10 10:16:24"/>
    <s v=""/>
    <s v="106.4965855"/>
    <s v="10.6040496"/>
    <s v="106.6634097"/>
    <s v="10.7477536"/>
    <n v="175824"/>
    <n v="0"/>
    <n v="175824"/>
    <s v="Cash"/>
    <s v="JF3W+JJ Long Cang, Long An, Việt NamJF3W+JJ Long Cang, Long An, Việt Nam"/>
    <s v="Quận 8, Việt NamQuận 8, Việt Nam"/>
    <n v="1"/>
    <x v="1"/>
    <x v="9"/>
    <d v="1899-12-30T08:06:24"/>
    <x v="4"/>
  </r>
  <r>
    <s v="3558678095961748447"/>
    <s v=""/>
    <x v="6"/>
    <n v="4114293"/>
    <s v=""/>
    <s v="Motorcycle"/>
    <x v="2"/>
    <s v="2026-08-10 08:08:22"/>
    <s v="2026-08-10 08:18:22"/>
    <s v="2026-08-10 09:56:48"/>
    <s v="NULL"/>
    <s v=""/>
    <s v=""/>
    <s v="106.4965855"/>
    <s v="10.6040496"/>
    <s v="106.6223047"/>
    <s v="10.8759808"/>
    <n v="212544"/>
    <n v="164771"/>
    <n v="47773"/>
    <s v="Cash"/>
    <s v="JF3W+JJ Long Cang, Long An, Việt NamJF3W+JJ Long Cang, Long An, Việt Nam"/>
    <s v="To 125 Thới Tam Thôn 17, Tân Chánh Hiệp, Hóc Môn, Thành phố Hồ Chí Minh, Việt NamHoc mon"/>
    <n v="1"/>
    <x v="1"/>
    <x v="9"/>
    <d v="1899-12-30T08:08:22"/>
    <x v="14"/>
  </r>
  <r>
    <s v="3558679860119564981"/>
    <s v=""/>
    <x v="6"/>
    <n v="0"/>
    <s v=""/>
    <s v="NULL"/>
    <x v="0"/>
    <s v="2026-08-10 08:10:34"/>
    <s v="2026-08-10 08:20:35"/>
    <s v="NULL"/>
    <s v="NULL"/>
    <s v="2026-08-10 10:20:35"/>
    <s v=""/>
    <s v="106.5124083"/>
    <s v="10.6413532"/>
    <s v="106.7012236"/>
    <s v="10.7578147"/>
    <n v="174420"/>
    <n v="0"/>
    <n v="174420"/>
    <s v="Cash"/>
    <s v="JGR6+GXV, Mỹ Yên, Tây Ninh, Việt NamJGR6+GXV, Mỹ Yên, Tây Ninh, Việt Nam"/>
    <s v="Phường 3, Quận 4, Hồ Chí Minh, Việt NamQuận 4"/>
    <n v="1"/>
    <x v="1"/>
    <x v="9"/>
    <d v="1899-12-30T08:10:34"/>
    <x v="0"/>
  </r>
  <r>
    <s v="3558701917620359981"/>
    <s v=""/>
    <x v="5"/>
    <n v="3008767"/>
    <s v=""/>
    <s v="Motorcycle"/>
    <x v="2"/>
    <s v="2026-08-10 08:51:21"/>
    <s v="2026-08-10 09:01:00"/>
    <s v="2026-08-10 10:21:20"/>
    <s v="NULL"/>
    <s v=""/>
    <s v=""/>
    <s v="106.41315344721079"/>
    <s v="10.523511632916716"/>
    <s v="106.74586404114962"/>
    <s v="10.930488917317723"/>
    <n v="308772"/>
    <n v="239370"/>
    <n v="69402"/>
    <s v="Cash"/>
    <s v="Đường số 278, phường 7, Tp. Tân An, Long An, Việt Nam182 Đường số 278"/>
    <s v="CT TNHH TM DV HUỲNH GIA PHÁT, phường Tân Đông Hiệp, Dĩ An, Hồ Chí Minh, Việt NamCT TNHH TM DV HUỲNH GIA PHÁT"/>
    <n v="1"/>
    <x v="1"/>
    <x v="9"/>
    <d v="1899-12-30T08:51:21"/>
    <x v="14"/>
  </r>
  <r>
    <s v="3559355211925644224"/>
    <s v=""/>
    <x v="7"/>
    <n v="0"/>
    <s v=""/>
    <s v="NULL"/>
    <x v="0"/>
    <s v="2026-08-11 07:04:03"/>
    <s v="2026-08-11 07:14:02"/>
    <s v="NULL"/>
    <s v="NULL"/>
    <s v="2026-08-11 09:14:02"/>
    <s v=""/>
    <s v="106.4951938"/>
    <s v="10.6017891"/>
    <s v="106.7523077"/>
    <s v="10.8971338"/>
    <n v="226584"/>
    <n v="0"/>
    <n v="226584"/>
    <s v="Cash"/>
    <s v="Công ty TNHH Quick Pack Việt Nam, Đường Số 13, KCN Thuận Đạo mở rộng, Long Cang, Tây Ninh, Việt NamCông ty TNHH Quick Pack Việt Nam"/>
    <s v="Công Ty TNHH Quốc Tế Chutex, Thống Nhất, KCN Sóng Thần2, Dĩ An, Hồ Chí Minh, Việt NamCông Ty TNHH Quốc Tế Chutex"/>
    <n v="1"/>
    <x v="1"/>
    <x v="2"/>
    <d v="1899-12-30T07:04:03"/>
    <x v="9"/>
  </r>
  <r>
    <s v="3559355211942416680"/>
    <s v=""/>
    <x v="7"/>
    <n v="0"/>
    <s v=""/>
    <s v="NULL"/>
    <x v="0"/>
    <s v="2026-08-11 07:06:34"/>
    <s v="2026-08-11 07:16:33"/>
    <s v="NULL"/>
    <s v="NULL"/>
    <s v="2026-08-11 09:16:33"/>
    <s v=""/>
    <s v="106.4983642"/>
    <s v="10.6043798"/>
    <s v="106.749202"/>
    <s v="10.8387417"/>
    <n v="197748"/>
    <n v="0"/>
    <n v="197748"/>
    <s v="Cash"/>
    <s v="CÔNG TY TNHH QUỐC TẾ RYTHERN (VIỆT NAM), đường số 14, Long Cang, Tây Ninh, Việt NamCÔNG TY TNHH QUỐC TẾ RYTHERN (VIỆT NAM)"/>
    <s v="Công Ty Tnhh Tm Eurochem, Đường Số 2, Thủ Đức, Hồ Chí Minh, Việt NamCông Ty Tnhh Tm Eurochem"/>
    <n v="1"/>
    <x v="1"/>
    <x v="2"/>
    <d v="1899-12-30T07:06:34"/>
    <x v="9"/>
  </r>
  <r>
    <s v="3559355628159980488"/>
    <s v=""/>
    <x v="7"/>
    <n v="0"/>
    <s v=""/>
    <s v="NULL"/>
    <x v="0"/>
    <s v="2026-08-11 07:11:53"/>
    <s v="2026-08-11 07:21:52"/>
    <s v="NULL"/>
    <s v="NULL"/>
    <s v="2026-08-11 09:21:52"/>
    <s v=""/>
    <s v="106.4863479"/>
    <s v="10.6071258"/>
    <s v="106.6019001"/>
    <s v="11.1310619"/>
    <n v="308880"/>
    <n v="0"/>
    <n v="308880"/>
    <s v="Cash"/>
    <s v="Công Ty TNHH Sản Xuất Khuôn Đúc Chin Chen Fuh Việt Nam, Long Cang, Tây Ninh, Việt NamCông Ty TNHH Sản Xuất Khuôn Đúc Chin Chen Fuh Việt Nam"/>
    <s v="Công Ty Yazaki Eds Việt Nam Ltd, Đường D1, Bến Cát, Hồ Chí Minh, Việt NamCông Ty Yazaki Eds Việt Nam Ltd"/>
    <n v="1"/>
    <x v="1"/>
    <x v="2"/>
    <d v="1899-12-30T07:11:53"/>
    <x v="9"/>
  </r>
  <r>
    <s v="3559359798640333636"/>
    <s v=""/>
    <x v="7"/>
    <n v="0"/>
    <s v=""/>
    <s v="NULL"/>
    <x v="0"/>
    <s v="2026-08-11 07:07:38"/>
    <s v="2026-08-11 07:17:37"/>
    <s v="NULL"/>
    <s v="NULL"/>
    <s v="2026-08-11 09:17:37"/>
    <s v=""/>
    <s v="106.4983642"/>
    <s v="10.6043798"/>
    <s v="106.7342105"/>
    <s v="10.7977695"/>
    <n v="220860"/>
    <n v="0"/>
    <n v="220860"/>
    <s v="Cash"/>
    <s v="CÔNG TY TNHH QUỐC TẾ RYTHERN (VIỆT NAM), đường số 14, Long Cang, Tây Ninh, Việt NamCÔNG TY TNHH QUỐC TẾ RYTHERN (VIỆT NAM)"/>
    <s v="Công Ty CP Thực Phẩm Siam Quận 2, Đường số 19, An Khánh, Hồ Chí Minh, Việt NamCông Ty CP Thực Phẩm Siam Quận 2"/>
    <n v="1"/>
    <x v="1"/>
    <x v="2"/>
    <d v="1899-12-30T07:07:38"/>
    <x v="9"/>
  </r>
  <r>
    <s v="3559359798657119223"/>
    <s v=""/>
    <x v="7"/>
    <n v="0"/>
    <s v=""/>
    <s v="NULL"/>
    <x v="0"/>
    <s v="2026-08-11 07:16:36"/>
    <s v="2026-08-11 07:26:35"/>
    <s v="NULL"/>
    <s v="NULL"/>
    <s v="2026-08-11 10:52:22"/>
    <s v=""/>
    <s v="106.4883674"/>
    <s v="10.6224901"/>
    <s v="106.6666421"/>
    <s v="10.9691844"/>
    <n v="236520"/>
    <n v="0"/>
    <n v="236520"/>
    <s v="Cash"/>
    <s v="Công ty TNHH Koda Sài Gòn, Đường Số 1, Bến Lức, Tây Ninh, Việt NamCông ty TNHH Koda Sài Gòn"/>
    <s v="Công Ty TNHH Hùng Kim Hoa, Khu 3, Thủ Dầu Một, Hồ Chí Minh, Việt NamCông Ty TNHH Hùng Kim Hoa"/>
    <n v="1"/>
    <x v="1"/>
    <x v="2"/>
    <d v="1899-12-30T07:16:36"/>
    <x v="418"/>
  </r>
  <r>
    <s v="3559366256752808647"/>
    <s v=""/>
    <x v="7"/>
    <n v="0"/>
    <s v=""/>
    <s v="NULL"/>
    <x v="0"/>
    <s v="2026-08-11 07:07:06"/>
    <s v="2026-08-11 07:17:05"/>
    <s v="NULL"/>
    <s v="NULL"/>
    <s v="2026-08-11 09:17:05"/>
    <s v=""/>
    <s v="106.4983642"/>
    <s v="10.6043798"/>
    <s v="106.7890328"/>
    <s v="10.8303277"/>
    <n v="207360"/>
    <n v="0"/>
    <n v="207360"/>
    <s v="Cash"/>
    <s v="CÔNG TY TNHH QUỐC TẾ RYTHERN (VIỆT NAM), đường số 14, Long Cang, Tây Ninh, Việt NamCÔNG TY TNHH QUỐC TẾ RYTHERN (VIỆT NAM)"/>
    <s v="Công Ty TNHH Techtronic Tools (TTi Quận 9), TP, Đường D14A Công Nghệ Cao, Tăng Nhơn Phú, Hồ Chí Minh, Việt NamCông Ty TNHH Techtronic Tools (TTi Quận 9)"/>
    <n v="1"/>
    <x v="1"/>
    <x v="2"/>
    <d v="1899-12-30T07:07:06"/>
    <x v="9"/>
  </r>
  <r>
    <s v="3559366256786366719"/>
    <s v=""/>
    <x v="7"/>
    <n v="0"/>
    <s v=""/>
    <s v="NULL"/>
    <x v="0"/>
    <s v="2026-08-11 07:18:59"/>
    <s v="2026-08-11 07:28:58"/>
    <s v="NULL"/>
    <s v="NULL"/>
    <s v="2026-08-11 09:28:58"/>
    <s v=""/>
    <s v="106.5121374"/>
    <s v="10.6216928"/>
    <s v="106.7144591"/>
    <s v="10.804514"/>
    <n v="200880"/>
    <n v="0"/>
    <n v="200880"/>
    <s v="Cash"/>
    <s v="CÔNG TY TNHH SUNRICH VIỆT NAM, Đ. Số 1, kcn Phúc, Mỹ Yên, Tây Ninh, Việt NamCÔNG TY TNHH SUNRICH VIỆT NAM"/>
    <s v="Win.D Gaming Quận Bình Thạnh, Đường Võ Oanh, Thạnh Mỹ Tây, Hồ Chí Minh, Việt NamWin.D Gaming Quận Bình Thạnh"/>
    <n v="1"/>
    <x v="1"/>
    <x v="2"/>
    <d v="1899-12-30T07:18:59"/>
    <x v="9"/>
  </r>
  <r>
    <s v="3559366256786366901"/>
    <s v=""/>
    <x v="7"/>
    <n v="0"/>
    <s v=""/>
    <s v="NULL"/>
    <x v="0"/>
    <s v="2026-08-11 07:20:15"/>
    <s v="2026-08-11 07:30:14"/>
    <s v="NULL"/>
    <s v="NULL"/>
    <s v="2026-08-11 10:08:20"/>
    <s v=""/>
    <s v="106.5136181"/>
    <s v="10.6250338"/>
    <s v="106.5922566"/>
    <s v="10.7697428"/>
    <n v="134028"/>
    <n v="0"/>
    <n v="134028"/>
    <s v="Cash"/>
    <s v="CTY Kim Tiền Hải, Đ. Số 3, KCN Phúc Long, Mỹ Yên, Tây Ninh, Việt NamCTY Kim Tiền Hải"/>
    <s v="CÔNG TY CP SX HTD BÌNH TÂN, Hương lộ 2, Bình Trị Đông, Hồ Chí Minh, Việt NamCÔNG TY CP SX HTD BÌNH TÂN"/>
    <n v="1"/>
    <x v="1"/>
    <x v="2"/>
    <d v="1899-12-30T07:20:15"/>
    <x v="419"/>
  </r>
  <r>
    <s v="3559367601740275966"/>
    <s v=""/>
    <x v="7"/>
    <n v="0"/>
    <s v=""/>
    <s v="NULL"/>
    <x v="0"/>
    <s v="2026-08-11 07:13:17"/>
    <s v="2026-08-11 07:23:16"/>
    <s v="NULL"/>
    <s v="NULL"/>
    <s v="2026-08-11 09:23:16"/>
    <s v=""/>
    <s v="106.4941308"/>
    <s v="10.6096558"/>
    <s v="106.9855473"/>
    <s v="10.7838166"/>
    <n v="276912"/>
    <n v="0"/>
    <n v="276912"/>
    <s v="Cash"/>
    <s v="Công ty TNHH Sản xuất và Thương mại Khải Tín Huy, đường số 1, KCN Thuận Đạo (mở rộng, Long Cang, Tây Ninh, Việt NamCông ty TNHH Sản xuất và Thương mại Khải Tín Huy"/>
    <s v="Ojitex (Vietnam) Co.,Ltd. - Long Thanh Branch, Khu công nghiệp, Long Thành, Đồng Nai, Việt NamOjitex (Vietnam) Co.,Ltd. - Long Thanh Branch"/>
    <n v="1"/>
    <x v="1"/>
    <x v="2"/>
    <d v="1899-12-30T07:13:17"/>
    <x v="9"/>
  </r>
  <r>
    <s v="3559367601740276031"/>
    <s v=""/>
    <x v="7"/>
    <n v="0"/>
    <s v=""/>
    <s v="NULL"/>
    <x v="0"/>
    <s v="2026-08-11 07:13:43"/>
    <s v="2026-08-11 07:23:42"/>
    <s v="NULL"/>
    <s v="NULL"/>
    <s v="2026-08-11 09:23:42"/>
    <s v=""/>
    <s v="106.4943096"/>
    <s v="10.6126435"/>
    <s v="106.749202"/>
    <s v="10.8387417"/>
    <n v="193320"/>
    <n v="0"/>
    <n v="193320"/>
    <s v="Cash"/>
    <s v="Công Ty TNHH MTV San-Ei VN (有限会社三栄ベトナム）, Long Cang, Tây Ninh, Việt NamCông Ty TNHH MTV San-Ei VN (有限会社三栄ベトナム）"/>
    <s v="Công Ty Tnhh Tm Eurochem, Đường Số 2, Thủ Đức, Hồ Chí Minh, Việt NamCông Ty Tnhh Tm Eurochem"/>
    <n v="1"/>
    <x v="1"/>
    <x v="2"/>
    <d v="1899-12-30T07:13:43"/>
    <x v="9"/>
  </r>
  <r>
    <s v="3559370197502743181"/>
    <s v=""/>
    <x v="7"/>
    <n v="4803572"/>
    <s v=""/>
    <s v="Motorcycle"/>
    <x v="4"/>
    <s v="2026-08-11 07:19:39"/>
    <s v="2026-08-11 07:29:38"/>
    <s v="2026-08-11 09:14:01"/>
    <s v="NULL"/>
    <s v="2026-08-21 07:30:00"/>
    <s v=""/>
    <s v="106.5144144"/>
    <s v="10.6231774"/>
    <s v="106.645950950581"/>
    <s v="10.800682469083"/>
    <n v="146340"/>
    <n v="113447"/>
    <n v="32893"/>
    <s v="Cash"/>
    <s v="CÔNG TY TNHH SẢN XUẤT NGŨ KIM HUNG HING HONG KONG (VIỆT NAM), Mỹ Yên, Tây Ninh, Việt NamCÔNG TY TNHH SẢN XUẤT NGŨ KIM HUNG HING HONG KONG (VIỆT NAM)"/>
    <s v="2/5b Bình Giã, Tân Bình, Hồ Chí Minh, VietnamCông Ty Tnhh Thương Mại &amp; Dịch Vụ"/>
    <n v="1"/>
    <x v="1"/>
    <x v="2"/>
    <d v="1899-12-30T07:19:39"/>
    <x v="420"/>
  </r>
  <r>
    <s v="3559370197502743500"/>
    <s v=""/>
    <x v="7"/>
    <n v="0"/>
    <s v=""/>
    <s v="NULL"/>
    <x v="0"/>
    <s v="2026-08-11 07:21:45"/>
    <s v="2026-08-11 07:31:45"/>
    <s v="NULL"/>
    <s v="NULL"/>
    <s v="2026-08-11 09:31:45"/>
    <s v=""/>
    <s v="106.5118905"/>
    <s v="10.6287954"/>
    <s v="106.879925"/>
    <s v="10.9312548"/>
    <n v="256932"/>
    <n v="0"/>
    <n v="256932"/>
    <s v="Cash"/>
    <s v="Climaveneta Vietnam, KCN Phúc Long, Mỹ Yên, Tây Ninh, Việt NamClimaveneta Vietnam"/>
    <s v="Công Ty Taekwang Vina - Chi Nhánh Long Bình, P, Long Bình, Đồng Nai, Việt NamCông Ty Taekwang Vina - Chi Nhánh Long Bình"/>
    <n v="1"/>
    <x v="1"/>
    <x v="2"/>
    <d v="1899-12-30T07:21:45"/>
    <x v="4"/>
  </r>
  <r>
    <s v="3559372206079434934"/>
    <s v=""/>
    <x v="7"/>
    <n v="0"/>
    <s v=""/>
    <s v="NULL"/>
    <x v="0"/>
    <s v="2026-08-11 07:18:45"/>
    <s v="2026-08-11 07:28:45"/>
    <s v="NULL"/>
    <s v="NULL"/>
    <s v="2026-08-11 09:28:45"/>
    <s v=""/>
    <s v="106.5121374"/>
    <s v="10.6216928"/>
    <s v="106.7342105"/>
    <s v="10.7977695"/>
    <n v="185328"/>
    <n v="0"/>
    <n v="185328"/>
    <s v="Cash"/>
    <s v="CÔNG TY TNHH SUNRICH VIỆT NAM, Đ. Số 1, kcn Phúc, Mỹ Yên, Tây Ninh, Việt NamCÔNG TY TNHH SUNRICH VIỆT NAM"/>
    <s v="Công Ty CP Thực Phẩm Siam Quận 2, Đường số 19, An Khánh, Hồ Chí Minh, Việt NamCông Ty CP Thực Phẩm Siam Quận 2"/>
    <n v="1"/>
    <x v="1"/>
    <x v="2"/>
    <d v="1899-12-30T07:18:45"/>
    <x v="4"/>
  </r>
  <r>
    <s v="3559373672080957990"/>
    <s v=""/>
    <x v="7"/>
    <n v="0"/>
    <s v=""/>
    <s v="NULL"/>
    <x v="0"/>
    <s v="2026-08-11 07:16:22"/>
    <s v="2026-08-11 07:26:22"/>
    <s v="NULL"/>
    <s v="NULL"/>
    <s v="2026-08-11 09:26:22"/>
    <s v=""/>
    <s v="106.4883674"/>
    <s v="10.6224901"/>
    <s v="106.8063506"/>
    <s v="11.0723248"/>
    <n v="300456"/>
    <n v="0"/>
    <n v="300456"/>
    <s v="Cash"/>
    <s v="Công ty TNHH Koda Sài Gòn, Đường Số 1, Bến Lức, Tây Ninh, Việt NamCông ty TNHH Koda Sài Gòn"/>
    <s v="C&amp;H Vina Company Limited, Area 5, Ward, Tân Uyên, Hồ Chí Minh, Việt NamC&amp;H Vina Company Limited"/>
    <n v="1"/>
    <x v="1"/>
    <x v="2"/>
    <d v="1899-12-30T07:16:22"/>
    <x v="4"/>
  </r>
  <r>
    <s v="3559373672080958299"/>
    <s v=""/>
    <x v="7"/>
    <n v="0"/>
    <s v=""/>
    <s v="NULL"/>
    <x v="0"/>
    <s v="2026-08-11 07:18:33"/>
    <s v="2026-08-11 07:28:32"/>
    <s v="NULL"/>
    <s v="NULL"/>
    <s v="2026-08-11 09:28:32"/>
    <s v=""/>
    <s v="106.5121374"/>
    <s v="10.6216928"/>
    <s v="106.7890328"/>
    <s v="10.8303277"/>
    <n v="181332"/>
    <n v="0"/>
    <n v="181332"/>
    <s v="Cash"/>
    <s v="CÔNG TY TNHH SUNRICH VIỆT NAM, Đ. Số 1, kcn Phúc, Mỹ Yên, Tây Ninh, Việt NamCÔNG TY TNHH SUNRICH VIỆT NAM"/>
    <s v="Công Ty TNHH Techtronic Tools (TTi Quận 9), TP, Đường D14A Công Nghệ Cao, Tăng Nhơn Phú, Hồ Chí Minh, Việt NamCông Ty TNHH Techtronic Tools (TTi Quận 9)"/>
    <n v="1"/>
    <x v="1"/>
    <x v="2"/>
    <d v="1899-12-30T07:18:33"/>
    <x v="9"/>
  </r>
  <r>
    <s v="3559373672097730668"/>
    <s v=""/>
    <x v="7"/>
    <n v="0"/>
    <s v=""/>
    <s v="NULL"/>
    <x v="0"/>
    <s v="2026-08-11 07:20:26"/>
    <s v="2026-08-11 07:30:26"/>
    <s v="NULL"/>
    <s v="NULL"/>
    <s v="2026-08-11 09:30:26"/>
    <s v=""/>
    <s v="106.5136181"/>
    <s v="10.6250338"/>
    <s v="106.6019001"/>
    <s v="11.1310619"/>
    <n v="239976"/>
    <n v="0"/>
    <n v="239976"/>
    <s v="Cash"/>
    <s v="CTY Kim Tiền Hải, Đ. Số 3, KCN Phúc Long, Mỹ Yên, Tây Ninh, Việt NamCTY Kim Tiền Hải"/>
    <s v="Công Ty Yazaki Eds Việt Nam Ltd, Đường D1, Bến Cát, Hồ Chí Minh, Việt NamCông Ty Yazaki Eds Việt Nam Ltd"/>
    <n v="1"/>
    <x v="1"/>
    <x v="2"/>
    <d v="1899-12-30T07:20:26"/>
    <x v="4"/>
  </r>
  <r>
    <s v="3559373672097730824"/>
    <s v=""/>
    <x v="7"/>
    <n v="0"/>
    <s v=""/>
    <s v="NULL"/>
    <x v="0"/>
    <s v="2026-08-11 07:21:31"/>
    <s v="2026-08-11 07:31:30"/>
    <s v="NULL"/>
    <s v="NULL"/>
    <s v="2026-08-11 09:31:30"/>
    <s v=""/>
    <s v="106.5118905"/>
    <s v="10.6287954"/>
    <s v="106.7523077"/>
    <s v="10.8971338"/>
    <n v="210600"/>
    <n v="0"/>
    <n v="210600"/>
    <s v="Cash"/>
    <s v="Climaveneta Vietnam, KCN Phúc Long, Mỹ Yên, Tây Ninh, Việt NamClimaveneta Vietnam"/>
    <s v="Công Ty TNHH Quốc Tế Chutex, Thống Nhất, KCN Sóng Thần2, Dĩ An, Hồ Chí Minh, Việt NamCông Ty TNHH Quốc Tế Chutex"/>
    <n v="1"/>
    <x v="1"/>
    <x v="2"/>
    <d v="1899-12-30T07:21:31"/>
    <x v="9"/>
  </r>
  <r>
    <s v="3559373672114516271"/>
    <s v=""/>
    <x v="7"/>
    <n v="0"/>
    <s v=""/>
    <s v="NULL"/>
    <x v="0"/>
    <s v="2026-08-11 07:28:21"/>
    <s v="2026-08-11 07:38:20"/>
    <s v="NULL"/>
    <s v="NULL"/>
    <s v="2026-08-11 09:38:20"/>
    <s v=""/>
    <s v="106.5083845"/>
    <s v="10.6428394"/>
    <s v="106.6758781"/>
    <s v="10.8370741"/>
    <n v="192564"/>
    <n v="0"/>
    <n v="192564"/>
    <s v="Cash"/>
    <s v="CÔNG TY TNHH BIBICA MIỀN TÂY, 9 VL3, KCN Vĩnh Lộc 2, Mỹ Yên, Tây Ninh, Việt NamCÔNG TY TNHH BIBICA MIỀN TÂY"/>
    <s v="Công ty TNHH CNTT Aureole (CN Gò Vấp), Nguyễn Oanh, Gò Vấp, Hồ Chí Minh, Việt NamCông ty TNHH CNTT Aureole (CN Gò Vấp)"/>
    <n v="1"/>
    <x v="1"/>
    <x v="2"/>
    <d v="1899-12-30T07:28:21"/>
    <x v="9"/>
  </r>
  <r>
    <s v="3559373672114516469"/>
    <s v=""/>
    <x v="7"/>
    <n v="0"/>
    <s v=""/>
    <s v="NULL"/>
    <x v="0"/>
    <s v="2026-08-11 07:29:29"/>
    <s v="2026-08-11 07:39:28"/>
    <s v="NULL"/>
    <s v="NULL"/>
    <s v="2026-08-11 09:39:28"/>
    <s v=""/>
    <s v="106.5039447"/>
    <s v="10.6433253"/>
    <s v="106.6666421"/>
    <s v="10.9691844"/>
    <n v="224100"/>
    <n v="0"/>
    <n v="224100"/>
    <s v="Cash"/>
    <s v="Công Ty Cổ Phần Nosafood - Nhà máy Bến Lức, Đường VL7, KCN Vĩnh Lộc 2 X, Mỹ Yên, Tây Ninh, Việt NamCông Ty Cổ Phần Nosafood - Nhà máy Bến Lức"/>
    <s v="Công Ty TNHH Hùng Kim Hoa, Khu 3, Thủ Dầu Một, Hồ Chí Minh, Việt NamCông Ty TNHH Hùng Kim Hoa"/>
    <n v="1"/>
    <x v="1"/>
    <x v="2"/>
    <d v="1899-12-30T07:29:29"/>
    <x v="9"/>
  </r>
  <r>
    <s v="3559373747586822799"/>
    <s v=""/>
    <x v="7"/>
    <n v="0"/>
    <s v=""/>
    <s v="NULL"/>
    <x v="0"/>
    <s v="2026-08-11 07:17:26"/>
    <s v="2026-08-11 07:27:25"/>
    <s v="NULL"/>
    <s v="NULL"/>
    <s v="2026-08-11 09:27:25"/>
    <s v=""/>
    <s v="106.5117001"/>
    <s v="10.6208058"/>
    <s v="106.7523077"/>
    <s v="10.8971338"/>
    <n v="207792"/>
    <n v="0"/>
    <n v="207792"/>
    <s v="Cash"/>
    <s v="CÔNG TY TNHH MTV KOOKIL DYEING VIỆT NAM, Đường Số 7, KCN Phúc Long, Mỹ Yên, Tây Ninh, Việt NamCÔNG TY TNHH MTV KOOKIL DYEING VIỆT NAM"/>
    <s v="Công Ty TNHH Quốc Tế Chutex, Thống Nhất, KCN Sóng Thần2, Dĩ An, Hồ Chí Minh, Việt NamCông Ty TNHH Quốc Tế Chutex"/>
    <n v="1"/>
    <x v="1"/>
    <x v="2"/>
    <d v="1899-12-30T07:17:26"/>
    <x v="9"/>
  </r>
  <r>
    <s v="3559373747611984159"/>
    <s v=""/>
    <x v="7"/>
    <n v="3095307"/>
    <s v=""/>
    <s v="Motorcycle"/>
    <x v="2"/>
    <s v="2026-08-11 07:25:22"/>
    <s v="2026-08-11 07:35:22"/>
    <s v="2026-08-11 09:34:21"/>
    <s v="NULL"/>
    <s v=""/>
    <s v=""/>
    <s v="106.5170719"/>
    <s v="10.6408032"/>
    <s v="106.6666421"/>
    <s v="10.9691844"/>
    <n v="316224"/>
    <n v="245147"/>
    <n v="71077"/>
    <s v="Cash"/>
    <s v="Cty Cp Nhua Doan Minh Long, Đường Vĩnh Lộc KCN Vĩnh Lộc 2, Mỹ Yên, Tây Ninh, Việt NamCty Cp Nhua Doan Minh Long"/>
    <s v="Công Ty TNHH Hùng Kim Hoa, Khu 3, Thủ Dầu Một, Hồ Chí Minh, Việt NamCông Ty TNHH Hùng Kim Hoa"/>
    <n v="1"/>
    <x v="1"/>
    <x v="2"/>
    <d v="1899-12-30T07:25:22"/>
    <x v="14"/>
  </r>
  <r>
    <s v="3559373747620369272"/>
    <s v=""/>
    <x v="7"/>
    <n v="0"/>
    <s v=""/>
    <s v="NULL"/>
    <x v="0"/>
    <s v="2026-08-11 07:31:11"/>
    <s v="2026-08-11 07:41:11"/>
    <s v="NULL"/>
    <s v="NULL"/>
    <s v="2026-08-11 09:41:11"/>
    <s v=""/>
    <s v="106.5558973"/>
    <s v="10.6424013"/>
    <s v="106.7890328"/>
    <s v="10.8303277"/>
    <n v="210384"/>
    <n v="0"/>
    <n v="210384"/>
    <s v="Cash"/>
    <s v="CÔNG TY TNHH SX TM DV XNK NHỰA CHÂU HƯNG, Đường tỉnh 835B, Ấp Phú Thành, Phước Lý, Tây Ninh, Việt NamCÔNG TY TNHH SX TM DV XNK NHỰA CHÂU HƯNG"/>
    <s v="Công Ty TNHH Techtronic Tools (TTi Quận 9), TP, Đường D14A Công Nghệ Cao, Tăng Nhơn Phú, Hồ Chí Minh, Việt NamCông Ty TNHH Techtronic Tools (TTi Quận 9)"/>
    <n v="1"/>
    <x v="1"/>
    <x v="2"/>
    <d v="1899-12-30T07:31:11"/>
    <x v="4"/>
  </r>
  <r>
    <s v="3559373882819571801"/>
    <s v=""/>
    <x v="7"/>
    <n v="0"/>
    <s v=""/>
    <s v="NULL"/>
    <x v="0"/>
    <s v="2026-08-11 07:13:04"/>
    <s v="2026-08-11 07:23:04"/>
    <s v="NULL"/>
    <s v="NULL"/>
    <s v="2026-08-11 09:23:04"/>
    <s v=""/>
    <s v="106.4941308"/>
    <s v="10.6096558"/>
    <s v="106.879925"/>
    <s v="10.9312548"/>
    <n v="266112"/>
    <n v="0"/>
    <n v="266112"/>
    <s v="Cash"/>
    <s v="Công ty TNHH Sản xuất và Thương mại Khải Tín Huy, đường số 1, KCN Thuận Đạo (mở rộng, Long Cang, Tây Ninh, Việt NamCông ty TNHH Sản xuất và Thương mại Khải Tín Huy"/>
    <s v="Công Ty Taekwang Vina - Chi Nhánh Long Bình, P, Long Bình, Đồng Nai, Việt NamCông Ty Taekwang Vina - Chi Nhánh Long Bình"/>
    <n v="1"/>
    <x v="1"/>
    <x v="2"/>
    <d v="1899-12-30T07:13:04"/>
    <x v="4"/>
  </r>
  <r>
    <s v="3559373882819571907"/>
    <s v=""/>
    <x v="7"/>
    <n v="0"/>
    <s v=""/>
    <s v="NULL"/>
    <x v="0"/>
    <s v="2026-08-11 07:13:56"/>
    <s v="2026-08-11 07:23:55"/>
    <s v="NULL"/>
    <s v="NULL"/>
    <s v="2026-08-11 09:23:55"/>
    <s v=""/>
    <s v="106.4943096"/>
    <s v="10.6126435"/>
    <s v="106.7890328"/>
    <s v="10.8303277"/>
    <n v="279828"/>
    <n v="0"/>
    <n v="279828"/>
    <s v="Cash"/>
    <s v="Công Ty TNHH MTV San-Ei VN (有限会社三栄ベトナム）, Long Cang, Tây Ninh, Việt NamCông Ty TNHH MTV San-Ei VN (有限会社三栄ベトナム）"/>
    <s v="Công Ty TNHH Techtronic Tools (TTi Quận 9), TP, Đường D14A Công Nghệ Cao, Tăng Nhơn Phú, Hồ Chí Minh, Việt NamCông Ty TNHH Techtronic Tools (TTi Quận 9)"/>
    <n v="1"/>
    <x v="1"/>
    <x v="2"/>
    <d v="1899-12-30T07:13:56"/>
    <x v="9"/>
  </r>
  <r>
    <s v="3559373882819572019"/>
    <s v=""/>
    <x v="7"/>
    <n v="0"/>
    <s v=""/>
    <s v="NULL"/>
    <x v="0"/>
    <s v="2026-08-11 07:14:43"/>
    <s v="2026-08-11 07:24:42"/>
    <s v="NULL"/>
    <s v="NULL"/>
    <s v="2026-08-11 09:24:42"/>
    <s v=""/>
    <s v="106.4991551"/>
    <s v="10.611863"/>
    <s v="106.5964657"/>
    <s v="10.8836828"/>
    <n v="154656"/>
    <n v="0"/>
    <n v="154656"/>
    <s v="Cash"/>
    <s v="AsiaSteel KCN Thuận Đạo, Long Cang, Tây Ninh, Việt NamAsiaSteel KCN Thuận Đạo"/>
    <s v="CTY TNHH TK-XD-TM QUỐC THẮNG TẠI HÓC MÔN, Ngô Quyền, Hóc Môn, Hồ Chí Minh, Việt NamCTY TNHH TK-XD-TM QUỐC THẮNG TẠI HÓC MÔN"/>
    <n v="1"/>
    <x v="1"/>
    <x v="2"/>
    <d v="1899-12-30T07:14:43"/>
    <x v="9"/>
  </r>
  <r>
    <s v="3559373882819572717"/>
    <s v=""/>
    <x v="7"/>
    <n v="0"/>
    <s v=""/>
    <s v="NULL"/>
    <x v="0"/>
    <s v="2026-08-11 07:19:52"/>
    <s v="2026-08-11 07:29:51"/>
    <s v="NULL"/>
    <s v="NULL"/>
    <s v="2026-08-11 09:29:51"/>
    <s v=""/>
    <s v="106.5144144"/>
    <s v="10.6231774"/>
    <s v="106.6758781"/>
    <s v="10.8370741"/>
    <n v="195696"/>
    <n v="0"/>
    <n v="195696"/>
    <s v="Cash"/>
    <s v="CÔNG TY TNHH SẢN XUẤT NGŨ KIM HUNG HING HONG KONG (VIỆT NAM), Mỹ Yên, Tây Ninh, Việt NamCÔNG TY TNHH SẢN XUẤT NGŨ KIM HUNG HING HONG KONG (VIỆT NAM)"/>
    <s v="Công ty TNHH CNTT Aureole (CN Gò Vấp), Nguyễn Oanh, Gò Vấp, Hồ Chí Minh, Việt NamCông ty TNHH CNTT Aureole (CN Gò Vấp)"/>
    <n v="1"/>
    <x v="1"/>
    <x v="2"/>
    <d v="1899-12-30T07:19:52"/>
    <x v="9"/>
  </r>
  <r>
    <s v="3559373882836345437"/>
    <s v=""/>
    <x v="7"/>
    <n v="3163830"/>
    <s v=""/>
    <s v="Motorcycle"/>
    <x v="2"/>
    <s v="2026-08-11 07:23:24"/>
    <s v="2026-08-11 07:33:23"/>
    <s v="2026-08-11 08:50:43"/>
    <s v="2026-08-11 09:00:34"/>
    <s v=""/>
    <s v=""/>
    <s v="106.548153"/>
    <s v="10.6243872"/>
    <s v="106.7144591"/>
    <s v="10.804514"/>
    <n v="180792"/>
    <n v="140156"/>
    <n v="40636"/>
    <s v="Cash"/>
    <s v="Công Ty Tnhh Crecimiento Industrial Việt Nam Chi Nhánh Long An, ẤP 3B, Mỹ Yên, Tây Ninh, Việt NamCông Ty Tnhh Crecimiento Industrial Việt Nam Chi Nhánh Long An"/>
    <s v="Win.D Gaming Quận Bình Thạnh, Đường Võ Oanh, Thạnh Mỹ Tây, Hồ Chí Minh, Việt NamWin.D Gaming Quận Bình Thạnh"/>
    <n v="1"/>
    <x v="1"/>
    <x v="2"/>
    <d v="1899-12-30T07:23:24"/>
    <x v="14"/>
  </r>
  <r>
    <s v="3559373882844729365"/>
    <s v=""/>
    <x v="7"/>
    <n v="0"/>
    <s v=""/>
    <s v="NULL"/>
    <x v="0"/>
    <s v="2026-08-11 07:26:26"/>
    <s v="2026-08-11 07:36:25"/>
    <s v="NULL"/>
    <s v="NULL"/>
    <s v="2026-08-11 11:19:15"/>
    <s v=""/>
    <s v="106.5162847"/>
    <s v="10.6451341"/>
    <s v="106.9855473"/>
    <s v="10.7838166"/>
    <n v="259740"/>
    <n v="0"/>
    <n v="259740"/>
    <s v="Cash"/>
    <s v="CÔNG TY CỔ PHẦN TKMB, Đường VL1, KCN Vĩnh Lộc 2, Mỹ Yên, Tây Ninh, Việt NamCÔNG TY CỔ PHẦN TKMB"/>
    <s v="Ojitex (Vietnam) Co.,Ltd. - Long Thanh Branch, Khu công nghiệp, Long Thành, Đồng Nai, Việt NamOjitex (Vietnam) Co.,Ltd. - Long Thanh Branch"/>
    <n v="1"/>
    <x v="1"/>
    <x v="2"/>
    <d v="1899-12-30T07:26:26"/>
    <x v="421"/>
  </r>
  <r>
    <s v="3559373882844729985"/>
    <s v=""/>
    <x v="7"/>
    <n v="0"/>
    <s v=""/>
    <s v="NULL"/>
    <x v="0"/>
    <s v="2026-08-11 07:30:09"/>
    <s v="2026-08-11 07:40:09"/>
    <s v="NULL"/>
    <s v="NULL"/>
    <s v="2026-08-11 09:40:09"/>
    <s v=""/>
    <s v="106.5039447"/>
    <s v="10.6433253"/>
    <s v="106.879925"/>
    <s v="10.9312548"/>
    <n v="324108"/>
    <n v="0"/>
    <n v="324108"/>
    <s v="Cash"/>
    <s v="Công Ty Cổ Phần Nosafood - Nhà máy Bến Lức, Đường VL7, KCN Vĩnh Lộc 2 X, Mỹ Yên, Tây Ninh, Việt NamCông Ty Cổ Phần Nosafood - Nhà máy Bến Lức"/>
    <s v="Công Ty Taekwang Vina - Chi Nhánh Long Bình, P, Long Bình, Đồng Nai, Việt NamCông Ty Taekwang Vina - Chi Nhánh Long Bình"/>
    <n v="1"/>
    <x v="1"/>
    <x v="2"/>
    <d v="1899-12-30T07:30:09"/>
    <x v="4"/>
  </r>
  <r>
    <s v="3559376255537340609"/>
    <s v=""/>
    <x v="7"/>
    <n v="0"/>
    <s v=""/>
    <s v="NULL"/>
    <x v="0"/>
    <s v="2026-08-11 07:17:51"/>
    <s v="2026-08-11 07:27:50"/>
    <s v="NULL"/>
    <s v="NULL"/>
    <s v="2026-08-11 09:27:50"/>
    <s v=""/>
    <s v="106.5117001"/>
    <s v="10.6208058"/>
    <s v="106.9855473"/>
    <s v="10.7838166"/>
    <n v="265680"/>
    <n v="0"/>
    <n v="265680"/>
    <s v="Cash"/>
    <s v="CÔNG TY TNHH MTV KOOKIL DYEING VIỆT NAM, Đường Số 7, KCN Phúc Long, Mỹ Yên, Tây Ninh, Việt NamCÔNG TY TNHH MTV KOOKIL DYEING VIỆT NAM"/>
    <s v="Ojitex (Vietnam) Co.,Ltd. - Long Thanh Branch, Khu công nghiệp, Long Thành, Đồng Nai, Việt NamOjitex (Vietnam) Co.,Ltd. - Long Thanh Branch"/>
    <n v="1"/>
    <x v="1"/>
    <x v="2"/>
    <d v="1899-12-30T07:17:51"/>
    <x v="9"/>
  </r>
  <r>
    <s v="3559376255537340840"/>
    <s v=""/>
    <x v="7"/>
    <n v="0"/>
    <s v=""/>
    <s v="NULL"/>
    <x v="0"/>
    <s v="2026-08-11 07:19:25"/>
    <s v="2026-08-11 07:29:24"/>
    <s v="NULL"/>
    <s v="NULL"/>
    <s v="2026-08-11 10:56:50"/>
    <s v=""/>
    <s v="106.5144144"/>
    <s v="10.6231774"/>
    <s v="106.5964657"/>
    <s v="10.8836828"/>
    <n v="188568"/>
    <n v="0"/>
    <n v="188568"/>
    <s v="Cash"/>
    <s v="CÔNG TY TNHH SẢN XUẤT NGŨ KIM HUNG HING HONG KONG (VIỆT NAM), Mỹ Yên, Tây Ninh, Việt NamCÔNG TY TNHH SẢN XUẤT NGŨ KIM HUNG HING HONG KONG (VIỆT NAM)"/>
    <s v="CTY TNHH TK-XD-TM QUỐC THẮNG TẠI HÓC MÔN, Ngô Quyền, Hóc Môn, Hồ Chí Minh, Việt NamCTY TNHH TK-XD-TM QUỐC THẮNG TẠI HÓC MÔN"/>
    <n v="1"/>
    <x v="1"/>
    <x v="2"/>
    <d v="1899-12-30T07:19:25"/>
    <x v="422"/>
  </r>
  <r>
    <s v="3559376255554113849"/>
    <s v=""/>
    <x v="7"/>
    <n v="0"/>
    <s v=""/>
    <s v="NULL"/>
    <x v="0"/>
    <s v="2026-08-11 07:25:35"/>
    <s v="2026-08-11 07:35:34"/>
    <s v="NULL"/>
    <s v="NULL"/>
    <s v="2026-08-11 09:35:34"/>
    <s v=""/>
    <s v="106.5170719"/>
    <s v="10.6408032"/>
    <s v="106.7195372"/>
    <s v="10.9373357"/>
    <n v="221292"/>
    <n v="0"/>
    <n v="221292"/>
    <s v="Cash"/>
    <s v="Cty Cp Nhua Doan Minh Long, Đường Vĩnh Lộc KCN Vĩnh Lộc 2, Mỹ Yên, Tây Ninh, Việt NamCty Cp Nhua Doan Minh Long"/>
    <s v="Công Ty TNHH Fujikura Fiber Optics VN, Đường số 6, KCN Việt Nam-Singapore (VSIP1, Thuận Giao, Hồ Chí Minh, Việt NamCông Ty TNHH Fujikura Fiber Optics VN"/>
    <n v="1"/>
    <x v="1"/>
    <x v="2"/>
    <d v="1899-12-30T07:25:35"/>
    <x v="9"/>
  </r>
  <r>
    <s v="3559376255554114181"/>
    <s v=""/>
    <x v="7"/>
    <n v="0"/>
    <s v=""/>
    <s v="NULL"/>
    <x v="0"/>
    <s v="2026-08-11 07:27:41"/>
    <s v="2026-08-11 07:37:40"/>
    <s v="NULL"/>
    <s v="NULL"/>
    <s v="2026-08-11 09:37:40"/>
    <s v=""/>
    <s v="106.5161509"/>
    <s v="10.6456886"/>
    <s v="106.5964657"/>
    <s v="10.8836828"/>
    <n v="127656"/>
    <n v="0"/>
    <n v="127656"/>
    <s v="Cash"/>
    <s v="Công ty Cổ Phần In DICA, Đường VL1, KCN Vĩnh Lộc 2, Mỹ Yên, Tây Ninh, Việt NamCông ty Cổ Phần In DICA"/>
    <s v="CTY TNHH TK-XD-TM QUỐC THẮNG TẠI HÓC MÔN, Ngô Quyền, Hóc Môn, Hồ Chí Minh, Việt NamCTY TNHH TK-XD-TM QUỐC THẮNG TẠI HÓC MÔN"/>
    <n v="1"/>
    <x v="1"/>
    <x v="2"/>
    <d v="1899-12-30T07:27:41"/>
    <x v="9"/>
  </r>
  <r>
    <s v="3559376255570899367"/>
    <s v=""/>
    <x v="7"/>
    <n v="1464821"/>
    <s v=""/>
    <s v="Motorcycle"/>
    <x v="2"/>
    <s v="2026-08-11 07:32:18"/>
    <s v="2026-08-11 07:42:17"/>
    <s v="2026-08-11 08:40:40"/>
    <s v="2026-08-11 08:57:59"/>
    <s v=""/>
    <s v=""/>
    <s v="106.5662616"/>
    <s v="10.6461536"/>
    <s v="106.645950950581"/>
    <s v="10.800682469083"/>
    <n v="136728"/>
    <n v="105996"/>
    <n v="30732"/>
    <s v="Cash"/>
    <s v="Công ty TNHH Vy Kỳ, Đ. Sân Banh, Phước Lý, Tây Ninh, Việt NamCông ty TNHH Vy Kỳ"/>
    <s v="2/5b Bình Giã, Tân Bình, Hồ Chí Minh, VietnamCông Ty Tnhh Thương Mại &amp; Dịch Vụ"/>
    <n v="1"/>
    <x v="1"/>
    <x v="2"/>
    <d v="1899-12-30T07:32:18"/>
    <x v="14"/>
  </r>
  <r>
    <s v="3559380688119747525"/>
    <s v=""/>
    <x v="7"/>
    <n v="0"/>
    <s v=""/>
    <s v="NULL"/>
    <x v="0"/>
    <s v="2026-08-11 07:29:44"/>
    <s v="2026-08-11 07:39:43"/>
    <s v="NULL"/>
    <s v="NULL"/>
    <s v="2026-08-11 09:39:43"/>
    <s v=""/>
    <s v="106.5039447"/>
    <s v="10.6433253"/>
    <s v="106.7195372"/>
    <s v="10.9373357"/>
    <n v="227340"/>
    <n v="0"/>
    <n v="227340"/>
    <s v="Cash"/>
    <s v="Công Ty Cổ Phần Nosafood - Nhà máy Bến Lức, Đường VL7, KCN Vĩnh Lộc 2 X, Mỹ Yên, Tây Ninh, Việt NamCông Ty Cổ Phần Nosafood - Nhà máy Bến Lức"/>
    <s v="Công Ty TNHH Fujikura Fiber Optics VN, Đường số 6, KCN Việt Nam-Singapore (VSIP1, Thuận Giao, Hồ Chí Minh, Việt NamCông Ty TNHH Fujikura Fiber Optics VN"/>
    <n v="1"/>
    <x v="1"/>
    <x v="2"/>
    <d v="1899-12-30T07:29:44"/>
    <x v="9"/>
  </r>
  <r>
    <s v="3559380688119747571"/>
    <s v=""/>
    <x v="7"/>
    <n v="0"/>
    <s v=""/>
    <s v="NULL"/>
    <x v="0"/>
    <s v="2026-08-11 07:29:57"/>
    <s v="2026-08-11 07:39:57"/>
    <s v="NULL"/>
    <s v="NULL"/>
    <s v="2026-08-11 09:39:57"/>
    <s v=""/>
    <s v="106.5039447"/>
    <s v="10.6433253"/>
    <s v="106.7523077"/>
    <s v="10.8971338"/>
    <n v="157896"/>
    <n v="0"/>
    <n v="157896"/>
    <s v="Cash"/>
    <s v="Công Ty Cổ Phần Nosafood - Nhà máy Bến Lức, Đường VL7, KCN Vĩnh Lộc 2 X, Mỹ Yên, Tây Ninh, Việt NamCông Ty Cổ Phần Nosafood - Nhà máy Bến Lức"/>
    <s v="Công Ty TNHH Quốc Tế Chutex, Thống Nhất, KCN Sóng Thần2, Dĩ An, Hồ Chí Minh, Việt NamCông Ty TNHH Quốc Tế Chutex"/>
    <n v="1"/>
    <x v="1"/>
    <x v="2"/>
    <d v="1899-12-30T07:29:57"/>
    <x v="4"/>
  </r>
  <r>
    <s v="3559380688153305496"/>
    <s v=""/>
    <x v="7"/>
    <n v="4838785"/>
    <s v=""/>
    <s v="Motorcycle"/>
    <x v="2"/>
    <s v="2026-08-11 07:37:59"/>
    <s v="2026-08-11 07:47:58"/>
    <s v="2026-08-11 09:07:04"/>
    <s v="NULL"/>
    <s v=""/>
    <s v=""/>
    <s v="106.51121750377196"/>
    <s v="10.632132992473089"/>
    <s v="107.0961803"/>
    <s v="10.3746682"/>
    <n v="748116"/>
    <n v="579963"/>
    <n v="168153"/>
    <s v="Cash"/>
    <s v="400 QL1A, KP9, Mỹ Yên, Tây Ninh, Việt Nam400 QL1A, KP9, Mỹ Yên, Tây Ninh, Việt Nam"/>
    <s v="Vung Tau Airport, Tam Thắng, Hồ Chí Minh, Việt NamVung Tau Airport"/>
    <n v="1"/>
    <x v="1"/>
    <x v="2"/>
    <d v="1899-12-30T07:37:59"/>
    <x v="14"/>
  </r>
  <r>
    <s v="3559380848543494827"/>
    <s v=""/>
    <x v="7"/>
    <n v="0"/>
    <s v=""/>
    <s v="NULL"/>
    <x v="0"/>
    <s v="2026-08-11 07:28:48"/>
    <s v="2026-08-11 07:38:46"/>
    <s v="NULL"/>
    <s v="NULL"/>
    <s v="2026-08-11 09:38:46"/>
    <s v=""/>
    <s v="106.5083845"/>
    <s v="10.6428394"/>
    <s v="106.6019001"/>
    <s v="11.1310619"/>
    <n v="293220"/>
    <n v="0"/>
    <n v="293220"/>
    <s v="Cash"/>
    <s v="CÔNG TY TNHH BIBICA MIỀN TÂY, 9 VL3, KCN Vĩnh Lộc 2, Mỹ Yên, Tây Ninh, Việt NamCÔNG TY TNHH BIBICA MIỀN TÂY"/>
    <s v="Công Ty Yazaki Eds Việt Nam Ltd, Đường D1, Bến Cát, Hồ Chí Minh, Việt NamCông Ty Yazaki Eds Việt Nam Ltd"/>
    <n v="1"/>
    <x v="1"/>
    <x v="2"/>
    <d v="1899-12-30T07:28:48"/>
    <x v="208"/>
  </r>
  <r>
    <s v="3559381311804371055"/>
    <s v=""/>
    <x v="7"/>
    <n v="0"/>
    <s v=""/>
    <s v="NULL"/>
    <x v="0"/>
    <s v="2026-08-11 07:26:00"/>
    <s v="2026-08-11 07:35:59"/>
    <s v="NULL"/>
    <s v="NULL"/>
    <s v="2026-08-11 09:35:59"/>
    <s v=""/>
    <s v="106.5170719"/>
    <s v="10.6408032"/>
    <s v="106.879925"/>
    <s v="10.9312548"/>
    <n v="248508"/>
    <n v="0"/>
    <n v="248508"/>
    <s v="Cash"/>
    <s v="Cty Cp Nhua Doan Minh Long, Đường Vĩnh Lộc KCN Vĩnh Lộc 2, Mỹ Yên, Tây Ninh, Việt NamCty Cp Nhua Doan Minh Long"/>
    <s v="Công Ty Taekwang Vina - Chi Nhánh Long Bình, P, Long Bình, Đồng Nai, Việt NamCông Ty Taekwang Vina - Chi Nhánh Long Bình"/>
    <n v="1"/>
    <x v="1"/>
    <x v="2"/>
    <d v="1899-12-30T07:26:00"/>
    <x v="9"/>
  </r>
  <r>
    <s v="3559381311804371413"/>
    <s v=""/>
    <x v="7"/>
    <n v="0"/>
    <s v=""/>
    <s v="NULL"/>
    <x v="0"/>
    <s v="2026-08-11 07:28:09"/>
    <s v="2026-08-11 07:38:08"/>
    <s v="NULL"/>
    <s v="NULL"/>
    <s v="2026-08-11 09:38:08"/>
    <s v=""/>
    <s v="106.5083845"/>
    <s v="10.6428394"/>
    <s v="106.645950950581"/>
    <s v="10.800682469083"/>
    <n v="157140"/>
    <n v="0"/>
    <n v="157140"/>
    <s v="Cash"/>
    <s v="CÔNG TY TNHH BIBICA MIỀN TÂY, 9 VL3, KCN Vĩnh Lộc 2, Mỹ Yên, Tây Ninh, Việt NamCÔNG TY TNHH BIBICA MIỀN TÂY"/>
    <s v="2/5b Bình Giã, Tân Bình, Hồ Chí Minh, VietnamCông Ty Tnhh Thương Mại &amp; Dịch Vụ"/>
    <n v="1"/>
    <x v="1"/>
    <x v="2"/>
    <d v="1899-12-30T07:28:09"/>
    <x v="9"/>
  </r>
  <r>
    <s v="3559381311837917504"/>
    <s v=""/>
    <x v="7"/>
    <n v="0"/>
    <s v=""/>
    <s v="NULL"/>
    <x v="0"/>
    <s v="2026-08-11 07:38:16"/>
    <s v="2026-08-11 07:48:15"/>
    <s v="NULL"/>
    <s v="NULL"/>
    <s v="2026-08-11 09:48:15"/>
    <s v=""/>
    <s v="106.51121750377196"/>
    <s v="10.632132992473089"/>
    <s v="106.3404925"/>
    <s v="9.9024377"/>
    <n v="663552"/>
    <n v="0"/>
    <n v="663552"/>
    <s v="Cash"/>
    <s v="400 QL1A, KP9, Mỹ Yên, Tây Ninh, Việt Nam400 QL1A, KP9, Mỹ Yên, Tây Ninh, Việt Nam"/>
    <s v="Trà Vinh, Vĩnh Long, Việt NamTrà Vinh"/>
    <n v="1"/>
    <x v="1"/>
    <x v="2"/>
    <d v="1899-12-30T07:38:16"/>
    <x v="9"/>
  </r>
  <r>
    <s v="3559381311837917645"/>
    <s v=""/>
    <x v="7"/>
    <n v="0"/>
    <s v=""/>
    <s v="NULL"/>
    <x v="0"/>
    <s v="2026-08-11 07:38:55"/>
    <s v="2026-08-11 07:48:54"/>
    <s v="NULL"/>
    <s v="NULL"/>
    <s v="2026-08-11 09:48:54"/>
    <s v=""/>
    <s v="106.51121750377196"/>
    <s v="10.632132992473089"/>
    <s v="108.0183739"/>
    <s v="14.3541816"/>
    <n v="3441204"/>
    <n v="0"/>
    <n v="3441204"/>
    <s v="Cash"/>
    <s v="400 QL1A, KP9, Mỹ Yên, Tây Ninh, Việt Nam400 QL1A, KP9, Mỹ Yên, Tây Ninh, Việt Nam"/>
    <s v="Kon Tum, Quảng Ngãi, Việt NamKon Tum"/>
    <n v="1"/>
    <x v="1"/>
    <x v="2"/>
    <d v="1899-12-30T07:38:55"/>
    <x v="9"/>
  </r>
  <r>
    <s v="3559383005548208254"/>
    <s v=""/>
    <x v="7"/>
    <n v="0"/>
    <s v=""/>
    <s v="NULL"/>
    <x v="0"/>
    <s v="2026-08-11 07:28:32"/>
    <s v="2026-08-11 07:38:32"/>
    <s v="NULL"/>
    <s v="NULL"/>
    <s v="2026-08-11 09:38:32"/>
    <s v=""/>
    <s v="106.5083845"/>
    <s v="10.6428394"/>
    <s v="106.5922566"/>
    <s v="10.7697428"/>
    <n v="94392"/>
    <n v="0"/>
    <n v="94392"/>
    <s v="Cash"/>
    <s v="CÔNG TY TNHH BIBICA MIỀN TÂY, 9 VL3, KCN Vĩnh Lộc 2, Mỹ Yên, Tây Ninh, Việt NamCÔNG TY TNHH BIBICA MIỀN TÂY"/>
    <s v="CÔNG TY CP SX HTD BÌNH TÂN, Hương lộ 2, Bình Trị Đông, Hồ Chí Minh, Việt NamCÔNG TY CP SX HTD BÌNH TÂN"/>
    <n v="1"/>
    <x v="1"/>
    <x v="2"/>
    <d v="1899-12-30T07:28:32"/>
    <x v="4"/>
  </r>
  <r>
    <s v="3559383005548208659"/>
    <s v=""/>
    <x v="7"/>
    <n v="4142151"/>
    <s v=""/>
    <s v="Motorcycle"/>
    <x v="2"/>
    <s v="2026-08-11 07:30:59"/>
    <s v="2026-08-11 07:40:59"/>
    <s v="2026-08-11 20:42:15"/>
    <s v="NULL"/>
    <s v=""/>
    <s v=""/>
    <s v="106.5558973"/>
    <s v="10.6424013"/>
    <s v="106.749202"/>
    <s v="10.8387417"/>
    <n v="201528"/>
    <n v="156231"/>
    <n v="45297"/>
    <s v="Cash"/>
    <s v="CÔNG TY TNHH SX TM DV XNK NHỰA CHÂU HƯNG, Đường tỉnh 835B, Ấp Phú Thành, Phước Lý, Tây Ninh, Việt NamCÔNG TY TNHH SX TM DV XNK NHỰA CHÂU HƯNG"/>
    <s v="Công Ty Tnhh Tm Eurochem, Đường Số 2, Thủ Đức, Hồ Chí Minh, Việt NamCông Ty Tnhh Tm Eurochem"/>
    <n v="1"/>
    <x v="1"/>
    <x v="2"/>
    <d v="1899-12-30T07:30:59"/>
    <x v="14"/>
  </r>
  <r>
    <s v="3559383005564981882"/>
    <s v=""/>
    <x v="7"/>
    <n v="4532958"/>
    <s v=""/>
    <s v="Motorcycle"/>
    <x v="2"/>
    <s v="2026-08-11 07:37:20"/>
    <s v="2026-08-11 07:47:20"/>
    <s v="2026-08-11 08:25:23"/>
    <s v="NULL"/>
    <s v=""/>
    <s v=""/>
    <s v="106.49134769938964"/>
    <s v="10.617992297820091"/>
    <s v="105.4420026"/>
    <s v="9.9512641"/>
    <n v="1129572"/>
    <n v="875680"/>
    <n v="253892"/>
    <s v="Cash"/>
    <s v="JF9R+F63, Bến Lức, Tây Ninh, Việt NamJF9R+F63, Bến Lức, Tây Ninh, Việt Nam"/>
    <s v="Kiên Giang, Ngọc Chúc, An Giang, Việt NamKiên Giang"/>
    <n v="1"/>
    <x v="1"/>
    <x v="2"/>
    <d v="1899-12-30T07:37:20"/>
    <x v="14"/>
  </r>
  <r>
    <s v="3559384394525536514"/>
    <s v=""/>
    <x v="7"/>
    <n v="4803316"/>
    <s v=""/>
    <s v="Motorcycle"/>
    <x v="2"/>
    <s v="2026-08-11 07:31:53"/>
    <s v="2026-08-11 07:41:52"/>
    <s v="2026-08-11 08:08:23"/>
    <s v="NULL"/>
    <s v=""/>
    <s v=""/>
    <s v="106.5662616"/>
    <s v="10.6461536"/>
    <s v="106.7144591"/>
    <s v="10.804514"/>
    <n v="216108"/>
    <n v="167534"/>
    <n v="48574"/>
    <s v="Cash"/>
    <s v="Công ty TNHH Vy Kỳ, Đ. Sân Banh, Phước Lý, Tây Ninh, Việt NamCông ty TNHH Vy Kỳ"/>
    <s v="Win.D Gaming Quận Bình Thạnh, Đường Võ Oanh, Thạnh Mỹ Tây, Hồ Chí Minh, Việt NamWin.D Gaming Quận Bình Thạnh"/>
    <n v="1"/>
    <x v="1"/>
    <x v="2"/>
    <d v="1899-12-30T07:31:53"/>
    <x v="14"/>
  </r>
  <r>
    <s v="3559385331910537637"/>
    <s v=""/>
    <x v="7"/>
    <n v="0"/>
    <s v=""/>
    <s v="NULL"/>
    <x v="0"/>
    <s v="2026-08-11 07:34:05"/>
    <s v="2026-08-11 07:44:04"/>
    <s v="NULL"/>
    <s v="NULL"/>
    <s v="2026-08-11 09:44:04"/>
    <s v=""/>
    <s v="106.55417576335448"/>
    <s v="10.643974397573698"/>
    <s v="106.690788"/>
    <s v="10.793931"/>
    <n v="189216"/>
    <n v="0"/>
    <n v="189216"/>
    <s v="Cash"/>
    <s v="JHV3+6RF, Phước Lý, Tây Ninh, Việt NamJHV3+6RF, Phước Lý, Tây Ninh, Việt Nam"/>
    <s v="Quận 1, Đường Trần Khắc Chân, Tân Định, Hồ Chí Minh, Việt NamQuận 1"/>
    <n v="1"/>
    <x v="1"/>
    <x v="2"/>
    <d v="1899-12-30T07:34:05"/>
    <x v="9"/>
  </r>
  <r>
    <s v="3559385417499501388"/>
    <s v=""/>
    <x v="7"/>
    <n v="0"/>
    <s v=""/>
    <s v="NULL"/>
    <x v="0"/>
    <s v="2026-08-11 07:36:53"/>
    <s v="2026-08-11 07:46:52"/>
    <s v="NULL"/>
    <s v="NULL"/>
    <s v="2026-08-11 10:25:54"/>
    <s v=""/>
    <s v="106.46662846110839"/>
    <s v="10.621029280729278"/>
    <s v="105.8341598"/>
    <s v="21.0277644"/>
    <n v="8728560"/>
    <n v="0"/>
    <n v="8728560"/>
    <s v="Cash"/>
    <s v="JFC8+CM Bình Đức, Long An, Việt NamJFC8+CM Bình Đức, Long An, Việt Nam"/>
    <s v="Hà Nội, Việt NamHà Nội"/>
    <n v="1"/>
    <x v="1"/>
    <x v="2"/>
    <d v="1899-12-30T07:36:53"/>
    <x v="423"/>
  </r>
  <r>
    <s v="3559385417541448030"/>
    <s v=""/>
    <x v="7"/>
    <n v="0"/>
    <s v=""/>
    <s v="NULL"/>
    <x v="0"/>
    <s v="2026-08-11 07:47:39"/>
    <s v="2026-08-11 07:57:41"/>
    <s v="NULL"/>
    <s v="NULL"/>
    <s v="2026-08-11 09:57:41"/>
    <s v=""/>
    <s v="106.5083845"/>
    <s v="10.6428394"/>
    <s v="106.690788"/>
    <s v="10.793931"/>
    <n v="180252"/>
    <n v="0"/>
    <n v="180252"/>
    <s v="Cash"/>
    <s v="CÔNG TY TNHH BIBICA MIỀN TÂY, 9 VL3, KCN Vĩnh Lộc 2, Mỹ Yên, Tây Ninh, Việt NamCÔNG TY TNHH BIBICA MIỀN TÂY"/>
    <s v="Quận 1, Đường Trần Khắc Chân, Tân Định, Hồ Chí Minh, Việt NamQuận 1"/>
    <n v="1"/>
    <x v="1"/>
    <x v="2"/>
    <d v="1899-12-30T07:47:39"/>
    <x v="181"/>
  </r>
  <r>
    <s v="3559385427305787892"/>
    <s v=""/>
    <x v="7"/>
    <n v="0"/>
    <s v=""/>
    <s v="NULL"/>
    <x v="0"/>
    <s v="2026-08-11 07:34:35"/>
    <s v="2026-08-11 07:44:35"/>
    <s v="NULL"/>
    <s v="NULL"/>
    <s v="2026-08-11 09:44:35"/>
    <s v=""/>
    <s v="106.55417576335448"/>
    <s v="10.643974397573698"/>
    <s v="106.6650848"/>
    <s v="10.7895815"/>
    <n v="176580"/>
    <n v="0"/>
    <n v="176580"/>
    <s v="Cash"/>
    <s v="JHV3+6RF, Phước Lý, Tây Ninh, Việt NamJHV3+6RF, Phước Lý, Tây Ninh, Việt Nam"/>
    <s v="Quận 3, Cách Mạng Tháng Tám, Nhiêu Lộc, Hồ Chí Minh, Việt NamQuận 3"/>
    <n v="1"/>
    <x v="1"/>
    <x v="2"/>
    <d v="1899-12-30T07:34:35"/>
    <x v="4"/>
  </r>
  <r>
    <s v="3559387159771439272"/>
    <s v=""/>
    <x v="7"/>
    <n v="0"/>
    <s v=""/>
    <s v="NULL"/>
    <x v="0"/>
    <s v="2026-08-11 07:36:25"/>
    <s v="2026-08-11 07:46:25"/>
    <s v="NULL"/>
    <s v="NULL"/>
    <s v="2026-08-11 12:02:51"/>
    <s v=""/>
    <s v="106.56138554118651"/>
    <s v="10.644311812887473"/>
    <s v="106.6483066"/>
    <s v="10.7589406"/>
    <n v="119664"/>
    <n v="0"/>
    <n v="119664"/>
    <s v="Cash"/>
    <s v="JHV6+HH3, Phước Lý, Tây Ninh, Việt NamJHV6+HH3, Phước Lý, Tây Ninh, Việt Nam"/>
    <s v="Quận 11, Đường Xóm Đất, Bình Thới, Hồ Chí Minh, Việt NamQuận 11"/>
    <n v="1"/>
    <x v="1"/>
    <x v="2"/>
    <d v="1899-12-30T07:36:25"/>
    <x v="424"/>
  </r>
  <r>
    <s v="3559390230949884826"/>
    <s v=""/>
    <x v="7"/>
    <n v="0"/>
    <s v=""/>
    <s v="NULL"/>
    <x v="0"/>
    <s v="2026-08-11 07:50:08"/>
    <s v="2026-08-11 08:00:09"/>
    <s v="NULL"/>
    <s v="NULL"/>
    <s v="2026-08-11 10:00:09"/>
    <s v=""/>
    <s v="106.5083845"/>
    <s v="10.6428394"/>
    <s v="106.7076858"/>
    <s v="10.7295817"/>
    <n v="159840"/>
    <n v="0"/>
    <n v="159840"/>
    <s v="Cash"/>
    <s v="CÔNG TY TNHH BIBICA MIỀN TÂY, 9 VL3, KCN Vĩnh Lộc 2, Mỹ Yên, Tây Ninh, Việt NamCÔNG TY TNHH BIBICA MIỀN TÂY"/>
    <s v="quận 7, Hưng Phước 4, Khu đô thị Phú Mỹ Hưng, Tân Hưng, Hồ Chí Minh, Việt Namquận 7"/>
    <n v="1"/>
    <x v="1"/>
    <x v="2"/>
    <d v="1899-12-30T07:50:08"/>
    <x v="0"/>
  </r>
  <r>
    <s v="3559390230966657958"/>
    <s v=""/>
    <x v="7"/>
    <n v="0"/>
    <s v=""/>
    <s v="NULL"/>
    <x v="0"/>
    <s v="2026-08-11 07:54:29"/>
    <s v="2026-08-11 08:04:30"/>
    <s v="NULL"/>
    <s v="NULL"/>
    <s v="2026-08-11 10:04:30"/>
    <s v=""/>
    <s v="106.5170719"/>
    <s v="10.6408032"/>
    <s v="106.6710302"/>
    <s v="10.7434097"/>
    <n v="144504"/>
    <n v="0"/>
    <n v="144504"/>
    <s v="Cash"/>
    <s v="Cty Cp Nhua Doan Minh Long, Đường Vĩnh Lộc KCN Vĩnh Lộc 2, Mỹ Yên, Tây Ninh, Việt NamCty Cp Nhua Doan Minh Long"/>
    <s v="Chung Cư Phạm Thế Hiển Quận 8, Bưu Điện Chánh Hưng, Đường Phạm Thế Hiển, Chánh Hưng, Hồ Chí Minh, Việt NamChung Cư Phạm Thế Hiển Quận 8"/>
    <n v="1"/>
    <x v="1"/>
    <x v="2"/>
    <d v="1899-12-30T07:54:29"/>
    <x v="0"/>
  </r>
  <r>
    <s v="3559390640313946207"/>
    <s v=""/>
    <x v="7"/>
    <n v="0"/>
    <s v=""/>
    <s v="NULL"/>
    <x v="0"/>
    <s v="2026-08-11 07:51:42"/>
    <s v="2026-08-11 08:01:43"/>
    <s v="NULL"/>
    <s v="NULL"/>
    <s v="2026-08-11 10:01:43"/>
    <s v=""/>
    <s v="106.5083845"/>
    <s v="10.6428394"/>
    <s v="106.6565005"/>
    <s v="10.7722764"/>
    <n v="154980"/>
    <n v="0"/>
    <n v="154980"/>
    <s v="Cash"/>
    <s v="CÔNG TY TNHH BIBICA MIỀN TÂY, 9 VL3, KCN Vĩnh Lộc 2, Mỹ Yên, Tây Ninh, Việt NamCÔNG TY TNHH BIBICA MIỀN TÂY"/>
    <s v="Công Ty Dv Công Ích Quận 11, Đường Số 2, Phú Thọ, Hồ Chí Minh, Việt NamCông Ty Dv Công Ích Quận 11"/>
    <n v="1"/>
    <x v="1"/>
    <x v="2"/>
    <d v="1899-12-30T07:51:42"/>
    <x v="0"/>
  </r>
  <r>
    <s v="3559390640313946548"/>
    <s v=""/>
    <x v="7"/>
    <n v="0"/>
    <s v=""/>
    <s v="NULL"/>
    <x v="0"/>
    <s v="2026-08-11 07:53:13"/>
    <s v="2026-08-11 08:03:14"/>
    <s v="NULL"/>
    <s v="NULL"/>
    <s v="2026-08-11 10:03:14"/>
    <s v=""/>
    <s v="106.5170719"/>
    <s v="10.6408032"/>
    <s v="106.6823683"/>
    <s v="10.7801292"/>
    <n v="163728"/>
    <n v="0"/>
    <n v="163728"/>
    <s v="Cash"/>
    <s v="Cty Cp Nhua Doan Minh Long, Đường Vĩnh Lộc KCN Vĩnh Lộc 2, Mỹ Yên, Tây Ninh, Việt NamCty Cp Nhua Doan Minh Long"/>
    <s v="CÔNG TY CỔ PHẦN THƯƠNG MẠI DỊCH VỤ QUẬN 3, Lý Chính Thắng, Nhiêu Lộc, Hồ Chí Minh, Việt NamCÔNG TY CỔ PHẦN THƯƠNG MẠI DỊCH VỤ QUẬN 3"/>
    <n v="1"/>
    <x v="1"/>
    <x v="2"/>
    <d v="1899-12-30T07:53:13"/>
    <x v="0"/>
  </r>
  <r>
    <s v="3559392135541379732"/>
    <s v=""/>
    <x v="7"/>
    <n v="0"/>
    <s v=""/>
    <s v="NULL"/>
    <x v="0"/>
    <s v="2026-08-11 07:52:03"/>
    <s v="2026-08-11 08:02:04"/>
    <s v="NULL"/>
    <s v="NULL"/>
    <s v="2026-08-11 10:02:04"/>
    <s v=""/>
    <s v="106.5083845"/>
    <s v="10.6428394"/>
    <s v="106.6745776"/>
    <s v="10.865126"/>
    <n v="208872"/>
    <n v="0"/>
    <n v="208872"/>
    <s v="Cash"/>
    <s v="CÔNG TY TNHH BIBICA MIỀN TÂY, 9 VL3, KCN Vĩnh Lộc 2, Mỹ Yên, Tây Ninh, Việt NamCÔNG TY TNHH BIBICA MIỀN TÂY"/>
    <s v="Quận 12, Thới An, Hồ Chí Minh, Việt NamQuận 12"/>
    <n v="1"/>
    <x v="1"/>
    <x v="2"/>
    <d v="1899-12-30T07:52:03"/>
    <x v="0"/>
  </r>
  <r>
    <s v="3559392135558164919"/>
    <s v=""/>
    <x v="7"/>
    <n v="0"/>
    <s v=""/>
    <s v="NULL"/>
    <x v="0"/>
    <s v="2026-08-11 07:55:32"/>
    <s v="2026-08-11 08:05:33"/>
    <s v="NULL"/>
    <s v="NULL"/>
    <s v="2026-08-11 10:05:33"/>
    <s v=""/>
    <s v="106.5170719"/>
    <s v="10.6408032"/>
    <s v="106.6745776"/>
    <s v="10.865126"/>
    <n v="205956"/>
    <n v="0"/>
    <n v="205956"/>
    <s v="Cash"/>
    <s v="Cty Cp Nhua Doan Minh Long, Đường Vĩnh Lộc KCN Vĩnh Lộc 2, Mỹ Yên, Tây Ninh, Việt NamCty Cp Nhua Doan Minh Long"/>
    <s v="Quận 12, Thới An, Hồ Chí Minh, Việt NamQuận 12"/>
    <n v="1"/>
    <x v="1"/>
    <x v="2"/>
    <d v="1899-12-30T07:55:32"/>
    <x v="0"/>
  </r>
  <r>
    <s v="3559392135558165452"/>
    <s v=""/>
    <x v="7"/>
    <n v="0"/>
    <s v=""/>
    <s v="NULL"/>
    <x v="0"/>
    <s v="2026-08-11 07:57:45"/>
    <s v="2026-08-11 08:07:46"/>
    <s v="NULL"/>
    <s v="NULL"/>
    <s v="2026-08-11 10:07:46"/>
    <s v=""/>
    <s v="106.5109355"/>
    <s v="10.6319986"/>
    <s v="106.7076858"/>
    <s v="10.7295817"/>
    <n v="168156"/>
    <n v="0"/>
    <n v="168156"/>
    <s v="Cash"/>
    <s v="400 QL1A, KP9, Mỹ Yên, Tây Ninh, Việt Nam400 QL1A, KP9, Mỹ Yên, Tây Ninh, Việt Nam"/>
    <s v="quận 7, Hưng Phước 4, Khu đô thị Phú Mỹ Hưng, Tân Hưng, Hồ Chí Minh, Việt Namquận 7"/>
    <n v="1"/>
    <x v="1"/>
    <x v="2"/>
    <d v="1899-12-30T07:57:45"/>
    <x v="0"/>
  </r>
  <r>
    <s v="3559393368775811518"/>
    <s v=""/>
    <x v="7"/>
    <n v="0"/>
    <s v=""/>
    <s v="NULL"/>
    <x v="0"/>
    <s v="2026-08-11 07:52:58"/>
    <s v="2026-08-11 08:02:59"/>
    <s v="NULL"/>
    <s v="NULL"/>
    <s v="2026-08-11 10:02:59"/>
    <s v=""/>
    <s v="106.5170719"/>
    <s v="10.6408032"/>
    <s v="106.7293479"/>
    <s v="10.7869031"/>
    <n v="190188"/>
    <n v="0"/>
    <n v="190188"/>
    <s v="Cash"/>
    <s v="Cty Cp Nhua Doan Minh Long, Đường Vĩnh Lộc KCN Vĩnh Lộc 2, Mỹ Yên, Tây Ninh, Việt NamCty Cp Nhua Doan Minh Long"/>
    <s v="Công Ty Tnhh, Trần Não, Quận 2, An Khánh, Hồ Chí Minh, Việt NamCông Ty Tnhh"/>
    <n v="1"/>
    <x v="1"/>
    <x v="2"/>
    <d v="1899-12-30T07:52:58"/>
    <x v="0"/>
  </r>
  <r>
    <s v="3559393972310987072"/>
    <s v=""/>
    <x v="7"/>
    <n v="0"/>
    <s v=""/>
    <s v="NULL"/>
    <x v="0"/>
    <s v="2026-08-11 07:58:00"/>
    <s v="2026-08-11 08:08:01"/>
    <s v="NULL"/>
    <s v="NULL"/>
    <s v="2026-08-11 10:08:01"/>
    <s v=""/>
    <s v="106.5109355"/>
    <s v="10.6319986"/>
    <s v="106.6710302"/>
    <s v="10.7434097"/>
    <n v="157788"/>
    <n v="0"/>
    <n v="157788"/>
    <s v="Cash"/>
    <s v="400 QL1A, KP9, Mỹ Yên, Tây Ninh, Việt Nam400 QL1A, KP9, Mỹ Yên, Tây Ninh, Việt Nam"/>
    <s v="Chung Cư Phạm Thế Hiển Quận 8, Bưu Điện Chánh Hưng, Đường Phạm Thế Hiển, Chánh Hưng, Hồ Chí Minh, Việt NamChung Cư Phạm Thế Hiển Quận 8"/>
    <n v="1"/>
    <x v="1"/>
    <x v="2"/>
    <d v="1899-12-30T07:58:00"/>
    <x v="0"/>
  </r>
  <r>
    <s v="3559393994557583624"/>
    <s v=""/>
    <x v="7"/>
    <n v="0"/>
    <s v=""/>
    <s v="NULL"/>
    <x v="0"/>
    <s v="2026-08-11 07:48:55"/>
    <s v="2026-08-11 07:58:56"/>
    <s v="NULL"/>
    <s v="NULL"/>
    <s v="2026-08-11 10:03:11"/>
    <s v=""/>
    <s v="106.5083845"/>
    <s v="10.6428394"/>
    <s v="106.6989609"/>
    <s v="10.7469416"/>
    <n v="168156"/>
    <n v="0"/>
    <n v="168156"/>
    <s v="Cash"/>
    <s v="CÔNG TY TNHH BIBICA MIỀN TÂY, 9 VL3, KCN Vĩnh Lộc 2, Mỹ Yên, Tây Ninh, Việt NamCÔNG TY TNHH BIBICA MIỀN TÂY"/>
    <s v="Quận 4 TP HCM, Tân Hưng, Hồ Chí Minh, Việt NamQuận 4 TP HCM"/>
    <n v="1"/>
    <x v="1"/>
    <x v="2"/>
    <d v="1899-12-30T07:48:55"/>
    <x v="425"/>
  </r>
  <r>
    <s v="3559393994591129651"/>
    <s v=""/>
    <x v="7"/>
    <n v="0"/>
    <s v=""/>
    <s v="NULL"/>
    <x v="0"/>
    <s v="2026-08-11 07:56:53"/>
    <s v="2026-08-11 08:06:54"/>
    <s v="NULL"/>
    <s v="NULL"/>
    <s v="2026-08-11 10:06:54"/>
    <s v=""/>
    <s v="106.5109355"/>
    <s v="10.6319986"/>
    <s v="106.6989609"/>
    <s v="10.7469416"/>
    <n v="176364"/>
    <n v="0"/>
    <n v="176364"/>
    <s v="Cash"/>
    <s v="400 QL1A, KP9, Mỹ Yên, Tây Ninh, Việt Nam400 QL1A, KP9, Mỹ Yên, Tây Ninh, Việt Nam"/>
    <s v="Quận 4 TP HCM, Tân Hưng, Hồ Chí Minh, Việt NamQuận 4 TP HCM"/>
    <n v="1"/>
    <x v="1"/>
    <x v="2"/>
    <d v="1899-12-30T07:56:53"/>
    <x v="0"/>
  </r>
  <r>
    <s v="3559394092687515941"/>
    <s v=""/>
    <x v="7"/>
    <n v="0"/>
    <s v=""/>
    <s v="NULL"/>
    <x v="0"/>
    <s v="2026-08-11 07:49:40"/>
    <s v="2026-08-11 07:59:41"/>
    <s v="NULL"/>
    <s v="NULL"/>
    <s v="2026-08-11 09:59:41"/>
    <s v=""/>
    <s v="106.5083845"/>
    <s v="10.6428394"/>
    <s v="106.6408802"/>
    <s v="10.7471372"/>
    <n v="134568"/>
    <n v="0"/>
    <n v="134568"/>
    <s v="Cash"/>
    <s v="CÔNG TY TNHH BIBICA MIỀN TÂY, 9 VL3, KCN Vĩnh Lộc 2, Mỹ Yên, Tây Ninh, Việt NamCÔNG TY TNHH BIBICA MIỀN TÂY"/>
    <s v="Quận 6, Đường Phan Văn Khỏe, Bình Tây, Hồ Chí Minh, Việt NamQuận 6"/>
    <n v="1"/>
    <x v="1"/>
    <x v="2"/>
    <d v="1899-12-30T07:49:40"/>
    <x v="0"/>
  </r>
  <r>
    <s v="3559395496906936671"/>
    <s v=""/>
    <x v="7"/>
    <n v="0"/>
    <s v=""/>
    <s v="NULL"/>
    <x v="0"/>
    <s v="2026-08-11 07:56:04"/>
    <s v="2026-08-11 08:06:06"/>
    <s v="NULL"/>
    <s v="NULL"/>
    <s v="2026-08-11 10:06:06"/>
    <s v=""/>
    <s v="106.5109355"/>
    <s v="10.6319986"/>
    <s v="106.690788"/>
    <s v="10.793931"/>
    <n v="186516"/>
    <n v="0"/>
    <n v="186516"/>
    <s v="Cash"/>
    <s v="400 QL1A, KP9, Mỹ Yên, Tây Ninh, Việt Nam400 QL1A, KP9, Mỹ Yên, Tây Ninh, Việt Nam"/>
    <s v="Quận 1, Đường Trần Khắc Chân, Tân Định, Hồ Chí Minh, Việt NamQuận 1"/>
    <n v="1"/>
    <x v="1"/>
    <x v="2"/>
    <d v="1899-12-30T07:56:04"/>
    <x v="181"/>
  </r>
  <r>
    <s v="3559395496906936937"/>
    <s v=""/>
    <x v="7"/>
    <n v="0"/>
    <s v=""/>
    <s v="NULL"/>
    <x v="0"/>
    <s v="2026-08-11 07:57:09"/>
    <s v="2026-08-11 08:07:11"/>
    <s v="NULL"/>
    <s v="NULL"/>
    <s v="2026-08-11 10:07:11"/>
    <s v=""/>
    <s v="106.5109355"/>
    <s v="10.6319986"/>
    <s v="106.6776275"/>
    <s v="10.7577667"/>
    <n v="165996"/>
    <n v="0"/>
    <n v="165996"/>
    <s v="Cash"/>
    <s v="400 QL1A, KP9, Mỹ Yên, Tây Ninh, Việt Nam400 QL1A, KP9, Mỹ Yên, Tây Ninh, Việt Nam"/>
    <s v="Công Ty Tnhh Mtv Dịch Vụ Công Ích Quận 5, Đường Lê Hồng Phong, Chợ Quán, Hồ Chí Minh, Việt NamCông Ty Tnhh Mtv Dịch Vụ Công Ích Quận 5"/>
    <n v="1"/>
    <x v="1"/>
    <x v="2"/>
    <d v="1899-12-30T07:57:09"/>
    <x v="181"/>
  </r>
  <r>
    <s v="3559395496906937267"/>
    <s v=""/>
    <x v="7"/>
    <n v="0"/>
    <s v=""/>
    <s v="NULL"/>
    <x v="0"/>
    <s v="2026-08-11 07:58:29"/>
    <s v="2026-08-11 08:08:30"/>
    <s v="NULL"/>
    <s v="NULL"/>
    <s v="2026-08-11 10:08:30"/>
    <s v=""/>
    <s v="106.5109355"/>
    <s v="10.6319986"/>
    <s v="106.6707851"/>
    <s v="10.7627387"/>
    <n v="156600"/>
    <n v="0"/>
    <n v="156600"/>
    <s v="Cash"/>
    <s v="400 QL1A, KP9, Mỹ Yên, Tây Ninh, Việt Nam400 QL1A, KP9, Mỹ Yên, Tây Ninh, Việt Nam"/>
    <s v="Công Ty Cp Dược Phẩm Quận 10, Đường Ngô Gia Tự, Vườn Lài, Hồ Chí Minh, Việt NamCông Ty Cp Dược Phẩm Quận 10"/>
    <n v="1"/>
    <x v="1"/>
    <x v="2"/>
    <d v="1899-12-30T07:58:29"/>
    <x v="0"/>
  </r>
  <r>
    <s v="3559398050927693934"/>
    <s v=""/>
    <x v="7"/>
    <n v="0"/>
    <s v=""/>
    <s v="NULL"/>
    <x v="0"/>
    <s v="2026-08-11 07:55:13"/>
    <s v="2026-08-11 08:05:14"/>
    <s v="NULL"/>
    <s v="NULL"/>
    <s v="2026-08-11 10:05:14"/>
    <s v=""/>
    <s v="106.5170719"/>
    <s v="10.6408032"/>
    <s v="106.6565005"/>
    <s v="10.7722764"/>
    <n v="150444"/>
    <n v="0"/>
    <n v="150444"/>
    <s v="Cash"/>
    <s v="Cty Cp Nhua Doan Minh Long, Đường Vĩnh Lộc KCN Vĩnh Lộc 2, Mỹ Yên, Tây Ninh, Việt NamCty Cp Nhua Doan Minh Long"/>
    <s v="Công Ty Dv Công Ích Quận 11, Đường Số 2, Phú Thọ, Hồ Chí Minh, Việt NamCông Ty Dv Công Ích Quận 11"/>
    <n v="1"/>
    <x v="1"/>
    <x v="2"/>
    <d v="1899-12-30T07:55:13"/>
    <x v="0"/>
  </r>
  <r>
    <s v="3559399627264581906"/>
    <s v=""/>
    <x v="7"/>
    <n v="3324131"/>
    <s v=""/>
    <s v="Motorcycle"/>
    <x v="2"/>
    <s v="2026-08-11 07:59:07"/>
    <s v="2026-08-11 08:09:08"/>
    <s v="2026-08-11 11:07:58"/>
    <s v="2026-08-11 11:16:39"/>
    <s v=""/>
    <s v=""/>
    <s v="106.5109355"/>
    <s v="10.6319986"/>
    <s v="106.6745776"/>
    <s v="10.865126"/>
    <n v="225936"/>
    <n v="175153"/>
    <n v="50783"/>
    <s v="Cash"/>
    <s v="400 QL1A, KP9, Mỹ Yên, Tây Ninh, Việt Nam400 QL1A, KP9, Mỹ Yên, Tây Ninh, Việt Nam"/>
    <s v="Quận 12, Thới An, Hồ Chí Minh, Việt NamQuận 12"/>
    <n v="1"/>
    <x v="1"/>
    <x v="2"/>
    <d v="1899-12-30T07:59:07"/>
    <x v="14"/>
  </r>
  <r>
    <s v="3561920281176134086"/>
    <s v="ywja"/>
    <x v="8"/>
    <n v="0"/>
    <s v=""/>
    <s v="NULL"/>
    <x v="0"/>
    <s v="2026-08-14 19:27:50"/>
    <s v="2026-08-14 19:37:00"/>
    <s v="NULL"/>
    <s v="NULL"/>
    <s v="2026-08-14 21:47:25"/>
    <s v=""/>
    <s v="106.30594320595264"/>
    <s v="10.45837183459061"/>
    <s v="106.7528749"/>
    <s v="10.8963726"/>
    <n v="363420"/>
    <n v="0"/>
    <n v="363420"/>
    <s v="Cash"/>
    <s v="Knitpassion Vietnam Co, Xã Tân Lập 1, Huyện Tân Phước, Tiền Giang, Việt NamKnitpassion Vietnam Co"/>
    <s v="Dĩ An, Bình Dương, Việt NamDĩ An"/>
    <n v="2"/>
    <x v="1"/>
    <x v="3"/>
    <d v="1899-12-30T19:27:50"/>
    <x v="426"/>
  </r>
  <r>
    <s v="3561926507997913819"/>
    <s v="ywja"/>
    <x v="8"/>
    <n v="0"/>
    <s v=""/>
    <s v="NULL"/>
    <x v="1"/>
    <s v="2026-08-14 19:51:14"/>
    <s v="2026-08-14 20:01:00"/>
    <s v="NULL"/>
    <s v="NULL"/>
    <s v="2026-08-14 22:37:32"/>
    <s v=""/>
    <s v="106.36431310325861"/>
    <s v="10.54819615514206"/>
    <s v="106.8553913757205"/>
    <s v="10.956091167761963"/>
    <n v="472284"/>
    <n v="0"/>
    <n v="472284"/>
    <s v="Cash"/>
    <s v="Công Ty TNHH Texray, Đường Số 1, Xã Lợi Bình Nhơn, Tân An, Long An, Việt NamCông Ty TNHH Texray"/>
    <s v="Hẻm 279/36 Đồng Khởi, Phường Tam Hiệp, Biên Hòa, Đồng Nai, Việt NamHẻm 279/36 Đồng Khởi, Phường Tam Hiệp, Biên Hòa, Đồng Nai, Việt Nam"/>
    <n v="1"/>
    <x v="1"/>
    <x v="3"/>
    <d v="1899-12-30T19:51:14"/>
    <x v="427"/>
  </r>
  <r>
    <s v="3561931026144129374"/>
    <s v="ywja"/>
    <x v="8"/>
    <n v="0"/>
    <s v=""/>
    <s v="NULL"/>
    <x v="1"/>
    <s v="2026-08-14 19:54:24"/>
    <s v="2026-08-14 20:04:00"/>
    <s v="NULL"/>
    <s v="NULL"/>
    <s v="2026-08-14 22:38:05"/>
    <s v=""/>
    <s v="106.34317595511675"/>
    <s v="10.437206283280435"/>
    <s v="106.71417441219091"/>
    <s v="10.770579132480067"/>
    <n v="369900"/>
    <n v="0"/>
    <n v="369900"/>
    <s v="Cash"/>
    <s v="631 QL.1A, Xã Thân Cửu Nghĩa, Huyện Châu Thành, Tiền Giang, Việt Nam631 QL.1A, Xã Thân Cửu Nghĩa, Huyện Châu Thành, Tiền Giang, Việt Nam"/>
    <s v="Đường Mai Chí Thọ, Phường Thủ Thiêm, Thủ Đức, Hồ Chí Minh, Việt NamĐường Mai Chí Thọ, Phường Thủ Thiêm, Thủ Đức, Hồ Chí Minh, Việt Nam"/>
    <n v="1"/>
    <x v="1"/>
    <x v="3"/>
    <d v="1899-12-30T19:54:24"/>
    <x v="428"/>
  </r>
  <r>
    <s v="3561931026160902817"/>
    <s v="ywja"/>
    <x v="8"/>
    <n v="0"/>
    <s v=""/>
    <s v="NULL"/>
    <x v="1"/>
    <s v="2026-08-14 20:00:47"/>
    <s v="2026-08-14 20:10:00"/>
    <s v="NULL"/>
    <s v="NULL"/>
    <s v="2026-08-14 20:03:51"/>
    <s v=""/>
    <s v="106.66095804423094"/>
    <s v="10.815221220846455"/>
    <s v="106.5937658"/>
    <s v="10.5012534"/>
    <n v="364544"/>
    <n v="0"/>
    <n v="364544"/>
    <s v="Cash"/>
    <s v="Chim Rừng, Phường 2, Quận Tân Bình, Hồ Chí Minh, Việt NamChim Rừng"/>
    <s v="Cần Đước, Long An, Việt NamCần Đước"/>
    <n v="1"/>
    <x v="1"/>
    <x v="3"/>
    <d v="1899-12-30T20:00:47"/>
    <x v="429"/>
  </r>
  <r>
    <s v="3561935720316891568"/>
    <s v="ywja"/>
    <x v="8"/>
    <n v="0"/>
    <s v=""/>
    <s v="NULL"/>
    <x v="1"/>
    <s v="2026-08-14 20:04:34"/>
    <s v="2026-08-14 20:14:00"/>
    <s v="NULL"/>
    <s v="NULL"/>
    <s v="2026-08-14 20:08:19"/>
    <s v=""/>
    <s v="106.64453689008951"/>
    <s v="10.780006862642269"/>
    <s v="106.5937658"/>
    <s v="10.5012534"/>
    <n v="274536"/>
    <n v="0"/>
    <n v="274536"/>
    <s v="Cash"/>
    <s v="200/11 Đường Trần Văn Quang, Phường 10, Quận Tân Bình, Hồ Chí Minh, Việt Nam200/11 Đường Trần Văn Quang, Phường 10, Quận Tân Bình, Hồ Chí Minh, Việt Nam"/>
    <s v="Cần Đước, Long An, Việt NamCần Đước"/>
    <n v="1"/>
    <x v="1"/>
    <x v="3"/>
    <d v="1899-12-30T20:04:34"/>
    <x v="430"/>
  </r>
  <r>
    <s v="3561940391647465786"/>
    <s v="ywja"/>
    <x v="8"/>
    <n v="0"/>
    <s v=""/>
    <s v="NULL"/>
    <x v="1"/>
    <s v="2026-08-14 20:08:52"/>
    <s v="2026-08-14 20:18:00"/>
    <s v="NULL"/>
    <s v="NULL"/>
    <s v="2026-08-14 22:37:49"/>
    <s v=""/>
    <s v="106.64453689008951"/>
    <s v="10.780006862642269"/>
    <s v="106.76386803388596"/>
    <s v="10.914634533481776"/>
    <n v="219240"/>
    <n v="0"/>
    <n v="219240"/>
    <s v="Cash"/>
    <s v="200/11 Đường Trần Văn Quang, Phường 10, Quận Tân Bình, Hồ Chí Minh, Việt Nam200/11 Đường Trần Văn Quang, Phường 10, Quận Tân Bình, Hồ Chí Minh, Việt Nam"/>
    <s v="56 Đường Phan Bội Châu, Phường Dĩ An, Dĩ An, Bình Dương, Việt Nam56 Đường Phan Bội Châu, Phường Dĩ An, Dĩ An, Bình Dương, Việt Nam"/>
    <n v="1"/>
    <x v="1"/>
    <x v="3"/>
    <d v="1899-12-30T20:08:52"/>
    <x v="431"/>
  </r>
  <r>
    <s v="3562270971387933615"/>
    <s v="ywja"/>
    <x v="8"/>
    <n v="2720584"/>
    <s v=""/>
    <s v="Motorcycle"/>
    <x v="2"/>
    <s v="2026-08-15 07:22:58"/>
    <s v="2026-08-15 07:32:00"/>
    <s v="2026-08-15 15:07:45"/>
    <s v="NULL"/>
    <s v=""/>
    <s v=""/>
    <s v="106.30649473518133"/>
    <s v="10.458625378556127"/>
    <s v="106.76386803388596"/>
    <s v="10.914634533481776"/>
    <n v="364392"/>
    <n v="282488"/>
    <n v="81904"/>
    <s v="Cash"/>
    <s v="Knitpassion Vietnam Co, Xã Tân Lập 1, Huyện Tân Phước, Tiền Giang, Việt NamKnitpassion Vietnam Co"/>
    <s v="56 Đường Phan Bội Châu, Phường Dĩ An, Dĩ An, Bình Dương, Việt Nam56 Đường Phan Bội Châu, Phường Dĩ An, Dĩ An, Bình Dương, Việt Nam"/>
    <n v="1"/>
    <x v="1"/>
    <x v="4"/>
    <d v="1899-12-30T07:22:58"/>
    <x v="14"/>
  </r>
  <r>
    <s v="3562276519319663623"/>
    <s v="ywja"/>
    <x v="8"/>
    <n v="0"/>
    <s v="lấy hàng ở công so2"/>
    <s v="NULL"/>
    <x v="0"/>
    <s v="2026-08-15 07:31:16"/>
    <s v="2026-08-15 07:41:00"/>
    <s v="NULL"/>
    <s v="NULL"/>
    <s v="2026-08-15 10:44:37"/>
    <s v=""/>
    <s v="106.36374413967133"/>
    <s v="10.548405787275483"/>
    <s v="106.72999676316977"/>
    <s v="10.795302910788779"/>
    <n v="234144"/>
    <n v="0"/>
    <n v="234144"/>
    <s v="Cash"/>
    <s v="Công Ty TNHH Texray, Đường Số 1, Xã Lợi Bình Nhơn, Tân An, Long An, Việt NamCông Ty TNHH Texray"/>
    <s v="9 Hẻm 17 Đường Số 23, Phường An Khánh, Thủ Đức, Hồ Chí Minh, Việt Nam9 Hẻm 17 Đường Số 23, Phường An Khánh, Thủ Đức, Hồ Chí Minh, Việt Nam"/>
    <n v="1"/>
    <x v="1"/>
    <x v="4"/>
    <d v="1899-12-30T07:31:16"/>
    <x v="432"/>
  </r>
  <r>
    <s v="3562276765491745436"/>
    <s v="ywja"/>
    <x v="8"/>
    <n v="4629889"/>
    <s v=""/>
    <s v="Motorcycle"/>
    <x v="1"/>
    <s v="2026-08-15 07:29:15"/>
    <s v="2026-08-15 07:39:00"/>
    <s v="2026-08-15 07:34:33"/>
    <s v="NULL"/>
    <s v="2026-08-15 07:57:28"/>
    <s v=""/>
    <s v="106.40938829630613"/>
    <s v="10.528183869483371"/>
    <s v="106.5937658"/>
    <s v="10.5012534"/>
    <n v="108540"/>
    <n v="84144"/>
    <n v="24396"/>
    <s v="Cash"/>
    <s v="233 Đường Nguyễn Văn Rành, Phường 7, Tân An, Long An, Việt Nam233 Đường Nguyễn Văn Rành, Phường 7, Tân An, Long An, Việt Nam"/>
    <s v="Cần Đước, Long An, Việt NamCần Đước"/>
    <n v="1"/>
    <x v="1"/>
    <x v="4"/>
    <d v="1899-12-30T07:29:15"/>
    <x v="433"/>
  </r>
  <r>
    <s v="3562285304331325974"/>
    <s v="ywja"/>
    <x v="8"/>
    <n v="3559625"/>
    <s v=""/>
    <s v="Motorcycle"/>
    <x v="2"/>
    <s v="2026-08-15 07:41:51"/>
    <s v="2026-08-15 07:51:00"/>
    <s v="2026-08-15 10:10:29"/>
    <s v="NULL"/>
    <s v=""/>
    <s v=""/>
    <s v="106.35848701000214"/>
    <s v="10.477384419468544"/>
    <s v="106.5427215769887"/>
    <s v="10.941015681221925"/>
    <n v="344520"/>
    <n v="282793"/>
    <n v="61727"/>
    <s v="Cash"/>
    <s v="Ymuv Dormitory Gate, Xã Tân Hương, Huyện Châu Thành, Tiền Giang, Việt NamYmuv Dormitory Gate"/>
    <s v="6 Hẻm 97, Xã Tân Phú Trung, Huyện Củ Chi, Hồ Chí Minh, Việt Nam6 Hẻm 97, Xã Tân Phú Trung, Huyện Củ Chi, Hồ Chí Minh, Việt Nam"/>
    <n v="1"/>
    <x v="1"/>
    <x v="4"/>
    <d v="1899-12-30T07:41:51"/>
    <x v="14"/>
  </r>
  <r>
    <s v="3562286923039068273"/>
    <s v="ywja"/>
    <x v="8"/>
    <n v="0"/>
    <s v=""/>
    <s v="NULL"/>
    <x v="0"/>
    <s v="2026-08-15 07:37:24"/>
    <s v="2026-08-15 07:47:00"/>
    <s v="NULL"/>
    <s v="NULL"/>
    <s v="2026-08-15 11:57:35"/>
    <s v=""/>
    <s v="106.36683437973261"/>
    <s v="10.55179514988489"/>
    <s v="106.77585482597351"/>
    <s v="10.929153046963222"/>
    <n v="415260"/>
    <n v="0"/>
    <n v="415260"/>
    <s v="Cash"/>
    <s v="206 Đường Số 1, Xã Lợi Bình Nhơn, Tân An, Long An, Việt Nam206 Đường Số 1, Xã Lợi Bình Nhơn, Tân An, Long An, Việt Nam"/>
    <s v="Đường N15, Phường Tân Đông Hiệp, Dĩ An, Bình Dương, Việt NamĐường N15, Phường Tân Đông Hiệp, Dĩ An, Bình Dương, Việt Nam"/>
    <n v="1"/>
    <x v="1"/>
    <x v="4"/>
    <d v="1899-12-30T07:37:24"/>
    <x v="434"/>
  </r>
  <r>
    <s v="3562295630791663864"/>
    <s v="ywja"/>
    <x v="8"/>
    <n v="3094745"/>
    <s v=""/>
    <s v="Motorcycle"/>
    <x v="2"/>
    <s v="2026-08-15 08:01:46"/>
    <s v="2026-08-15 08:11:00"/>
    <s v="2026-08-15 09:58:51"/>
    <s v="NULL"/>
    <s v=""/>
    <s v=""/>
    <s v="106.40288528054953"/>
    <s v="10.537552522177547"/>
    <s v="106.41196589916945"/>
    <s v="10.897444278389502"/>
    <n v="276588"/>
    <n v="214420"/>
    <n v="62168"/>
    <s v="Cash"/>
    <s v="316 QL.1A, Phường 2, Tân An, Long An, Việt Nam316 QL.1A, Phường 2, Tân An, Long An, Việt Nam"/>
    <s v="QL.N2, Xã Đức Lập Hạ, Huyện Đức Hòa, Long An, Việt NamQL.N2, Xã Đức Lập Hạ, Huyện Đức Hòa, Long An, Việt Nam"/>
    <n v="1"/>
    <x v="1"/>
    <x v="4"/>
    <d v="1899-12-30T08:01:46"/>
    <x v="14"/>
  </r>
  <r>
    <s v="3562680915304080258"/>
    <s v="ywja"/>
    <x v="8"/>
    <n v="0"/>
    <s v=""/>
    <s v="NULL"/>
    <x v="1"/>
    <s v="2026-08-15 20:52:27"/>
    <s v="2026-08-15 21:02:00"/>
    <s v="NULL"/>
    <s v="NULL"/>
    <s v="2026-08-15 22:53:22"/>
    <s v=""/>
    <s v="106.35961756110191"/>
    <s v="10.545805811346327"/>
    <s v="106.64942219853401"/>
    <s v="10.845559677491183"/>
    <n v="320652"/>
    <n v="0"/>
    <n v="320652"/>
    <s v="Cash"/>
    <s v="Đường Số 6, Xã Lợi Bình Nhơn, Tân An, Long An, Việt NamĐường Số 6, Xã Lợi Bình Nhơn, Tân An, Long An, Việt Nam"/>
    <s v="5E Hẻm 34 Đường Số 3, Phường 9, Quận Gò Vấp, Hồ Chí Minh, Việt Nam5E Hẻm 34 Đường Số 3, Phường 9, Quận Gò Vấp, Hồ Chí Minh, Việt Nam"/>
    <n v="1"/>
    <x v="1"/>
    <x v="4"/>
    <d v="1899-12-30T20:52:27"/>
    <x v="435"/>
  </r>
  <r>
    <s v="3562687089495732339"/>
    <s v="ywja"/>
    <x v="8"/>
    <n v="0"/>
    <s v=""/>
    <s v="NULL"/>
    <x v="1"/>
    <s v="2026-08-15 21:01:08"/>
    <s v="2026-08-15 21:11:00"/>
    <s v="NULL"/>
    <s v="NULL"/>
    <s v="2026-08-15 22:53:54"/>
    <s v=""/>
    <s v="106.3097720593214"/>
    <s v="10.45730556290307"/>
    <s v="106.4523662"/>
    <s v="10.791816"/>
    <n v="231336"/>
    <n v="0"/>
    <n v="231336"/>
    <s v="Cash"/>
    <s v="Apache Rubber Room, Xã Tân Lập 1, Huyện Tân Phước, Tiền Giang, Việt NamApache Rubber Room"/>
    <s v="Đức Hòa, Long An, Việt NamĐức Hòa"/>
    <n v="1"/>
    <x v="1"/>
    <x v="4"/>
    <d v="1899-12-30T21:01:08"/>
    <x v="436"/>
  </r>
  <r>
    <s v="3563021328791597644"/>
    <s v="ywja"/>
    <x v="8"/>
    <n v="4832498"/>
    <s v=""/>
    <s v="Motorcycle"/>
    <x v="2"/>
    <s v="2026-08-16 08:07:51"/>
    <s v="2026-08-16 08:17:00"/>
    <s v="2026-08-16 08:43:44"/>
    <s v="2026-08-16 09:02:00"/>
    <s v=""/>
    <s v=""/>
    <s v="106.48498333990574"/>
    <s v="10.631191373346411"/>
    <s v="106.79924000054598"/>
    <s v="11.106549651129708"/>
    <n v="308880"/>
    <n v="239453"/>
    <n v="69427"/>
    <s v="Cash"/>
    <s v="115 Đường Nguyễn Văn Tuôi, Thị Trấn Bến Lức, Huyện Bến Lức, Long An, Việt Nam115 Đường Nguyễn Văn Tuôi, Thị Trấn Bến Lức, Huyện Bến Lức, Long An, Việt Nam"/>
    <s v="Đường Tân Lập, Phường Uyên Hưng, Thị Xã Tân Uyên, Bình Dương, Việt NamĐường Tân Lập, Phường Uyên Hưng, Thị Xã Tân Uyên, Bình Dương, Việt Nam"/>
    <n v="1"/>
    <x v="1"/>
    <x v="5"/>
    <d v="1899-12-30T08:07:51"/>
    <x v="14"/>
  </r>
  <r>
    <s v="3563033054605955836"/>
    <s v="ywja"/>
    <x v="8"/>
    <n v="0"/>
    <s v=""/>
    <s v="NULL"/>
    <x v="0"/>
    <s v="2026-08-16 08:28:10"/>
    <s v="2026-08-16 08:38:00"/>
    <s v="NULL"/>
    <s v="NULL"/>
    <s v="2026-08-16 10:38:00"/>
    <s v=""/>
    <s v="106.31143067032099"/>
    <s v="10.472377767603877"/>
    <s v="106.110768"/>
    <s v="10.125888"/>
    <n v="279288"/>
    <n v="0"/>
    <n v="279288"/>
    <s v="Cash"/>
    <s v="Công Ty TNHH Sản Phẩm Công Nghiệp SHC, Xã Tân Lập 1, Huyện Tân Phước, Tiền Giang, Việt NamCông Ty TNHH Sản Phẩm Công Nghiệp SHC"/>
    <s v="44G6+98, Trung Hiệp, Vĩnh Long, Việt NamVũng liem"/>
    <n v="1"/>
    <x v="1"/>
    <x v="5"/>
    <d v="1899-12-30T08:28:10"/>
    <x v="437"/>
  </r>
  <r>
    <s v="3563067177869472223"/>
    <s v="ywja"/>
    <x v="8"/>
    <n v="0"/>
    <s v=""/>
    <s v="NULL"/>
    <x v="0"/>
    <s v="2026-08-16 09:29:27"/>
    <s v="2026-08-16 09:39:00"/>
    <s v="NULL"/>
    <s v="NULL"/>
    <s v="2026-08-26 01:52:07"/>
    <s v=""/>
    <s v="106.35765954852104"/>
    <s v="10.48022695901871"/>
    <s v="106.89710844308138"/>
    <s v="10.92239755922144"/>
    <n v="350352"/>
    <n v="0"/>
    <n v="350352"/>
    <s v="Cash"/>
    <s v="Tongwei Feed Mill, Xã Tân Hương, Huyện Châu Thành, Tiền Giang, Việt NamTongwei Feed Mill"/>
    <s v="Đường Số 4, Phường Long Bình, Biên Hòa, Đồng Nai, Việt NamĐường Số 4, Phường Long Bình, Biên Hòa, Đồng Nai, Việt Nam"/>
    <n v="1"/>
    <x v="1"/>
    <x v="5"/>
    <d v="1899-12-30T09:29:27"/>
    <x v="438"/>
  </r>
  <r>
    <s v="3563118313120945047"/>
    <s v="ywja"/>
    <x v="8"/>
    <n v="4518343"/>
    <s v=""/>
    <s v="Motorcycle"/>
    <x v="2"/>
    <s v="2026-08-16 11:07:21"/>
    <s v="2026-08-16 11:17:00"/>
    <s v="2026-08-16 11:36:54"/>
    <s v="NULL"/>
    <s v=""/>
    <s v=""/>
    <s v="106.41314372420311"/>
    <s v="10.522400095634502"/>
    <s v="106.5937658"/>
    <s v="10.5012534"/>
    <n v="119016"/>
    <n v="92265"/>
    <n v="26751"/>
    <s v="Cash"/>
    <s v="2 Hẻm 350 Châu Thị Kim, Phường 7, Tân An, Long An, Việt Nam2 Hẻm 350 Châu Thị Kim, Phường 7, Tân An, Long An, Việt Nam"/>
    <s v="Cần Đước, Long An, Việt NamCần Đước"/>
    <n v="1"/>
    <x v="1"/>
    <x v="5"/>
    <d v="1899-12-30T11:07:21"/>
    <x v="14"/>
  </r>
  <r>
    <s v="3563122922040284025"/>
    <s v="ywja"/>
    <x v="8"/>
    <n v="0"/>
    <s v=""/>
    <s v="NULL"/>
    <x v="0"/>
    <s v="2026-08-16 11:16:14"/>
    <s v="2026-08-16 11:26:00"/>
    <s v="NULL"/>
    <s v="NULL"/>
    <s v="2026-08-16 16:44:52"/>
    <s v=""/>
    <s v="106.34644623845816"/>
    <s v="10.4946822304285"/>
    <s v="106.59621085971594"/>
    <s v="10.71826575129048"/>
    <n v="189000"/>
    <n v="0"/>
    <n v="189000"/>
    <s v="Cash"/>
    <s v="ĐT.866, Xã Tân Lý Đông, Huyện Châu Thành, Tiền Giang, Việt NamĐT.866, Xã Tân Lý Đông, Huyện Châu Thành, Tiền Giang, Việt Nam"/>
    <s v="Hẻm B5 Trần Đại Nghĩa, Xã Tân Kiên, Huyện Bình Chánh, Hồ Chí Minh, Việt NamHẻm B5 Trần Đại Nghĩa, Xã Tân Kiên, Huyện Bình Chánh, Hồ Chí Minh, Việt Nam"/>
    <n v="1"/>
    <x v="1"/>
    <x v="5"/>
    <d v="1899-12-30T11:16:14"/>
    <x v="439"/>
  </r>
  <r>
    <s v="3563125019695608043"/>
    <s v="ywja"/>
    <x v="8"/>
    <n v="0"/>
    <s v=""/>
    <s v="NULL"/>
    <x v="0"/>
    <s v="2026-08-16 11:18:40"/>
    <s v="2026-08-16 11:28:00"/>
    <s v="NULL"/>
    <s v="NULL"/>
    <s v="2026-08-16 16:41:24"/>
    <s v=""/>
    <s v="106.34644623845816"/>
    <s v="10.4946822304285"/>
    <s v="106.59184791147709"/>
    <s v="10.70834160779012"/>
    <n v="184140"/>
    <n v="0"/>
    <n v="184140"/>
    <s v="Cash"/>
    <s v="ĐT.866, Xã Tân Lý Đông, Huyện Châu Thành, Tiền Giang, Việt NamĐT.866, Xã Tân Lý Đông, Huyện Châu Thành, Tiền Giang, Việt Nam"/>
    <s v="Tân Kiên Middle School, Xã Tân Kiên, Huyện Bình Chánh, Hồ Chí Minh, Việt NamTân Kiên Middle School"/>
    <n v="1"/>
    <x v="1"/>
    <x v="5"/>
    <d v="1899-12-30T11:18:40"/>
    <x v="440"/>
  </r>
  <r>
    <s v="3563125019695608323"/>
    <s v="ywja"/>
    <x v="8"/>
    <n v="2581558"/>
    <s v="hỗ trợ 50k"/>
    <s v="Motorcycle"/>
    <x v="2"/>
    <s v="2026-08-16 11:19:33"/>
    <s v="2026-08-16 11:29:00"/>
    <s v="2026-08-16 12:06:28"/>
    <s v="NULL"/>
    <s v=""/>
    <s v=""/>
    <s v="106.34644623845816"/>
    <s v="10.4946822304285"/>
    <s v="106.59761667251587"/>
    <s v="10.697436699399367"/>
    <n v="172152"/>
    <n v="133458"/>
    <n v="38694"/>
    <s v="Cash"/>
    <s v="ĐT.866, Xã Tân Lý Đông, Huyện Châu Thành, Tiền Giang, Việt NamĐT.866, Xã Tân Lý Đông, Huyện Châu Thành, Tiền Giang, Việt Nam"/>
    <s v="26E QL.1A, Xã An Phú Tây, Huyện Bình Chánh, Hồ Chí Minh, Việt Nam26E QL.1A, Xã An Phú Tây, Huyện Bình Chánh, Hồ Chí Minh, Việt Nam"/>
    <n v="1"/>
    <x v="1"/>
    <x v="5"/>
    <d v="1899-12-30T11:19:33"/>
    <x v="14"/>
  </r>
  <r>
    <s v="3563136350129713324"/>
    <s v="ywja"/>
    <x v="8"/>
    <n v="0"/>
    <s v=""/>
    <s v="NULL"/>
    <x v="0"/>
    <s v="2026-08-16 11:41:14"/>
    <s v="2026-08-16 11:51:00"/>
    <s v="NULL"/>
    <s v="NULL"/>
    <s v="2026-08-16 13:51:00"/>
    <s v=""/>
    <s v="106.34644623845816"/>
    <s v="10.4946822304285"/>
    <s v="106.59515675157309"/>
    <s v="10.687174836035405"/>
    <n v="155952"/>
    <n v="0"/>
    <n v="155952"/>
    <s v="Cash"/>
    <s v="ĐT.866, Xã Tân Lý Đông, Huyện Châu Thành, Tiền Giang, Việt NamĐT.866, Xã Tân Lý Đông, Huyện Châu Thành, Tiền Giang, Việt Nam"/>
    <s v="268A/1/1 Hẻm 576 Đường An Phú Tây Hưng Long, Xã An Phú Tây, Huyện Bình Chánh, Hồ Chí Minh, Việt Nam268A/1/1 Hẻm 576 Đường An Phú Tây Hưng Long, Xã An Phú Tây, Huyện Bình Chánh, Hồ Chí Minh, Việt Nam"/>
    <n v="1"/>
    <x v="1"/>
    <x v="5"/>
    <d v="1899-12-30T11:41:14"/>
    <x v="441"/>
  </r>
  <r>
    <s v="3563198437858173834"/>
    <s v="ywja"/>
    <x v="8"/>
    <n v="0"/>
    <s v=""/>
    <s v="NULL"/>
    <x v="0"/>
    <s v="2026-08-16 13:53:21"/>
    <s v="2026-08-16 14:03:00"/>
    <s v="NULL"/>
    <s v="NULL"/>
    <s v="2026-08-16 21:11:56"/>
    <s v=""/>
    <s v="106.41515336930752"/>
    <s v="10.57604367524632"/>
    <s v="106.57280389219522"/>
    <s v="10.903373983383883"/>
    <n v="235764"/>
    <n v="0"/>
    <n v="235764"/>
    <s v="Cash"/>
    <s v="TL.834, Xã Bình Thạnh, Huyện Thủ Thừa, Long An, Việt NamTL.834, Xã Bình Thạnh, Huyện Thủ Thừa, Long An, Việt Nam"/>
    <s v="Quốc Lộ 22, Xã Tân Thới Nhì, Huyện Hóc Môn, Hồ Chí Minh, Việt NamQuốc Lộ 22, Xã Tân Thới Nhì, Huyện Hóc Môn, Hồ Chí Minh, Việt Nam"/>
    <n v="1"/>
    <x v="1"/>
    <x v="5"/>
    <d v="1899-12-30T13:53:21"/>
    <x v="442"/>
  </r>
  <r>
    <s v="3563199668282413744"/>
    <s v="ywja"/>
    <x v="8"/>
    <n v="4745301"/>
    <s v=""/>
    <s v="Motorcycle"/>
    <x v="2"/>
    <s v="2026-08-16 13:51:57"/>
    <s v="2026-08-16 14:01:00"/>
    <s v="2026-08-16 14:43:22"/>
    <s v="NULL"/>
    <s v=""/>
    <s v=""/>
    <s v="106.38157412409782"/>
    <s v="10.54167177802582"/>
    <s v="106.62226483225822"/>
    <s v="10.74336933388713"/>
    <n v="146016"/>
    <n v="113196"/>
    <n v="32820"/>
    <s v="Cash"/>
    <s v="Đường Ấp Xuân Hòa 1, Xã Lợi Bình Nhơn, Tân An, Long An, Việt NamĐường Ấp Xuân Hòa 1, Xã Lợi Bình Nhơn, Tân An, Long An, Việt Nam"/>
    <s v="293/4 Hẻm 293 Kinh Dương Vương, Phường An Lạc, Quận Bình Tân, Hồ Chí Minh, Việt Nam293/4 Hẻm 293 Kinh Dương Vương, Phường An Lạc, Quận Bình Tân, Hồ Chí Minh, Việt Nam"/>
    <n v="1"/>
    <x v="1"/>
    <x v="5"/>
    <d v="1899-12-30T13:51:57"/>
    <x v="14"/>
  </r>
  <r>
    <s v="3563203330698338647"/>
    <s v="ywja"/>
    <x v="8"/>
    <n v="0"/>
    <s v="thư gửi anh hùng"/>
    <s v="NULL"/>
    <x v="1"/>
    <s v="2026-08-16 14:01:19"/>
    <s v="2026-08-16 14:11:00"/>
    <s v="NULL"/>
    <s v="NULL"/>
    <s v="2026-08-16 14:17:28"/>
    <s v=""/>
    <s v="106.4121114090085"/>
    <s v="10.548741659845598"/>
    <s v="106.5660011395812"/>
    <s v="10.804927794491547"/>
    <n v="247224"/>
    <n v="0"/>
    <n v="247224"/>
    <s v="Cash"/>
    <s v="32 Đường Lê Văn Tưởng, Phường 5, Tân An, Long An, Việt Nam32 Đường Lê Văn Tưởng, Phường 5, Tân An, Long An, Việt Nam"/>
    <s v="A6/4A Đường Vĩnh Lộc, Xã Vĩnh Lộc A, Huyện Bình Chánh, Hồ Chí Minh, Việt NamA6/4A Đường Vĩnh Lộc, Xã Vĩnh Lộc A, Huyện Bình Chánh, Hồ Chí Minh, Việt Nam"/>
    <n v="1"/>
    <x v="1"/>
    <x v="5"/>
    <d v="1899-12-30T14:01:19"/>
    <x v="443"/>
  </r>
  <r>
    <s v="3563261219005752152"/>
    <s v="ywja"/>
    <x v="8"/>
    <n v="0"/>
    <s v=""/>
    <s v="NULL"/>
    <x v="0"/>
    <s v="2026-08-16 15:58:37"/>
    <s v="2026-08-16 16:08:00"/>
    <s v="NULL"/>
    <s v="NULL"/>
    <s v="2026-08-16 19:45:00"/>
    <s v=""/>
    <s v="106.2511832267046"/>
    <s v="10.359922817004286"/>
    <s v="106.66244465857744"/>
    <s v="10.373309200763567"/>
    <n v="350352"/>
    <n v="0"/>
    <n v="350352"/>
    <s v="Cash"/>
    <s v="Thế Giới VI Tính 3 0 Vĩnh Kim, Xã Đông Hòa, Huyện Châu Thành, Tiền Giang, Việt NamThế Giới VI Tính 3 0 Vĩnh Kim"/>
    <s v="Đường Nguyễn Trọng Hợp, Xã Long Chánh, Thị Xã Gò Công, Tiền Giang, Việt NamĐường Nguyễn Trọng Hợp, Xã Long Chánh, Thị Xã Gò Công, Tiền Giang, Việt Nam"/>
    <n v="1"/>
    <x v="1"/>
    <x v="5"/>
    <d v="1899-12-30T15:58:37"/>
    <x v="444"/>
  </r>
  <r>
    <s v="3563263957785600851"/>
    <s v="ywja"/>
    <x v="8"/>
    <n v="3944441"/>
    <s v=""/>
    <s v="Van (t)"/>
    <x v="1"/>
    <s v="2026-08-16 16:04:00"/>
    <s v="2026-08-16 16:14:00"/>
    <s v="2026-08-16 16:05:03"/>
    <s v="NULL"/>
    <s v="2026-08-16 16:06:06"/>
    <s v=""/>
    <s v="106.61274030804634"/>
    <s v="10.753714274162474"/>
    <s v="106.55733525753021"/>
    <s v="10.841292411571454"/>
    <n v="482868"/>
    <n v="374334"/>
    <n v="108534"/>
    <s v="Cash"/>
    <s v="15 Đường Số 23, Phường Bình Trị Đông B, Quận Bình Tân, Hồ Chí Minh, Việt Nam15 Đường Số 23, Phường Bình Trị Đông B, Quận Bình Tân, Hồ Chí Minh, Việt Nam"/>
    <s v="Đường Nữ Dân Công, Xã Vĩnh Lộc A, Huyện Bình Chánh, Hồ Chí Minh, Việt NamĐường Nữ Dân Công, Xã Vĩnh Lộc A, Huyện Bình Chánh, Hồ Chí Minh, Việt Nam"/>
    <n v="1"/>
    <x v="1"/>
    <x v="5"/>
    <d v="1899-12-30T16:04:00"/>
    <x v="445"/>
  </r>
  <r>
    <s v="3563395929195373091"/>
    <s v="ywja"/>
    <x v="8"/>
    <n v="0"/>
    <s v=""/>
    <s v="NULL"/>
    <x v="0"/>
    <s v="2026-08-16 20:38:00"/>
    <s v="2026-08-16 20:48:00"/>
    <s v="NULL"/>
    <s v="NULL"/>
    <s v="2026-08-16 23:29:59"/>
    <s v=""/>
    <s v="106.41910325735807"/>
    <s v="10.560944891000585"/>
    <s v="106.58841133117676"/>
    <s v="10.880058443986005"/>
    <n v="217728"/>
    <n v="0"/>
    <n v="217728"/>
    <s v="Cash"/>
    <s v="2A ĐT.833, Phường 5, Tân An, Long An, Việt Nam2A ĐT.833, Phường 5, Tân An, Long An, Việt Nam"/>
    <s v="Quốc Lộ 22, Xã Xuân Thới Sơn, Huyện Hóc Môn, Hồ Chí Minh, Việt NamQuốc Lộ 22, Xã Xuân Thới Sơn, Huyện Hóc Môn, Hồ Chí Minh, Việt Nam"/>
    <n v="1"/>
    <x v="1"/>
    <x v="5"/>
    <d v="1899-12-30T20:38:00"/>
    <x v="446"/>
  </r>
  <r>
    <s v="3563400840901521757"/>
    <s v="ywja"/>
    <x v="8"/>
    <n v="3117747"/>
    <s v="hỗ trợ 50k đi nhanh không gep"/>
    <s v="Motorcycle"/>
    <x v="2"/>
    <s v="2026-08-16 20:47:27"/>
    <s v="2026-08-16 20:57:00"/>
    <s v="2026-08-17 13:06:40"/>
    <s v="2026-08-17 13:09:09"/>
    <s v=""/>
    <s v=""/>
    <s v="106.65755800902843"/>
    <s v="10.790941065554078"/>
    <s v="106.7443898320198"/>
    <s v="10.883170821934462"/>
    <n v="45900"/>
    <n v="35583"/>
    <n v="10317"/>
    <s v="Cash"/>
    <s v="1054/3 Hẻm 1054 Cách Mạng Tháng 8, Phường 4, Quận Tân Bình, Hồ Chí Minh, Việt Nam1054/3 Hẻm 1054 Cách Mạng Tháng 8, Phường 4, Quận Tân Bình, Hồ Chí Minh, Việt Nam"/>
    <s v="100 Đường Số 10, Phường Dĩ An, Dĩ An, Bình Dương, Việt Nam100 Đường Số 10, Phường Dĩ An, Dĩ An, Bình Dương, Việt Nam"/>
    <n v="1"/>
    <x v="1"/>
    <x v="5"/>
    <d v="1899-12-30T20:47:27"/>
    <x v="14"/>
  </r>
  <r>
    <s v="3563738339809120353"/>
    <s v="ywja"/>
    <x v="8"/>
    <n v="0"/>
    <s v=""/>
    <s v="NULL"/>
    <x v="0"/>
    <s v="2026-08-17 07:41:33"/>
    <s v="2026-08-17 07:51:00"/>
    <s v="NULL"/>
    <s v="NULL"/>
    <s v="2026-08-17 09:51:00"/>
    <s v=""/>
    <s v="106.3634554669261"/>
    <s v="10.548699469788232"/>
    <s v="106.75092168152332"/>
    <s v="10.886370745864825"/>
    <n v="337284"/>
    <n v="0"/>
    <n v="337284"/>
    <s v="Cash"/>
    <s v="Đường Số 3, Xã Lợi Bình Nhơn, Tân An, Long An, Việt NamĐường Số 3, Xã Lợi Bình Nhơn, Tân An, Long An, Việt Nam"/>
    <s v="Đường Số 5, Phường Dĩ An, Dĩ An, Bình Dương, Việt NamĐường Số 5, Phường Dĩ An, Dĩ An, Bình Dương, Việt Nam"/>
    <n v="1"/>
    <x v="1"/>
    <x v="6"/>
    <d v="1899-12-30T07:41:33"/>
    <x v="447"/>
  </r>
  <r>
    <s v="3563745946020049270"/>
    <s v="ywja"/>
    <x v="8"/>
    <n v="4055972"/>
    <s v="4 bảo nhựa 25kg 1bao hỗ trợ 15k 1bao"/>
    <s v="Motorcycle"/>
    <x v="2"/>
    <s v="2026-08-17 07:55:47"/>
    <s v="2026-08-17 08:05:00"/>
    <s v="2026-08-17 09:49:04"/>
    <s v="NULL"/>
    <s v=""/>
    <s v=""/>
    <s v="106.41566567122936"/>
    <s v="10.526324410878455"/>
    <s v="106.67505338788033"/>
    <s v="11.075133061427849"/>
    <n v="413208"/>
    <n v="320332"/>
    <n v="92876"/>
    <s v="Cash"/>
    <s v="185 Đường Châu Thị Kim, Phường 7, Tân An, Long An, Việt Nam185 Đường Châu Thị Kim, Phường 7, Tân An, Long An, Việt Nam"/>
    <s v="Đường Lê Lợi, Phường Hòa Phú, Thủ Dầu Một, Bình Dương, Việt NamĐường Lê Lợi, Phường Hòa Phú, Thủ Dầu Một, Bình Dương, Việt Nam"/>
    <n v="1"/>
    <x v="1"/>
    <x v="6"/>
    <d v="1899-12-30T07:55:47"/>
    <x v="14"/>
  </r>
  <r>
    <s v="3563750598937633649"/>
    <s v="ywja"/>
    <x v="8"/>
    <n v="4677889"/>
    <s v=""/>
    <s v="Motorcycle"/>
    <x v="2"/>
    <s v="2026-08-17 08:06:18"/>
    <s v="2026-08-17 08:16:00"/>
    <s v="2026-08-17 10:18:52"/>
    <s v="NULL"/>
    <s v=""/>
    <s v=""/>
    <s v="106.34609084576368"/>
    <s v="10.491827955469319"/>
    <s v="106.66253618896008"/>
    <s v="10.809134982079156"/>
    <n v="320112"/>
    <n v="248161"/>
    <n v="71951"/>
    <s v="Cash"/>
    <s v="ĐT.866, Xã Tân Lý Đông, Huyện Châu Thành, Tiền Giang, Việt NamĐT.866, Xã Tân Lý Đông, Huyện Châu Thành, Tiền Giang, Việt Nam"/>
    <s v="Đường Hậu Giang, Phường 4, Quận Tân Bình, Hồ Chí Minh, Việt NamĐường Hậu Giang, Phường 4, Quận Tân Bình, Hồ Chí Minh, Việt Nam"/>
    <n v="1"/>
    <x v="1"/>
    <x v="6"/>
    <d v="1899-12-30T08:06:18"/>
    <x v="14"/>
  </r>
  <r>
    <s v="3563771272007737736"/>
    <s v="ywja"/>
    <x v="8"/>
    <n v="0"/>
    <s v=""/>
    <s v="NULL"/>
    <x v="0"/>
    <s v="2026-08-17 08:47:40"/>
    <s v="2026-08-17 08:57:00"/>
    <s v="NULL"/>
    <s v="NULL"/>
    <s v="2026-08-17 13:10:40"/>
    <s v=""/>
    <s v="106.305130161345"/>
    <s v="10.476807468451819"/>
    <s v="106.65319304913282"/>
    <s v="10.806540199928914"/>
    <n v="278100"/>
    <n v="0"/>
    <n v="278100"/>
    <s v="Cash"/>
    <s v="Gi Fitting Factory, Xã Tân Lập 1, Huyện Tân Phước, Tiền Giang, Việt NamGi Fitting Factory"/>
    <s v="Cộng Hòa, Phường 4, Quận Tân Bình, Hồ Chí Minh, Việt NamCộng Hòa, Phường 4, Quận Tân Bình, Hồ Chí Minh, Việt Nam"/>
    <n v="1"/>
    <x v="1"/>
    <x v="6"/>
    <d v="1899-12-30T08:47:40"/>
    <x v="448"/>
  </r>
  <r>
    <s v="3564113947441455372"/>
    <s v="ywja"/>
    <x v="8"/>
    <n v="0"/>
    <s v=""/>
    <s v="NULL"/>
    <x v="0"/>
    <s v="2026-08-17 20:21:27"/>
    <s v="2026-08-17 20:31:00"/>
    <s v="NULL"/>
    <s v="NULL"/>
    <s v="2026-08-17 22:54:15"/>
    <s v=""/>
    <s v="106.30096737295389"/>
    <s v="10.457440413173483"/>
    <s v="106.65319304913282"/>
    <s v="10.806540199928914"/>
    <n v="296892"/>
    <n v="0"/>
    <n v="296892"/>
    <s v="Cash"/>
    <s v="Knitpassion Vietnam Co, Xã Tân Lập 1, Huyện Tân Phước, Tiền Giang, Việt NamKnitpassion Vietnam Co"/>
    <s v="Cộng Hòa, Phường 4, Quận Tân Bình, Hồ Chí Minh, Việt NamCộng Hòa, Phường 4, Quận Tân Bình, Hồ Chí Minh, Việt Nam"/>
    <n v="1"/>
    <x v="1"/>
    <x v="6"/>
    <d v="1899-12-30T20:21:27"/>
    <x v="449"/>
  </r>
  <r>
    <s v="3564114330792452833"/>
    <s v="ywja"/>
    <x v="8"/>
    <n v="0"/>
    <s v=""/>
    <s v="NULL"/>
    <x v="0"/>
    <s v="2026-08-17 20:25:19"/>
    <s v="2026-08-17 20:35:00"/>
    <s v="NULL"/>
    <s v="NULL"/>
    <s v="2026-08-17 23:31:41"/>
    <s v=""/>
    <s v="106.39968305826187"/>
    <s v="10.534261890362515"/>
    <s v="106.71493951231241"/>
    <s v="10.90954389849037"/>
    <n v="286848"/>
    <n v="0"/>
    <n v="286848"/>
    <s v="Cash"/>
    <s v="Nhà Vợ, Bình Yên Đông 3, Phường 4, Tân An, Long An, Việt NamNhà Vợ"/>
    <s v="Phường Bình Hòa, Thuận An, Bình Dương, Việt NamGarbage Truck Cleans The Environment"/>
    <n v="1"/>
    <x v="1"/>
    <x v="6"/>
    <d v="1899-12-30T20:25:19"/>
    <x v="450"/>
  </r>
  <r>
    <s v="3564116455534580325"/>
    <s v="ywja"/>
    <x v="8"/>
    <n v="4403440"/>
    <s v=""/>
    <s v="Motorcycle"/>
    <x v="2"/>
    <s v="2026-08-17 20:23:15"/>
    <s v="2026-08-17 20:33:00"/>
    <s v="2026-08-17 21:28:56"/>
    <s v="NULL"/>
    <s v=""/>
    <s v=""/>
    <s v="106.3586750999093"/>
    <s v="10.488978599282188"/>
    <s v="106.66578635573387"/>
    <s v="10.835928853737508"/>
    <n v="267732"/>
    <n v="219763"/>
    <n v="47969"/>
    <s v="Cash"/>
    <s v="Cty TNHH Hansae TG, Xã Tân Hương, Huyện Châu Thành, Tiền Giang, Việt NamCty TNHH Hansae TG"/>
    <s v="37 Hẻm 710 Phan Văn Trị, Phường 10, Gò Vấp, Hồ Chí Minh, Việt Nam37 Hẻm 710 Phan Văn Trị, Phường 10, Gò Vấp, Hồ Chí Minh, Việt Nam"/>
    <n v="1"/>
    <x v="1"/>
    <x v="6"/>
    <d v="1899-12-30T20:23:15"/>
    <x v="14"/>
  </r>
  <r>
    <s v="3564132736061100757"/>
    <s v="ywja"/>
    <x v="8"/>
    <n v="3473772"/>
    <s v=""/>
    <s v="Motorcycle"/>
    <x v="2"/>
    <s v="2026-08-17 20:52:58"/>
    <s v="2026-08-17 21:02:00"/>
    <s v="2026-08-17 21:36:25"/>
    <s v="NULL"/>
    <s v=""/>
    <s v=""/>
    <s v="106.48597106337547"/>
    <s v="10.640606635420836"/>
    <s v="106.66578635573387"/>
    <s v="10.835928853737508"/>
    <n v="153468"/>
    <n v="118973"/>
    <n v="34495"/>
    <s v="Cash"/>
    <s v="130-132 Đường Nguyễn Hữu Thọ, Thị Trấn Bến Lức, Huyện Bến Lức, Long An, Việt Nam130-132 Đường Nguyễn Hữu Thọ"/>
    <s v="37 Hẻm 710 Phan Văn Trị, Phường 10, Gò Vấp, Hồ Chí Minh, Việt Nam37 Hẻm 710 Phan Văn Trị, Phường 10, Gò Vấp, Hồ Chí Minh, Việt Nam"/>
    <n v="1"/>
    <x v="1"/>
    <x v="6"/>
    <d v="1899-12-30T20:52:58"/>
    <x v="14"/>
  </r>
  <r>
    <s v="3564181097065705777"/>
    <s v="ywja"/>
    <x v="8"/>
    <n v="4799909"/>
    <s v=""/>
    <s v="Motorcycle"/>
    <x v="2"/>
    <s v="2026-08-17 23:21:31"/>
    <s v="2026-08-17 23:31:00"/>
    <s v="2026-08-17 23:49:00"/>
    <s v="NULL"/>
    <s v=""/>
    <s v=""/>
    <s v="106.62433046847582"/>
    <s v="10.746906074522812"/>
    <s v="106.42630264163017"/>
    <s v="10.547606811209356"/>
    <n v="109728"/>
    <n v="85065"/>
    <n v="24663"/>
    <s v="Cash"/>
    <s v="840 An Dương Vương, An Lạc, Quận 6, Hồ Chí Minh, Việt Nam840/10 Đường An Dương Vương"/>
    <s v="21 Lê Văn Khuyên, Phường 5, Tân An, Long An, Việt Nam21 Lê Văn Khuyên"/>
    <n v="1"/>
    <x v="1"/>
    <x v="6"/>
    <d v="1899-12-30T23:21:31"/>
    <x v="14"/>
  </r>
  <r>
    <s v="3564421299260575869"/>
    <s v=""/>
    <x v="9"/>
    <n v="0"/>
    <s v=""/>
    <s v="NULL"/>
    <x v="0"/>
    <s v="2026-08-18 06:58:27"/>
    <s v="2026-08-18 07:08:25"/>
    <s v="NULL"/>
    <s v="NULL"/>
    <s v="2026-08-18 09:42:33"/>
    <s v=""/>
    <s v="106.4903045"/>
    <s v="10.6014387"/>
    <s v="106.6010596"/>
    <s v="11.1300481"/>
    <n v="312012"/>
    <n v="0"/>
    <n v="312012"/>
    <s v="Cash"/>
    <s v="Long Định, Cần Đước, Long An, Việt NamVietNam SST , Dinco E&amp;C."/>
    <s v="Công Ty Yazaki Eds Việt Nam Ltd, Đường D1, Thị Xã Bến Cát, Bình DươngCông Ty Yazaki Eds Việt Nam Ltd, Đường D1"/>
    <n v="1"/>
    <x v="1"/>
    <x v="10"/>
    <d v="1899-12-30T06:58:27"/>
    <x v="451"/>
  </r>
  <r>
    <s v="3564429282782699900"/>
    <s v=""/>
    <x v="9"/>
    <n v="0"/>
    <s v=""/>
    <s v="NULL"/>
    <x v="0"/>
    <s v="2026-08-18 07:08:45"/>
    <s v="2026-08-18 07:18:45"/>
    <s v="NULL"/>
    <s v="NULL"/>
    <s v="2026-08-18 09:18:45"/>
    <s v=""/>
    <s v="106.4954223"/>
    <s v="10.6130342"/>
    <s v="106.7354427"/>
    <s v="10.9375918"/>
    <n v="239760"/>
    <n v="0"/>
    <n v="239760"/>
    <s v="Cash"/>
    <s v="Công Ty TNHH in phun sơn phụ liệu giày Long Thuận, Long Cang, Tây Ninh, Việt NamCông Ty TNHH in phun sơn phụ liệu giày Long Thuận"/>
    <s v="40Vsip, Vietnam Singapore Industrial Part, Street No 6, An Phú, Thuận An, Bình Dương, Việt NamMidea Consumer Electric (Viet Nam) Co., Ltd"/>
    <n v="1"/>
    <x v="1"/>
    <x v="10"/>
    <d v="1899-12-30T07:08:45"/>
    <x v="4"/>
  </r>
  <r>
    <s v="3564429282782700071"/>
    <s v=""/>
    <x v="9"/>
    <n v="0"/>
    <s v=""/>
    <s v="NULL"/>
    <x v="0"/>
    <s v="2026-08-18 07:10:04"/>
    <s v="2026-08-18 07:20:03"/>
    <s v="NULL"/>
    <s v="NULL"/>
    <s v="2026-08-18 09:20:03"/>
    <s v=""/>
    <s v="106.4946645"/>
    <s v="10.6118376"/>
    <s v="106.9419328"/>
    <s v="10.8218078"/>
    <n v="286848"/>
    <n v="0"/>
    <n v="286848"/>
    <s v="Cash"/>
    <s v="Lô C1, H, KCN Thuận Đạo Mở Rộng, 2 Đường Số 1, Long Định, Cần Đước, Long An, Việt NamChi nhánh Long An , Công ty TNHH Nutreco International Việt Nam (Nutreco Long An)"/>
    <s v="QL51, Long Đức, Long Thành, Đồng Nai, Việt NamCông Ty TNHH Cự Thành"/>
    <n v="1"/>
    <x v="1"/>
    <x v="10"/>
    <d v="1899-12-30T07:10:04"/>
    <x v="9"/>
  </r>
  <r>
    <s v="3564429421085675602"/>
    <s v=""/>
    <x v="9"/>
    <n v="4822140"/>
    <s v=""/>
    <s v="Motorcycle"/>
    <x v="4"/>
    <s v="2026-08-18 07:13:48"/>
    <s v="2026-08-18 07:23:48"/>
    <s v="2026-08-18 08:38:46"/>
    <s v="NULL"/>
    <s v="2026-08-28 07:24:48"/>
    <s v=""/>
    <s v="106.5124854"/>
    <s v="10.6208476"/>
    <s v="106.7858547"/>
    <s v="11.0982788"/>
    <n v="415260"/>
    <n v="321923"/>
    <n v="93337"/>
    <s v="Cash"/>
    <s v="PURELIFE HOME (VIETNAM) COMPANY LIMITED, Đường Số 1, KCN Phúc Long, Long Hiệp, Bến Lức, Long An, Việt NamPURELIFE HOME (VIETNAM) COMPANY LIMITED"/>
    <s v="Phường Uyên Hưng, Thị Xã Tân Uyên, Bình Dương, Việt NamCông Ty Cổ Phần S Furniture"/>
    <n v="1"/>
    <x v="1"/>
    <x v="10"/>
    <d v="1899-12-30T07:13:48"/>
    <x v="17"/>
  </r>
  <r>
    <s v="3564431552119263981"/>
    <s v="ywja"/>
    <x v="8"/>
    <n v="0"/>
    <s v=""/>
    <s v="NULL"/>
    <x v="0"/>
    <s v="2026-08-18 07:05:19"/>
    <s v="2026-08-18 07:15:00"/>
    <s v="NULL"/>
    <s v="NULL"/>
    <s v="2026-08-18 09:56:13"/>
    <s v=""/>
    <s v="106.3586750999093"/>
    <s v="10.488978599282188"/>
    <s v="106.65368355810642"/>
    <s v="10.801184582960168"/>
    <n v="222912"/>
    <n v="0"/>
    <n v="222912"/>
    <s v="Cash"/>
    <s v="Cty TNHH Hansae TG, Xã Tân Hương, Huyện Châu Thành, Tiền Giang, Việt NamCty TNHH Hansae TG"/>
    <s v="18A Đường Cộng Hòa, Phường 12, Quận Tân Bình, Hồ Chí Minh, Việt Nam18A Đường Cộng Hòa, Phường 12, Quận Tân Bình, Hồ Chí Minh, Việt Nam"/>
    <n v="1"/>
    <x v="1"/>
    <x v="10"/>
    <d v="1899-12-30T07:05:19"/>
    <x v="452"/>
  </r>
  <r>
    <s v="3564431552136048708"/>
    <s v=""/>
    <x v="9"/>
    <n v="867292"/>
    <s v=""/>
    <s v="Motorcycle"/>
    <x v="2"/>
    <s v="2026-08-18 07:08:20"/>
    <s v="2026-08-18 07:18:20"/>
    <s v="2026-08-18 11:58:44"/>
    <s v="NULL"/>
    <s v=""/>
    <s v=""/>
    <s v="106.4979495"/>
    <s v="10.6135396"/>
    <s v="106.7858547"/>
    <s v="11.0982788"/>
    <n v="302076"/>
    <n v="234179"/>
    <n v="67897"/>
    <s v="Cash"/>
    <s v="Khu Công Nghiệp Thuận Đạo Mở Rộng, Long Định, Cần Đước, Long An, Việt NamBW Thuan Dao Logistics Park"/>
    <s v="Phường Uyên Hưng, Thị Xã Tân Uyên, Bình Dương, Việt NamCông Ty Cổ Phần S Furniture"/>
    <n v="1"/>
    <x v="1"/>
    <x v="10"/>
    <d v="1899-12-30T07:08:20"/>
    <x v="14"/>
  </r>
  <r>
    <s v="3564431552136048867"/>
    <s v=""/>
    <x v="9"/>
    <n v="0"/>
    <s v=""/>
    <s v="NULL"/>
    <x v="0"/>
    <s v="2026-08-18 07:09:36"/>
    <s v="2026-08-18 07:19:35"/>
    <s v="NULL"/>
    <s v="NULL"/>
    <s v="2026-08-18 09:19:35"/>
    <s v=""/>
    <s v="106.4943924"/>
    <s v="10.6125726"/>
    <s v="106.8753458"/>
    <s v="10.9280318"/>
    <n v="259308"/>
    <n v="0"/>
    <n v="259308"/>
    <s v="Cash"/>
    <s v="Lô H5,2, Đường số 9, KCN Thuận Đạo Mở Rộng, Xã, Long Định, Cần Đước, Long An, Việt NamCông Ty TNHH MTV San,Ei VN (有限会社三栄ベトナム）"/>
    <s v="14 Đường Số 19A, An Bình, Thành phố Biên Hòa, Đồng Nai, Việt NamCông Ty Cp Scavi Việt Nam"/>
    <n v="1"/>
    <x v="1"/>
    <x v="10"/>
    <d v="1899-12-30T07:09:36"/>
    <x v="9"/>
  </r>
  <r>
    <s v="3564431552144437295"/>
    <s v=""/>
    <x v="9"/>
    <n v="4822140"/>
    <s v=""/>
    <s v="Motorcycle"/>
    <x v="4"/>
    <s v="2026-08-18 07:14:12"/>
    <s v="2026-08-18 07:24:12"/>
    <s v="2026-08-18 08:39:39"/>
    <s v="NULL"/>
    <s v="2026-08-28 07:25:12"/>
    <s v=""/>
    <s v="106.5124854"/>
    <s v="10.6208476"/>
    <s v="106.6982937"/>
    <s v="11.0383172"/>
    <n v="362664"/>
    <n v="281149"/>
    <n v="81515"/>
    <s v="Cash"/>
    <s v="PURELIFE HOME (VIETNAM) COMPANY LIMITED, Đường Số 1, KCN Phúc Long, Long Hiệp, Bến Lức, Long An, Việt NamPURELIFE HOME (VIETNAM) COMPANY LIMITED"/>
    <s v="Công ty TNHH Dệt Liên Châu, Đường N4, KCN Sóng Thần 3, Phường Phú Tân, Thủ Dầu Một, Bình Dương, Việt NamCông ty TNHH Dệt Liên Châu"/>
    <n v="1"/>
    <x v="1"/>
    <x v="10"/>
    <d v="1899-12-30T07:14:12"/>
    <x v="17"/>
  </r>
  <r>
    <s v="3564435434232828801"/>
    <s v=""/>
    <x v="9"/>
    <n v="0"/>
    <s v=""/>
    <s v="NULL"/>
    <x v="0"/>
    <s v="2026-08-18 07:10:58"/>
    <s v="2026-08-18 07:20:58"/>
    <s v="NULL"/>
    <s v="NULL"/>
    <s v="2026-08-18 09:20:58"/>
    <s v=""/>
    <s v="106.4878464"/>
    <s v="10.6193526"/>
    <s v="106.8021378"/>
    <s v="10.8263158"/>
    <n v="199800"/>
    <n v="0"/>
    <n v="199800"/>
    <s v="Cash"/>
    <s v="Thị trấn, Bến Lức, Long An, Việt NamCÔNG TY TNHH RICHFIELD VN"/>
    <s v="2,1 Đ. D2, Tăng Nhơn Phú B, Quận 9, Hồ Chí Minh, Việt NamCông Ty TNHH MTV Daeyoung Electronics Vina"/>
    <n v="1"/>
    <x v="1"/>
    <x v="10"/>
    <d v="1899-12-30T07:10:58"/>
    <x v="4"/>
  </r>
  <r>
    <s v="3564435434249613419"/>
    <s v=""/>
    <x v="9"/>
    <n v="0"/>
    <s v=""/>
    <s v="NULL"/>
    <x v="0"/>
    <s v="2026-08-18 07:13:09"/>
    <s v="2026-08-18 07:23:09"/>
    <s v="NULL"/>
    <s v="NULL"/>
    <s v="2026-08-18 09:23:09"/>
    <s v=""/>
    <s v="106.512463"/>
    <s v="10.6195398"/>
    <s v="106.6544367"/>
    <s v="10.8441568"/>
    <n v="136296"/>
    <n v="0"/>
    <n v="136296"/>
    <s v="Cash"/>
    <s v="CÔNG TY TNHH VẬT LIỆU CÔNG NGHỆ CAO LONGDA WEIFANG VIỆT NAM, Đ. Số 1, Khu công nghiệp Phúc Long, Mỹ Yên, Tây Ninh, Việt NamCÔNG TY TNHH VẬT LIỆU CÔNG NGHỆ CAO LONGDA WEIFANG VIỆT NAM"/>
    <s v="162/59 Đ. Nguyễn Văn Khối, Phường 9, Gò Vấp, Thành phố Hồ Chí Minh, Việt Namcông ty TNHH TM DV Hoàng Tân Khang"/>
    <n v="1"/>
    <x v="1"/>
    <x v="10"/>
    <d v="1899-12-30T07:13:09"/>
    <x v="4"/>
  </r>
  <r>
    <s v="3564435434249613539"/>
    <s v=""/>
    <x v="9"/>
    <n v="0"/>
    <s v=""/>
    <s v="NULL"/>
    <x v="0"/>
    <s v="2026-08-18 07:14:00"/>
    <s v="2026-08-18 07:24:00"/>
    <s v="NULL"/>
    <s v="NULL"/>
    <s v="2026-08-18 09:24:00"/>
    <s v=""/>
    <s v="106.5124854"/>
    <s v="10.6208476"/>
    <s v="106.7354427"/>
    <s v="10.9375918"/>
    <n v="224100"/>
    <n v="0"/>
    <n v="224100"/>
    <s v="Cash"/>
    <s v="PURELIFE HOME (VIETNAM) COMPANY LIMITED, Đường Số 1, KCN Phúc Long, Long Hiệp, Bến Lức, Long An, Việt NamPURELIFE HOME (VIETNAM) COMPANY LIMITED"/>
    <s v="40Vsip, Vietnam Singapore Industrial Part, Street No 6, An Phú, Thuận An, Bình Dương, Việt NamMidea Consumer Electric (Viet Nam) Co., Ltd"/>
    <n v="1"/>
    <x v="1"/>
    <x v="10"/>
    <d v="1899-12-30T07:14:00"/>
    <x v="4"/>
  </r>
  <r>
    <s v="3564436867929830233"/>
    <s v=""/>
    <x v="9"/>
    <n v="0"/>
    <s v=""/>
    <s v="NULL"/>
    <x v="0"/>
    <s v="2026-08-18 07:05:10"/>
    <s v="2026-08-18 07:15:08"/>
    <s v="NULL"/>
    <s v="NULL"/>
    <s v="2026-08-18 09:24:06"/>
    <s v=""/>
    <s v="106.4973945"/>
    <s v="10.6090006"/>
    <s v="106.728420780112"/>
    <s v="10.792584679465"/>
    <n v="211572"/>
    <n v="0"/>
    <n v="211572"/>
    <s v="Cash"/>
    <s v="CÔNG TY TNHH KUZCO VIỆT NAM, Long Cang, Tây Ninh, Việt NamCÔNG TY TNHH KUZCO VIỆT NAM"/>
    <s v="45 Đường Số 29, Khu Phố 1, An Khánh, Hồ Chí Minh 70000, Việt NamCông Ty Tnhh Nbh Group"/>
    <n v="1"/>
    <x v="1"/>
    <x v="10"/>
    <d v="1899-12-30T07:05:10"/>
    <x v="453"/>
  </r>
  <r>
    <s v="3564436867929830306"/>
    <s v=""/>
    <x v="9"/>
    <n v="0"/>
    <s v=""/>
    <s v="NULL"/>
    <x v="0"/>
    <s v="2026-08-18 07:05:50"/>
    <s v="2026-08-18 07:15:48"/>
    <s v="NULL"/>
    <s v="NULL"/>
    <s v="2026-08-18 09:15:48"/>
    <s v=""/>
    <s v="106.4989895"/>
    <s v="10.6101417"/>
    <s v="106.7215829"/>
    <s v="10.7919587"/>
    <n v="210492"/>
    <n v="0"/>
    <n v="210492"/>
    <s v="Cash"/>
    <s v="Long Định, Cần Đước, Long An, Việt NamOKIA OPTICAL VIETNAM"/>
    <s v="Công ty TNHH DY PLUS, Vinhomes Tân Cảng, Thạnh Mỹ Tây, Hồ Chí Minh, Việt NamCông ty TNHH DY PLUS"/>
    <n v="1"/>
    <x v="1"/>
    <x v="10"/>
    <d v="1899-12-30T07:05:50"/>
    <x v="208"/>
  </r>
  <r>
    <s v="3564436867946602750"/>
    <s v=""/>
    <x v="9"/>
    <n v="3746341"/>
    <s v=""/>
    <s v="Motorcycle"/>
    <x v="1"/>
    <s v="2026-08-18 07:08:09"/>
    <s v="2026-08-18 07:18:08"/>
    <s v="2026-08-18 07:41:23"/>
    <s v="NULL"/>
    <s v="2026-08-18 07:44:33"/>
    <s v=""/>
    <s v="106.4979495"/>
    <s v="10.6135396"/>
    <s v="106.6010596"/>
    <s v="11.1300481"/>
    <n v="296892"/>
    <n v="243699"/>
    <n v="53193"/>
    <s v="Cash"/>
    <s v="Khu Công Nghiệp Thuận Đạo Mở Rộng, Long Định, Cần Đước, Long An, Việt NamBW Thuan Dao Logistics Park"/>
    <s v="Công Ty Yazaki Eds Việt Nam Ltd, Đường D1, Thị Xã Bến Cát, Bình DươngCông Ty Yazaki Eds Việt Nam Ltd, Đường D1"/>
    <n v="1"/>
    <x v="1"/>
    <x v="10"/>
    <d v="1899-12-30T07:08:09"/>
    <x v="454"/>
  </r>
  <r>
    <s v="3564436867963375893"/>
    <s v=""/>
    <x v="9"/>
    <n v="4306463"/>
    <s v=""/>
    <s v="Motorcycle"/>
    <x v="2"/>
    <s v="2026-08-18 07:15:20"/>
    <s v="2026-08-18 07:25:20"/>
    <s v="2026-08-18 08:44:21"/>
    <s v="NULL"/>
    <s v=""/>
    <s v=""/>
    <s v="106.5108825"/>
    <s v="10.6230516"/>
    <s v="106.9419328"/>
    <s v="10.8218078"/>
    <n v="382752"/>
    <n v="314176"/>
    <n v="68576"/>
    <s v="Cash"/>
    <s v="Lô N 6, Đ. Số 6, KCN Phúc Long, Bến Lức, Long An, Việt NamCông ty TNHH EUROPEAN SNACK FOOD (VIỆT NAM)"/>
    <s v="QL51, Long Đức, Long Thành, Đồng Nai, Việt NamCông Ty TNHH Cự Thành"/>
    <n v="1"/>
    <x v="1"/>
    <x v="10"/>
    <d v="1899-12-30T07:15:20"/>
    <x v="14"/>
  </r>
  <r>
    <s v="3564436867963376295"/>
    <s v=""/>
    <x v="9"/>
    <n v="3735657"/>
    <s v=""/>
    <s v="Motorcycle"/>
    <x v="2"/>
    <s v="2026-08-18 07:18:02"/>
    <s v="2026-08-18 07:28:02"/>
    <s v="2026-08-18 17:26:36"/>
    <s v="NULL"/>
    <s v=""/>
    <s v=""/>
    <s v="106.5131465"/>
    <s v="10.6293136"/>
    <s v="106.5814835"/>
    <s v="10.9037918"/>
    <n v="236628"/>
    <n v="183441"/>
    <n v="53187"/>
    <s v="Cash"/>
    <s v="Lô M3, Đ. Số 4 Phúc Long, KCN, Bến Lức, Long An, Việt NamCông ty TNHH Ushiwaka MG Việt Nam"/>
    <s v="180/7B ấp Tân Thới 3, Tân Hiệp, Hóc Môn, Hồ Chí Minh, Việt NamThang Máng Cáp Bestray"/>
    <n v="1"/>
    <x v="1"/>
    <x v="10"/>
    <d v="1899-12-30T07:18:02"/>
    <x v="14"/>
  </r>
  <r>
    <s v="3564437193189716646"/>
    <s v=""/>
    <x v="9"/>
    <n v="0"/>
    <s v=""/>
    <s v="NULL"/>
    <x v="0"/>
    <s v="2026-08-18 07:11:12"/>
    <s v="2026-08-18 07:21:11"/>
    <s v="NULL"/>
    <s v="NULL"/>
    <s v="2026-08-18 11:21:05"/>
    <s v=""/>
    <s v="106.4878464"/>
    <s v="10.6193526"/>
    <s v="106.728420780112"/>
    <s v="10.792584679465"/>
    <n v="193104"/>
    <n v="0"/>
    <n v="193104"/>
    <s v="Cash"/>
    <s v="Thị trấn, Bến Lức, Long An, Việt NamCÔNG TY TNHH RICHFIELD VN"/>
    <s v="45 Đường Số 29, Khu Phố 1, An Khánh, Hồ Chí Minh 70000, Việt NamCông Ty Tnhh Nbh Group"/>
    <n v="1"/>
    <x v="1"/>
    <x v="10"/>
    <d v="1899-12-30T07:11:12"/>
    <x v="455"/>
  </r>
  <r>
    <s v="3564437193189716701"/>
    <s v=""/>
    <x v="9"/>
    <n v="4770658"/>
    <s v=""/>
    <s v="Motorcycle"/>
    <x v="2"/>
    <s v="2026-08-18 07:11:38"/>
    <s v="2026-08-18 07:21:37"/>
    <s v="2026-08-18 19:05:57"/>
    <s v="NULL"/>
    <s v=""/>
    <s v=""/>
    <s v="106.4883825"/>
    <s v="10.6224357"/>
    <s v="106.7215829"/>
    <s v="10.7919587"/>
    <n v="189000"/>
    <n v="146519"/>
    <n v="42481"/>
    <s v="Cash"/>
    <s v="Lô A4 Đường Số 1, TT. Bến Lức, Bến Lức, Long An, Việt NamCông Ty Tnhh Koda Sài Gòn"/>
    <s v="Công ty TNHH DY PLUS, Vinhomes Tân Cảng, Thạnh Mỹ Tây, Hồ Chí Minh, Việt NamCông ty TNHH DY PLUS"/>
    <n v="1"/>
    <x v="1"/>
    <x v="10"/>
    <d v="1899-12-30T07:11:38"/>
    <x v="14"/>
  </r>
  <r>
    <s v="3564437193189716859"/>
    <s v=""/>
    <x v="9"/>
    <n v="3653145"/>
    <s v=""/>
    <s v="Motorcycle"/>
    <x v="1"/>
    <s v="2026-08-18 07:12:45"/>
    <s v="2026-08-18 07:22:45"/>
    <s v="2026-08-18 10:10:59"/>
    <s v="NULL"/>
    <s v="2026-08-18 10:18:36"/>
    <s v=""/>
    <s v="106.5113165"/>
    <s v="10.6194117"/>
    <s v="106.5814835"/>
    <s v="10.9037918"/>
    <n v="240192"/>
    <n v="186204"/>
    <n v="53988"/>
    <s v="Cash"/>
    <s v="Lô H4b, KCN, Phúc Long, Long Hiệp, Bến Lức, Long An, Việt NamCty SEJIN VINA"/>
    <s v="180/7B ấp Tân Thới 3, Tân Hiệp, Hóc Môn, Hồ Chí Minh, Việt NamThang Máng Cáp Bestray"/>
    <n v="1"/>
    <x v="1"/>
    <x v="10"/>
    <d v="1899-12-30T07:12:45"/>
    <x v="456"/>
  </r>
  <r>
    <s v="3564437193206489288"/>
    <s v=""/>
    <x v="9"/>
    <n v="2852976"/>
    <s v=""/>
    <s v="Motorcycle"/>
    <x v="1"/>
    <s v="2026-08-18 07:14:51"/>
    <s v="2026-08-18 07:24:51"/>
    <s v="2026-08-18 07:15:16"/>
    <s v="NULL"/>
    <s v="2026-08-18 07:18:10"/>
    <s v=""/>
    <s v="106.5111785"/>
    <s v="10.6209376"/>
    <s v="106.8753458"/>
    <s v="10.9280318"/>
    <n v="257688"/>
    <n v="211519"/>
    <n v="46169"/>
    <s v="Cash"/>
    <s v="Công ty Tnhh Korviet Vina, Đường Số 7, KCN Phúc Long, Long Hiệp, Bến Lức, Long An, Việt NamCông ty Tnhh Korviet Vina"/>
    <s v="14 Đường Số 19A, An Bình, Thành phố Biên Hòa, Đồng Nai, Việt NamCông Ty Cp Scavi Việt Nam"/>
    <n v="1"/>
    <x v="1"/>
    <x v="10"/>
    <d v="1899-12-30T07:14:51"/>
    <x v="457"/>
  </r>
  <r>
    <s v="3564437193206489652"/>
    <s v=""/>
    <x v="9"/>
    <n v="0"/>
    <s v=""/>
    <s v="NULL"/>
    <x v="0"/>
    <s v="2026-08-18 07:17:22"/>
    <s v="2026-08-18 07:27:21"/>
    <s v="NULL"/>
    <s v="NULL"/>
    <s v="2026-08-18 09:27:21"/>
    <s v=""/>
    <s v="106.5136074"/>
    <s v="10.6295187"/>
    <s v="106.5971334"/>
    <s v="10.8195378"/>
    <n v="167400"/>
    <n v="0"/>
    <n v="167400"/>
    <s v="Cash"/>
    <s v="CÔNG TY TNHH MTV WOOSUNG VIỆT NAM, Phúc Long, Long Hiệp, Bến Lức, Long An, Việt NamCÔNG TY TNHH MTV WOOSUNG VIỆT NAM"/>
    <s v="Đ. Số 4, khu công nghiệp vĩnh lộc, Bình Tân, Hồ Chí Minh 700000, Việt NamCông Ty TNHH Thang Máy Mitsu Nhật Bản"/>
    <n v="1"/>
    <x v="1"/>
    <x v="10"/>
    <d v="1899-12-30T07:17:22"/>
    <x v="9"/>
  </r>
  <r>
    <s v="3564443170223910995"/>
    <s v=""/>
    <x v="9"/>
    <n v="0"/>
    <s v=""/>
    <s v="NULL"/>
    <x v="0"/>
    <s v="2026-08-18 07:06:45"/>
    <s v="2026-08-18 07:16:43"/>
    <s v="NULL"/>
    <s v="NULL"/>
    <s v="2026-08-18 09:16:43"/>
    <s v=""/>
    <s v="106.4962905"/>
    <s v="10.6126266"/>
    <s v="106.6341817"/>
    <s v="10.8065459"/>
    <n v="177120"/>
    <n v="0"/>
    <n v="177120"/>
    <s v="Cash"/>
    <s v="khu công nghiệp Thuận Đạo Mở Rộng, D1,1 đường số 14, Long Định, Cần Đước, Long An, Việt NamCông ty TNHH Công Nghệ CRM ( Việt Nam ) , CRM(越南)化工科技有限公司"/>
    <s v="Công Ty Tnhh Eb Tân Phú, Đường Trường Chinh, Tây Thạnh, Hồ Chí Minh, Việt NamCông Ty Tnhh Eb Tân Phú"/>
    <n v="1"/>
    <x v="1"/>
    <x v="10"/>
    <d v="1899-12-30T07:06:45"/>
    <x v="208"/>
  </r>
  <r>
    <s v="3564443170240684776"/>
    <s v=""/>
    <x v="9"/>
    <n v="2625118"/>
    <s v=""/>
    <s v="Motorcycle"/>
    <x v="2"/>
    <s v="2026-08-18 07:19:00"/>
    <s v="2026-08-18 07:29:00"/>
    <s v="2026-08-18 09:20:59"/>
    <s v="NULL"/>
    <s v=""/>
    <s v=""/>
    <s v="106.5112025"/>
    <s v="10.6359696"/>
    <s v="106.6010596"/>
    <s v="11.1300481"/>
    <n v="291708"/>
    <n v="226141"/>
    <n v="65567"/>
    <s v="Cash"/>
    <s v="Long Hiệp, Bến Lức, Long An, Việt NamCông Ty Cổ Phần Thiêt Kê Nôi Thât Trung Nam"/>
    <s v="Công Ty Yazaki Eds Việt Nam Ltd, Đường D1, Thị Xã Bến Cát, Bình DươngCông Ty Yazaki Eds Việt Nam Ltd, Đường D1"/>
    <n v="1"/>
    <x v="1"/>
    <x v="10"/>
    <d v="1899-12-30T07:19:00"/>
    <x v="14"/>
  </r>
  <r>
    <s v="3564446193193013627"/>
    <s v=""/>
    <x v="9"/>
    <n v="0"/>
    <s v=""/>
    <s v="NULL"/>
    <x v="0"/>
    <s v="2026-08-18 07:20:23"/>
    <s v="2026-08-18 07:30:22"/>
    <s v="NULL"/>
    <s v="NULL"/>
    <s v="2026-08-18 09:46:16"/>
    <s v=""/>
    <s v="106.5116795"/>
    <s v="10.6375636"/>
    <s v="106.7354427"/>
    <s v="10.9375918"/>
    <n v="219780"/>
    <n v="0"/>
    <n v="219780"/>
    <s v="Cash"/>
    <s v="Lô D1 29,30, Đường VL2/Ấp Voi Lá, KCN Vĩnh Lộc 2, Bến Lức, Long An, Việt NamCÔNG TY TNHH NIPPOVINA"/>
    <s v="40Vsip, Vietnam Singapore Industrial Part, Street No 6, An Phú, Thuận An, Bình Dương, Việt NamMidea Consumer Electric (Viet Nam) Co., Ltd"/>
    <n v="1"/>
    <x v="1"/>
    <x v="10"/>
    <d v="1899-12-30T07:20:23"/>
    <x v="458"/>
  </r>
  <r>
    <s v="3564446193193014029"/>
    <s v=""/>
    <x v="9"/>
    <n v="0"/>
    <s v=""/>
    <s v="NULL"/>
    <x v="0"/>
    <s v="2026-08-18 07:22:52"/>
    <s v="2026-08-18 07:32:52"/>
    <s v="NULL"/>
    <s v="NULL"/>
    <s v="2026-08-18 09:32:52"/>
    <s v=""/>
    <s v="106.5084135"/>
    <s v="10.6373406"/>
    <s v="106.7215829"/>
    <s v="10.7919587"/>
    <n v="188028"/>
    <n v="0"/>
    <n v="188028"/>
    <s v="Cash"/>
    <s v="CTY CP NÔNG NGHIỆP VIỆT NAM SYMBIO, Đường VL2, Mỹ Yên, Tây Ninh, Việt NamCTY CP NÔNG NGHIỆP VIỆT NAM SYMBIO"/>
    <s v="Công ty TNHH DY PLUS, Vinhomes Tân Cảng, Thạnh Mỹ Tây, Hồ Chí Minh, Việt NamCông ty TNHH DY PLUS"/>
    <n v="1"/>
    <x v="1"/>
    <x v="10"/>
    <d v="1899-12-30T07:22:52"/>
    <x v="4"/>
  </r>
  <r>
    <s v="3564446193193014171"/>
    <s v=""/>
    <x v="9"/>
    <n v="4170193"/>
    <s v=""/>
    <s v="Motorcycle"/>
    <x v="1"/>
    <s v="2026-08-18 07:23:52"/>
    <s v="2026-08-18 07:33:52"/>
    <s v="2026-08-18 10:14:05"/>
    <s v="NULL"/>
    <s v="2026-08-18 10:25:18"/>
    <s v=""/>
    <s v="106.5038994"/>
    <s v="10.6432606"/>
    <s v="106.5814835"/>
    <s v="10.9037918"/>
    <n v="195696"/>
    <n v="160634"/>
    <n v="35062"/>
    <s v="Cash"/>
    <s v="Lô D3, 1, 4 Đường VL7, KCN Vĩnh Lộc 2 X, Bến Lức, Long An 77777, Việt NamCông Ty Cổ Phần Nosafood , Nhà máy Bến Lức"/>
    <s v="180/7B ấp Tân Thới 3, Tân Hiệp, Hóc Môn, Hồ Chí Minh, Việt NamThang Máng Cáp Bestray"/>
    <n v="1"/>
    <x v="1"/>
    <x v="10"/>
    <d v="1899-12-30T07:23:52"/>
    <x v="459"/>
  </r>
  <r>
    <s v="3564446193209798771"/>
    <s v=""/>
    <x v="9"/>
    <n v="0"/>
    <s v=""/>
    <s v="NULL"/>
    <x v="0"/>
    <s v="2026-08-18 07:25:52"/>
    <s v="2026-08-18 07:35:52"/>
    <s v="NULL"/>
    <s v="NULL"/>
    <s v="2026-08-18 09:35:52"/>
    <s v=""/>
    <s v="106.5662555"/>
    <s v="10.6461676"/>
    <s v="106.6982937"/>
    <s v="11.0383172"/>
    <n v="238896"/>
    <n v="0"/>
    <n v="238896"/>
    <s v="Cash"/>
    <s v="8 Đ. Sân Banh, Phước Lý, Tây Ninh, Việt NamCông ty TNHH Vy Kỳ"/>
    <s v="Công ty TNHH Dệt Liên Châu, Đường N4, KCN Sóng Thần 3, Phường Phú Tân, Thủ Dầu Một, Bình Dương, Việt NamCông ty TNHH Dệt Liên Châu"/>
    <n v="1"/>
    <x v="1"/>
    <x v="10"/>
    <d v="1899-12-30T07:25:52"/>
    <x v="4"/>
  </r>
  <r>
    <s v="3564446489663197760"/>
    <s v=""/>
    <x v="9"/>
    <n v="0"/>
    <s v=""/>
    <s v="NULL"/>
    <x v="0"/>
    <s v="2026-08-18 07:15:33"/>
    <s v="2026-08-18 07:25:33"/>
    <s v="NULL"/>
    <s v="NULL"/>
    <s v="2026-08-18 09:25:33"/>
    <s v=""/>
    <s v="106.5108825"/>
    <s v="10.6230516"/>
    <s v="106.7573106"/>
    <s v="10.8246728"/>
    <n v="250776"/>
    <n v="0"/>
    <n v="250776"/>
    <s v="Cash"/>
    <s v="Lô N 6, Đ. Số 6, KCN Phúc Long, Bến Lức, Long An, Việt NamCông ty TNHH EUROPEAN SNACK FOOD (VIỆT NAM)"/>
    <s v="200 Đ. Nguyễn Văn Bá, Phước Long A, Thủ Đức, Hồ Chí Minh, Việt NamCÔNG TY TNHH JM (JMGROUP)"/>
    <n v="1"/>
    <x v="1"/>
    <x v="10"/>
    <d v="1899-12-30T07:15:33"/>
    <x v="4"/>
  </r>
  <r>
    <s v="3564446489663197952"/>
    <s v=""/>
    <x v="9"/>
    <n v="4822140"/>
    <s v=""/>
    <s v="Motorcycle"/>
    <x v="4"/>
    <s v="2026-08-18 07:17:01"/>
    <s v="2026-08-18 07:27:01"/>
    <s v="2026-08-18 08:37:55"/>
    <s v="NULL"/>
    <s v="2026-08-28 07:28:01"/>
    <s v=""/>
    <s v="106.5136074"/>
    <s v="10.6295187"/>
    <s v="106.7215829"/>
    <s v="10.7919587"/>
    <n v="143208"/>
    <n v="111019"/>
    <n v="32189"/>
    <s v="Cash"/>
    <s v="CÔNG TY TNHH MTV WOOSUNG VIỆT NAM, Phúc Long, Long Hiệp, Bến Lức, Long An, Việt NamCÔNG TY TNHH MTV WOOSUNG VIỆT NAM"/>
    <s v="Công ty TNHH DY PLUS, Vinhomes Tân Cảng, Thạnh Mỹ Tây, Hồ Chí Minh, Việt NamCông ty TNHH DY PLUS"/>
    <n v="1"/>
    <x v="1"/>
    <x v="10"/>
    <d v="1899-12-30T07:17:01"/>
    <x v="17"/>
  </r>
  <r>
    <s v="3564446489671594733"/>
    <s v=""/>
    <x v="9"/>
    <n v="0"/>
    <s v=""/>
    <s v="NULL"/>
    <x v="0"/>
    <s v="2026-08-18 07:23:04"/>
    <s v="2026-08-18 07:33:04"/>
    <s v="NULL"/>
    <s v="NULL"/>
    <s v="2026-08-18 11:19:10"/>
    <s v=""/>
    <s v="106.5084135"/>
    <s v="10.6373406"/>
    <s v="106.5971334"/>
    <s v="10.8195378"/>
    <n v="159084"/>
    <n v="0"/>
    <n v="159084"/>
    <s v="Cash"/>
    <s v="CTY CP NÔNG NGHIỆP VIỆT NAM SYMBIO, Đường VL2, Mỹ Yên, Tây Ninh, Việt NamCTY CP NÔNG NGHIỆP VIỆT NAM SYMBIO"/>
    <s v="Đ. Số 4, khu công nghiệp vĩnh lộc, Bình Tân, Hồ Chí Minh 700000, Việt NamCông Ty TNHH Thang Máy Mitsu Nhật Bản"/>
    <n v="1"/>
    <x v="1"/>
    <x v="10"/>
    <d v="1899-12-30T07:23:04"/>
    <x v="460"/>
  </r>
  <r>
    <s v="3564448938524369527"/>
    <s v=""/>
    <x v="9"/>
    <n v="0"/>
    <s v=""/>
    <s v="NULL"/>
    <x v="0"/>
    <s v="2026-08-18 07:19:13"/>
    <s v="2026-08-18 07:29:13"/>
    <s v="NULL"/>
    <s v="NULL"/>
    <s v="2026-08-18 09:29:13"/>
    <s v=""/>
    <s v="106.5112025"/>
    <s v="10.6359696"/>
    <s v="106.7858547"/>
    <s v="11.0982788"/>
    <n v="290844"/>
    <n v="0"/>
    <n v="290844"/>
    <s v="Cash"/>
    <s v="Long Hiệp, Bến Lức, Long An, Việt NamCông Ty Cổ Phần Thiêt Kê Nôi Thât Trung Nam"/>
    <s v="Phường Uyên Hưng, Thị Xã Tân Uyên, Bình Dương, Việt NamCông Ty Cổ Phần S Furniture"/>
    <n v="1"/>
    <x v="1"/>
    <x v="10"/>
    <d v="1899-12-30T07:19:13"/>
    <x v="4"/>
  </r>
  <r>
    <s v="3564451336240193890"/>
    <s v=""/>
    <x v="9"/>
    <n v="0"/>
    <s v=""/>
    <s v="NULL"/>
    <x v="0"/>
    <s v="2026-08-18 07:21:22"/>
    <s v="2026-08-18 07:31:22"/>
    <s v="NULL"/>
    <s v="NULL"/>
    <s v="2026-08-18 09:31:22"/>
    <s v=""/>
    <s v="106.5101865"/>
    <s v="10.6381416"/>
    <s v="106.8753458"/>
    <s v="10.9280318"/>
    <n v="244512"/>
    <n v="0"/>
    <n v="244512"/>
    <s v="Cash"/>
    <s v="Lô A1,17, Khu Công nghiệp Vĩnh Lộc 2, Đường Vĩnh Lộc 2, Ấp Voi Lá, Xã Long, Hiệp, Long Hiệp, Bến Lức, Long An 850000, Việt NamKhông Gian Công Nghiệp LEADPARK BUSINESS HUB"/>
    <s v="14 Đường Số 19A, An Bình, Thành phố Biên Hòa, Đồng Nai, Việt NamCông Ty Cp Scavi Việt Nam"/>
    <n v="1"/>
    <x v="1"/>
    <x v="10"/>
    <d v="1899-12-30T07:21:22"/>
    <x v="4"/>
  </r>
  <r>
    <s v="3564451336256966779"/>
    <s v=""/>
    <x v="9"/>
    <n v="0"/>
    <s v=""/>
    <s v="NULL"/>
    <x v="0"/>
    <s v="2026-08-18 07:26:04"/>
    <s v="2026-08-18 07:36:04"/>
    <s v="NULL"/>
    <s v="NULL"/>
    <s v="2026-08-18 09:46:27"/>
    <s v=""/>
    <s v="106.5662555"/>
    <s v="10.6461676"/>
    <s v="106.7463687"/>
    <s v="10.8958148"/>
    <n v="180144"/>
    <n v="0"/>
    <n v="180144"/>
    <s v="Cash"/>
    <s v="8 Đ. Sân Banh, Phước Lý, Tây Ninh, Việt NamCông ty TNHH Vy Kỳ"/>
    <s v="7A, Khu Công nghiệp sóng thần, 2 Thống Nhất, Quận, Dĩ An, Bình Dương, Việt NamCông Ty TNHH Eins Vina Co., Ltd"/>
    <n v="1"/>
    <x v="1"/>
    <x v="10"/>
    <d v="1899-12-30T07:26:04"/>
    <x v="461"/>
  </r>
  <r>
    <s v="3564451336273753082"/>
    <s v=""/>
    <x v="9"/>
    <n v="4009018"/>
    <s v=""/>
    <s v="Motorcycle"/>
    <x v="2"/>
    <s v="2026-08-18 07:36:46"/>
    <s v="2026-08-18 07:46:46"/>
    <s v="2026-08-18 10:03:41"/>
    <s v="NULL"/>
    <s v=""/>
    <s v=""/>
    <s v="106.56425033664553"/>
    <s v="10.646767649553297"/>
    <s v="106.6536826"/>
    <s v="10.7295586"/>
    <n v="131868"/>
    <n v="102228"/>
    <n v="29640"/>
    <s v="Cash"/>
    <s v="JHW8+92, Phước Lý, Tây Ninh, Việt NamJHW8+92, Phước Lý, Tây Ninh, Việt Nam"/>
    <s v="Quận 8, Đường số 18, Ấp 2, Bình Hưng, Bình Chánh, Thành phố Hồ Chí Minh, Việt NamQuận 8"/>
    <n v="1"/>
    <x v="1"/>
    <x v="10"/>
    <d v="1899-12-30T07:36:46"/>
    <x v="14"/>
  </r>
  <r>
    <s v="3564452041034264919"/>
    <s v=""/>
    <x v="9"/>
    <n v="2625118"/>
    <s v=""/>
    <s v="Motorcycle"/>
    <x v="2"/>
    <s v="2026-08-18 07:22:11"/>
    <s v="2026-08-18 07:32:10"/>
    <s v="2026-08-18 09:08:18"/>
    <s v="NULL"/>
    <s v=""/>
    <s v=""/>
    <s v="106.5101865"/>
    <s v="10.6381416"/>
    <s v="106.8021378"/>
    <s v="10.8263158"/>
    <n v="248832"/>
    <n v="192902"/>
    <n v="55930"/>
    <s v="Cash"/>
    <s v="Lô A1,17, Khu Công nghiệp Vĩnh Lộc 2, Đường Vĩnh Lộc 2, Ấp Voi Lá, Xã Long, Hiệp, Long Hiệp, Bến Lức, Long An 850000, Việt NamKhông Gian Công Nghiệp LEADPARK BUSINESS HUB"/>
    <s v="2,1 Đ. D2, Tăng Nhơn Phú B, Quận 9, Hồ Chí Minh, Việt NamCông Ty TNHH MTV Daeyoung Electronics Vina"/>
    <n v="1"/>
    <x v="1"/>
    <x v="10"/>
    <d v="1899-12-30T07:22:11"/>
    <x v="14"/>
  </r>
  <r>
    <s v="3564452041034265285"/>
    <s v=""/>
    <x v="9"/>
    <n v="0"/>
    <s v=""/>
    <s v="NULL"/>
    <x v="0"/>
    <s v="2026-08-18 07:24:31"/>
    <s v="2026-08-18 07:34:31"/>
    <s v="NULL"/>
    <s v="NULL"/>
    <s v="2026-08-18 10:11:45"/>
    <s v=""/>
    <s v="106.5083765"/>
    <s v="10.6428357"/>
    <s v="106.6010596"/>
    <s v="11.1300481"/>
    <n v="292896"/>
    <n v="0"/>
    <n v="292896"/>
    <s v="Cash"/>
    <s v="CÔNG TY TNHH BIBICA MIỀN TÂY, 9 VL3, KCN Vĩnh Lộc 2, Long Hiệp, Bến Lức, Long An, Việt NamCÔNG TY TNHH BIBICA MIỀN TÂY"/>
    <s v="Công Ty Yazaki Eds Việt Nam Ltd, Đường D1, Thị Xã Bến Cát, Bình DươngCông Ty Yazaki Eds Việt Nam Ltd, Đường D1"/>
    <n v="1"/>
    <x v="1"/>
    <x v="10"/>
    <d v="1899-12-30T07:24:31"/>
    <x v="462"/>
  </r>
  <r>
    <s v="3564452041034265340"/>
    <s v=""/>
    <x v="9"/>
    <n v="4361679"/>
    <s v=""/>
    <s v="Motorcycle"/>
    <x v="1"/>
    <s v="2026-08-18 07:24:57"/>
    <s v="2026-08-18 07:34:57"/>
    <s v="2026-08-18 11:50:07"/>
    <s v="NULL"/>
    <s v="2026-08-18 11:54:51"/>
    <s v=""/>
    <s v="106.5160985"/>
    <s v="10.6456516"/>
    <s v="106.7858547"/>
    <s v="11.0982788"/>
    <n v="283716"/>
    <n v="219946"/>
    <n v="63770"/>
    <s v="Cash"/>
    <s v="Lô B2/1, 6 Đường VL1, KCN Vĩnh Lộc 2, Bến Lức, Long An, Việt NamCông ty Cổ Phần In DICA"/>
    <s v="Phường Uyên Hưng, Thị Xã Tân Uyên, Bình Dương, Việt NamCông Ty Cổ Phần S Furniture"/>
    <n v="1"/>
    <x v="1"/>
    <x v="10"/>
    <d v="1899-12-30T07:24:57"/>
    <x v="463"/>
  </r>
  <r>
    <s v="3564452041067811342"/>
    <s v=""/>
    <x v="9"/>
    <n v="0"/>
    <s v=""/>
    <s v="NULL"/>
    <x v="0"/>
    <s v="2026-08-18 07:34:57"/>
    <s v="2026-08-18 07:44:56"/>
    <s v="NULL"/>
    <s v="NULL"/>
    <s v="2026-08-18 09:44:56"/>
    <s v=""/>
    <s v="106.5500882730469"/>
    <s v="10.646683296439477"/>
    <s v="106.7027967"/>
    <s v="10.7754486"/>
    <n v="202500"/>
    <n v="0"/>
    <n v="202500"/>
    <s v="Cash"/>
    <s v="JHW2+M2 Phước Lý, Tây Ninh, Việt NamJHW2+M2 Phước Lý, Tây Ninh, Việt Nam"/>
    <s v="Quận 1, Hồ Chí Minh, Việt NamQuận 1"/>
    <n v="1"/>
    <x v="1"/>
    <x v="10"/>
    <d v="1899-12-30T07:34:57"/>
    <x v="9"/>
  </r>
  <r>
    <s v="3564452041067811773"/>
    <s v=""/>
    <x v="9"/>
    <n v="4749555"/>
    <s v=""/>
    <s v="Motorcycle"/>
    <x v="2"/>
    <s v="2026-08-18 07:37:25"/>
    <s v="2026-08-18 07:47:24"/>
    <s v="2026-08-18 10:15:53"/>
    <s v="NULL"/>
    <s v=""/>
    <s v=""/>
    <s v="106.57008682346193"/>
    <s v="10.647442473623395"/>
    <s v="106.6720096"/>
    <s v="10.7723656"/>
    <n v="147744"/>
    <n v="114536"/>
    <n v="33208"/>
    <s v="Cash"/>
    <s v="14 ĐT835B, Phước Lý, Tây Ninh 853000, Việt Nam14 ĐT835B, Phước Lý, Tây Ninh 853000, Việt Nam"/>
    <s v="Quận 10 TP HCM, Đường Lê Hồng Phong, Phường 12 (Quận 10), Hòa Hưng, Hồ Chí Minh, Việt NamQuận 10 TP HCM"/>
    <n v="1"/>
    <x v="1"/>
    <x v="10"/>
    <d v="1899-12-30T07:37:25"/>
    <x v="14"/>
  </r>
  <r>
    <s v="3564452245967958505"/>
    <s v=""/>
    <x v="9"/>
    <n v="0"/>
    <s v=""/>
    <s v="NULL"/>
    <x v="0"/>
    <s v="2026-08-18 07:23:38"/>
    <s v="2026-08-18 07:33:38"/>
    <s v="NULL"/>
    <s v="NULL"/>
    <s v="2026-08-18 09:33:38"/>
    <s v=""/>
    <s v="106.5038994"/>
    <s v="10.6432606"/>
    <s v="106.6341817"/>
    <s v="10.8065459"/>
    <n v="119016"/>
    <n v="0"/>
    <n v="119016"/>
    <s v="Cash"/>
    <s v="Lô D3, 1, 4 Đường VL7, KCN Vĩnh Lộc 2 X, Bến Lức, Long An 77777, Việt NamCông Ty Cổ Phần Nosafood , Nhà máy Bến Lức"/>
    <s v="Công Ty Tnhh Eb Tân Phú, Đường Trường Chinh, Tây Thạnh, Hồ Chí Minh, Việt NamCông Ty Tnhh Eb Tân Phú"/>
    <n v="1"/>
    <x v="1"/>
    <x v="10"/>
    <d v="1899-12-30T07:23:38"/>
    <x v="4"/>
  </r>
  <r>
    <s v="3564452245967958736"/>
    <s v=""/>
    <x v="9"/>
    <n v="4774577"/>
    <s v=""/>
    <s v="Motorcycle"/>
    <x v="2"/>
    <s v="2026-08-18 07:25:11"/>
    <s v="2026-08-18 07:35:11"/>
    <s v="2026-08-18 12:22:26"/>
    <s v="NULL"/>
    <s v=""/>
    <s v=""/>
    <s v="106.5160985"/>
    <s v="10.6456516"/>
    <s v="106.7354427"/>
    <s v="10.9375918"/>
    <n v="166536"/>
    <n v="129104"/>
    <n v="37432"/>
    <s v="Cash"/>
    <s v="Lô B2/1, 6 Đường VL1, KCN Vĩnh Lộc 2, Bến Lức, Long An, Việt NamCông ty Cổ Phần In DICA"/>
    <s v="40Vsip, Vietnam Singapore Industrial Part, Street No 6, An Phú, Thuận An, Bình Dương, Việt NamMidea Consumer Electric (Viet Nam) Co., Ltd"/>
    <n v="1"/>
    <x v="1"/>
    <x v="10"/>
    <d v="1899-12-30T07:25:11"/>
    <x v="14"/>
  </r>
  <r>
    <s v="3564452245967959044"/>
    <s v=""/>
    <x v="9"/>
    <n v="0"/>
    <s v=""/>
    <s v="NULL"/>
    <x v="0"/>
    <s v="2026-08-18 07:27:00"/>
    <s v="2026-08-18 07:37:00"/>
    <s v="NULL"/>
    <s v="NULL"/>
    <s v="2026-08-18 10:15:01"/>
    <s v=""/>
    <s v="106.5672684"/>
    <s v="10.6412427"/>
    <s v="106.7573106"/>
    <s v="10.8246728"/>
    <n v="202392"/>
    <n v="0"/>
    <n v="202392"/>
    <s v="Cash"/>
    <s v="35B, Ấp, Cần Giuộc, Long An, Việt NamCông Ty TNHH Triệu Tín"/>
    <s v="200 Đ. Nguyễn Văn Bá, Phước Long A, Thủ Đức, Hồ Chí Minh, Việt NamCÔNG TY TNHH JM (JMGROUP)"/>
    <n v="1"/>
    <x v="1"/>
    <x v="10"/>
    <d v="1899-12-30T07:27:00"/>
    <x v="464"/>
  </r>
  <r>
    <s v="3564452278163427899"/>
    <s v=""/>
    <x v="9"/>
    <n v="0"/>
    <s v=""/>
    <s v="NULL"/>
    <x v="0"/>
    <s v="2026-08-18 07:24:16"/>
    <s v="2026-08-18 07:34:16"/>
    <s v="NULL"/>
    <s v="NULL"/>
    <s v="2026-08-18 09:34:16"/>
    <s v=""/>
    <s v="106.5083765"/>
    <s v="10.6428357"/>
    <s v="106.6544367"/>
    <s v="10.8441568"/>
    <n v="173988"/>
    <n v="0"/>
    <n v="173988"/>
    <s v="Cash"/>
    <s v="CÔNG TY TNHH BIBICA MIỀN TÂY, 9 VL3, KCN Vĩnh Lộc 2, Long Hiệp, Bến Lức, Long An, Việt NamCÔNG TY TNHH BIBICA MIỀN TÂY"/>
    <s v="162/59 Đ. Nguyễn Văn Khối, Phường 9, Gò Vấp, Thành phố Hồ Chí Minh, Việt Namcông ty TNHH TM DV Hoàng Tân Khang"/>
    <n v="1"/>
    <x v="1"/>
    <x v="10"/>
    <d v="1899-12-30T07:24:16"/>
    <x v="4"/>
  </r>
  <r>
    <s v="3564452278180212809"/>
    <s v=""/>
    <x v="9"/>
    <n v="0"/>
    <s v=""/>
    <s v="NULL"/>
    <x v="0"/>
    <s v="2026-08-18 07:27:25"/>
    <s v="2026-08-18 07:37:25"/>
    <s v="NULL"/>
    <s v="NULL"/>
    <s v="2026-08-18 09:37:25"/>
    <s v=""/>
    <s v="106.5672684"/>
    <s v="10.6412427"/>
    <s v="106.728420780112"/>
    <s v="10.792584679465"/>
    <n v="170424"/>
    <n v="0"/>
    <n v="170424"/>
    <s v="Cash"/>
    <s v="35B, Ấp, Cần Giuộc, Long An, Việt NamCông Ty TNHH Triệu Tín"/>
    <s v="45 Đường Số 29, Khu Phố 1, An Khánh, Hồ Chí Minh 70000, Việt NamCông Ty Tnhh Nbh Group"/>
    <n v="1"/>
    <x v="1"/>
    <x v="10"/>
    <d v="1899-12-30T07:27:25"/>
    <x v="4"/>
  </r>
  <r>
    <s v="3564461567187841481"/>
    <s v=""/>
    <x v="9"/>
    <n v="0"/>
    <s v=""/>
    <s v="NULL"/>
    <x v="0"/>
    <s v="2026-08-18 07:48:58"/>
    <s v="2026-08-18 07:58:53"/>
    <s v="NULL"/>
    <s v="NULL"/>
    <s v="2026-08-18 09:58:53"/>
    <s v=""/>
    <s v="106.5101865"/>
    <s v="10.6381416"/>
    <s v="106.6335597"/>
    <s v="10.7464146"/>
    <n v="132300"/>
    <n v="0"/>
    <n v="132300"/>
    <s v="Cash"/>
    <s v="Lô A1,17, Khu Công nghiệp Vĩnh Lộc 2, Đường Vĩnh Lộc 2, Ấp Voi Lá, Xã Long, Hiệp, Long Hiệp, Bến Lức, Long An 850000, Việt NamKhông Gian Công Nghiệp LEADPARK BUSINESS HUB"/>
    <s v="42,44 Đ. Chợ Lớn, Phường 11, Quận 6, Thành phố Hồ Chí Minh, Việt NamCông Ty Tnhh Một Thành Viên Dịch Vụ Công Ích Quận 6"/>
    <n v="1"/>
    <x v="1"/>
    <x v="10"/>
    <d v="1899-12-30T07:48:58"/>
    <x v="412"/>
  </r>
  <r>
    <s v="3564462146421215573"/>
    <s v=""/>
    <x v="9"/>
    <n v="0"/>
    <s v=""/>
    <s v="NULL"/>
    <x v="0"/>
    <s v="2026-08-18 07:49:25"/>
    <s v="2026-08-18 07:59:20"/>
    <s v="NULL"/>
    <s v="NULL"/>
    <s v="2026-08-18 09:59:20"/>
    <s v=""/>
    <s v="106.5101865"/>
    <s v="10.6381416"/>
    <s v="106.7028406"/>
    <s v="10.7399106"/>
    <n v="161460"/>
    <n v="0"/>
    <n v="161460"/>
    <s v="Cash"/>
    <s v="Lô A1,17, Khu Công nghiệp Vĩnh Lộc 2, Đường Vĩnh Lộc 2, Ấp Voi Lá, Xã Long, Hiệp, Long Hiệp, Bến Lức, Long An 850000, Việt NamKhông Gian Công Nghiệp LEADPARK BUSINESS HUB"/>
    <s v="Đường Nguyễn Thị Thập,72912Công Ty TNHH MTV Sơn Quận 7"/>
    <n v="1"/>
    <x v="1"/>
    <x v="10"/>
    <d v="1899-12-30T07:49:25"/>
    <x v="412"/>
  </r>
  <r>
    <s v="3564462195922400128"/>
    <s v=""/>
    <x v="9"/>
    <n v="0"/>
    <s v=""/>
    <s v="NULL"/>
    <x v="0"/>
    <s v="2026-08-18 07:46:59"/>
    <s v="2026-08-18 07:56:59"/>
    <s v="NULL"/>
    <s v="NULL"/>
    <s v="2026-08-18 09:56:59"/>
    <s v=""/>
    <s v="106.5101865"/>
    <s v="10.6381416"/>
    <s v="106.7548426"/>
    <s v="10.8103058"/>
    <n v="208872"/>
    <n v="0"/>
    <n v="208872"/>
    <s v="Cash"/>
    <s v="Lô A1,17, Khu Công nghiệp Vĩnh Lộc 2, Đường Vĩnh Lộc 2, Ấp Voi Lá, Xã Long, Hiệp, Long Hiệp, Bến Lức, Long An 850000, Việt NamKhông Gian Công Nghiệp LEADPARK BUSINESS HUB"/>
    <s v="Hẻm 10 Đường Số 2,71106Công Ty TNHH Nhi Khoa Healthcare City Quận 2"/>
    <n v="1"/>
    <x v="1"/>
    <x v="10"/>
    <d v="1899-12-30T07:46:59"/>
    <x v="4"/>
  </r>
  <r>
    <s v="3564465085504250412"/>
    <s v=""/>
    <x v="9"/>
    <n v="0"/>
    <s v=""/>
    <s v="NULL"/>
    <x v="0"/>
    <s v="2026-08-18 07:50:44"/>
    <s v="2026-08-18 08:00:44"/>
    <s v="NULL"/>
    <s v="NULL"/>
    <s v="2026-08-18 10:00:44"/>
    <s v=""/>
    <s v="106.5101865"/>
    <s v="10.6381416"/>
    <s v="106.6430116"/>
    <s v="10.7636706"/>
    <n v="144936"/>
    <n v="0"/>
    <n v="144936"/>
    <s v="Cash"/>
    <s v="Lô A1,17, Khu Công nghiệp Vĩnh Lộc 2, Đường Vĩnh Lộc 2, Ấp Voi Lá, Xã Long, Hiệp, Long Hiệp, Bến Lức, Long An 850000, Việt NamKhông Gian Công Nghiệp LEADPARK BUSINESS HUB"/>
    <s v="270, 272 Đ. Bình Thới, Phường 10, Quận 11, Hồ Chí Minh, Việt NamCông an Quận 11"/>
    <n v="1"/>
    <x v="1"/>
    <x v="10"/>
    <d v="1899-12-30T07:50:44"/>
    <x v="4"/>
  </r>
  <r>
    <s v="3564465085504250607"/>
    <s v=""/>
    <x v="9"/>
    <n v="0"/>
    <s v=""/>
    <s v="NULL"/>
    <x v="0"/>
    <s v="2026-08-18 07:51:34"/>
    <s v="2026-08-18 08:01:33"/>
    <s v="NULL"/>
    <s v="NULL"/>
    <s v="2026-08-18 10:01:33"/>
    <s v=""/>
    <s v="106.5101865"/>
    <s v="10.6381416"/>
    <s v="106.6077078"/>
    <s v="10.8554599"/>
    <n v="189108"/>
    <n v="0"/>
    <n v="189108"/>
    <s v="Cash"/>
    <s v="Lô A1,17, Khu Công nghiệp Vĩnh Lộc 2, Đường Vĩnh Lộc 2, Ấp Voi Lá, Xã Long, Hiệp, Long Hiệp, Bến Lức, Long An 850000, Việt NamKhông Gian Công Nghiệp LEADPARK BUSINESS HUB"/>
    <s v="Trung Tâm Văn Hoá Quận 12, Quốc lộ 22, Trung Mỹ Tây, Hồ Chí Minh, Việt NamTrung Tâm Văn Hoá Quận 12"/>
    <n v="1"/>
    <x v="1"/>
    <x v="10"/>
    <d v="1899-12-30T07:51:34"/>
    <x v="9"/>
  </r>
  <r>
    <s v="3564465085521023182"/>
    <s v=""/>
    <x v="9"/>
    <n v="0"/>
    <s v=""/>
    <s v="NULL"/>
    <x v="0"/>
    <s v="2026-08-18 07:53:29"/>
    <s v="2026-08-18 08:03:29"/>
    <s v="NULL"/>
    <s v="NULL"/>
    <s v="2026-08-18 10:03:29"/>
    <s v=""/>
    <s v="106.5131465"/>
    <s v="10.6293136"/>
    <s v="106.6993326"/>
    <s v="10.7601306"/>
    <n v="169776"/>
    <n v="0"/>
    <n v="169776"/>
    <s v="Cash"/>
    <s v="Lô M3, Đ. Số 4 Phúc Long, KCN, Bến Lức, Long An, Việt NamCông ty TNHH Ushiwaka MG Việt Nam"/>
    <s v="301 Đ. Hoàng Diệu, Phường 9, Quận 4, Hồ Chí Minh, Việt NamCông ty TNHH MTV Dịch Vụ Công Ích Quận 4"/>
    <n v="1"/>
    <x v="1"/>
    <x v="10"/>
    <d v="1899-12-30T07:53:29"/>
    <x v="4"/>
  </r>
  <r>
    <s v="3564466544727777490"/>
    <s v=""/>
    <x v="9"/>
    <n v="0"/>
    <s v=""/>
    <s v="NULL"/>
    <x v="0"/>
    <s v="2026-08-18 07:46:32"/>
    <s v="2026-08-18 07:56:28"/>
    <s v="NULL"/>
    <s v="NULL"/>
    <s v="2026-08-18 09:56:28"/>
    <s v=""/>
    <s v="106.5101865"/>
    <s v="10.6381416"/>
    <s v="106.6916526"/>
    <s v="10.7678847"/>
    <n v="165996"/>
    <n v="0"/>
    <n v="165996"/>
    <s v="Cash"/>
    <s v="Lô A1,17, Khu Công nghiệp Vĩnh Lộc 2, Đường Vĩnh Lộc 2, Ấp Voi Lá, Xã Long, Hiệp, Long Hiệp, Bến Lức, Long An 850000, Việt NamKhông Gian Công Nghiệp LEADPARK BUSINESS HUB"/>
    <s v="275G Phạm Ngũ Lão, Phường Phạm Ngũ Lão, Quận 1, Thành phố Hồ Chí Minh, Việt NamCông Ty Cổ Phần Ngọc Trang Tiêu Cục , Chi Nhánh Quận 1"/>
    <n v="1"/>
    <x v="1"/>
    <x v="10"/>
    <d v="1899-12-30T07:46:32"/>
    <x v="465"/>
  </r>
  <r>
    <s v="3564466544769724557"/>
    <s v=""/>
    <x v="9"/>
    <n v="0"/>
    <s v=""/>
    <s v="NULL"/>
    <x v="0"/>
    <s v="2026-08-18 07:55:01"/>
    <s v="2026-08-18 08:05:01"/>
    <s v="NULL"/>
    <s v="NULL"/>
    <s v="2026-08-18 10:05:01"/>
    <s v=""/>
    <s v="106.5131465"/>
    <s v="10.6293136"/>
    <s v="106.7890347"/>
    <s v="10.8302578"/>
    <n v="252180"/>
    <n v="0"/>
    <n v="252180"/>
    <s v="Cash"/>
    <s v="Lô M3, Đ. Số 4 Phúc Long, KCN, Bến Lức, Long An, Việt NamCông ty TNHH Ushiwaka MG Việt Nam"/>
    <s v="Khu, TP, 14.5 Đường D14A Công Nghệ Cao, Tăng Nhơn Phú B, Thủ Đức, Hồ Chí Minh, Việt NamCông Ty TNHH Techtronic Tools (TTi Quận 9)"/>
    <n v="1"/>
    <x v="1"/>
    <x v="10"/>
    <d v="1899-12-30T07:55:01"/>
    <x v="4"/>
  </r>
  <r>
    <s v="3564466833170060124"/>
    <s v=""/>
    <x v="9"/>
    <n v="984453"/>
    <s v=""/>
    <s v="Motorcycle"/>
    <x v="2"/>
    <s v="2026-08-18 07:50:04"/>
    <s v="2026-08-18 08:00:03"/>
    <s v="2026-08-18 10:21:53"/>
    <s v="NULL"/>
    <s v=""/>
    <s v=""/>
    <s v="106.5101865"/>
    <s v="10.6381416"/>
    <s v="106.7890347"/>
    <s v="10.8302578"/>
    <n v="245376"/>
    <n v="190223"/>
    <n v="55153"/>
    <s v="Cash"/>
    <s v="Lô A1,17, Khu Công nghiệp Vĩnh Lộc 2, Đường Vĩnh Lộc 2, Ấp Voi Lá, Xã Long, Hiệp, Long Hiệp, Bến Lức, Long An 850000, Việt NamKhông Gian Công Nghiệp LEADPARK BUSINESS HUB"/>
    <s v="Khu, TP, 14.5 Đường D14A Công Nghệ Cao, Tăng Nhơn Phú B, Thủ Đức, Hồ Chí Minh, Việt NamCông Ty TNHH Techtronic Tools (TTi Quận 9)"/>
    <n v="1"/>
    <x v="1"/>
    <x v="10"/>
    <d v="1899-12-30T07:50:04"/>
    <x v="14"/>
  </r>
  <r>
    <s v="3564466833212006542"/>
    <s v=""/>
    <x v="9"/>
    <n v="0"/>
    <s v=""/>
    <s v="NULL"/>
    <x v="0"/>
    <s v="2026-08-18 07:55:32"/>
    <s v="2026-08-18 08:05:31"/>
    <s v="NULL"/>
    <s v="NULL"/>
    <s v="2026-08-18 10:05:31"/>
    <s v=""/>
    <s v="106.5131465"/>
    <s v="10.6293136"/>
    <s v="106.6430116"/>
    <s v="10.7636706"/>
    <n v="140616"/>
    <n v="0"/>
    <n v="140616"/>
    <s v="Cash"/>
    <s v="Lô M3, Đ. Số 4 Phúc Long, KCN, Bến Lức, Long An, Việt NamCông ty TNHH Ushiwaka MG Việt Nam"/>
    <s v="270, 272 Đ. Bình Thới, Phường 10, Quận 11, Hồ Chí Minh, Việt NamCông an Quận 11"/>
    <n v="1"/>
    <x v="1"/>
    <x v="10"/>
    <d v="1899-12-30T07:55:32"/>
    <x v="9"/>
  </r>
  <r>
    <s v="3564467476333023934"/>
    <s v=""/>
    <x v="9"/>
    <n v="0"/>
    <s v=""/>
    <s v="NULL"/>
    <x v="0"/>
    <s v="2026-08-18 07:50:23"/>
    <s v="2026-08-18 08:00:23"/>
    <s v="NULL"/>
    <s v="NULL"/>
    <s v="2026-08-18 10:00:23"/>
    <s v=""/>
    <s v="106.5101865"/>
    <s v="10.6381416"/>
    <s v="106.6641396"/>
    <s v="10.7830677"/>
    <n v="162648"/>
    <n v="0"/>
    <n v="162648"/>
    <s v="Cash"/>
    <s v="Lô A1,17, Khu Công nghiệp Vĩnh Lộc 2, Đường Vĩnh Lộc 2, Ấp Voi Lá, Xã Long, Hiệp, Long Hiệp, Bến Lức, Long An 850000, Việt NamKhông Gian Công Nghiệp LEADPARK BUSINESS HUB"/>
    <s v="16 Lô C Đ. Trường Sơn, Cư xá Bắc Hải, Quận 10, Hồ Chí Minh 700000, Việt NamCông ty Cắt Khắc Laser PHAN LONG Quận 10 Tphcm Sài Gòn"/>
    <n v="1"/>
    <x v="1"/>
    <x v="10"/>
    <d v="1899-12-30T07:50:23"/>
    <x v="4"/>
  </r>
  <r>
    <s v="3564467476349808859"/>
    <s v=""/>
    <x v="9"/>
    <n v="4822140"/>
    <s v=""/>
    <s v="Motorcycle"/>
    <x v="4"/>
    <s v="2026-08-18 07:52:55"/>
    <s v="2026-08-18 08:02:55"/>
    <s v="2026-08-18 08:36:59"/>
    <s v="NULL"/>
    <s v="2026-08-28 08:03:55"/>
    <s v=""/>
    <s v="106.5131465"/>
    <s v="10.6293136"/>
    <s v="106.7548426"/>
    <s v="10.8103058"/>
    <n v="207792"/>
    <n v="161087"/>
    <n v="46705"/>
    <s v="Cash"/>
    <s v="Lô M3, Đ. Số 4 Phúc Long, KCN, Bến Lức, Long An, Việt NamCông ty TNHH Ushiwaka MG Việt Nam"/>
    <s v="Hẻm 10 Đường Số 2,71106Công Ty TNHH Nhi Khoa Healthcare City Quận 2"/>
    <n v="1"/>
    <x v="1"/>
    <x v="10"/>
    <d v="1899-12-30T07:52:55"/>
    <x v="17"/>
  </r>
  <r>
    <s v="3564467476349809261"/>
    <s v=""/>
    <x v="9"/>
    <n v="0"/>
    <s v=""/>
    <s v="NULL"/>
    <x v="0"/>
    <s v="2026-08-18 07:54:40"/>
    <s v="2026-08-18 08:04:40"/>
    <s v="NULL"/>
    <s v="NULL"/>
    <s v="2026-08-18 10:04:40"/>
    <s v=""/>
    <s v="106.5131465"/>
    <s v="10.6293136"/>
    <s v="106.6716906"/>
    <s v="10.7436706"/>
    <n v="157140"/>
    <n v="0"/>
    <n v="157140"/>
    <s v="Cash"/>
    <s v="Lô M3, Đ. Số 4 Phúc Long, KCN, Bến Lức, Long An, Việt NamCông ty TNHH Ushiwaka MG Việt Nam"/>
    <s v="907 Đường Phạm Thế Hiển, Phường 4, Quận 8, Hồ Chí Minh, Việt NamCông Ty TNHH MTV Dịch Vụ Công Ích Quận 8"/>
    <n v="1"/>
    <x v="1"/>
    <x v="10"/>
    <d v="1899-12-30T07:54:40"/>
    <x v="4"/>
  </r>
  <r>
    <s v="3564468115217797220"/>
    <s v=""/>
    <x v="9"/>
    <n v="0"/>
    <s v=""/>
    <s v="NULL"/>
    <x v="0"/>
    <s v="2026-08-18 07:53:11"/>
    <s v="2026-08-18 08:03:10"/>
    <s v="NULL"/>
    <s v="NULL"/>
    <s v="2026-08-18 10:03:10"/>
    <s v=""/>
    <s v="106.5131465"/>
    <s v="10.6293136"/>
    <s v="106.6823683"/>
    <s v="10.7801292"/>
    <n v="176364"/>
    <n v="0"/>
    <n v="176364"/>
    <s v="Cash"/>
    <s v="Lô M3, Đ. Số 4 Phúc Long, KCN, Bến Lức, Long An, Việt NamCông ty TNHH Ushiwaka MG Việt Nam"/>
    <s v="CÔNG TY CỔ PHẦN THƯƠNG MẠI DỊCH VỤ QUẬN 3, Lý Chính Thắng, Nhiêu Lộc, Hồ Chí Minh, Việt NamCÔNG TY CỔ PHẦN THƯƠNG MẠI DỊCH VỤ QUẬN 3"/>
    <n v="1"/>
    <x v="1"/>
    <x v="10"/>
    <d v="1899-12-30T07:53:11"/>
    <x v="9"/>
  </r>
  <r>
    <s v="3564469914330947752"/>
    <s v=""/>
    <x v="9"/>
    <n v="0"/>
    <s v=""/>
    <s v="NULL"/>
    <x v="0"/>
    <s v="2026-08-18 07:57:02"/>
    <s v="2026-08-18 08:07:01"/>
    <s v="NULL"/>
    <s v="NULL"/>
    <s v="2026-08-18 10:07:01"/>
    <s v=""/>
    <s v="106.5112025"/>
    <s v="10.6359696"/>
    <s v="106.6823683"/>
    <s v="10.7801292"/>
    <n v="166968"/>
    <n v="0"/>
    <n v="166968"/>
    <s v="Cash"/>
    <s v="Long Hiệp, Bến Lức, Long An, Việt NamCông Ty Cổ Phần Thiêt Kê Nôi Thât Trung Nam"/>
    <s v="CÔNG TY CỔ PHẦN THƯƠNG MẠI DỊCH VỤ QUẬN 3, Lý Chính Thắng, Nhiêu Lộc, Hồ Chí Minh, Việt NamCÔNG TY CỔ PHẦN THƯƠNG MẠI DỊCH VỤ QUẬN 3"/>
    <n v="1"/>
    <x v="1"/>
    <x v="10"/>
    <d v="1899-12-30T07:57:02"/>
    <x v="9"/>
  </r>
  <r>
    <s v="3564469914330948031"/>
    <s v=""/>
    <x v="9"/>
    <n v="0"/>
    <s v=""/>
    <s v="NULL"/>
    <x v="0"/>
    <s v="2026-08-18 07:58:04"/>
    <s v="2026-08-18 08:08:03"/>
    <s v="NULL"/>
    <s v="NULL"/>
    <s v="2026-08-18 10:08:03"/>
    <s v=""/>
    <s v="106.5112025"/>
    <s v="10.6359696"/>
    <s v="106.7028406"/>
    <s v="10.7399106"/>
    <n v="162108"/>
    <n v="0"/>
    <n v="162108"/>
    <s v="Cash"/>
    <s v="Long Hiệp, Bến Lức, Long An, Việt NamCông Ty Cổ Phần Thiêt Kê Nôi Thât Trung Nam"/>
    <s v="Đường Nguyễn Thị Thập,72912Công Ty TNHH MTV Sơn Quận 7"/>
    <n v="1"/>
    <x v="1"/>
    <x v="10"/>
    <d v="1899-12-30T07:58:04"/>
    <x v="9"/>
  </r>
  <r>
    <s v="3564469980131185359"/>
    <s v=""/>
    <x v="9"/>
    <n v="0"/>
    <s v=""/>
    <s v="NULL"/>
    <x v="0"/>
    <s v="2026-08-18 07:55:18"/>
    <s v="2026-08-18 08:05:17"/>
    <s v="NULL"/>
    <s v="NULL"/>
    <s v="2026-08-18 10:05:17"/>
    <s v=""/>
    <s v="106.5131465"/>
    <s v="10.6293136"/>
    <s v="106.6641396"/>
    <s v="10.7830677"/>
    <n v="172044"/>
    <n v="0"/>
    <n v="172044"/>
    <s v="Cash"/>
    <s v="Lô M3, Đ. Số 4 Phúc Long, KCN, Bến Lức, Long An, Việt NamCông ty TNHH Ushiwaka MG Việt Nam"/>
    <s v="16 Lô C Đ. Trường Sơn, Cư xá Bắc Hải, Quận 10, Hồ Chí Minh 700000, Việt NamCông ty Cắt Khắc Laser PHAN LONG Quận 10 Tphcm Sài Gòn"/>
    <n v="1"/>
    <x v="1"/>
    <x v="10"/>
    <d v="1899-12-30T07:55:18"/>
    <x v="9"/>
  </r>
  <r>
    <s v="3564470051769905504"/>
    <s v=""/>
    <x v="9"/>
    <n v="0"/>
    <s v=""/>
    <s v="NULL"/>
    <x v="0"/>
    <s v="2026-08-18 07:53:47"/>
    <s v="2026-08-18 08:03:47"/>
    <s v="NULL"/>
    <s v="NULL"/>
    <s v="2026-08-18 10:06:41"/>
    <s v=""/>
    <s v="106.5131465"/>
    <s v="10.6293136"/>
    <s v="106.6699926"/>
    <s v="10.7578137"/>
    <n v="163296"/>
    <n v="0"/>
    <n v="163296"/>
    <s v="Cash"/>
    <s v="Lô M3, Đ. Số 4 Phúc Long, KCN, Bến Lức, Long An, Việt NamCông ty TNHH Ushiwaka MG Việt Nam"/>
    <s v="Công Ty THIET THACH , Quận 5, Đường Hùng Vương, Phường 9 (Quận 5), Quận 5, Thành phố Hồ Chí Minh, Việt NamCông Ty THIET THACH , Quận 5"/>
    <n v="1"/>
    <x v="1"/>
    <x v="10"/>
    <d v="1899-12-30T07:53:47"/>
    <x v="466"/>
  </r>
  <r>
    <s v="3564470051769906003"/>
    <s v=""/>
    <x v="9"/>
    <n v="4402897"/>
    <s v=""/>
    <s v="Motorcycle"/>
    <x v="2"/>
    <s v="2026-08-18 07:55:48"/>
    <s v="2026-08-18 08:05:48"/>
    <s v="2026-08-18 10:03:02"/>
    <s v="NULL"/>
    <s v=""/>
    <s v=""/>
    <s v="106.5131465"/>
    <s v="10.6293136"/>
    <s v="106.6077078"/>
    <s v="10.8554599"/>
    <n v="195372"/>
    <n v="151459"/>
    <n v="43913"/>
    <s v="Cash"/>
    <s v="Lô M3, Đ. Số 4 Phúc Long, KCN, Bến Lức, Long An, Việt NamCông ty TNHH Ushiwaka MG Việt Nam"/>
    <s v="Trung Tâm Văn Hoá Quận 12, Quốc lộ 22, Trung Mỹ Tây, Hồ Chí Minh, Việt NamTrung Tâm Văn Hoá Quận 12"/>
    <n v="1"/>
    <x v="1"/>
    <x v="10"/>
    <d v="1899-12-30T07:55:48"/>
    <x v="14"/>
  </r>
  <r>
    <s v="3564473576327438515"/>
    <s v=""/>
    <x v="9"/>
    <n v="4009018"/>
    <s v=""/>
    <s v="Motorcycle"/>
    <x v="2"/>
    <s v="2026-08-18 07:59:18"/>
    <s v="2026-08-18 08:09:17"/>
    <s v="2026-08-18 09:57:12"/>
    <s v="NULL"/>
    <s v=""/>
    <s v=""/>
    <s v="106.5112025"/>
    <s v="10.6359696"/>
    <s v="106.6077078"/>
    <s v="10.8554599"/>
    <n v="191700"/>
    <n v="148612"/>
    <n v="43088"/>
    <s v="Cash"/>
    <s v="Long Hiệp, Bến Lức, Long An, Việt NamCông Ty Cổ Phần Thiêt Kê Nôi Thât Trung Nam"/>
    <s v="Trung Tâm Văn Hoá Quận 12, Quốc lộ 22, Trung Mỹ Tây, Hồ Chí Minh, Việt NamTrung Tâm Văn Hoá Quận 12"/>
    <n v="1"/>
    <x v="1"/>
    <x v="10"/>
    <d v="1899-12-30T07:59:18"/>
    <x v="14"/>
  </r>
  <r>
    <s v="3564486388961473157"/>
    <s v=""/>
    <x v="10"/>
    <n v="3241501"/>
    <s v="đến bảo ve lấy hàng "/>
    <s v="Motorcycle"/>
    <x v="1"/>
    <s v="2026-08-18 08:24:02"/>
    <s v="2026-08-18 08:34:00"/>
    <s v="2026-08-18 08:24:49"/>
    <s v="NULL"/>
    <s v="2026-08-18 08:25:40"/>
    <s v=""/>
    <s v="106.48017782717943"/>
    <s v="10.842323094076812"/>
    <s v="106.9004472"/>
    <s v="11.5099618"/>
    <n v="499932"/>
    <n v="387563"/>
    <n v="112369"/>
    <s v="Cash"/>
    <s v="Đường Chưa Đặt Tên, Mỹ Hạnh, Tây Ninh, Việt NamĐường Chưa Đặt Tên"/>
    <s v="Bình Phước, Đồng Nai, Việt NamBình Phước"/>
    <n v="1"/>
    <x v="1"/>
    <x v="10"/>
    <d v="1899-12-30T08:24:02"/>
    <x v="467"/>
  </r>
  <r>
    <s v="3564487995581231499"/>
    <s v=""/>
    <x v="10"/>
    <n v="3241501"/>
    <s v="đến bảo ve lấy hàng "/>
    <s v="Motorcycle"/>
    <x v="1"/>
    <s v="2026-08-18 08:26:23"/>
    <s v="2026-08-18 08:36:00"/>
    <s v="2026-08-18 08:26:50"/>
    <s v="NULL"/>
    <s v="2026-08-18 08:27:12"/>
    <s v=""/>
    <s v="106.48017782717943"/>
    <s v="10.842323094076812"/>
    <s v="106.9004472"/>
    <s v="11.5099618"/>
    <n v="499932"/>
    <n v="387563"/>
    <n v="112369"/>
    <s v="Cash"/>
    <s v="Đường Chưa Đặt Tên, Mỹ Hạnh, Tây Ninh, Việt NamĐường Chưa Đặt Tên"/>
    <s v="Bình Phước, Đồng Nai, Việt NamBình Phước"/>
    <n v="1"/>
    <x v="1"/>
    <x v="10"/>
    <d v="1899-12-30T08:26:23"/>
    <x v="468"/>
  </r>
  <r>
    <s v="3564488635539739691"/>
    <s v=""/>
    <x v="10"/>
    <n v="4038351"/>
    <s v="đến bảo ve lấy hàng "/>
    <s v="Motorcycle"/>
    <x v="1"/>
    <s v="2026-08-18 08:29:14"/>
    <s v="2026-08-18 08:39:00"/>
    <s v="2026-08-18 08:29:43"/>
    <s v="NULL"/>
    <s v="2026-08-18 08:30:26"/>
    <s v=""/>
    <s v="106.48017782717943"/>
    <s v="10.842323094076812"/>
    <s v="106.802341415393"/>
    <s v="11.076224097503"/>
    <n v="299808"/>
    <n v="232421"/>
    <n v="67387"/>
    <s v="Cash"/>
    <s v="Đường Chưa Đặt Tên, Mỹ Hạnh, Tây Ninh, Việt NamĐường Chưa Đặt Tên"/>
    <s v="Tân Uyên, Hồ Chí Minh, Việt NamTân Uyen Bình Dương"/>
    <n v="1"/>
    <x v="1"/>
    <x v="10"/>
    <d v="1899-12-30T08:29:14"/>
    <x v="469"/>
  </r>
  <r>
    <s v="3564489034652934478"/>
    <s v=""/>
    <x v="10"/>
    <n v="4015531"/>
    <s v="đến bảo ve lấy hàng "/>
    <s v="Motorcycle"/>
    <x v="1"/>
    <s v="2026-08-18 08:33:07"/>
    <s v="2026-08-18 08:43:00"/>
    <s v="2026-08-18 08:33:56"/>
    <s v="NULL"/>
    <s v="2026-08-18 08:34:24"/>
    <s v=""/>
    <s v="106.48017782717943"/>
    <s v="10.842323094076812"/>
    <s v="106.802341415393"/>
    <s v="11.076224097503"/>
    <n v="299808"/>
    <n v="232421"/>
    <n v="67387"/>
    <s v="Cash"/>
    <s v="Đường Chưa Đặt Tên, Mỹ Hạnh, Tây Ninh, Việt NamĐường Chưa Đặt Tên"/>
    <s v="Tân Uyên, Hồ Chí Minh, Việt NamTân Uyen Bình Dương"/>
    <n v="1"/>
    <x v="1"/>
    <x v="10"/>
    <d v="1899-12-30T08:33:07"/>
    <x v="470"/>
  </r>
  <r>
    <s v="3564490514990584171"/>
    <s v=""/>
    <x v="10"/>
    <n v="4348108"/>
    <s v="đến bảo ve lấy hàng "/>
    <s v="Motorcycle"/>
    <x v="1"/>
    <s v="2026-08-18 08:31:06"/>
    <s v="2026-08-18 08:41:00"/>
    <s v="2026-08-18 08:31:41"/>
    <s v="NULL"/>
    <s v="2026-08-18 08:32:00"/>
    <s v=""/>
    <s v="106.48017782717943"/>
    <s v="10.842323094076812"/>
    <s v="106.802341415393"/>
    <s v="11.076224097503"/>
    <n v="299808"/>
    <n v="246092"/>
    <n v="53716"/>
    <s v="Cash"/>
    <s v="Đường Chưa Đặt Tên, Mỹ Hạnh, Tây Ninh, Việt NamĐường Chưa Đặt Tên"/>
    <s v="Tân Uyên, Hồ Chí Minh, Việt NamTân Uyen Bình Dương"/>
    <n v="1"/>
    <x v="1"/>
    <x v="10"/>
    <d v="1899-12-30T08:31:06"/>
    <x v="471"/>
  </r>
  <r>
    <s v="3564492928518942956"/>
    <s v=""/>
    <x v="10"/>
    <n v="3427880"/>
    <s v="lấy hàng cho cty màng cua gia Thiên "/>
    <s v="Motorcycle"/>
    <x v="1"/>
    <s v="2026-08-18 08:37:42"/>
    <s v="2026-08-18 08:47:00"/>
    <s v="2026-08-18 08:38:19"/>
    <s v="NULL"/>
    <s v="2026-08-18 08:38:57"/>
    <s v=""/>
    <s v="106.48017782717943"/>
    <s v="10.842323094076812"/>
    <s v="106.4994889"/>
    <s v="10.5280095"/>
    <n v="258984"/>
    <n v="200773"/>
    <n v="58211"/>
    <s v="Cash"/>
    <s v="Đường Chưa Đặt Tên, Mỹ Hạnh, Tây Ninh, Việt NamĐường Chưa Đặt Tên"/>
    <s v="Tân Trụ, Long An, Việt NamTân Trụ"/>
    <n v="1"/>
    <x v="1"/>
    <x v="10"/>
    <d v="1899-12-30T08:37:42"/>
    <x v="472"/>
  </r>
  <r>
    <s v="3564891640927843352"/>
    <s v="ywja"/>
    <x v="8"/>
    <n v="4449879"/>
    <s v=""/>
    <s v="Van (t)"/>
    <x v="2"/>
    <s v="2026-08-18 22:32:54"/>
    <s v="2026-08-18 22:42:00"/>
    <s v="2026-08-18 23:40:35"/>
    <s v="2026-08-18 23:46:44"/>
    <s v=""/>
    <s v=""/>
    <s v="106.64845425635576"/>
    <s v="10.766422787798195"/>
    <s v="106.75832156091928"/>
    <s v="10.890440812431073"/>
    <n v="273996"/>
    <n v="212410"/>
    <n v="61586"/>
    <s v="Cash"/>
    <s v="129A Đ. Bình Thới, Phường 11, Quận 11, Hồ Chí Minh, Việt Nam129A Đường Bình Thới"/>
    <s v="192 27, Khu phố 4, Dĩ An, Bình Dương, Việt NamShop Đồ Chơi Xe Máy Vinh LC"/>
    <n v="1"/>
    <x v="1"/>
    <x v="10"/>
    <d v="1899-12-30T22:32:54"/>
    <x v="14"/>
  </r>
  <r>
    <s v="3565165824467759526"/>
    <s v=""/>
    <x v="11"/>
    <n v="0"/>
    <s v=""/>
    <s v="NULL"/>
    <x v="0"/>
    <s v="2026-08-19 07:17:38"/>
    <s v="2026-08-19 07:27:36"/>
    <s v="NULL"/>
    <s v="NULL"/>
    <s v="2026-08-19 09:27:36"/>
    <s v=""/>
    <s v="106.490165"/>
    <s v="10.6014965"/>
    <s v="106.7433394"/>
    <s v="10.9117363"/>
    <n v="224964"/>
    <n v="0"/>
    <n v="224964"/>
    <s v="Cash"/>
    <s v="Công ty TNHH Supply Solutions &amp; Trading - Chi nhánh Long An, Long Cang, Tây Ninh, Việt NamCông ty TNHH Supply Solutions &amp; Trading - Chi nhánh Long An"/>
    <s v="Công Ty TNHH Active International Việt Nam, Dĩ An, Hồ Chí Minh, Việt NamCông Ty TNHH Active International Việt Nam"/>
    <n v="1"/>
    <x v="1"/>
    <x v="11"/>
    <d v="1899-12-30T07:17:38"/>
    <x v="208"/>
  </r>
  <r>
    <s v="3565165824476144230"/>
    <s v=""/>
    <x v="11"/>
    <n v="0"/>
    <s v=""/>
    <s v="NULL"/>
    <x v="0"/>
    <s v="2026-08-19 07:26:27"/>
    <s v="2026-08-19 07:36:25"/>
    <s v="NULL"/>
    <s v="NULL"/>
    <s v="2026-08-19 09:36:25"/>
    <s v=""/>
    <s v="106.4989895"/>
    <s v="10.6101417"/>
    <s v="106.7433394"/>
    <s v="10.9117363"/>
    <n v="307800"/>
    <n v="0"/>
    <n v="307800"/>
    <s v="Cash"/>
    <s v="Long Định, Cần Đước, Long An, Việt NamOKIA OPTICAL VIETNAM"/>
    <s v="Công Ty TNHH Active International Việt Nam, Dĩ An, Hồ Chí Minh, Việt NamCông Ty TNHH Active International Việt Nam"/>
    <n v="1"/>
    <x v="1"/>
    <x v="11"/>
    <d v="1899-12-30T07:26:27"/>
    <x v="208"/>
  </r>
  <r>
    <s v="3565166102793379984"/>
    <s v=""/>
    <x v="11"/>
    <n v="0"/>
    <s v=""/>
    <s v="NULL"/>
    <x v="0"/>
    <s v="2026-08-19 07:24:01"/>
    <s v="2026-08-19 07:33:59"/>
    <s v="NULL"/>
    <s v="NULL"/>
    <s v="2026-08-19 09:33:59"/>
    <s v=""/>
    <s v="106.4938575"/>
    <s v="10.6061586"/>
    <s v="106.72520641874084"/>
    <s v="10.78627066257941"/>
    <n v="211140"/>
    <n v="0"/>
    <n v="211140"/>
    <s v="Cash"/>
    <s v="Khu A và Khu B, Đường số 10, Khu công nghiệp Thuận Đạomở rộng, Cần Đước, Long An, Việt NamSHUNDAO (VIETNAM) INDUSTRIAL COMPANY LIMITED"/>
    <s v="QPPG+H68, An Khánh, Hồ Chí Minh, Việt NamQPPG+H68, An Khánh, Hồ Chí Minh, Việt Nam"/>
    <n v="1"/>
    <x v="1"/>
    <x v="11"/>
    <d v="1899-12-30T07:24:01"/>
    <x v="208"/>
  </r>
  <r>
    <s v="3565166102793380607"/>
    <s v=""/>
    <x v="11"/>
    <n v="0"/>
    <s v=""/>
    <s v="NULL"/>
    <x v="0"/>
    <s v="2026-08-19 07:28:28"/>
    <s v="2026-08-19 07:38:26"/>
    <s v="NULL"/>
    <s v="NULL"/>
    <s v="2026-08-19 09:38:26"/>
    <s v=""/>
    <s v="106.4909375"/>
    <s v="10.6204446"/>
    <s v="106.592079643777"/>
    <s v="10.795802362629"/>
    <n v="162756"/>
    <n v="0"/>
    <n v="162756"/>
    <s v="Cash"/>
    <s v="Thuan Dao Industrial Park, TT. Bến Lức, Bến Lức, Long An, Việt NamCông ty Ching Luh"/>
    <s v="Đường Số 6, Khu Phố 5, Bình Tân, Hồ Chí Minh, VietnamCông Ty Vinh Phát"/>
    <n v="1"/>
    <x v="1"/>
    <x v="11"/>
    <d v="1899-12-30T07:28:28"/>
    <x v="208"/>
  </r>
  <r>
    <s v="3565170333092893315"/>
    <s v=""/>
    <x v="11"/>
    <n v="0"/>
    <s v=""/>
    <s v="NULL"/>
    <x v="0"/>
    <s v="2026-08-19 07:31:16"/>
    <s v="2026-08-19 07:41:15"/>
    <s v="NULL"/>
    <s v="NULL"/>
    <s v="2026-08-19 09:41:15"/>
    <s v=""/>
    <s v="106.512463"/>
    <s v="10.6195398"/>
    <s v="106.7354427"/>
    <s v="10.9375918"/>
    <n v="308988"/>
    <n v="0"/>
    <n v="308988"/>
    <s v="Cash"/>
    <s v="CÔNG TY TNHH VẬT LIỆU CÔNG NGHỆ CAO LONGDA WEIFANG VIỆT NAM, Đ. Số 1, Khu công nghiệp Phúc Long, Mỹ Yên, Tây Ninh, Việt NamCÔNG TY TNHH VẬT LIỆU CÔNG NGHỆ CAO LONGDA WEIFANG VIỆT NAM"/>
    <s v="40Vsip, Vietnam Singapore Industrial Part, Street No 6, An Phú, Thuận An, Bình Dương, Việt NamMidea Consumer Electric (Viet Nam) Co., Ltd"/>
    <n v="1"/>
    <x v="1"/>
    <x v="11"/>
    <d v="1899-12-30T07:31:16"/>
    <x v="9"/>
  </r>
  <r>
    <s v="3565170417692004645"/>
    <s v=""/>
    <x v="11"/>
    <n v="0"/>
    <s v=""/>
    <s v="NULL"/>
    <x v="0"/>
    <s v="2026-08-19 07:14:12"/>
    <s v="2026-08-19 07:24:10"/>
    <s v="NULL"/>
    <s v="NULL"/>
    <s v="2026-08-19 09:24:10"/>
    <s v=""/>
    <s v="106.490165"/>
    <s v="10.6014965"/>
    <s v="106.7817456"/>
    <s v="11.0981928"/>
    <n v="314496"/>
    <n v="0"/>
    <n v="314496"/>
    <s v="Cash"/>
    <s v="Công ty TNHH Supply Solutions &amp; Trading - Chi nhánh Long An, Long Cang, Tây Ninh, Việt NamCông ty TNHH Supply Solutions &amp; Trading - Chi nhánh Long An"/>
    <s v="Hội Nghĩa, Tân Uyên, Bình Dương, Việt NamCông ty TNHH XinHui"/>
    <n v="1"/>
    <x v="1"/>
    <x v="11"/>
    <d v="1899-12-30T07:14:12"/>
    <x v="208"/>
  </r>
  <r>
    <s v="3565170417708790098"/>
    <s v=""/>
    <x v="11"/>
    <n v="0"/>
    <s v=""/>
    <s v="NULL"/>
    <x v="0"/>
    <s v="2026-08-19 07:22:41"/>
    <s v="2026-08-19 07:32:39"/>
    <s v="NULL"/>
    <s v="NULL"/>
    <s v="2026-08-19 09:32:39"/>
    <s v=""/>
    <s v="106.4938575"/>
    <s v="10.6061586"/>
    <s v="106.7610327"/>
    <s v="10.8282188"/>
    <n v="196128"/>
    <n v="0"/>
    <n v="196128"/>
    <s v="Cash"/>
    <s v="Khu A và Khu B, Đường số 10, Khu công nghiệp Thuận Đạomở rộng, Cần Đước, Long An, Việt NamSHUNDAO (VIETNAM) INDUSTRIAL COMPANY LIMITED"/>
    <s v="9 Đ. Nguyễn Văn Bá, Phước Long A, Thủ Đức, Thành phố Hồ Chí Minh, Việt NamCông Ty Cơ Điện Thủ Đức"/>
    <n v="1"/>
    <x v="1"/>
    <x v="11"/>
    <d v="1899-12-30T07:22:41"/>
    <x v="208"/>
  </r>
  <r>
    <s v="3565170417708790390"/>
    <s v=""/>
    <x v="11"/>
    <n v="0"/>
    <s v=""/>
    <s v="NULL"/>
    <x v="0"/>
    <s v="2026-08-19 07:24:54"/>
    <s v="2026-08-19 07:34:52"/>
    <s v="NULL"/>
    <s v="NULL"/>
    <s v="2026-08-19 09:34:52"/>
    <s v=""/>
    <s v="106.4938575"/>
    <s v="10.6061586"/>
    <s v="106.7158059527008"/>
    <s v="10.794126321991056"/>
    <n v="213084"/>
    <n v="0"/>
    <n v="213084"/>
    <s v="Cash"/>
    <s v="Khu A và Khu B, Đường số 10, Khu công nghiệp Thuận Đạomở rộng, Cần Đước, Long An, Việt NamSHUNDAO (VIETNAM) INDUSTRIAL COMPANY LIMITED"/>
    <s v="135, 37/41 Hẻm 117 Nguyễn Hữu Cảnh, Thạnh Mỹ Tây, Hồ Chí Minh, Việt Nam135, 37/41 Hẻm 117 Nguyễn Hữu Cảnh, Thạnh Mỹ Tây, Hồ Chí Minh, Việt Nam"/>
    <n v="1"/>
    <x v="1"/>
    <x v="11"/>
    <d v="1899-12-30T07:24:54"/>
    <x v="208"/>
  </r>
  <r>
    <s v="3565170417725562931"/>
    <s v=""/>
    <x v="11"/>
    <n v="0"/>
    <s v=""/>
    <s v="NULL"/>
    <x v="0"/>
    <s v="2026-08-19 07:27:41"/>
    <s v="2026-08-19 07:37:39"/>
    <s v="NULL"/>
    <s v="NULL"/>
    <s v="2026-08-19 09:37:39"/>
    <s v=""/>
    <s v="106.4934381"/>
    <s v="10.6118595"/>
    <s v="106.6361766"/>
    <s v="10.8328608"/>
    <n v="141048"/>
    <n v="0"/>
    <n v="141048"/>
    <s v="Cash"/>
    <s v="Cong ty Nutreco, Long Cang, Tây Ninh, Việt NamCong ty Nutreco"/>
    <s v="Công Ty Tnhh Công Nghệ Quang Lâm, Phan Huy Ích, phường 12, Gò Vấp, Hồ Chí Minh, Việt NamCông Ty Tnhh Công Nghệ Quang Lâm"/>
    <n v="1"/>
    <x v="1"/>
    <x v="11"/>
    <d v="1899-12-30T07:27:41"/>
    <x v="208"/>
  </r>
  <r>
    <s v="3565170417725563153"/>
    <s v=""/>
    <x v="11"/>
    <n v="0"/>
    <s v=""/>
    <s v="NULL"/>
    <x v="0"/>
    <s v="2026-08-19 07:29:22"/>
    <s v="2026-08-19 07:39:20"/>
    <s v="NULL"/>
    <s v="NULL"/>
    <s v="2026-08-19 09:39:20"/>
    <s v=""/>
    <s v="106.4883825"/>
    <s v="10.6224357"/>
    <s v="106.7255805"/>
    <s v="10.7864198"/>
    <n v="190080"/>
    <n v="0"/>
    <n v="190080"/>
    <s v="Cash"/>
    <s v="Lô A4 Đường Số 1, TT. Bến Lức, Bến Lức, Long An, Việt NamCông Ty Tnhh Koda Sài Gòn"/>
    <s v="QPPG+H68, An Khánh, Hồ Chí Minh, Việt NamQPPG+H68, An Khánh, Hồ Chí Minh, Việt Nam"/>
    <n v="1"/>
    <x v="1"/>
    <x v="11"/>
    <d v="1899-12-30T07:29:22"/>
    <x v="208"/>
  </r>
  <r>
    <s v="3565170417725563527"/>
    <s v=""/>
    <x v="11"/>
    <n v="0"/>
    <s v=""/>
    <s v="NULL"/>
    <x v="0"/>
    <s v="2026-08-19 07:31:42"/>
    <s v="2026-08-19 07:41:41"/>
    <s v="NULL"/>
    <s v="NULL"/>
    <s v="2026-08-19 09:41:41"/>
    <s v=""/>
    <s v="106.512463"/>
    <s v="10.6195398"/>
    <s v="106.8791878"/>
    <s v="10.9339678"/>
    <n v="266544"/>
    <n v="0"/>
    <n v="266544"/>
    <s v="Cash"/>
    <s v="CÔNG TY TNHH VẬT LIỆU CÔNG NGHỆ CAO LONGDA WEIFANG VIỆT NAM, Đ. Số 1, Khu công nghiệp Phúc Long, Mỹ Yên, Tây Ninh, Việt NamCÔNG TY TNHH VẬT LIỆU CÔNG NGHỆ CAO LONGDA WEIFANG VIỆT NAM"/>
    <s v="C90 Tổ 1, Khu Phố 3, Biên Hòa, Đồng Nai, Việt NamCổng 2 Công ty Cổ Phần Taekwang Vina , Chi nhánh Long Bình"/>
    <n v="1"/>
    <x v="1"/>
    <x v="11"/>
    <d v="1899-12-30T07:31:42"/>
    <x v="9"/>
  </r>
  <r>
    <s v="3565170844252726087"/>
    <s v=""/>
    <x v="11"/>
    <n v="0"/>
    <s v=""/>
    <s v="NULL"/>
    <x v="0"/>
    <s v="2026-08-19 07:19:28"/>
    <s v="2026-08-19 07:29:27"/>
    <s v="NULL"/>
    <s v="NULL"/>
    <s v="2026-08-19 09:29:27"/>
    <s v=""/>
    <s v="106.490165"/>
    <s v="10.6014965"/>
    <s v="106.9904758"/>
    <s v="10.7919807"/>
    <n v="288468"/>
    <n v="0"/>
    <n v="288468"/>
    <s v="Cash"/>
    <s v="Công ty TNHH Supply Solutions &amp; Trading - Chi nhánh Long An, Long Cang, Tây Ninh, Việt NamCông ty TNHH Supply Solutions &amp; Trading - Chi nhánh Long An"/>
    <s v="Lô D KCN Lộc An Bình Sơn, Long An, Long Thành, Đồng Nai, Việt NamCÔNG TY TNHH TOPBAND SMART ĐỒNG NAI VIỆT NAM"/>
    <n v="1"/>
    <x v="1"/>
    <x v="11"/>
    <d v="1899-12-30T07:19:28"/>
    <x v="9"/>
  </r>
  <r>
    <s v="3565170844269499087"/>
    <s v=""/>
    <x v="11"/>
    <n v="0"/>
    <s v=""/>
    <s v="NULL"/>
    <x v="0"/>
    <s v="2026-08-19 07:25:50"/>
    <s v="2026-08-19 07:35:49"/>
    <s v="NULL"/>
    <s v="NULL"/>
    <s v="2026-08-19 09:35:49"/>
    <s v=""/>
    <s v="106.4973945"/>
    <s v="10.6090006"/>
    <s v="106.6593646"/>
    <s v="10.9803798"/>
    <n v="236520"/>
    <n v="0"/>
    <n v="236520"/>
    <s v="Cash"/>
    <s v="CÔNG TY TNHH KUZCO VIỆT NAM, Long Cang, Tây Ninh, Việt NamCÔNG TY TNHH KUZCO VIỆT NAM"/>
    <s v="10/16 Đ. Chùa Hội Khánh, Phú Cường, Thủ Dầu Một, Bình Dương, Việt NamCông ty TNHH MTV Nhựa Ngọc Thắng"/>
    <n v="1"/>
    <x v="1"/>
    <x v="11"/>
    <d v="1899-12-30T07:25:50"/>
    <x v="9"/>
  </r>
  <r>
    <s v="3565170844269499295"/>
    <s v=""/>
    <x v="11"/>
    <n v="0"/>
    <s v=""/>
    <s v="NULL"/>
    <x v="0"/>
    <s v="2026-08-19 07:27:15"/>
    <s v="2026-08-19 07:37:14"/>
    <s v="NULL"/>
    <s v="NULL"/>
    <s v="2026-08-19 09:37:14"/>
    <s v=""/>
    <s v="106.4934381"/>
    <s v="10.6118595"/>
    <s v="106.9904758"/>
    <s v="10.7919807"/>
    <n v="282528"/>
    <n v="0"/>
    <n v="282528"/>
    <s v="Cash"/>
    <s v="Cong ty Nutreco, Long Cang, Tây Ninh, Việt NamCong ty Nutreco"/>
    <s v="Lô D KCN Lộc An Bình Sơn, Long An, Long Thành, Đồng Nai, Việt NamCÔNG TY TNHH TOPBAND SMART ĐỒNG NAI VIỆT NAM"/>
    <n v="1"/>
    <x v="1"/>
    <x v="11"/>
    <d v="1899-12-30T07:27:15"/>
    <x v="9"/>
  </r>
  <r>
    <s v="3565170844286284097"/>
    <s v=""/>
    <x v="11"/>
    <n v="0"/>
    <s v=""/>
    <s v="NULL"/>
    <x v="0"/>
    <s v="2026-08-19 07:30:18"/>
    <s v="2026-08-19 07:40:17"/>
    <s v="NULL"/>
    <s v="NULL"/>
    <s v="2026-08-19 09:40:17"/>
    <s v=""/>
    <s v="106.5116244"/>
    <s v="10.6191207"/>
    <s v="106.6089756"/>
    <s v="11.0996528"/>
    <n v="283284"/>
    <n v="0"/>
    <n v="283284"/>
    <s v="Cash"/>
    <s v="Công Ty TNHH Hitisa, Khu Công Nghiệp Phúc Long, Đường Số 8, Long Hiệp, Bến Lức, Long An, Việt NamCông Ty TNHH Hitisa"/>
    <s v="Đường ĐH603, Thới Hoà, Bến Cát, Bình Dương 75000, Việt NamChi Nhánh Công ty TNHH TM DV HC VT"/>
    <n v="1"/>
    <x v="1"/>
    <x v="11"/>
    <d v="1899-12-30T07:30:18"/>
    <x v="9"/>
  </r>
  <r>
    <s v="3565171320876650803"/>
    <s v=""/>
    <x v="11"/>
    <n v="0"/>
    <s v=""/>
    <s v="NULL"/>
    <x v="0"/>
    <s v="2026-08-19 07:16:06"/>
    <s v="2026-08-19 07:26:04"/>
    <s v="NULL"/>
    <s v="NULL"/>
    <s v="2026-08-19 09:26:04"/>
    <s v=""/>
    <s v="106.490165"/>
    <s v="10.6014965"/>
    <s v="106.6593646"/>
    <s v="10.9803798"/>
    <n v="239328"/>
    <n v="0"/>
    <n v="239328"/>
    <s v="Cash"/>
    <s v="Công ty TNHH Supply Solutions &amp; Trading - Chi nhánh Long An, Long Cang, Tây Ninh, Việt NamCông ty TNHH Supply Solutions &amp; Trading - Chi nhánh Long An"/>
    <s v="10/16 Đ. Chùa Hội Khánh, Phú Cường, Thủ Dầu Một, Bình Dương, Việt NamCông ty TNHH MTV Nhựa Ngọc Thắng"/>
    <n v="1"/>
    <x v="1"/>
    <x v="11"/>
    <d v="1899-12-30T07:16:06"/>
    <x v="208"/>
  </r>
  <r>
    <s v="3565175313199755828"/>
    <s v=""/>
    <x v="11"/>
    <n v="0"/>
    <s v=""/>
    <s v="NULL"/>
    <x v="0"/>
    <s v="2026-08-19 07:30:45"/>
    <s v="2026-08-19 07:40:43"/>
    <s v="NULL"/>
    <s v="NULL"/>
    <s v="2026-08-19 11:58:35"/>
    <s v=""/>
    <s v="106.5116244"/>
    <s v="10.6191207"/>
    <s v="106.6593646"/>
    <s v="10.9803798"/>
    <n v="312336"/>
    <n v="0"/>
    <n v="312336"/>
    <s v="Cash"/>
    <s v="Công Ty TNHH Hitisa, Khu Công Nghiệp Phúc Long, Đường Số 8, Long Hiệp, Bến Lức, Long An, Việt NamCông Ty TNHH Hitisa"/>
    <s v="10/16 Đ. Chùa Hội Khánh, Phú Cường, Thủ Dầu Một, Bình Dương, Việt NamCông ty TNHH MTV Nhựa Ngọc Thắng"/>
    <n v="1"/>
    <x v="1"/>
    <x v="11"/>
    <d v="1899-12-30T07:30:45"/>
    <x v="473"/>
  </r>
  <r>
    <s v="3565175313199755959"/>
    <s v=""/>
    <x v="11"/>
    <n v="0"/>
    <s v=""/>
    <s v="NULL"/>
    <x v="0"/>
    <s v="2026-08-19 07:31:29"/>
    <s v="2026-08-19 07:41:28"/>
    <s v="NULL"/>
    <s v="NULL"/>
    <s v="2026-08-19 09:41:28"/>
    <s v=""/>
    <s v="106.512463"/>
    <s v="10.6195398"/>
    <s v="106.7433394"/>
    <s v="10.9117363"/>
    <n v="207360"/>
    <n v="0"/>
    <n v="207360"/>
    <s v="Cash"/>
    <s v="CÔNG TY TNHH VẬT LIỆU CÔNG NGHỆ CAO LONGDA WEIFANG VIỆT NAM, Đ. Số 1, Khu công nghiệp Phúc Long, Mỹ Yên, Tây Ninh, Việt NamCÔNG TY TNHH VẬT LIỆU CÔNG NGHỆ CAO LONGDA WEIFANG VIỆT NAM"/>
    <s v="Công Ty TNHH Active International Việt Nam, Dĩ An, Hồ Chí Minh, Việt NamCông Ty TNHH Active International Việt Nam"/>
    <n v="1"/>
    <x v="1"/>
    <x v="11"/>
    <d v="1899-12-30T07:31:29"/>
    <x v="9"/>
  </r>
  <r>
    <s v="3565175313216529398"/>
    <s v=""/>
    <x v="11"/>
    <n v="0"/>
    <s v=""/>
    <s v="NULL"/>
    <x v="0"/>
    <s v="2026-08-19 07:39:44"/>
    <s v="2026-08-19 07:49:42"/>
    <s v="NULL"/>
    <s v="NULL"/>
    <s v="2026-08-19 09:49:42"/>
    <s v=""/>
    <s v="106.5083765"/>
    <s v="10.6428357"/>
    <s v="106.82403277616577"/>
    <s v="10.804332293945713"/>
    <n v="258660"/>
    <n v="0"/>
    <n v="258660"/>
    <s v="Cash"/>
    <s v="CÔNG TY TNHH BIBICA MIỀN TÂY, 9 VL3, KCN Vĩnh Lộc 2, Long Hiệp, Bến Lức, Long An, Việt NamCÔNG TY TNHH BIBICA MIỀN TÂY"/>
    <s v="1502/8/27, Nguyễn Duy Trinh, Long Trường, Hồ Chí Minh, Việt Nam1502/8/27, Nguyễn Duy Trinh, Long Trường, Hồ Chí Minh, Việt Nam"/>
    <n v="1"/>
    <x v="1"/>
    <x v="11"/>
    <d v="1899-12-30T07:39:44"/>
    <x v="208"/>
  </r>
  <r>
    <s v="3565175340093632755"/>
    <s v=""/>
    <x v="11"/>
    <n v="0"/>
    <s v=""/>
    <s v="NULL"/>
    <x v="0"/>
    <s v="2026-08-19 07:28:15"/>
    <s v="2026-08-19 07:38:13"/>
    <s v="NULL"/>
    <s v="NULL"/>
    <s v="2026-08-19 09:38:13"/>
    <s v=""/>
    <s v="106.4909375"/>
    <s v="10.6204446"/>
    <s v="106.6303036"/>
    <s v="10.8228268"/>
    <n v="183276"/>
    <n v="0"/>
    <n v="183276"/>
    <s v="Cash"/>
    <s v="Thuan Dao Industrial Park, TT. Bến Lức, Bến Lức, Long An, Việt NamCông ty Ching Luh"/>
    <s v="944 Đ. Trường Chinh, Phường 15, Tân Bình, Hồ Chí Minh, Việt NamCông Ty Trần Công Danh"/>
    <n v="1"/>
    <x v="1"/>
    <x v="11"/>
    <d v="1899-12-30T07:28:15"/>
    <x v="208"/>
  </r>
  <r>
    <s v="3565175340093632875"/>
    <s v=""/>
    <x v="11"/>
    <n v="0"/>
    <s v=""/>
    <s v="NULL"/>
    <x v="0"/>
    <s v="2026-08-19 07:29:09"/>
    <s v="2026-08-19 07:39:07"/>
    <s v="NULL"/>
    <s v="NULL"/>
    <s v="2026-08-19 09:39:07"/>
    <s v=""/>
    <s v="106.4883825"/>
    <s v="10.6224357"/>
    <s v="106.8273158"/>
    <s v="10.8006859"/>
    <n v="265680"/>
    <n v="0"/>
    <n v="265680"/>
    <s v="Cash"/>
    <s v="Lô A4 Đường Số 1, TT. Bến Lức, Bến Lức, Long An, Việt NamCông Ty Tnhh Koda Sài Gòn"/>
    <s v="RR2G+7W Long Trường, Hồ Chí Minh, Việt NamRR2G+7W Long Trường, Hồ Chí Minh, Việt Nam"/>
    <n v="1"/>
    <x v="1"/>
    <x v="11"/>
    <d v="1899-12-30T07:29:09"/>
    <x v="208"/>
  </r>
  <r>
    <s v="3565175340093633395"/>
    <s v=""/>
    <x v="11"/>
    <n v="3114460"/>
    <s v=""/>
    <s v="Motorcycle"/>
    <x v="2"/>
    <s v="2026-08-19 07:32:24"/>
    <s v="2026-08-19 07:42:23"/>
    <s v="2026-08-19 09:34:01"/>
    <s v="NULL"/>
    <s v=""/>
    <s v=""/>
    <s v="106.5121575"/>
    <s v="10.6216356"/>
    <s v="106.6055686"/>
    <s v="10.8324438"/>
    <n v="171504"/>
    <n v="132955"/>
    <n v="38549"/>
    <s v="Cash"/>
    <s v="CÔNG TY TNHH SUNRICH VIỆT NAM, Đường Số 1, kcn Phúc, Long Hiệp, Bến Lức, Long An, Việt NamCÔNG TY TNHH SUNRICH VIỆT NAM"/>
    <s v="54/6E Ấp Tiền Lân, Bà Điểm, Hóc Môn, Hồ Chí Minh 71000, Việt NamCông Ty TNHH VN Đại Phong"/>
    <n v="1"/>
    <x v="1"/>
    <x v="11"/>
    <d v="1899-12-30T07:32:24"/>
    <x v="14"/>
  </r>
  <r>
    <s v="3565175340110405823"/>
    <s v=""/>
    <x v="11"/>
    <n v="0"/>
    <s v=""/>
    <s v="NULL"/>
    <x v="0"/>
    <s v="2026-08-19 07:34:33"/>
    <s v="2026-08-19 07:44:32"/>
    <s v="NULL"/>
    <s v="NULL"/>
    <s v="2026-08-19 09:44:32"/>
    <s v=""/>
    <s v="106.5129545"/>
    <s v="10.6290657"/>
    <s v="106.71947651960451"/>
    <s v="10.794362453043856"/>
    <n v="181764"/>
    <n v="0"/>
    <n v="181764"/>
    <s v="Cash"/>
    <s v="Lô B4ab, đường số 04, KCN, Phúc Long, Long Hiệp, Bến Lức, Long An, Việt NamCÔNG TY TNHH YUTIAN VIỆT NAM"/>
    <s v="9/34B Lê Thánh Tôn nối dài, Vinhomes Tân Cảng, Thạnh Mỹ Tây, Hồ Chí Minh, Việt Nam9/34B Lê Thánh Tôn nối dài, Vinhomes Tân Cảng, Thạnh Mỹ Tây, Hồ Chí Minh, Việt Nam"/>
    <n v="1"/>
    <x v="1"/>
    <x v="11"/>
    <d v="1899-12-30T07:34:33"/>
    <x v="9"/>
  </r>
  <r>
    <s v="3565175340110406251"/>
    <s v=""/>
    <x v="11"/>
    <n v="807032"/>
    <s v=""/>
    <s v="Motorcycle"/>
    <x v="2"/>
    <s v="2026-08-19 07:37:14"/>
    <s v="2026-08-19 07:47:12"/>
    <s v="2026-08-19 09:51:55"/>
    <s v="NULL"/>
    <s v=""/>
    <s v=""/>
    <s v="106.5084135"/>
    <s v="10.6373406"/>
    <s v="106.7433394"/>
    <s v="10.9117363"/>
    <n v="264600"/>
    <n v="205126"/>
    <n v="59474"/>
    <s v="Cash"/>
    <s v="CTY CP NÔNG NGHIỆP VIỆT NAM SYMBIO, Đường VL2, Mỹ Yên, Tây Ninh, Việt NamCTY CP NÔNG NGHIỆP VIỆT NAM SYMBIO"/>
    <s v="Công Ty TNHH Active International Việt Nam, Dĩ An, Hồ Chí Minh, Việt NamCông Ty TNHH Active International Việt Nam"/>
    <n v="1"/>
    <x v="1"/>
    <x v="11"/>
    <d v="1899-12-30T07:37:14"/>
    <x v="14"/>
  </r>
  <r>
    <s v="3565175340110406297"/>
    <s v=""/>
    <x v="11"/>
    <n v="0"/>
    <s v=""/>
    <s v="NULL"/>
    <x v="0"/>
    <s v="2026-08-19 07:37:30"/>
    <s v="2026-08-19 07:47:28"/>
    <s v="NULL"/>
    <s v="NULL"/>
    <s v="2026-08-19 09:47:28"/>
    <s v=""/>
    <s v="106.5084135"/>
    <s v="10.6373406"/>
    <s v="106.8791878"/>
    <s v="10.9339678"/>
    <n v="345276"/>
    <n v="0"/>
    <n v="345276"/>
    <s v="Cash"/>
    <s v="CTY CP NÔNG NGHIỆP VIỆT NAM SYMBIO, Đường VL2, Mỹ Yên, Tây Ninh, Việt NamCTY CP NÔNG NGHIỆP VIỆT NAM SYMBIO"/>
    <s v="C90 Tổ 1, Khu Phố 3, Biên Hòa, Đồng Nai, Việt NamCổng 2 Công ty Cổ Phần Taekwang Vina , Chi nhánh Long Bình"/>
    <n v="1"/>
    <x v="1"/>
    <x v="11"/>
    <d v="1899-12-30T07:37:30"/>
    <x v="208"/>
  </r>
  <r>
    <s v="3565177072114692869"/>
    <s v=""/>
    <x v="11"/>
    <n v="0"/>
    <s v=""/>
    <s v="NULL"/>
    <x v="0"/>
    <s v="2026-08-19 07:34:03"/>
    <s v="2026-08-19 07:44:02"/>
    <s v="NULL"/>
    <s v="NULL"/>
    <s v="2026-08-19 09:44:02"/>
    <s v=""/>
    <s v="106.5129545"/>
    <s v="10.6290657"/>
    <s v="106.8273158"/>
    <s v="10.8006859"/>
    <n v="261684"/>
    <n v="0"/>
    <n v="261684"/>
    <s v="Cash"/>
    <s v="Lô B4ab, đường số 04, KCN, Phúc Long, Long Hiệp, Bến Lức, Long An, Việt NamCÔNG TY TNHH YUTIAN VIỆT NAM"/>
    <s v="RR2G+7W Long Trường, Hồ Chí Minh, Việt NamRR2G+7W Long Trường, Hồ Chí Minh, Việt Nam"/>
    <n v="1"/>
    <x v="1"/>
    <x v="11"/>
    <d v="1899-12-30T07:34:03"/>
    <x v="9"/>
  </r>
  <r>
    <s v="3565177072131465266"/>
    <s v=""/>
    <x v="11"/>
    <n v="0"/>
    <s v=""/>
    <s v="NULL"/>
    <x v="0"/>
    <s v="2026-08-19 07:36:14"/>
    <s v="2026-08-19 07:46:12"/>
    <s v="NULL"/>
    <s v="NULL"/>
    <s v="2026-08-19 09:46:12"/>
    <s v=""/>
    <s v="106.5118215"/>
    <s v="10.6287876"/>
    <s v="106.7817456"/>
    <s v="11.0981928"/>
    <n v="300456"/>
    <n v="0"/>
    <n v="300456"/>
    <s v="Cash"/>
    <s v="Nhà xưởng B1, KCN Phúc Long, Long Hiệp, Bến Lức, Long An, Việt NamClimaveneta Vietnam"/>
    <s v="Hội Nghĩa, Tân Uyên, Bình Dương, Việt NamCông ty TNHH XinHui"/>
    <n v="1"/>
    <x v="1"/>
    <x v="11"/>
    <d v="1899-12-30T07:36:14"/>
    <x v="208"/>
  </r>
  <r>
    <s v="3565181220121957047"/>
    <s v=""/>
    <x v="11"/>
    <n v="0"/>
    <s v=""/>
    <s v="NULL"/>
    <x v="0"/>
    <s v="2026-08-19 07:33:28"/>
    <s v="2026-08-19 07:43:26"/>
    <s v="NULL"/>
    <s v="NULL"/>
    <s v="2026-08-19 09:43:26"/>
    <s v=""/>
    <s v="106.5108825"/>
    <s v="10.6230516"/>
    <s v="106.7610327"/>
    <s v="10.8282188"/>
    <n v="247860"/>
    <n v="0"/>
    <n v="247860"/>
    <s v="Cash"/>
    <s v="Lô N 6, Đ. Số 6, KCN Phúc Long, Bến Lức, Long An, Việt NamCông ty TNHH EUROPEAN SNACK FOOD (VIỆT NAM)"/>
    <s v="9 Đ. Nguyễn Văn Bá, Phước Long A, Thủ Đức, Thành phố Hồ Chí Minh, Việt NamCông Ty Cơ Điện Thủ Đức"/>
    <n v="1"/>
    <x v="1"/>
    <x v="11"/>
    <d v="1899-12-30T07:33:28"/>
    <x v="208"/>
  </r>
  <r>
    <s v="3565181558837179183"/>
    <s v=""/>
    <x v="11"/>
    <n v="4179701"/>
    <s v=""/>
    <s v="Motorcycle"/>
    <x v="2"/>
    <s v="2026-08-19 07:40:29"/>
    <s v="2026-08-19 07:50:28"/>
    <s v="2026-08-19 10:15:27"/>
    <s v="NULL"/>
    <s v=""/>
    <s v=""/>
    <s v="106.5160985"/>
    <s v="10.6456516"/>
    <s v="106.71736996162413"/>
    <s v="10.796348785806073"/>
    <n v="173988"/>
    <n v="142815"/>
    <n v="31173"/>
    <s v="Cash"/>
    <s v="Lô B2/1, 6 Đường VL1, KCN Vĩnh Lộc 2, Bến Lức, Long An, Việt NamCông ty Cổ Phần In DICA"/>
    <s v="QPW8+GXC, 135/17 Nguyen Huu Canh, Thạnh Mỹ Tây, Hồ Chí Minh, Việt NamQPW8+GXC, 135/17 Nguyen Huu Canh, Thạnh Mỹ Tây, Hồ Chí Minh, Việt Nam"/>
    <n v="1"/>
    <x v="1"/>
    <x v="11"/>
    <d v="1899-12-30T07:40:29"/>
    <x v="14"/>
  </r>
  <r>
    <s v="3565181558853952484"/>
    <s v=""/>
    <x v="11"/>
    <n v="0"/>
    <s v=""/>
    <s v="NULL"/>
    <x v="0"/>
    <s v="2026-08-19 07:46:59"/>
    <s v="2026-08-19 07:56:57"/>
    <s v="NULL"/>
    <s v="NULL"/>
    <s v="2026-08-19 09:56:57"/>
    <s v=""/>
    <s v="106.56425033664553"/>
    <s v="10.646936355710915"/>
    <s v="106.6482406"/>
    <s v="10.7589786"/>
    <n v="110916"/>
    <n v="0"/>
    <n v="110916"/>
    <s v="Cash"/>
    <s v="JHW8+92, Phước Lý, Tây Ninh, Việt NamJHW8+92, Phước Lý, Tây Ninh, Việt Nam"/>
    <s v="76/7 Đ. Xóm Đất, Phường 8, Quận 11, Hồ Chí Minh, Việt NamQuận 11"/>
    <n v="1"/>
    <x v="1"/>
    <x v="11"/>
    <d v="1899-12-30T07:46:59"/>
    <x v="208"/>
  </r>
  <r>
    <s v="3565183833206911439"/>
    <s v=""/>
    <x v="11"/>
    <n v="0"/>
    <s v=""/>
    <s v="NULL"/>
    <x v="0"/>
    <s v="2026-08-19 07:36:27"/>
    <s v="2026-08-19 07:46:25"/>
    <s v="NULL"/>
    <s v="NULL"/>
    <s v="2026-08-19 09:46:25"/>
    <s v=""/>
    <s v="106.5118215"/>
    <s v="10.6287876"/>
    <s v="106.6593646"/>
    <s v="10.9803798"/>
    <n v="316656"/>
    <n v="0"/>
    <n v="316656"/>
    <s v="Cash"/>
    <s v="Nhà xưởng B1, KCN Phúc Long, Long Hiệp, Bến Lức, Long An, Việt NamClimaveneta Vietnam"/>
    <s v="10/16 Đ. Chùa Hội Khánh, Phú Cường, Thủ Dầu Một, Bình Dương, Việt NamCông ty TNHH MTV Nhựa Ngọc Thắng"/>
    <n v="1"/>
    <x v="1"/>
    <x v="11"/>
    <d v="1899-12-30T07:36:27"/>
    <x v="208"/>
  </r>
  <r>
    <s v="3565183833223684550"/>
    <s v=""/>
    <x v="11"/>
    <n v="0"/>
    <s v=""/>
    <s v="NULL"/>
    <x v="0"/>
    <s v="2026-08-19 07:42:08"/>
    <s v="2026-08-19 07:52:06"/>
    <s v="NULL"/>
    <s v="NULL"/>
    <s v="2026-08-19 09:52:06"/>
    <s v=""/>
    <s v="106.5116795"/>
    <s v="10.6375636"/>
    <s v="106.8791878"/>
    <s v="10.9339678"/>
    <n v="248076"/>
    <n v="0"/>
    <n v="248076"/>
    <s v="Cash"/>
    <s v="Lô D1 29,30, Đường VL2/Ấp Voi Lá, KCN Vĩnh Lộc 2, Bến Lức, Long An, Việt NamCÔNG TY TNHH NIPPOVINA"/>
    <s v="C90 Tổ 1, Khu Phố 3, Biên Hòa, Đồng Nai, Việt NamCổng 2 Công ty Cổ Phần Taekwang Vina , Chi nhánh Long Bình"/>
    <n v="1"/>
    <x v="1"/>
    <x v="11"/>
    <d v="1899-12-30T07:42:08"/>
    <x v="208"/>
  </r>
  <r>
    <s v="3565183950345425598"/>
    <s v=""/>
    <x v="11"/>
    <n v="2549905"/>
    <s v=""/>
    <s v="Motorcycle"/>
    <x v="2"/>
    <s v="2026-08-19 07:38:21"/>
    <s v="2026-08-19 07:48:19"/>
    <s v="2026-08-19 11:55:09"/>
    <s v="2026-08-19 11:59:55"/>
    <s v=""/>
    <s v=""/>
    <s v="106.5038994"/>
    <s v="10.6432606"/>
    <s v="106.6361766"/>
    <s v="10.8328608"/>
    <n v="172476"/>
    <n v="133709"/>
    <n v="38767"/>
    <s v="Cash"/>
    <s v="Lô D3, 1, 4 Đường VL7, KCN Vĩnh Lộc 2 X, Bến Lức, Long An 77777, Việt NamCông Ty Cổ Phần Nosafood , Nhà máy Bến Lức"/>
    <s v="Công Ty Tnhh Công Nghệ Quang Lâm, Phan Huy Ích, phường 12, Gò Vấp, Hồ Chí Minh, Việt NamCông Ty Tnhh Công Nghệ Quang Lâm"/>
    <n v="1"/>
    <x v="1"/>
    <x v="11"/>
    <d v="1899-12-30T07:38:21"/>
    <x v="14"/>
  </r>
  <r>
    <s v="3565183950345425668"/>
    <s v=""/>
    <x v="11"/>
    <n v="0"/>
    <s v=""/>
    <s v="NULL"/>
    <x v="0"/>
    <s v="2026-08-19 07:38:38"/>
    <s v="2026-08-19 07:48:37"/>
    <s v="NULL"/>
    <s v="NULL"/>
    <s v="2026-08-19 09:48:37"/>
    <s v=""/>
    <s v="106.5038994"/>
    <s v="10.6432606"/>
    <s v="106.6303036"/>
    <s v="10.8228268"/>
    <n v="171072"/>
    <n v="0"/>
    <n v="171072"/>
    <s v="Cash"/>
    <s v="Lô D3, 1, 4 Đường VL7, KCN Vĩnh Lộc 2 X, Bến Lức, Long An 77777, Việt NamCông Ty Cổ Phần Nosafood , Nhà máy Bến Lức"/>
    <s v="944 Đ. Trường Chinh, Phường 15, Tân Bình, Hồ Chí Minh, Việt NamCông Ty Trần Công Danh"/>
    <n v="1"/>
    <x v="1"/>
    <x v="11"/>
    <d v="1899-12-30T07:38:38"/>
    <x v="9"/>
  </r>
  <r>
    <s v="3565183950362210885"/>
    <s v=""/>
    <x v="11"/>
    <n v="0"/>
    <s v=""/>
    <s v="NULL"/>
    <x v="0"/>
    <s v="2026-08-19 07:43:21"/>
    <s v="2026-08-19 07:53:20"/>
    <s v="NULL"/>
    <s v="NULL"/>
    <s v="2026-08-19 09:53:20"/>
    <s v=""/>
    <s v="106.5679794"/>
    <s v="10.6378026"/>
    <s v="106.6361766"/>
    <s v="10.8328608"/>
    <n v="156600"/>
    <n v="0"/>
    <n v="156600"/>
    <s v="Cash"/>
    <s v="Công ty TNHH SX,TM Tân Kim Phụng, Phước Lý, Cần Giuộc, Long An, Việt NamCông ty TNHH SX,TM Tân Kim Phụng"/>
    <s v="Công Ty Tnhh Công Nghệ Quang Lâm, Phan Huy Ích, phường 12, Gò Vấp, Hồ Chí Minh, Việt NamCông Ty Tnhh Công Nghệ Quang Lâm"/>
    <n v="1"/>
    <x v="1"/>
    <x v="11"/>
    <d v="1899-12-30T07:43:21"/>
    <x v="9"/>
  </r>
  <r>
    <s v="3565183950362211343"/>
    <s v=""/>
    <x v="11"/>
    <n v="0"/>
    <s v=""/>
    <s v="NULL"/>
    <x v="0"/>
    <s v="2026-08-19 07:45:51"/>
    <s v="2026-08-19 07:55:49"/>
    <s v="NULL"/>
    <s v="NULL"/>
    <s v="2026-08-19 09:55:49"/>
    <s v=""/>
    <s v="106.55000244235842"/>
    <s v="10.646767649553311"/>
    <s v="106.6407927"/>
    <s v="10.7472177"/>
    <n v="105732"/>
    <n v="0"/>
    <n v="105732"/>
    <s v="Cash"/>
    <s v="JHW2+P2 Phước Lý, Tây Ninh, Việt NamJHW2+P2 Phước Lý, Tây Ninh, Việt Nam"/>
    <s v="221/2h Đ. Phan Văn Khỏe, Phường 2, Quận 6, Hồ Chí Minh, Việt NamQuận 6"/>
    <n v="1"/>
    <x v="1"/>
    <x v="11"/>
    <d v="1899-12-30T07:45:51"/>
    <x v="208"/>
  </r>
  <r>
    <s v="3565184305233879327"/>
    <s v=""/>
    <x v="11"/>
    <n v="3746341"/>
    <s v=""/>
    <s v="Motorcycle"/>
    <x v="1"/>
    <s v="2026-08-19 07:36:00"/>
    <s v="2026-08-19 07:45:58"/>
    <s v="2026-08-19 07:52:28"/>
    <s v="NULL"/>
    <s v="2026-08-19 07:56:15"/>
    <s v=""/>
    <s v="106.5118215"/>
    <s v="10.6287876"/>
    <s v="106.6089756"/>
    <s v="11.0996528"/>
    <n v="396792"/>
    <n v="325700"/>
    <n v="71092"/>
    <s v="Cash"/>
    <s v="Nhà xưởng B1, KCN Phúc Long, Long Hiệp, Bến Lức, Long An, Việt NamClimaveneta Vietnam"/>
    <s v="Đường ĐH603, Thới Hoà, Bến Cát, Bình Dương 75000, Việt NamChi Nhánh Công ty TNHH TM DV HC VT"/>
    <n v="1"/>
    <x v="1"/>
    <x v="11"/>
    <d v="1899-12-30T07:36:00"/>
    <x v="474"/>
  </r>
  <r>
    <s v="3565184305233879869"/>
    <s v=""/>
    <x v="11"/>
    <n v="0"/>
    <s v=""/>
    <s v="NULL"/>
    <x v="0"/>
    <s v="2026-08-19 07:39:17"/>
    <s v="2026-08-19 07:49:15"/>
    <s v="NULL"/>
    <s v="NULL"/>
    <s v="2026-08-19 09:49:15"/>
    <s v=""/>
    <s v="106.5083765"/>
    <s v="10.6428357"/>
    <s v="106.7610327"/>
    <s v="10.8282188"/>
    <n v="242892"/>
    <n v="0"/>
    <n v="242892"/>
    <s v="Cash"/>
    <s v="CÔNG TY TNHH BIBICA MIỀN TÂY, 9 VL3, KCN Vĩnh Lộc 2, Long Hiệp, Bến Lức, Long An, Việt NamCÔNG TY TNHH BIBICA MIỀN TÂY"/>
    <s v="9 Đ. Nguyễn Văn Bá, Phước Long A, Thủ Đức, Thành phố Hồ Chí Minh, Việt NamCông Ty Cơ Điện Thủ Đức"/>
    <n v="1"/>
    <x v="1"/>
    <x v="11"/>
    <d v="1899-12-30T07:39:17"/>
    <x v="208"/>
  </r>
  <r>
    <s v="3565184305250652642"/>
    <s v=""/>
    <x v="11"/>
    <n v="0"/>
    <s v=""/>
    <s v="NULL"/>
    <x v="0"/>
    <s v="2026-08-19 07:43:08"/>
    <s v="2026-08-19 07:53:07"/>
    <s v="NULL"/>
    <s v="NULL"/>
    <s v="2026-08-20 10:38:38"/>
    <s v=""/>
    <s v="106.5679794"/>
    <s v="10.6378026"/>
    <s v="106.6055686"/>
    <s v="10.8324438"/>
    <n v="138672"/>
    <n v="0"/>
    <n v="138672"/>
    <s v="Cash"/>
    <s v="Công ty TNHH SX,TM Tân Kim Phụng, Phước Lý, Cần Giuộc, Long An, Việt NamCông ty TNHH SX,TM Tân Kim Phụng"/>
    <s v="54/6E Ấp Tiền Lân, Bà Điểm, Hóc Môn, Hồ Chí Minh 71000, Việt NamCông Ty TNHH VN Đại Phong"/>
    <n v="1"/>
    <x v="1"/>
    <x v="11"/>
    <d v="1899-12-30T07:43:08"/>
    <x v="475"/>
  </r>
  <r>
    <s v="3565184305267437637"/>
    <s v=""/>
    <x v="11"/>
    <n v="4438972"/>
    <s v=""/>
    <s v="Motorcycle"/>
    <x v="2"/>
    <s v="2026-08-19 07:46:13"/>
    <s v="2026-08-19 07:56:11"/>
    <s v="2026-08-19 09:10:51"/>
    <s v="NULL"/>
    <s v=""/>
    <s v=""/>
    <s v="106.56425033664553"/>
    <s v="10.646936355710915"/>
    <s v="106.7076046"/>
    <s v="10.7296276"/>
    <n v="124200"/>
    <n v="96284"/>
    <n v="27916"/>
    <s v="Cash"/>
    <s v="JHW8+92, Phước Lý, Tây Ninh, Việt NamJHW8+92, Phước Lý, Tây Ninh, Việt Nam"/>
    <s v="Hưng Phước 4, Tân Phong, Quận 7, Hồ Chí Minh, Việt Namquận 7"/>
    <n v="1"/>
    <x v="1"/>
    <x v="11"/>
    <d v="1899-12-30T07:46:13"/>
    <x v="14"/>
  </r>
  <r>
    <s v="3565184533664059955"/>
    <s v=""/>
    <x v="11"/>
    <n v="0"/>
    <s v=""/>
    <s v="NULL"/>
    <x v="0"/>
    <s v="2026-08-19 07:38:09"/>
    <s v="2026-08-19 07:48:07"/>
    <s v="NULL"/>
    <s v="NULL"/>
    <s v="2026-08-19 10:19:20"/>
    <s v=""/>
    <s v="106.5038994"/>
    <s v="10.6432606"/>
    <s v="106.6055686"/>
    <s v="10.8324438"/>
    <n v="154116"/>
    <n v="0"/>
    <n v="154116"/>
    <s v="Cash"/>
    <s v="Lô D3, 1, 4 Đường VL7, KCN Vĩnh Lộc 2 X, Bến Lức, Long An 77777, Việt NamCông Ty Cổ Phần Nosafood , Nhà máy Bến Lức"/>
    <s v="54/6E Ấp Tiền Lân, Bà Điểm, Hóc Môn, Hồ Chí Minh 71000, Việt NamCông Ty TNHH VN Đại Phong"/>
    <n v="1"/>
    <x v="1"/>
    <x v="11"/>
    <d v="1899-12-30T07:38:09"/>
    <x v="476"/>
  </r>
  <r>
    <s v="3565184533664060284"/>
    <s v=""/>
    <x v="11"/>
    <n v="0"/>
    <s v=""/>
    <s v="NULL"/>
    <x v="0"/>
    <s v="2026-08-19 07:40:12"/>
    <s v="2026-08-19 07:50:11"/>
    <s v="NULL"/>
    <s v="NULL"/>
    <s v="2026-08-19 09:50:11"/>
    <s v=""/>
    <s v="106.5160985"/>
    <s v="10.6456516"/>
    <s v="106.7255805"/>
    <s v="10.7864198"/>
    <n v="185868"/>
    <n v="0"/>
    <n v="185868"/>
    <s v="Cash"/>
    <s v="Lô B2/1, 6 Đường VL1, KCN Vĩnh Lộc 2, Bến Lức, Long An, Việt NamCông ty Cổ Phần In DICA"/>
    <s v="QPPG+H68, An Khánh, Hồ Chí Minh, Việt NamQPPG+H68, An Khánh, Hồ Chí Minh, Việt Nam"/>
    <n v="1"/>
    <x v="1"/>
    <x v="11"/>
    <d v="1899-12-30T07:40:12"/>
    <x v="9"/>
  </r>
  <r>
    <s v="3565184533680844994"/>
    <s v=""/>
    <x v="11"/>
    <n v="0"/>
    <s v=""/>
    <s v="NULL"/>
    <x v="0"/>
    <s v="2026-08-19 07:41:55"/>
    <s v="2026-08-19 07:51:53"/>
    <s v="NULL"/>
    <s v="NULL"/>
    <s v="2026-08-19 09:52:21"/>
    <s v=""/>
    <s v="106.5116795"/>
    <s v="10.6375636"/>
    <s v="106.7433394"/>
    <s v="10.9117363"/>
    <n v="281016"/>
    <n v="0"/>
    <n v="281016"/>
    <s v="Cash"/>
    <s v="Lô D1 29,30, Đường VL2/Ấp Voi Lá, KCN Vĩnh Lộc 2, Bến Lức, Long An, Việt NamCÔNG TY TNHH NIPPOVINA"/>
    <s v="Công Ty TNHH Active International Việt Nam, Dĩ An, Hồ Chí Minh, Việt NamCông Ty TNHH Active International Việt Nam"/>
    <n v="1"/>
    <x v="1"/>
    <x v="11"/>
    <d v="1899-12-30T07:41:55"/>
    <x v="477"/>
  </r>
  <r>
    <s v="3565187227841680341"/>
    <s v=""/>
    <x v="11"/>
    <n v="0"/>
    <s v=""/>
    <s v="NULL"/>
    <x v="0"/>
    <s v="2026-08-19 07:45:08"/>
    <s v="2026-08-19 07:55:06"/>
    <s v="NULL"/>
    <s v="NULL"/>
    <s v="2026-08-19 09:55:06"/>
    <s v=""/>
    <s v="106.55000244235842"/>
    <s v="10.646767649553311"/>
    <s v="106.6834086"/>
    <s v="10.7696757"/>
    <n v="133380"/>
    <n v="0"/>
    <n v="133380"/>
    <s v="Cash"/>
    <s v="JHW2+P2 Phước Lý, Tây Ninh, Việt NamJHW2+P2 Phước Lý, Tây Ninh, Việt Nam"/>
    <s v="32/21 Cao Thắng, Phường 5, Quận 3, Hồ Chí Minh, Việt NamQuận 3"/>
    <n v="1"/>
    <x v="1"/>
    <x v="11"/>
    <d v="1899-12-30T07:45:08"/>
    <x v="208"/>
  </r>
  <r>
    <s v="3565187227858465119"/>
    <s v=""/>
    <x v="11"/>
    <n v="0"/>
    <s v=""/>
    <s v="NULL"/>
    <x v="0"/>
    <s v="2026-08-19 07:46:42"/>
    <s v="2026-08-19 07:56:41"/>
    <s v="NULL"/>
    <s v="NULL"/>
    <s v="2026-08-19 09:56:41"/>
    <s v=""/>
    <s v="106.56425033664553"/>
    <s v="10.646936355710915"/>
    <s v="106.6727736"/>
    <s v="10.7605707"/>
    <n v="125280"/>
    <n v="0"/>
    <n v="125280"/>
    <s v="Cash"/>
    <s v="JHW8+92, Phước Lý, Tây Ninh, Việt NamJHW8+92, Phước Lý, Tây Ninh, Việt Nam"/>
    <s v="13 Đ. Nguyễn Chí Thanh, Phường 9, Quận 10, Hồ Chí Minh, Việt NamQuận 10"/>
    <n v="1"/>
    <x v="1"/>
    <x v="11"/>
    <d v="1899-12-30T07:46:42"/>
    <x v="9"/>
  </r>
  <r>
    <s v="3565187227858465812"/>
    <s v="ywja"/>
    <x v="8"/>
    <n v="1168912"/>
    <s v=""/>
    <s v="Motorcycle"/>
    <x v="2"/>
    <s v="2026-08-19 07:50:30"/>
    <s v="2026-08-19 08:00:00"/>
    <s v="2026-08-19 08:52:59"/>
    <s v="NULL"/>
    <s v=""/>
    <s v=""/>
    <s v="106.40663668513298"/>
    <s v="10.53934961488454"/>
    <s v="106.71969272196293"/>
    <s v="10.83876705978038"/>
    <n v="304992"/>
    <n v="236439"/>
    <n v="68553"/>
    <s v="Cash"/>
    <s v="150 QL1A, Phường 2, Tân An, Long An, Việt Nam150 QL1A"/>
    <s v="104A Đ. Số 2, Hiệp Bình Phước, Thủ Đức, Thành phố Hồ Chí Minh, Việt Nam104A Đường Số 2"/>
    <n v="1"/>
    <x v="1"/>
    <x v="11"/>
    <d v="1899-12-30T07:50:30"/>
    <x v="14"/>
  </r>
  <r>
    <s v="3565187227875238525"/>
    <s v=""/>
    <x v="11"/>
    <n v="0"/>
    <s v=""/>
    <s v="NULL"/>
    <x v="0"/>
    <s v="2026-08-19 07:53:30"/>
    <s v="2026-08-19 08:03:30"/>
    <s v="NULL"/>
    <s v="NULL"/>
    <s v="2026-08-19 10:03:30"/>
    <s v=""/>
    <s v="106.5116795"/>
    <s v="10.6375636"/>
    <s v="106.6916526"/>
    <s v="10.7678847"/>
    <n v="164268"/>
    <n v="0"/>
    <n v="164268"/>
    <s v="Cash"/>
    <s v="Lô D1 29,30, Đường VL2/Ấp Voi Lá, KCN Vĩnh Lộc 2, Bến Lức, Long An, Việt NamCÔNG TY TNHH NIPPOVINA"/>
    <s v="275G Phạm Ngũ Lão, Phường Phạm Ngũ Lão, Quận 1, Thành phố Hồ Chí Minh, Việt NamCông Ty Cổ Phần Ngọc Trang Tiêu Cục , Chi Nhánh Quận 1"/>
    <n v="1"/>
    <x v="1"/>
    <x v="11"/>
    <d v="1899-12-30T07:53:30"/>
    <x v="4"/>
  </r>
  <r>
    <s v="3565187234451902673"/>
    <s v=""/>
    <x v="11"/>
    <n v="4438972"/>
    <s v=""/>
    <s v="Motorcycle"/>
    <x v="2"/>
    <s v="2026-08-19 07:40:43"/>
    <s v="2026-08-19 07:50:42"/>
    <s v="2026-08-19 09:00:55"/>
    <s v="NULL"/>
    <s v=""/>
    <s v=""/>
    <s v="106.5160985"/>
    <s v="10.6456516"/>
    <s v="106.6089756"/>
    <s v="11.0996528"/>
    <n v="214164"/>
    <n v="166027"/>
    <n v="48137"/>
    <s v="Cash"/>
    <s v="Lô B2/1, 6 Đường VL1, KCN Vĩnh Lộc 2, Bến Lức, Long An, Việt NamCông ty Cổ Phần In DICA"/>
    <s v="Đường ĐH603, Thới Hoà, Bến Cát, Bình Dương 75000, Việt NamChi Nhánh Công ty TNHH TM DV HC VT"/>
    <n v="1"/>
    <x v="1"/>
    <x v="11"/>
    <d v="1899-12-30T07:40:43"/>
    <x v="14"/>
  </r>
  <r>
    <s v="3565187234451903507"/>
    <s v=""/>
    <x v="11"/>
    <n v="0"/>
    <s v=""/>
    <s v="NULL"/>
    <x v="0"/>
    <s v="2026-08-19 07:45:22"/>
    <s v="2026-08-19 07:55:20"/>
    <s v="NULL"/>
    <s v="NULL"/>
    <s v="2026-08-19 09:55:20"/>
    <s v=""/>
    <s v="106.55000244235842"/>
    <s v="10.646767649553311"/>
    <s v="106.7012236"/>
    <s v="10.7578146"/>
    <n v="142236"/>
    <n v="0"/>
    <n v="142236"/>
    <s v="Cash"/>
    <s v="JHW2+P2 Phước Lý, Tây Ninh, Việt NamJHW2+P2 Phước Lý, Tây Ninh, Việt Nam"/>
    <s v="Phường 3, Quận 4, Hồ Chí Minh, Việt NamQuận 4"/>
    <n v="1"/>
    <x v="1"/>
    <x v="11"/>
    <d v="1899-12-30T07:45:22"/>
    <x v="208"/>
  </r>
  <r>
    <s v="3565188337184756183"/>
    <s v=""/>
    <x v="11"/>
    <n v="2936560"/>
    <s v=""/>
    <s v="Motorcycle"/>
    <x v="2"/>
    <s v="2026-08-19 07:44:05"/>
    <s v="2026-08-19 07:54:03"/>
    <s v="2026-08-19 10:39:18"/>
    <s v="2026-08-19 10:47:31"/>
    <s v=""/>
    <s v=""/>
    <s v="106.5459684"/>
    <s v="10.6372356"/>
    <s v="106.592079643777"/>
    <s v="10.795802362629"/>
    <n v="135540"/>
    <n v="105075"/>
    <n v="30465"/>
    <s v="Cash"/>
    <s v="CTY TNHH Thương mại Kỹ Thuật Xuất Nhập Khẩu NAM HẢI, Lộ Đình, Phước Lý, Cần Giuộc, Long An, Việt NamCTY TNHH Thương mại Kỹ Thuật Xuất Nhập Khẩu NAM HẢI"/>
    <s v="Đường Số 6, Khu Phố 5, Bình Tân, Hồ Chí Minh, VietnamCông Ty Vinh Phát"/>
    <n v="1"/>
    <x v="1"/>
    <x v="11"/>
    <d v="1899-12-30T07:44:05"/>
    <x v="14"/>
  </r>
  <r>
    <s v="3565188337218314939"/>
    <s v="ywja"/>
    <x v="8"/>
    <n v="0"/>
    <s v=""/>
    <s v="NULL"/>
    <x v="0"/>
    <s v="2026-08-19 07:55:16"/>
    <s v="2026-08-19 08:05:00"/>
    <s v="NULL"/>
    <s v="NULL"/>
    <s v="2026-08-19 10:14:38"/>
    <s v=""/>
    <s v="106.36459272354841"/>
    <s v="10.548639810400363"/>
    <s v="106.58431258052588"/>
    <s v="10.82744733421034"/>
    <n v="254988"/>
    <n v="0"/>
    <n v="254988"/>
    <s v="Cash"/>
    <s v="Đường số 3, Lợi Bình Nhơn, Tp. Tân An, Tiền Giang, Việt NamĐường số 3"/>
    <s v="21c Hẻm E6, Vĩnh Lộc A, Bình Chánh, Thành phố Hồ Chí Minh, Việt Nam21c,Hẻm E6"/>
    <n v="1"/>
    <x v="1"/>
    <x v="11"/>
    <d v="1899-12-30T07:55:16"/>
    <x v="478"/>
  </r>
  <r>
    <s v="3565191374842319784"/>
    <s v="ywja"/>
    <x v="8"/>
    <n v="4600281"/>
    <s v=""/>
    <s v="Motorcycle"/>
    <x v="2"/>
    <s v="2026-08-19 07:51:35"/>
    <s v="2026-08-19 08:01:00"/>
    <s v="2026-08-19 08:47:57"/>
    <s v="NULL"/>
    <s v=""/>
    <s v=""/>
    <s v="106.36263705790043"/>
    <s v="10.485678878189308"/>
    <s v="106.76131691783667"/>
    <s v="10.9184471028798"/>
    <n v="516024"/>
    <n v="400038"/>
    <n v="115986"/>
    <s v="Cash"/>
    <s v="Xã Tân Hương, Huyện Châu Thành, Tiền Giang, Việt NamGarage Thanh Liêm"/>
    <s v="Đ. Chiêu Liêu, Tân Đông Hiệp, Dĩ An, Bình Dương, Việt NamCong ty TNHH VENEER NGỌC Á CHÂU."/>
    <n v="1"/>
    <x v="1"/>
    <x v="11"/>
    <d v="1899-12-30T07:51:35"/>
    <x v="14"/>
  </r>
  <r>
    <s v="3565191374875877891"/>
    <s v="ywja"/>
    <x v="8"/>
    <n v="0"/>
    <s v=""/>
    <s v="NULL"/>
    <x v="0"/>
    <s v="2026-08-19 07:59:02"/>
    <s v="2026-08-19 08:09:00"/>
    <s v="NULL"/>
    <s v="NULL"/>
    <s v="2026-08-19 10:09:00"/>
    <s v=""/>
    <s v="106.36590834707022"/>
    <s v="10.55104463490277"/>
    <s v="106.58894743770361"/>
    <s v="10.831434560839632"/>
    <n v="253800"/>
    <n v="0"/>
    <n v="253800"/>
    <s v="Cash"/>
    <s v="Đường Sô 1, Lợi Bình Nhơn, Tp. Tân An, Long An, Việt NamĐường Sô 1, Lợi Bình Nhơn, Tp. Tân An, Long An, Việt Nam"/>
    <s v="Đường P11, Vĩnh Lộc A, Bình Chánh, Hồ Chí Minh, Việt NamĐường P11, Vĩnh Lộc A, Bình Chánh, Hồ Chí Minh, Việt Nam"/>
    <n v="1"/>
    <x v="1"/>
    <x v="11"/>
    <d v="1899-12-30T07:59:02"/>
    <x v="208"/>
  </r>
  <r>
    <s v="3565193403300016776"/>
    <s v=""/>
    <x v="11"/>
    <n v="0"/>
    <s v=""/>
    <s v="NULL"/>
    <x v="0"/>
    <s v="2026-08-19 07:53:51"/>
    <s v="2026-08-19 08:03:51"/>
    <s v="NULL"/>
    <s v="NULL"/>
    <s v="2026-08-19 10:03:51"/>
    <s v=""/>
    <s v="106.5116795"/>
    <s v="10.6375636"/>
    <s v="106.7645328"/>
    <s v="10.779323"/>
    <n v="204876"/>
    <n v="0"/>
    <n v="204876"/>
    <s v="Cash"/>
    <s v="Lô D1 29,30, Đường VL2/Ấp Voi Lá, KCN Vĩnh Lộc 2, Bến Lức, Long An, Việt NamCÔNG TY TNHH NIPPOVINA"/>
    <s v="CÔNG TY, Đường số 10, Cát Lái, Quận 2, Hồ Chí Minh, Việt NamCÔNG TY"/>
    <n v="1"/>
    <x v="1"/>
    <x v="11"/>
    <d v="1899-12-30T07:53:51"/>
    <x v="4"/>
  </r>
  <r>
    <s v="3565193403300016951"/>
    <s v=""/>
    <x v="11"/>
    <n v="2852976"/>
    <s v=""/>
    <s v="Motorcycle"/>
    <x v="1"/>
    <s v="2026-08-19 07:54:34"/>
    <s v="2026-08-19 08:04:33"/>
    <s v="2026-08-19 07:56:44"/>
    <s v="NULL"/>
    <s v="2026-08-19 07:59:52"/>
    <s v=""/>
    <s v="106.5116795"/>
    <s v="10.6375636"/>
    <s v="106.6993326"/>
    <s v="10.7601306"/>
    <n v="170856"/>
    <n v="140244"/>
    <n v="30612"/>
    <s v="Cash"/>
    <s v="Lô D1 29,30, Đường VL2/Ấp Voi Lá, KCN Vĩnh Lộc 2, Bến Lức, Long An, Việt NamCÔNG TY TNHH NIPPOVINA"/>
    <s v="301 Đ. Hoàng Diệu, Phường 9, Quận 4, Hồ Chí Minh, Việt NamCông ty TNHH MTV Dịch Vụ Công Ích Quận 4"/>
    <n v="1"/>
    <x v="1"/>
    <x v="11"/>
    <d v="1899-12-30T07:54:34"/>
    <x v="479"/>
  </r>
  <r>
    <s v="3565193403316789909"/>
    <s v=""/>
    <x v="11"/>
    <n v="0"/>
    <s v=""/>
    <s v="NULL"/>
    <x v="0"/>
    <s v="2026-08-19 07:58:17"/>
    <s v="2026-08-19 08:08:17"/>
    <s v="NULL"/>
    <s v="NULL"/>
    <s v="2026-08-19 10:08:17"/>
    <s v=""/>
    <s v="106.512463"/>
    <s v="10.6195398"/>
    <s v="106.7645328"/>
    <s v="10.779323"/>
    <n v="208548"/>
    <n v="0"/>
    <n v="208548"/>
    <s v="Cash"/>
    <s v="CÔNG TY TNHH VẬT LIỆU CÔNG NGHỆ CAO LONGDA WEIFANG VIỆT NAM, Đ. Số 1, Khu công nghiệp Phúc Long, Mỹ Yên, Tây Ninh, Việt NamCÔNG TY TNHH VẬT LIỆU CÔNG NGHỆ CAO LONGDA WEIFANG VIỆT NAM"/>
    <s v="CÔNG TY, Đường số 10, Cát Lái, Quận 2, Hồ Chí Minh, Việt NamCÔNG TY"/>
    <n v="1"/>
    <x v="1"/>
    <x v="11"/>
    <d v="1899-12-30T07:58:17"/>
    <x v="4"/>
  </r>
  <r>
    <s v="3565193606925078770"/>
    <s v="ywja"/>
    <x v="8"/>
    <n v="4411069"/>
    <s v=""/>
    <s v="Motorcycle"/>
    <x v="1"/>
    <s v="2026-08-19 07:52:16"/>
    <s v="2026-08-19 08:02:00"/>
    <s v="2026-08-19 07:53:14"/>
    <s v="NULL"/>
    <s v="2026-08-19 07:53:27"/>
    <s v=""/>
    <s v="106.39862693846226"/>
    <s v="10.54389174302159"/>
    <s v="106.84136644005775"/>
    <s v="10.99672841299443"/>
    <n v="319680"/>
    <n v="247826"/>
    <n v="71854"/>
    <s v="Cash"/>
    <s v="306, Tp. Tân An, Long An, Việt NamHẻm 306"/>
    <s v="Đ. Đồng Khởi, Thanh Phú, Vĩnh Cửu, Đồng Nai, Việt NamĐường Đồng Khởi"/>
    <n v="1"/>
    <x v="1"/>
    <x v="11"/>
    <d v="1899-12-30T07:52:16"/>
    <x v="480"/>
  </r>
  <r>
    <s v="3565193606925079341"/>
    <s v=""/>
    <x v="11"/>
    <n v="0"/>
    <s v=""/>
    <s v="NULL"/>
    <x v="0"/>
    <s v="2026-08-19 07:54:55"/>
    <s v="2026-08-19 08:04:54"/>
    <s v="NULL"/>
    <s v="NULL"/>
    <s v="2026-08-19 10:04:54"/>
    <s v=""/>
    <s v="106.5116795"/>
    <s v="10.6375636"/>
    <s v="106.6592056"/>
    <s v="10.7557306"/>
    <n v="146772"/>
    <n v="0"/>
    <n v="146772"/>
    <s v="Cash"/>
    <s v="Lô D1 29,30, Đường VL2/Ấp Voi Lá, KCN Vĩnh Lộc 2, Bến Lức, Long An, Việt NamCÔNG TY TNHH NIPPOVINA"/>
    <s v="45 Phạm Hữu Chí, Phường 12, Quận 5, Hồ Chí Minh, Việt NamCông Ty Tnhh Quốc Hoàng"/>
    <n v="1"/>
    <x v="1"/>
    <x v="11"/>
    <d v="1899-12-30T07:54:55"/>
    <x v="9"/>
  </r>
  <r>
    <s v="3565193668933669121"/>
    <s v=""/>
    <x v="11"/>
    <n v="0"/>
    <s v=""/>
    <s v="NULL"/>
    <x v="0"/>
    <s v="2026-08-19 07:57:04"/>
    <s v="2026-08-19 08:07:04"/>
    <s v="NULL"/>
    <s v="NULL"/>
    <s v="2026-08-19 10:07:04"/>
    <s v=""/>
    <s v="106.5116795"/>
    <s v="10.6375636"/>
    <s v="106.6430116"/>
    <s v="10.7636706"/>
    <n v="141264"/>
    <n v="0"/>
    <n v="141264"/>
    <s v="Cash"/>
    <s v="Lô D1 29,30, Đường VL2/Ấp Voi Lá, KCN Vĩnh Lộc 2, Bến Lức, Long An, Việt NamCÔNG TY TNHH NIPPOVINA"/>
    <s v="270, 272 Đ. Bình Thới, Phường 10, Quận 11, Hồ Chí Minh, Việt NamCông an Quận 11"/>
    <n v="1"/>
    <x v="1"/>
    <x v="11"/>
    <d v="1899-12-30T07:57:04"/>
    <x v="4"/>
  </r>
  <r>
    <s v="3565193668933669577"/>
    <s v=""/>
    <x v="11"/>
    <n v="0"/>
    <s v=""/>
    <s v="NULL"/>
    <x v="0"/>
    <s v="2026-08-19 07:58:59"/>
    <s v="2026-08-19 08:08:58"/>
    <s v="NULL"/>
    <s v="NULL"/>
    <s v="2026-08-19 10:08:58"/>
    <s v=""/>
    <s v="106.512463"/>
    <s v="10.6195398"/>
    <s v="106.6592056"/>
    <s v="10.7557306"/>
    <n v="151632"/>
    <n v="0"/>
    <n v="151632"/>
    <s v="Cash"/>
    <s v="CÔNG TY TNHH VẬT LIỆU CÔNG NGHỆ CAO LONGDA WEIFANG VIỆT NAM, Đ. Số 1, Khu công nghiệp Phúc Long, Mỹ Yên, Tây Ninh, Việt NamCÔNG TY TNHH VẬT LIỆU CÔNG NGHỆ CAO LONGDA WEIFANG VIỆT NAM"/>
    <s v="45 Phạm Hữu Chí, Phường 12, Quận 5, Hồ Chí Minh, Việt NamCông Ty Tnhh Quốc Hoàng"/>
    <n v="1"/>
    <x v="1"/>
    <x v="11"/>
    <d v="1899-12-30T07:58:59"/>
    <x v="9"/>
  </r>
  <r>
    <s v="3565193668950454550"/>
    <s v=""/>
    <x v="11"/>
    <n v="0"/>
    <s v=""/>
    <s v="NULL"/>
    <x v="0"/>
    <s v="2026-08-19 08:01:28"/>
    <s v="2026-08-19 08:11:27"/>
    <s v="NULL"/>
    <s v="NULL"/>
    <s v="2026-08-19 10:11:27"/>
    <s v=""/>
    <s v="106.5099105"/>
    <s v="10.6322967"/>
    <s v="106.7645328"/>
    <s v="10.779323"/>
    <n v="211896"/>
    <n v="0"/>
    <n v="211896"/>
    <s v="Cash"/>
    <s v="400 QL1A, Bến Lức, Tây Ninh, Việt Nam400 Quốc lộ 1A"/>
    <s v="CÔNG TY, Đường số 10, Cát Lái, Quận 2, Hồ Chí Minh, Việt NamCÔNG TY"/>
    <n v="1"/>
    <x v="1"/>
    <x v="11"/>
    <d v="1899-12-30T08:01:28"/>
    <x v="9"/>
  </r>
  <r>
    <s v="3565193668950454593"/>
    <s v=""/>
    <x v="11"/>
    <n v="0"/>
    <s v=""/>
    <s v="NULL"/>
    <x v="0"/>
    <s v="2026-08-19 08:01:41"/>
    <s v="2026-08-19 08:11:40"/>
    <s v="NULL"/>
    <s v="NULL"/>
    <s v="2026-08-19 10:11:40"/>
    <s v=""/>
    <s v="106.5099105"/>
    <s v="10.6322967"/>
    <s v="106.6823683"/>
    <s v="10.7801292"/>
    <n v="178416"/>
    <n v="0"/>
    <n v="178416"/>
    <s v="Cash"/>
    <s v="400 QL1A, Bến Lức, Tây Ninh, Việt Nam400 Quốc lộ 1A"/>
    <s v="CÔNG TY CỔ PHẦN THƯƠNG MẠI DỊCH VỤ QUẬN 3, Lý Chính Thắng, Nhiêu Lộc, Hồ Chí Minh, Việt NamCÔNG TY CỔ PHẦN THƯƠNG MẠI DỊCH VỤ QUẬN 3"/>
    <n v="1"/>
    <x v="1"/>
    <x v="11"/>
    <d v="1899-12-30T08:01:41"/>
    <x v="9"/>
  </r>
  <r>
    <s v="3565193970915176763"/>
    <s v=""/>
    <x v="11"/>
    <n v="0"/>
    <s v=""/>
    <s v="NULL"/>
    <x v="0"/>
    <s v="2026-08-19 07:59:12"/>
    <s v="2026-08-19 08:09:11"/>
    <s v="NULL"/>
    <s v="NULL"/>
    <s v="2026-08-19 10:09:11"/>
    <s v=""/>
    <s v="106.512463"/>
    <s v="10.6195398"/>
    <s v="106.6445037"/>
    <s v="10.7432457"/>
    <n v="136188"/>
    <n v="0"/>
    <n v="136188"/>
    <s v="Cash"/>
    <s v="CÔNG TY TNHH VẬT LIỆU CÔNG NGHỆ CAO LONGDA WEIFANG VIỆT NAM, Đ. Số 1, Khu công nghiệp Phúc Long, Mỹ Yên, Tây Ninh, Việt NamCÔNG TY TNHH VẬT LIỆU CÔNG NGHỆ CAO LONGDA WEIFANG VIỆT NAM"/>
    <s v="108, 110 Đ. Phạm Phú Thứ, Phường 3, Quận 6, Hồ Chí Minh 700000, Việt NamCông Ty TNHH Phương Diêm Thuận"/>
    <n v="1"/>
    <x v="1"/>
    <x v="11"/>
    <d v="1899-12-30T07:59:12"/>
    <x v="9"/>
  </r>
  <r>
    <s v="3565195935602667643"/>
    <s v=""/>
    <x v="11"/>
    <n v="0"/>
    <s v=""/>
    <s v="NULL"/>
    <x v="0"/>
    <s v="2026-08-19 08:00:16"/>
    <s v="2026-08-19 08:10:16"/>
    <s v="NULL"/>
    <s v="NULL"/>
    <s v="2026-08-19 10:10:16"/>
    <s v=""/>
    <s v="106.512463"/>
    <s v="10.6195398"/>
    <s v="106.6430116"/>
    <s v="10.7636706"/>
    <n v="160056"/>
    <n v="0"/>
    <n v="160056"/>
    <s v="Cash"/>
    <s v="CÔNG TY TNHH VẬT LIỆU CÔNG NGHỆ CAO LONGDA WEIFANG VIỆT NAM, Đ. Số 1, Khu công nghiệp Phúc Long, Mỹ Yên, Tây Ninh, Việt NamCÔNG TY TNHH VẬT LIỆU CÔNG NGHỆ CAO LONGDA WEIFANG VIỆT NAM"/>
    <s v="270, 272 Đ. Bình Thới, Phường 10, Quận 11, Hồ Chí Minh, Việt NamCông an Quận 11"/>
    <n v="1"/>
    <x v="1"/>
    <x v="11"/>
    <d v="1899-12-30T08:00:16"/>
    <x v="4"/>
  </r>
  <r>
    <s v="3565195961213080002"/>
    <s v="ywja"/>
    <x v="8"/>
    <n v="0"/>
    <s v=""/>
    <s v="NULL"/>
    <x v="0"/>
    <s v="2026-08-19 07:57:22"/>
    <s v="2026-08-19 08:07:00"/>
    <s v="NULL"/>
    <s v="NULL"/>
    <s v="2026-08-19 10:45:27"/>
    <s v=""/>
    <s v="106.36281307786703"/>
    <s v="10.546805525785578"/>
    <s v="106.58433638513088"/>
    <s v="10.829003307309547"/>
    <n v="274212"/>
    <n v="0"/>
    <n v="274212"/>
    <s v="Cash"/>
    <s v="Đường Số 1,82112Nhà Máy Điều Long An"/>
    <s v="Hẻm E6 Đường Thới Hòa,71821Thẩm Mỹ Viện Hạnh Nguyễn"/>
    <n v="1"/>
    <x v="1"/>
    <x v="11"/>
    <d v="1899-12-30T07:57:22"/>
    <x v="419"/>
  </r>
  <r>
    <s v="3565195961221468201"/>
    <s v=""/>
    <x v="11"/>
    <n v="0"/>
    <s v=""/>
    <s v="NULL"/>
    <x v="0"/>
    <s v="2026-08-19 07:58:43"/>
    <s v="2026-08-19 08:08:42"/>
    <s v="NULL"/>
    <s v="NULL"/>
    <s v="2026-08-19 10:08:42"/>
    <s v=""/>
    <s v="106.512463"/>
    <s v="10.6195398"/>
    <s v="106.6993326"/>
    <s v="10.7601306"/>
    <n v="175932"/>
    <n v="0"/>
    <n v="175932"/>
    <s v="Cash"/>
    <s v="CÔNG TY TNHH VẬT LIỆU CÔNG NGHỆ CAO LONGDA WEIFANG VIỆT NAM, Đ. Số 1, Khu công nghiệp Phúc Long, Mỹ Yên, Tây Ninh, Việt NamCÔNG TY TNHH VẬT LIỆU CÔNG NGHỆ CAO LONGDA WEIFANG VIỆT NAM"/>
    <s v="301 Đ. Hoàng Diệu, Phường 9, Quận 4, Hồ Chí Minh, Việt NamCông ty TNHH MTV Dịch Vụ Công Ích Quận 4"/>
    <n v="1"/>
    <x v="1"/>
    <x v="11"/>
    <d v="1899-12-30T07:58:43"/>
    <x v="9"/>
  </r>
  <r>
    <s v="3565195961229865109"/>
    <s v=""/>
    <x v="11"/>
    <n v="0"/>
    <s v=""/>
    <s v="NULL"/>
    <x v="0"/>
    <s v="2026-08-19 08:00:04"/>
    <s v="2026-08-19 08:10:04"/>
    <s v="NULL"/>
    <s v="NULL"/>
    <s v="2026-08-19 10:10:04"/>
    <s v=""/>
    <s v="106.512463"/>
    <s v="10.6195398"/>
    <s v="106.6707851"/>
    <s v="10.7627387"/>
    <n v="167076"/>
    <n v="0"/>
    <n v="167076"/>
    <s v="Cash"/>
    <s v="CÔNG TY TNHH VẬT LIỆU CÔNG NGHỆ CAO LONGDA WEIFANG VIỆT NAM, Đ. Số 1, Khu công nghiệp Phúc Long, Mỹ Yên, Tây Ninh, Việt NamCÔNG TY TNHH VẬT LIỆU CÔNG NGHỆ CAO LONGDA WEIFANG VIỆT NAM"/>
    <s v="Công Ty Cp Dược Phẩm Quận 10, Đường Ngô Gia Tự, Vườn Lài, Hồ Chí Minh, Việt NamCông Ty Cp Dược Phẩm Quận 10"/>
    <n v="1"/>
    <x v="1"/>
    <x v="11"/>
    <d v="1899-12-30T08:00:04"/>
    <x v="4"/>
  </r>
  <r>
    <s v="3565196888624034451"/>
    <s v=""/>
    <x v="11"/>
    <n v="0"/>
    <s v=""/>
    <s v="NULL"/>
    <x v="0"/>
    <s v="2026-08-19 08:03:28"/>
    <s v="2026-08-19 08:13:28"/>
    <s v="NULL"/>
    <s v="NULL"/>
    <s v="2026-08-19 10:13:28"/>
    <s v=""/>
    <s v="106.5099105"/>
    <s v="10.6322967"/>
    <s v="106.7905535"/>
    <s v="10.8080538"/>
    <n v="236628"/>
    <n v="0"/>
    <n v="236628"/>
    <s v="Cash"/>
    <s v="400 QL1A, Bến Lức, Tây Ninh, Việt Nam400 Quốc lộ 1A"/>
    <s v="Công ty TNHH TV-TK-XD Phát Minh - Văn phòng Quận 9, Đường 18 tổ 8, Khu Phố 6, Phước Long, Hồ Chí Minh, Việt NamCông ty TNHH TV-TK-XD Phát Minh - Văn phòng Quận 9"/>
    <n v="1"/>
    <x v="1"/>
    <x v="11"/>
    <d v="1899-12-30T08:03:28"/>
    <x v="4"/>
  </r>
  <r>
    <s v="3565199298687881784"/>
    <s v=""/>
    <x v="11"/>
    <n v="0"/>
    <s v=""/>
    <s v="NULL"/>
    <x v="0"/>
    <s v="2026-08-19 08:03:10"/>
    <s v="2026-08-19 08:13:09"/>
    <s v="NULL"/>
    <s v="NULL"/>
    <s v="2026-08-19 10:13:09"/>
    <s v=""/>
    <s v="106.5099105"/>
    <s v="10.6322967"/>
    <s v="106.6187517"/>
    <s v="10.7128806"/>
    <n v="139860"/>
    <n v="0"/>
    <n v="139860"/>
    <s v="Cash"/>
    <s v="400 QL1A, Bến Lức, Tây Ninh, Việt Nam400 Quốc lộ 1A"/>
    <s v="23 Đ. An Dương Vương, Phường 16, Quận 8, Hồ Chí Minh, Việt NamCông Ty Tnhh Trần Tỷ"/>
    <n v="1"/>
    <x v="1"/>
    <x v="11"/>
    <d v="1899-12-30T08:03:10"/>
    <x v="9"/>
  </r>
  <r>
    <s v="3565199410751300064"/>
    <s v="ywja"/>
    <x v="8"/>
    <n v="3693683"/>
    <s v=""/>
    <s v="Motorcycle"/>
    <x v="2"/>
    <s v="2026-08-19 08:10:33"/>
    <s v="2026-08-19 08:20:00"/>
    <s v="2026-08-19 08:33:25"/>
    <s v="NULL"/>
    <s v=""/>
    <s v=""/>
    <s v="106.30139384418726"/>
    <s v="10.4583002883366"/>
    <s v="106.6431887447834"/>
    <s v="10.80244396181801"/>
    <n v="346896"/>
    <n v="268925"/>
    <n v="77971"/>
    <s v="Cash"/>
    <s v="Công ty TNHH Thể Thao Giải Trí Goleader Việt Nam, Tân Lập 1, Tân Phước, Tiền Giang, Việt NamCông ty TNHH Thể Thao Giải Trí Goleader Việt Nam"/>
    <s v="424 Đường Cộng Hòa, Phường 13, Quận Tân Bình, Hồ Chí Minh, Việt NamCouple TX 424 Cong Hoa"/>
    <n v="1"/>
    <x v="1"/>
    <x v="11"/>
    <d v="1899-12-30T08:10:33"/>
    <x v="14"/>
  </r>
  <r>
    <s v="3565208488793829531"/>
    <s v=""/>
    <x v="10"/>
    <n v="3153255"/>
    <s v="hang 80kg nha tx"/>
    <s v="Motorcycle"/>
    <x v="1"/>
    <s v="2026-08-19 08:21:19"/>
    <s v="2026-08-19 08:31:00"/>
    <s v="2026-08-19 08:21:45"/>
    <s v="NULL"/>
    <s v="2026-08-19 08:21:53"/>
    <s v=""/>
    <s v="106.48017782717943"/>
    <s v="10.842323094076812"/>
    <s v="107.36123"/>
    <s v="11.1218314"/>
    <n v="613872"/>
    <n v="475893"/>
    <n v="137979"/>
    <s v="Cash"/>
    <s v="Đường Chưa Đặt Tên, Mỹ Hạnh, Tây Ninh, Việt NamĐường Chưa Đặt Tên"/>
    <s v="Định Quán, Đồng Nai, Việt NamĐịnh Quán"/>
    <n v="1"/>
    <x v="1"/>
    <x v="11"/>
    <d v="1899-12-30T08:21:19"/>
    <x v="481"/>
  </r>
  <r>
    <s v="3565208891564445860"/>
    <s v="ywja"/>
    <x v="8"/>
    <n v="4638982"/>
    <s v=""/>
    <s v="Motorcycle"/>
    <x v="2"/>
    <s v="2026-08-19 08:19:02"/>
    <s v="2026-08-19 08:29:00"/>
    <s v="2026-08-19 09:17:12"/>
    <s v="NULL"/>
    <s v=""/>
    <s v=""/>
    <s v="106.30598343908787"/>
    <s v="10.458343150149723"/>
    <s v="106.66048899292946"/>
    <s v="10.803067062584377"/>
    <n v="450468"/>
    <n v="349217"/>
    <n v="101251"/>
    <s v="Cash"/>
    <s v="CÔNG TY TNHH BESTWAY, Khu Công Nghiệp, Tân Lập 1, Tân Phước, Tiền Giang, Việt NamCÔNG TY TNHH BESTWAY"/>
    <s v="51 Đường Ba Vì, Phường 4, Quận Tân Bình, Hồ Chí Minh, Việt Nam51 Đường Ba Vì"/>
    <n v="1"/>
    <x v="1"/>
    <x v="11"/>
    <d v="1899-12-30T08:19:02"/>
    <x v="14"/>
  </r>
  <r>
    <s v="3565208891581231628"/>
    <s v=""/>
    <x v="10"/>
    <n v="4474001"/>
    <s v="hang 80kg nha tx"/>
    <s v="Motorcycle"/>
    <x v="1"/>
    <s v="2026-08-19 08:23:08"/>
    <s v="2026-08-19 08:33:00"/>
    <s v="2026-08-19 08:23:15"/>
    <s v="NULL"/>
    <s v="2026-08-19 08:23:22"/>
    <s v=""/>
    <s v="106.48017782717943"/>
    <s v="10.842323094076812"/>
    <s v="107.0834734"/>
    <s v="10.3393897"/>
    <n v="589032"/>
    <n v="456636"/>
    <n v="132396"/>
    <s v="Cash"/>
    <s v="Đường Chưa Đặt Tên, Mỹ Hạnh, Tây Ninh, Việt NamĐường Chưa Đặt Tên"/>
    <s v="Vũng Tàu, Hồ Chí Minh, Việt NamVũng Tàu"/>
    <n v="1"/>
    <x v="1"/>
    <x v="11"/>
    <d v="1899-12-30T08:23:08"/>
    <x v="482"/>
  </r>
  <r>
    <s v="3565208896966714392"/>
    <s v=""/>
    <x v="10"/>
    <n v="4537838"/>
    <s v="hang 80kg nha tx"/>
    <s v="Motorcycle"/>
    <x v="1"/>
    <s v="2026-08-19 08:24:45"/>
    <s v="2026-08-19 08:34:00"/>
    <s v="2026-08-19 08:25:05"/>
    <s v="NULL"/>
    <s v="2026-08-19 08:25:11"/>
    <s v=""/>
    <s v="106.48017782717943"/>
    <s v="10.842323094076812"/>
    <s v="107.2548183"/>
    <s v="10.8123782"/>
    <n v="503172"/>
    <n v="390075"/>
    <n v="113097"/>
    <s v="Cash"/>
    <s v="Đường Chưa Đặt Tên, Mỹ Hạnh, Tây Ninh, Việt NamĐường Chưa Đặt Tên"/>
    <s v="Cẩm Mỹ, Đồng Nai, Việt NamCẩm Mỹ"/>
    <n v="1"/>
    <x v="1"/>
    <x v="11"/>
    <d v="1899-12-30T08:24:45"/>
    <x v="483"/>
  </r>
  <r>
    <s v="3565208896983487021"/>
    <s v=""/>
    <x v="10"/>
    <n v="3092718"/>
    <s v="80kg"/>
    <s v="Motorcycle"/>
    <x v="2"/>
    <s v="2026-08-19 08:26:25"/>
    <s v="2026-08-19 08:36:00"/>
    <s v="2026-08-19 09:30:56"/>
    <s v="NULL"/>
    <s v=""/>
    <s v=""/>
    <s v="106.48017782717943"/>
    <s v="10.842323094076812"/>
    <s v="106.3287199"/>
    <s v="10.2384162"/>
    <n v="403704"/>
    <n v="312964"/>
    <n v="90740"/>
    <s v="Cash"/>
    <s v="Đường Chưa Đặt Tên, Mỹ Hạnh, Tây Ninh, Việt NamĐường Chưa Đặt Tên"/>
    <s v="Bến Tre, Vĩnh Long, Việt NamBến Tre"/>
    <n v="1"/>
    <x v="1"/>
    <x v="11"/>
    <d v="1899-12-30T08:26:25"/>
    <x v="14"/>
  </r>
  <r>
    <s v="3565213256777945583"/>
    <s v=""/>
    <x v="10"/>
    <n v="3153255"/>
    <s v="đến bảo ve lấy hàng "/>
    <s v="Motorcycle"/>
    <x v="1"/>
    <s v="2026-08-19 08:27:53"/>
    <s v="2026-08-19 08:37:00"/>
    <s v="2026-08-19 08:28:20"/>
    <s v="NULL"/>
    <s v="2026-08-19 08:29:27"/>
    <s v=""/>
    <s v="106.48017782717943"/>
    <s v="10.842323094076812"/>
    <s v="106.9004472"/>
    <s v="11.5099618"/>
    <n v="499932"/>
    <n v="387563"/>
    <n v="112369"/>
    <s v="Cash"/>
    <s v="Đường Chưa Đặt Tên, Mỹ Hạnh, Tây Ninh, Việt NamĐường Chưa Đặt Tên"/>
    <s v="Bình Phước, Đồng Nai, Việt NamBình Phước"/>
    <n v="1"/>
    <x v="1"/>
    <x v="11"/>
    <d v="1899-12-30T08:27:53"/>
    <x v="484"/>
  </r>
  <r>
    <s v="3565213722932896628"/>
    <s v=""/>
    <x v="10"/>
    <n v="2945416"/>
    <s v=""/>
    <s v="Motorcycle"/>
    <x v="1"/>
    <s v="2026-08-19 08:35:08"/>
    <s v="2026-08-19 08:45:00"/>
    <s v="2026-08-19 08:35:20"/>
    <s v="NULL"/>
    <s v="2026-08-19 08:35:37"/>
    <s v=""/>
    <s v="106.47655986249447"/>
    <s v="10.808381150612496"/>
    <s v="106.7076858"/>
    <s v="10.7295817"/>
    <n v="184356"/>
    <n v="151326"/>
    <n v="33030"/>
    <s v="Cash"/>
    <s v="hai, Đ.Cây Đ./469 Ấp Bình Tiền 2, Đức Hòa Hạ, Đức Hòa, Long An, Việt Nam469 Dường Cây Dương"/>
    <s v="PPH5+R3M, Hưng Phước 4, Khu đô thị Phú Mỹ Hưng, Tân Hưng, Hồ Chí Minh, Việt Namquận 7"/>
    <n v="1"/>
    <x v="1"/>
    <x v="11"/>
    <d v="1899-12-30T08:35:08"/>
    <x v="485"/>
  </r>
  <r>
    <s v="3565215198405153270"/>
    <s v=""/>
    <x v="10"/>
    <n v="3442044"/>
    <s v="80kg"/>
    <s v="Motorcycle"/>
    <x v="1"/>
    <s v="2026-08-19 08:31:32"/>
    <s v="2026-08-19 08:41:00"/>
    <s v="2026-08-19 08:31:43"/>
    <s v="NULL"/>
    <s v="2026-08-19 08:32:02"/>
    <s v=""/>
    <s v="106.47655986249447"/>
    <s v="10.808381150612496"/>
    <s v="106.6263666"/>
    <s v="11.0899974"/>
    <n v="274968"/>
    <n v="213164"/>
    <n v="61804"/>
    <s v="Cash"/>
    <s v="hai, Đ.Cây Đ./469 Ấp Bình Tiền 2, Đức Hòa Hạ, Đức Hòa, Long An, Việt Nam469 Dường Cây Dương"/>
    <s v="239, 8 QL13, Thới Hòa, Hồ Chí Minh, Việt NamBến cát Bình Dương"/>
    <n v="1"/>
    <x v="1"/>
    <x v="11"/>
    <d v="1899-12-30T08:31:32"/>
    <x v="243"/>
  </r>
  <r>
    <s v="3565218059390251959"/>
    <s v="ywja"/>
    <x v="8"/>
    <n v="3653145"/>
    <s v=""/>
    <s v="Motorcycle"/>
    <x v="1"/>
    <s v="2026-08-19 08:38:14"/>
    <s v="2026-08-19 08:48:00"/>
    <s v="2026-08-19 08:38:30"/>
    <s v="NULL"/>
    <s v="2026-08-19 08:48:26"/>
    <s v=""/>
    <s v="106.48405127227306"/>
    <s v="10.637802154710995"/>
    <s v="106.65973596274853"/>
    <s v="10.803249842955015"/>
    <n v="176040"/>
    <n v="136472"/>
    <n v="39568"/>
    <s v="Cash"/>
    <s v="113 QL1, Bến Lức, Tây Ninh, Việt Nam113 Quốc lộ 1"/>
    <s v="23 Đường Ba Vì, Phường 4, Quận Tân Bình, Hồ Chí Minh, Việt NamCông Ty CP Đầu Tư Thiết Bị Việt Long"/>
    <n v="1"/>
    <x v="1"/>
    <x v="11"/>
    <d v="1899-12-30T08:38:14"/>
    <x v="486"/>
  </r>
  <r>
    <s v="3565369376624566422"/>
    <s v=""/>
    <x v="12"/>
    <n v="1644969"/>
    <s v=""/>
    <s v="Motorcycle"/>
    <x v="2"/>
    <s v="2026-08-19 13:34:53"/>
    <s v="2026-08-19 13:44:00"/>
    <s v="2026-08-19 14:49:27"/>
    <s v="NULL"/>
    <s v=""/>
    <s v=""/>
    <s v="106.36004637926817"/>
    <s v="10.546203324301612"/>
    <s v="106.73596601933241"/>
    <s v="10.793006725310693"/>
    <n v="230904"/>
    <n v="179004"/>
    <n v="51900"/>
    <s v="Cash"/>
    <s v="Đường Sô 1, Lợi Bình Nhơn, Tân An, Long An, Việt NamĐường Sô 1"/>
    <s v="49 Đường 10A, P. Bình An, Quận 2, Thành phố Hồ Chí Minh, Việt Nam49 Đường 10A"/>
    <n v="1"/>
    <x v="1"/>
    <x v="11"/>
    <d v="1899-12-30T13:34:53"/>
    <x v="14"/>
  </r>
  <r>
    <s v="3565370467084890589"/>
    <s v=""/>
    <x v="12"/>
    <n v="0"/>
    <s v=""/>
    <s v="NULL"/>
    <x v="0"/>
    <s v="2026-08-19 13:37:43"/>
    <s v="2026-08-19 13:47:00"/>
    <s v="NULL"/>
    <s v="NULL"/>
    <s v="2026-08-19 16:11:19"/>
    <s v=""/>
    <s v="106.3671750202775"/>
    <s v="10.55014777204175"/>
    <s v="106.81600850075483"/>
    <s v="11.08820718436736"/>
    <n v="383616"/>
    <n v="0"/>
    <n v="383616"/>
    <s v="Cash"/>
    <s v="Đường Số 2,82112Nguyên Thịnh-Nhà Máy Bê Tông Tân An"/>
    <s v="ĐT746, Tân Mỹ, Tân Uyên, Hồ Chí Minh, Việt NamĐT746, Tân Mỹ, Tân Uyên, Hồ Chí Minh, Việt Nam"/>
    <n v="1"/>
    <x v="1"/>
    <x v="11"/>
    <d v="1899-12-30T13:37:43"/>
    <x v="487"/>
  </r>
  <r>
    <s v="3565556716345184337"/>
    <s v=""/>
    <x v="12"/>
    <n v="4703771"/>
    <s v=""/>
    <s v="Motorcycle"/>
    <x v="2"/>
    <s v="2026-08-19 19:57:45"/>
    <s v="2026-08-19 20:07:00"/>
    <s v="2026-08-19 21:08:02"/>
    <s v="NULL"/>
    <s v=""/>
    <s v=""/>
    <s v="106.39836207032204"/>
    <s v="10.550741725614438"/>
    <s v="106.77052360028028"/>
    <s v="10.909478055133318"/>
    <n v="414612"/>
    <n v="321420"/>
    <n v="93192"/>
    <s v="Cash"/>
    <s v="84 Tuyến tránh QL 1, Long An, Tây Ninh, Việt Nam84 Tuyến tránh QL 1"/>
    <s v="342 Nguyễn An Ninh, Dĩ An, Bình Dương, Việt Nam342 Nguyễn An Ninh"/>
    <n v="1"/>
    <x v="1"/>
    <x v="11"/>
    <d v="1899-12-30T19:57:45"/>
    <x v="14"/>
  </r>
  <r>
    <s v="3565559157908263485"/>
    <s v=""/>
    <x v="12"/>
    <n v="4467390"/>
    <s v="giáo trước 10h"/>
    <s v="Motorcycle"/>
    <x v="2"/>
    <s v="2026-08-19 20:00:25"/>
    <s v="2026-08-19 20:10:00"/>
    <s v="2026-08-19 20:40:49"/>
    <s v="NULL"/>
    <s v=""/>
    <s v=""/>
    <s v="106.50753702968359"/>
    <s v="10.6323038346637"/>
    <s v="106.81600850075483"/>
    <s v="11.08820718436736"/>
    <n v="439344"/>
    <n v="340593"/>
    <n v="98751"/>
    <s v="Cash"/>
    <s v="QL1, TT. Bến Lức, Bến Lức, Long An, Việt NamQL1"/>
    <s v="ĐT746, Tân Mỹ, Tân Uyên, Hồ Chí Minh, Việt NamĐT746, Tân Mỹ, Tân Uyên, Hồ Chí Minh, Việt Nam"/>
    <n v="1"/>
    <x v="1"/>
    <x v="11"/>
    <d v="1899-12-30T20:00:25"/>
    <x v="14"/>
  </r>
  <r>
    <s v="3565568531103965283"/>
    <s v=""/>
    <x v="12"/>
    <n v="0"/>
    <s v=""/>
    <s v="NULL"/>
    <x v="1"/>
    <s v="2026-08-19 23:04:14"/>
    <s v="2026-08-19 23:14:00"/>
    <s v="NULL"/>
    <s v="NULL"/>
    <s v="2026-08-19 23:05:08"/>
    <s v=""/>
    <s v="106.51214942336082"/>
    <s v="10.633189582955193"/>
    <s v="106.62861797958612"/>
    <s v="10.777024169432579"/>
    <n v="112428"/>
    <n v="0"/>
    <n v="112428"/>
    <s v="Cash"/>
    <s v="Long Hiệp, Bến Lức, Long An 82600, Việt NamHoà Bình Ceramic"/>
    <s v="147/21 Thạch Lam, Phú Thạnh, Tân Phú, Thành phố Hồ Chí Minh, Việt Nam147/21 Thạch Lam"/>
    <n v="1"/>
    <x v="1"/>
    <x v="11"/>
    <d v="1899-12-30T23:04:14"/>
    <x v="471"/>
  </r>
  <r>
    <s v="3565875231212139368"/>
    <s v=""/>
    <x v="13"/>
    <n v="0"/>
    <s v=""/>
    <s v="NULL"/>
    <x v="0"/>
    <s v="2026-08-20 07:08:50"/>
    <s v="2026-08-20 07:18:48"/>
    <s v="NULL"/>
    <s v="NULL"/>
    <s v="2026-08-20 09:18:48"/>
    <s v=""/>
    <s v="106.490165"/>
    <s v="10.6014965"/>
    <s v="106.775016"/>
    <s v="11.082651"/>
    <n v="310824"/>
    <n v="0"/>
    <n v="310824"/>
    <s v="Cash"/>
    <s v="Công ty TNHH Supply Solutions &amp; Trading - Chi nhánh Long An, Long Cang, Tây Ninh, Việt NamCông ty TNHH Supply Solutions &amp; Trading - Chi nhánh Long An"/>
    <s v="Công Ty TNHH ARC WORKS, Cụm Công Nghiệp Đường Số 1, Tân Uyên, Hồ Chí Minh, Việt NamCông Ty TNHH ARC WORKS"/>
    <n v="1"/>
    <x v="1"/>
    <x v="12"/>
    <d v="1899-12-30T07:08:50"/>
    <x v="208"/>
  </r>
  <r>
    <s v="3565882913054744786"/>
    <s v=""/>
    <x v="13"/>
    <n v="4728170"/>
    <s v=""/>
    <s v="Motorcycle"/>
    <x v="2"/>
    <s v="2026-08-20 07:11:05"/>
    <s v="2026-08-20 07:21:04"/>
    <s v="2026-08-20 10:19:35"/>
    <s v="NULL"/>
    <s v=""/>
    <s v=""/>
    <s v="106.4928698"/>
    <s v="10.6035772"/>
    <s v="106.7195372"/>
    <s v="10.9373357"/>
    <n v="337392"/>
    <n v="261557"/>
    <n v="75835"/>
    <s v="Cash"/>
    <s v="Synergy In Motion Viet Nam, Long Cang, Tây Ninh, Việt NamSynergy In Motion Viet Nam"/>
    <s v="Công Ty TNHH Fujikura Fiber Optics VN, Đường số 6, KCN Việt Nam-Singapore (VSIP1, Thuận Giao, Hồ Chí Minh, Việt NamCông Ty TNHH Fujikura Fiber Optics VN"/>
    <n v="1"/>
    <x v="1"/>
    <x v="12"/>
    <d v="1899-12-30T07:11:05"/>
    <x v="14"/>
  </r>
  <r>
    <s v="3565883754876723368"/>
    <s v=""/>
    <x v="12"/>
    <n v="0"/>
    <s v=""/>
    <s v="NULL"/>
    <x v="0"/>
    <s v="2026-08-20 07:02:57"/>
    <s v="2026-08-20 07:12:00"/>
    <s v="NULL"/>
    <s v="NULL"/>
    <s v="2026-08-20 09:12:00"/>
    <s v=""/>
    <s v="106.3061685115099"/>
    <s v="10.458361613698184"/>
    <s v="106.65200013667345"/>
    <s v="10.801545205845338"/>
    <n v="207468"/>
    <n v="0"/>
    <n v="207468"/>
    <s v="Cash"/>
    <s v="Công ty TNHH Sản Phẩm Thể Thao Giải Trí Bestway, Huyện Tân Phước, Tiền GiangCông ty TNHH Sản Phẩm Thể Thao Giải Trí Bestway"/>
    <s v="121b Đường Cộng Hòa, Phường 12, Quận Tân Bình, Hồ Chí Minh, Việt Nam121b Đường Cộng Hòa"/>
    <n v="1"/>
    <x v="1"/>
    <x v="12"/>
    <d v="1899-12-30T07:02:57"/>
    <x v="488"/>
  </r>
  <r>
    <s v="3565883754893496441"/>
    <s v=""/>
    <x v="13"/>
    <n v="0"/>
    <s v=""/>
    <s v="NULL"/>
    <x v="0"/>
    <s v="2026-08-20 07:11:38"/>
    <s v="2026-08-20 07:21:37"/>
    <s v="NULL"/>
    <s v="NULL"/>
    <s v="2026-08-20 09:28:56"/>
    <s v=""/>
    <s v="106.4928698"/>
    <s v="10.6035772"/>
    <s v="106.7509567"/>
    <s v="10.8856414"/>
    <n v="210924"/>
    <n v="0"/>
    <n v="210924"/>
    <s v="Cash"/>
    <s v="Synergy In Motion Viet Nam, Long Cang, Tây Ninh, Việt NamSynergy In Motion Viet Nam"/>
    <s v="Công ty Bao Bì NgaiMee, Đường Số 6, Dĩ An, Hồ Chí Minh, Việt NamCông ty Bao Bì NgaiMee"/>
    <n v="1"/>
    <x v="1"/>
    <x v="12"/>
    <d v="1899-12-30T07:11:38"/>
    <x v="489"/>
  </r>
  <r>
    <s v="3565886202177614492"/>
    <s v=""/>
    <x v="13"/>
    <n v="0"/>
    <s v=""/>
    <s v="NULL"/>
    <x v="0"/>
    <s v="2026-08-20 07:17:13"/>
    <s v="2026-08-20 07:27:11"/>
    <s v="NULL"/>
    <s v="NULL"/>
    <s v="2026-08-20 09:27:11"/>
    <s v=""/>
    <s v="106.4950478"/>
    <s v="10.6029568"/>
    <s v="106.68032915742491"/>
    <s v="10.846492525542828"/>
    <n v="182628"/>
    <n v="0"/>
    <n v="182628"/>
    <s v="Cash"/>
    <s v="CÔNG TY TNHH ADVANCE KNITTING VIỆT NAM, COMMUNE, Long Cang, Tây Ninh, Việt NamCÔNG TY TNHH ADVANCE KNITTING VIỆT NAM"/>
    <s v="74/807C2 Hẻm 110 Đ. 30, An Nhơn, Hồ Chí Minh, Việt Nam74/807C2 Hẻm 110 Đ. 30, An Nhơn, Hồ Chí Minh, Việt Nam"/>
    <n v="1"/>
    <x v="1"/>
    <x v="12"/>
    <d v="1899-12-30T07:17:13"/>
    <x v="208"/>
  </r>
  <r>
    <s v="3565891542793277952"/>
    <s v=""/>
    <x v="12"/>
    <n v="0"/>
    <s v="hàng ở công so2"/>
    <s v="NULL"/>
    <x v="0"/>
    <s v="2026-08-20 07:08:47"/>
    <s v="2026-08-20 07:18:00"/>
    <s v="NULL"/>
    <s v="NULL"/>
    <s v="2026-08-20 09:18:00"/>
    <s v=""/>
    <s v="106.36369653046131"/>
    <s v="10.547920600736845"/>
    <s v="106.70179199427366"/>
    <s v="10.8074063373458"/>
    <n v="241164"/>
    <n v="0"/>
    <n v="241164"/>
    <s v="Cash"/>
    <s v="Lô F1, Khu F, Cụm Công Nghiệp Lợi Bình Nhơn, Ấp Rạch Chanh, Xã Lợi Bình Nhơn, Thành Phố Tân An, Tỉnh Long An, Lợi Bình Nhơn, Tân An, Long An, Việt NamCông Ty TNHH TEXRAY"/>
    <s v="86, 17 Bùi Đình Tuý, Phường 14, Bình Thạnh, Hồ Chí Minh, Việt Nam247/6 Bùi Đình Túy"/>
    <n v="1"/>
    <x v="1"/>
    <x v="12"/>
    <d v="1899-12-30T07:08:47"/>
    <x v="490"/>
  </r>
  <r>
    <s v="3565891542826836238"/>
    <s v=""/>
    <x v="13"/>
    <n v="0"/>
    <s v=""/>
    <s v="NULL"/>
    <x v="0"/>
    <s v="2026-08-20 07:20:56"/>
    <s v="2026-08-20 07:30:55"/>
    <s v="NULL"/>
    <s v="NULL"/>
    <s v="2026-08-20 09:30:55"/>
    <s v=""/>
    <s v="106.4922768"/>
    <s v="10.6041638"/>
    <s v="106.73292006992371"/>
    <s v="10.794101629555987"/>
    <n v="162756"/>
    <n v="0"/>
    <n v="162756"/>
    <s v="Cash"/>
    <s v="CÔNG TY TNHH SAN LEN C VIỆT NAM, Đường số 13, KCN Thuận Đạo mở rộng, Long Cang, Tây Ninh, Việt NamCÔNG TY TNHH SAN LEN C VIỆT NAM"/>
    <s v="Tp, 34/1A Đ. Số 8, Khu Phố 4, An Khánh, Hồ Chí Minh, Việt NamTp, 34/1A Đ. Số 8, Khu Phố 4, An Khánh, Hồ Chí Minh, Việt Nam"/>
    <n v="1"/>
    <x v="1"/>
    <x v="12"/>
    <d v="1899-12-30T07:20:56"/>
    <x v="9"/>
  </r>
  <r>
    <s v="3565891542826836448"/>
    <s v=""/>
    <x v="13"/>
    <n v="0"/>
    <s v=""/>
    <s v="NULL"/>
    <x v="0"/>
    <s v="2026-08-20 07:22:13"/>
    <s v="2026-08-20 07:32:12"/>
    <s v="NULL"/>
    <s v="NULL"/>
    <s v="2026-08-20 09:32:12"/>
    <s v=""/>
    <s v="106.4989851"/>
    <s v="10.6100853"/>
    <s v="106.8589988"/>
    <s v="10.9274525"/>
    <n v="269676"/>
    <n v="0"/>
    <n v="269676"/>
    <s v="Cash"/>
    <s v="OKIA OPTICAL VIETNAM, Long Cang, Tây Ninh, Việt NamOKIA OPTICAL VIETNAM"/>
    <s v="Công ty TNHH Korea Express-Packsimex, Duong So 4, KCN Biên Hòa 1, Trấn Biên, Đồng Nai, Việt NamCông ty TNHH Korea Express-Packsimex"/>
    <n v="1"/>
    <x v="1"/>
    <x v="12"/>
    <d v="1899-12-30T07:22:13"/>
    <x v="9"/>
  </r>
  <r>
    <s v="3565891542826836517"/>
    <s v=""/>
    <x v="12"/>
    <n v="3008767"/>
    <s v=""/>
    <s v="Motorcycle"/>
    <x v="2"/>
    <s v="2026-08-20 07:22:43"/>
    <s v="2026-08-20 07:32:00"/>
    <s v="2026-08-20 08:37:20"/>
    <s v="NULL"/>
    <s v=""/>
    <s v=""/>
    <s v="106.40820309519768"/>
    <s v="10.516423701085786"/>
    <s v="106.70413088053465"/>
    <s v="10.824600788116308"/>
    <n v="232524"/>
    <n v="180260"/>
    <n v="52264"/>
    <s v="Cash"/>
    <s v="239 Châu Thị Kim, Phường 7, Tân An, Long An, Việt Nam239,Châu Thị Kim"/>
    <s v="17b Đường Lương Ngọc Quyến, Phường 13, Quận Bình Thạnh, Hồ Chí Minh, Việt Nam17b Đường Lương Ngọc Quyến"/>
    <n v="1"/>
    <x v="1"/>
    <x v="12"/>
    <d v="1899-12-30T07:22:43"/>
    <x v="14"/>
  </r>
  <r>
    <s v="3565895135701197763"/>
    <s v=""/>
    <x v="13"/>
    <n v="0"/>
    <s v=""/>
    <s v="NULL"/>
    <x v="0"/>
    <s v="2026-08-20 07:16:33"/>
    <s v="2026-08-20 07:26:32"/>
    <s v="NULL"/>
    <s v="NULL"/>
    <s v="2026-08-20 09:26:32"/>
    <s v=""/>
    <s v="106.4950478"/>
    <s v="10.6029568"/>
    <s v="106.66213215017092"/>
    <s v="10.86074278093676"/>
    <n v="185328"/>
    <n v="0"/>
    <n v="185328"/>
    <s v="Cash"/>
    <s v="CÔNG TY TNHH ADVANCE KNITTING VIỆT NAM, COMMUNE, Long Cang, Tây Ninh, Việt NamCÔNG TY TNHH ADVANCE KNITTING VIỆT NAM"/>
    <s v="929-931 Tổ 1 KP1, Thới An, Hồ Chí Minh, Việt Nam929-931 Tổ 1 KP1, Thới An, Hồ Chí Minh, Việt Nam"/>
    <n v="1"/>
    <x v="1"/>
    <x v="12"/>
    <d v="1899-12-30T07:16:33"/>
    <x v="9"/>
  </r>
  <r>
    <s v="3565895135717970618"/>
    <s v=""/>
    <x v="13"/>
    <n v="0"/>
    <s v=""/>
    <s v="NULL"/>
    <x v="0"/>
    <s v="2026-08-20 07:21:24"/>
    <s v="2026-08-20 07:31:23"/>
    <s v="NULL"/>
    <s v="NULL"/>
    <s v="2026-08-20 09:31:23"/>
    <s v=""/>
    <s v="106.4973945"/>
    <s v="10.6090006"/>
    <s v="106.6579677"/>
    <s v="10.9748155"/>
    <n v="236520"/>
    <n v="0"/>
    <n v="236520"/>
    <s v="Cash"/>
    <s v="CÔNG TY TNHH KUZCO VIỆT NAM, Long Cang, Tây Ninh, Việt NamCÔNG TY TNHH KUZCO VIỆT NAM"/>
    <s v="Công Ty Bảo Việt Bình Dương, Lý Thường Kiệt, phường, Thủ Dầu Một, Hồ Chí Minh, Việt NamCông Ty Bảo Việt Bình Dương"/>
    <n v="1"/>
    <x v="1"/>
    <x v="12"/>
    <d v="1899-12-30T07:21:24"/>
    <x v="9"/>
  </r>
  <r>
    <s v="3565895135717970823"/>
    <s v=""/>
    <x v="13"/>
    <n v="0"/>
    <s v=""/>
    <s v="NULL"/>
    <x v="0"/>
    <s v="2026-08-20 07:22:37"/>
    <s v="2026-08-20 07:32:36"/>
    <s v="NULL"/>
    <s v="NULL"/>
    <s v="2026-08-20 09:32:36"/>
    <s v=""/>
    <s v="106.4991551"/>
    <s v="10.611863"/>
    <s v="106.9428916"/>
    <s v="10.8195426"/>
    <n v="232632"/>
    <n v="0"/>
    <n v="232632"/>
    <s v="Cash"/>
    <s v="AsiaSteel KCN Thuận Đạo, Long Cang, Tây Ninh, Việt NamAsiaSteel KCN Thuận Đạo"/>
    <s v="Chi Nhánh Công ty TNHH TFV Industries tại Long Thành, Đ. Song Hành Quốc lộ 51, Bình An, Đồng Nai, Việt NamChi Nhánh Công ty TNHH TFV Industries tại Long Thành"/>
    <n v="1"/>
    <x v="1"/>
    <x v="12"/>
    <d v="1899-12-30T07:22:37"/>
    <x v="9"/>
  </r>
  <r>
    <s v="3565896277130698858"/>
    <s v=""/>
    <x v="13"/>
    <n v="0"/>
    <s v=""/>
    <s v="NULL"/>
    <x v="0"/>
    <s v="2026-08-20 07:12:21"/>
    <s v="2026-08-20 07:22:19"/>
    <s v="NULL"/>
    <s v="NULL"/>
    <s v="2026-08-20 09:22:19"/>
    <s v=""/>
    <s v="106.4928698"/>
    <s v="10.6035772"/>
    <s v="106.8589988"/>
    <s v="10.9274525"/>
    <n v="265680"/>
    <n v="0"/>
    <n v="265680"/>
    <s v="Cash"/>
    <s v="Synergy In Motion Viet Nam, Long Cang, Tây Ninh, Việt NamSynergy In Motion Viet Nam"/>
    <s v="Công ty TNHH Korea Express-Packsimex, Duong So 4, KCN Biên Hòa 1, Trấn Biên, Đồng Nai, Việt NamCông ty TNHH Korea Express-Packsimex"/>
    <n v="1"/>
    <x v="1"/>
    <x v="12"/>
    <d v="1899-12-30T07:12:21"/>
    <x v="208"/>
  </r>
  <r>
    <s v="3565896277130698943"/>
    <s v=""/>
    <x v="13"/>
    <n v="0"/>
    <s v=""/>
    <s v="NULL"/>
    <x v="0"/>
    <s v="2026-08-20 07:12:56"/>
    <s v="2026-08-20 07:22:55"/>
    <s v="NULL"/>
    <s v="NULL"/>
    <s v="2026-08-20 11:16:01"/>
    <s v=""/>
    <s v="106.4928698"/>
    <s v="10.6035772"/>
    <s v="106.9428916"/>
    <s v="10.8195426"/>
    <n v="291708"/>
    <n v="0"/>
    <n v="291708"/>
    <s v="Cash"/>
    <s v="Synergy In Motion Viet Nam, Long Cang, Tây Ninh, Việt NamSynergy In Motion Viet Nam"/>
    <s v="Chi Nhánh Công ty TNHH TFV Industries tại Long Thành, Đ. Song Hành Quốc lộ 51, Bình An, Đồng Nai, Việt NamChi Nhánh Công ty TNHH TFV Industries tại Long Thành"/>
    <n v="1"/>
    <x v="1"/>
    <x v="12"/>
    <d v="1899-12-30T07:12:56"/>
    <x v="491"/>
  </r>
  <r>
    <s v="3565896277130699165"/>
    <s v=""/>
    <x v="13"/>
    <n v="0"/>
    <s v=""/>
    <s v="NULL"/>
    <x v="0"/>
    <s v="2026-08-20 07:14:31"/>
    <s v="2026-08-20 07:24:29"/>
    <s v="NULL"/>
    <s v="NULL"/>
    <s v="2026-08-20 09:24:29"/>
    <s v=""/>
    <s v="106.4950478"/>
    <s v="10.6029568"/>
    <s v="106.8484686"/>
    <s v="11.0058459"/>
    <n v="290520"/>
    <n v="0"/>
    <n v="290520"/>
    <s v="Cash"/>
    <s v="CÔNG TY TNHH ADVANCE KNITTING VIỆT NAM, COMMUNE, Long Cang, Tây Ninh, Việt NamCÔNG TY TNHH ADVANCE KNITTING VIỆT NAM"/>
    <s v="Công Ty Chang Shin VN, Thạnh Phú, KCN, Tân Triều, Đồng Nai, Việt NamCông Ty Chang Shin VN"/>
    <n v="1"/>
    <x v="1"/>
    <x v="12"/>
    <d v="1899-12-30T07:14:31"/>
    <x v="208"/>
  </r>
  <r>
    <s v="3565896277164257394"/>
    <s v=""/>
    <x v="12"/>
    <n v="3122706"/>
    <s v=""/>
    <s v="Motorcycle"/>
    <x v="2"/>
    <s v="2026-08-20 07:25:26"/>
    <s v="2026-08-20 07:35:00"/>
    <s v="2026-08-20 08:13:23"/>
    <s v="NULL"/>
    <s v=""/>
    <s v=""/>
    <s v="106.34272534400225"/>
    <s v="10.424588960257815"/>
    <s v="106.68135322630405"/>
    <s v="10.601180739461647"/>
    <n v="243756"/>
    <n v="188967"/>
    <n v="54789"/>
    <s v="Cash"/>
    <s v="QL.1A,84612Camp Moc Thanh Hung"/>
    <s v="1119 ĐT.826C, Xã Phước Lại, Huyện Cần Giuộc, Long An, Việt Nam1119 ĐT.826C"/>
    <n v="1"/>
    <x v="1"/>
    <x v="12"/>
    <d v="1899-12-30T07:25:26"/>
    <x v="14"/>
  </r>
  <r>
    <s v="3565896277164257858"/>
    <s v=""/>
    <x v="13"/>
    <n v="2852976"/>
    <s v=""/>
    <s v="Motorcycle"/>
    <x v="1"/>
    <s v="2026-08-20 07:28:18"/>
    <s v="2026-08-20 07:38:17"/>
    <s v="2026-08-20 07:36:07"/>
    <s v="NULL"/>
    <s v="2026-08-20 07:40:10"/>
    <s v=""/>
    <s v="106.5343575"/>
    <s v="10.6390083"/>
    <s v="106.8589988"/>
    <s v="10.9274525"/>
    <n v="231768"/>
    <n v="190243"/>
    <n v="41525"/>
    <s v="Cash"/>
    <s v="Công Ty Tnhh Hitisa Vina, Đường tỉnh 835, Mỹ Yên, Tây Ninh, Việt NamCông Ty Tnhh Hitisa Vina"/>
    <s v="Công ty TNHH Korea Express-Packsimex, Duong So 4, KCN Biên Hòa 1, Trấn Biên, Đồng Nai, Việt NamCông ty TNHH Korea Express-Packsimex"/>
    <n v="1"/>
    <x v="1"/>
    <x v="12"/>
    <d v="1899-12-30T07:28:18"/>
    <x v="492"/>
  </r>
  <r>
    <s v="3565899298942186517"/>
    <s v=""/>
    <x v="13"/>
    <n v="4361679"/>
    <s v=""/>
    <s v="Motorcycle"/>
    <x v="2"/>
    <s v="2026-08-20 07:22:49"/>
    <s v="2026-08-20 07:32:47"/>
    <s v="2026-08-20 10:56:33"/>
    <s v="NULL"/>
    <s v=""/>
    <s v=""/>
    <s v="106.4991551"/>
    <s v="10.611863"/>
    <s v="106.8484686"/>
    <s v="11.0058459"/>
    <n v="290088"/>
    <n v="224885"/>
    <n v="65203"/>
    <s v="Cash"/>
    <s v="AsiaSteel KCN Thuận Đạo, Long Cang, Tây Ninh, Việt NamAsiaSteel KCN Thuận Đạo"/>
    <s v="Công Ty Chang Shin VN, Thạnh Phú, KCN, Tân Triều, Đồng Nai, Việt NamCông Ty Chang Shin VN"/>
    <n v="1"/>
    <x v="1"/>
    <x v="12"/>
    <d v="1899-12-30T07:22:49"/>
    <x v="14"/>
  </r>
  <r>
    <s v="3565899298958959376"/>
    <s v=""/>
    <x v="13"/>
    <n v="0"/>
    <s v=""/>
    <s v="NULL"/>
    <x v="0"/>
    <s v="2026-08-20 07:27:44"/>
    <s v="2026-08-20 07:37:42"/>
    <s v="NULL"/>
    <s v="NULL"/>
    <s v="2026-08-20 09:37:42"/>
    <s v=""/>
    <s v="106.510864"/>
    <s v="10.6190588"/>
    <s v="106.7509567"/>
    <s v="10.8856414"/>
    <n v="200988"/>
    <n v="0"/>
    <n v="200988"/>
    <s v="Cash"/>
    <s v="Công ty cổ phần Sơn và Chống thấm Việt Nhật, Đường Số 8, Khu công nghiệp Phúc Long, Mỹ Yên, Tây Ninh, Việt NamCông ty cổ phần Sơn và Chống thấm Việt Nhật"/>
    <s v="Công ty Bao Bì NgaiMee, Đường Số 6, Dĩ An, Hồ Chí Minh, Việt NamCông ty Bao Bì NgaiMee"/>
    <n v="1"/>
    <x v="1"/>
    <x v="12"/>
    <d v="1899-12-30T07:27:44"/>
    <x v="208"/>
  </r>
  <r>
    <s v="3565899926670111365"/>
    <s v=""/>
    <x v="13"/>
    <n v="0"/>
    <s v=""/>
    <s v="NULL"/>
    <x v="0"/>
    <s v="2026-08-20 07:21:37"/>
    <s v="2026-08-20 07:31:35"/>
    <s v="NULL"/>
    <s v="NULL"/>
    <s v="2026-08-20 09:31:35"/>
    <s v=""/>
    <s v="106.4973945"/>
    <s v="10.6090006"/>
    <s v="106.7195372"/>
    <s v="10.9373357"/>
    <n v="240516"/>
    <n v="0"/>
    <n v="240516"/>
    <s v="Cash"/>
    <s v="CÔNG TY TNHH KUZCO VIỆT NAM, Long Cang, Tây Ninh, Việt NamCÔNG TY TNHH KUZCO VIỆT NAM"/>
    <s v="Công Ty TNHH Fujikura Fiber Optics VN, Đường số 6, KCN Việt Nam-Singapore (VSIP1, Thuận Giao, Hồ Chí Minh, Việt NamCông Ty TNHH Fujikura Fiber Optics VN"/>
    <n v="1"/>
    <x v="1"/>
    <x v="12"/>
    <d v="1899-12-30T07:21:37"/>
    <x v="208"/>
  </r>
  <r>
    <s v="3565899926712045870"/>
    <s v=""/>
    <x v="13"/>
    <n v="0"/>
    <s v=""/>
    <s v="NULL"/>
    <x v="0"/>
    <s v="2026-08-20 07:31:33"/>
    <s v="2026-08-20 07:41:31"/>
    <s v="NULL"/>
    <s v="NULL"/>
    <s v="2026-08-20 09:41:31"/>
    <s v=""/>
    <s v="106.5139871"/>
    <s v="10.6277752"/>
    <s v="106.75941592806394"/>
    <s v="10.854559663664208"/>
    <n v="259632"/>
    <n v="0"/>
    <n v="259632"/>
    <s v="Cash"/>
    <s v="CÔNG TY TNHH ISHIKAWA KIKOU VIỆT NAM, Đường Số 13, KCN Phúc Long, Mỹ Yên, Tây Ninh, Việt NamCÔNG TY TNHH ISHIKAWA KIKOU VIỆT NAM"/>
    <s v="Chương Dương/6B Hẻm 56, Khu phố 1, Thủ Đức, Hồ Chí Minh, Việt NamChương Dương/6B Hẻm 56, Khu phố 1, Thủ Đức, Hồ Chí Minh, Việt Nam"/>
    <n v="1"/>
    <x v="1"/>
    <x v="12"/>
    <d v="1899-12-30T07:31:33"/>
    <x v="208"/>
  </r>
  <r>
    <s v="3565899980600467754"/>
    <s v=""/>
    <x v="13"/>
    <n v="0"/>
    <s v=""/>
    <s v="NULL"/>
    <x v="0"/>
    <s v="2026-08-20 07:19:19"/>
    <s v="2026-08-20 07:29:17"/>
    <s v="NULL"/>
    <s v="NULL"/>
    <s v="2026-08-20 09:29:17"/>
    <s v=""/>
    <s v="106.4922768"/>
    <s v="10.6041638"/>
    <s v="106.7533776"/>
    <s v="10.8495118"/>
    <n v="281016"/>
    <n v="0"/>
    <n v="281016"/>
    <s v="Cash"/>
    <s v="CÔNG TY TNHH SAN LEN C VIỆT NAM, Đường số 13, KCN Thuận Đạo mở rộng, Long Cang, Tây Ninh, Việt NamCÔNG TY TNHH SAN LEN C VIỆT NAM"/>
    <s v="CÔNG TY TNHH TM-DV THỦ ĐỨC, Dương Văn Cam, P, Linh Xuân, Hồ Chí Minh, Việt NamCÔNG TY TNHH TM-DV THỦ ĐỨC"/>
    <n v="1"/>
    <x v="1"/>
    <x v="12"/>
    <d v="1899-12-30T07:19:19"/>
    <x v="208"/>
  </r>
  <r>
    <s v="3565899980617240632"/>
    <s v=""/>
    <x v="13"/>
    <n v="0"/>
    <s v=""/>
    <s v="NULL"/>
    <x v="0"/>
    <s v="2026-08-20 07:24:06"/>
    <s v="2026-08-20 07:34:04"/>
    <s v="NULL"/>
    <s v="NULL"/>
    <s v="2026-08-20 09:34:04"/>
    <s v=""/>
    <s v="106.4943096"/>
    <s v="10.6126435"/>
    <s v="106.67448775551146"/>
    <s v="10.834278165980574"/>
    <n v="160812"/>
    <n v="0"/>
    <n v="160812"/>
    <s v="Cash"/>
    <s v="Công Ty TNHH MTV San-Ei VN (有限会社三栄ベトナム）, Long Cang, Tây Ninh, Việt NamCông Ty TNHH MTV San-Ei VN (有限会社三栄ベトナム）"/>
    <s v="189 Nguyễn Oanh, Gò Vấp, Hồ Chí Minh, Việt Nam189 Nguyễn Oanh, Gò Vấp, Hồ Chí Minh, Việt Nam"/>
    <n v="1"/>
    <x v="1"/>
    <x v="12"/>
    <d v="1899-12-30T07:24:06"/>
    <x v="208"/>
  </r>
  <r>
    <s v="3565899980634026032"/>
    <s v=""/>
    <x v="13"/>
    <n v="0"/>
    <s v=""/>
    <s v="NULL"/>
    <x v="0"/>
    <s v="2026-08-20 07:30:11"/>
    <s v="2026-08-20 07:40:09"/>
    <s v="NULL"/>
    <s v="NULL"/>
    <s v="2026-08-20 11:08:42"/>
    <s v=""/>
    <s v="106.511192"/>
    <s v="10.6227633"/>
    <s v="106.65756746971435"/>
    <s v="10.836030807857368"/>
    <n v="136620"/>
    <n v="0"/>
    <n v="136620"/>
    <s v="Cash"/>
    <s v="CÔNG TY TNHH KEUM WOO, Đ. Số 1, khu công nghiệp, Mỹ Yên, Tây Ninh, Việt NamCÔNG TY TNHH KEUM WOO"/>
    <s v="13/72A Quang Trung, Thông Tây Hội, Hồ Chí Minh, Việt Nam13/72A Quang Trung, Thông Tây Hội, Hồ Chí Minh, Việt Nam"/>
    <n v="1"/>
    <x v="1"/>
    <x v="12"/>
    <d v="1899-12-30T07:30:11"/>
    <x v="493"/>
  </r>
  <r>
    <s v="3565899980634026638"/>
    <s v=""/>
    <x v="13"/>
    <n v="4179701"/>
    <s v=""/>
    <s v="Motorcycle"/>
    <x v="2"/>
    <s v="2026-08-20 07:33:27"/>
    <s v="2026-08-20 07:43:25"/>
    <s v="2026-08-20 11:15:36"/>
    <s v="NULL"/>
    <s v=""/>
    <s v=""/>
    <s v="106.5138828"/>
    <s v="10.6294804"/>
    <s v="106.6579677"/>
    <s v="10.9748155"/>
    <n v="307692"/>
    <n v="252564"/>
    <n v="55128"/>
    <s v="Cash"/>
    <s v="Công Ty TNHH MAY MẶC IZ DIRECT VN, Đường Số 4 Phúc Long, KCN, Mỹ Yên, Tây Ninh, Việt NamCông Ty TNHH MAY MẶC IZ DIRECT VN"/>
    <s v="Công Ty Bảo Việt Bình Dương, Lý Thường Kiệt, phường, Thủ Dầu Một, Hồ Chí Minh, Việt NamCông Ty Bảo Việt Bình Dương"/>
    <n v="1"/>
    <x v="1"/>
    <x v="12"/>
    <d v="1899-12-30T07:33:27"/>
    <x v="14"/>
  </r>
  <r>
    <s v="3565901290305446767"/>
    <s v=""/>
    <x v="13"/>
    <n v="0"/>
    <s v=""/>
    <s v="NULL"/>
    <x v="0"/>
    <s v="2026-08-20 07:25:04"/>
    <s v="2026-08-20 07:35:03"/>
    <s v="NULL"/>
    <s v="NULL"/>
    <s v="2026-08-20 09:35:03"/>
    <s v=""/>
    <s v="106.4881433"/>
    <s v="10.6174177"/>
    <s v="106.59353335974124"/>
    <s v="10.791899959426729"/>
    <n v="158220"/>
    <n v="0"/>
    <n v="158220"/>
    <s v="Cash"/>
    <s v="Công ty CARGILL Long An, Bến Lức, Tây Ninh, Việt NamCông ty CARGILL Long An"/>
    <s v="52 Đường số 10, Bình Tân, Hồ Chí Minh, Việt Nam52 Đường số 10, Bình Tân, Hồ Chí Minh, Việt Nam"/>
    <n v="1"/>
    <x v="1"/>
    <x v="12"/>
    <d v="1899-12-30T07:25:04"/>
    <x v="9"/>
  </r>
  <r>
    <s v="3565901290339005188"/>
    <s v=""/>
    <x v="13"/>
    <n v="0"/>
    <s v=""/>
    <s v="NULL"/>
    <x v="0"/>
    <s v="2026-08-20 07:35:44"/>
    <s v="2026-08-20 07:45:42"/>
    <s v="NULL"/>
    <s v="NULL"/>
    <s v="2026-08-20 09:45:42"/>
    <s v=""/>
    <s v="106.5039447"/>
    <s v="10.6433253"/>
    <s v="106.64341605075684"/>
    <s v="10.889390236169508"/>
    <n v="209628"/>
    <n v="0"/>
    <n v="209628"/>
    <s v="Cash"/>
    <s v="Công Ty Cổ Phần Nosafood - Nhà máy Bến Lức, Đường VL7, KCN Vĩnh Lộc 2 X, Mỹ Yên, Tây Ninh, Việt NamCông Ty Cổ Phần Nosafood - Nhà máy Bến Lức"/>
    <s v="35/2 Tổ 57 Kp5, Tân Thới Hiệp, Hồ Chí Minh, Việt Nam35/2 Tổ 57 Kp5, Tân Thới Hiệp, Hồ Chí Minh, Việt Nam"/>
    <n v="1"/>
    <x v="1"/>
    <x v="12"/>
    <d v="1899-12-30T07:35:44"/>
    <x v="208"/>
  </r>
  <r>
    <s v="3565902069053477805"/>
    <s v=""/>
    <x v="12"/>
    <n v="0"/>
    <s v=""/>
    <s v="NULL"/>
    <x v="0"/>
    <s v="2026-08-20 07:26:31"/>
    <s v="2026-08-20 07:36:00"/>
    <s v="NULL"/>
    <s v="NULL"/>
    <s v="2026-08-20 09:36:00"/>
    <s v=""/>
    <s v="106.35977916419506"/>
    <s v="10.480722472115904"/>
    <s v="106.67854595929384"/>
    <s v="10.764185669754106"/>
    <n v="224100"/>
    <n v="0"/>
    <n v="224100"/>
    <s v="Cash"/>
    <s v="Tân Hương, Đồng Tháp, Việt NamCông Ty TNHH FREEVIEW INDUSTRIAL ( VN )"/>
    <s v="Hẻm 359 Trần Bình Trọng,72520Trực Tay Ga"/>
    <n v="1"/>
    <x v="1"/>
    <x v="12"/>
    <d v="1899-12-30T07:26:31"/>
    <x v="494"/>
  </r>
  <r>
    <s v="3565902069070262819"/>
    <s v=""/>
    <x v="13"/>
    <n v="0"/>
    <s v=""/>
    <s v="NULL"/>
    <x v="0"/>
    <s v="2026-08-20 07:29:54"/>
    <s v="2026-08-20 07:39:52"/>
    <s v="NULL"/>
    <s v="NULL"/>
    <s v="2026-08-20 09:39:52"/>
    <s v=""/>
    <s v="106.511192"/>
    <s v="10.6227633"/>
    <s v="106.64835290848998"/>
    <s v="10.883049488903305"/>
    <n v="212220"/>
    <n v="0"/>
    <n v="212220"/>
    <s v="Cash"/>
    <s v="CÔNG TY TNHH KEUM WOO, Đ. Số 1, khu công nghiệp, Mỹ Yên, Tây Ninh, Việt NamCÔNG TY TNHH KEUM WOO"/>
    <s v="453/20/3B Lê Văn Khương, Tân Thới Hiệp, Hồ Chí Minh, Việt Nam453/20/3B Lê Văn Khương, Tân Thới Hiệp, Hồ Chí Minh, Việt Nam"/>
    <n v="1"/>
    <x v="1"/>
    <x v="12"/>
    <d v="1899-12-30T07:29:54"/>
    <x v="208"/>
  </r>
  <r>
    <s v="3565902069095424453"/>
    <s v=""/>
    <x v="13"/>
    <n v="0"/>
    <s v=""/>
    <s v="NULL"/>
    <x v="0"/>
    <s v="2026-08-20 07:34:42"/>
    <s v="2026-08-20 07:44:40"/>
    <s v="NULL"/>
    <s v="NULL"/>
    <s v="2026-08-20 09:44:40"/>
    <s v=""/>
    <s v="106.507497"/>
    <s v="10.639072"/>
    <s v="106.9428916"/>
    <s v="10.8195426"/>
    <n v="272052"/>
    <n v="0"/>
    <n v="272052"/>
    <s v="Cash"/>
    <s v="GAHealth Việt Nam, Mỹ Yên, Long An, Việt NamGAHealth Việt Nam"/>
    <s v="Chi Nhánh Công ty TNHH TFV Industries tại Long Thành, Đ. Song Hành Quốc lộ 51, Bình An, Đồng Nai, Việt NamChi Nhánh Công ty TNHH TFV Industries tại Long Thành"/>
    <n v="1"/>
    <x v="1"/>
    <x v="12"/>
    <d v="1899-12-30T07:34:42"/>
    <x v="208"/>
  </r>
  <r>
    <s v="3565904712454852755"/>
    <s v=""/>
    <x v="13"/>
    <n v="0"/>
    <s v=""/>
    <s v="NULL"/>
    <x v="0"/>
    <s v="2026-08-20 07:26:00"/>
    <s v="2026-08-20 07:35:58"/>
    <s v="NULL"/>
    <s v="NULL"/>
    <s v="2026-08-20 09:35:58"/>
    <s v=""/>
    <s v="106.4879115"/>
    <s v="10.6193971"/>
    <s v="106.7434187"/>
    <s v="10.7934933"/>
    <n v="208548"/>
    <n v="0"/>
    <n v="208548"/>
    <s v="Cash"/>
    <s v="CÔNG TY TNHH RICHFIELD VN, Bến Lức, Tây Ninh, Việt NamCÔNG TY TNHH RICHFIELD VN"/>
    <s v="Công ty TNHH iWater (Quận 2), Đường Số 31D, Khu đô thị An Phú An Khánh, Bình Trưng, Hồ Chí Minh, Việt NamCông ty TNHH iWater (Quận 2)"/>
    <n v="1"/>
    <x v="1"/>
    <x v="12"/>
    <d v="1899-12-30T07:26:00"/>
    <x v="208"/>
  </r>
  <r>
    <s v="3565904712454853542"/>
    <s v=""/>
    <x v="13"/>
    <n v="0"/>
    <s v=""/>
    <s v="NULL"/>
    <x v="0"/>
    <s v="2026-08-20 07:30:47"/>
    <s v="2026-08-20 07:40:46"/>
    <s v="NULL"/>
    <s v="NULL"/>
    <s v="2026-08-20 09:40:46"/>
    <s v=""/>
    <s v="106.5123659"/>
    <s v="10.6252885"/>
    <s v="106.62887391664127"/>
    <s v="10.81216241397507"/>
    <n v="169452"/>
    <n v="0"/>
    <n v="169452"/>
    <s v="Cash"/>
    <s v="CÔNG TY TNHH QUỐC TẾ FANSKI, Đ. Số 1, khu công nghiệp Phúc Long, Mỹ Yên, Tây Ninh, Việt NamCÔNG TY TNHH QUỐC TẾ FANSKI"/>
    <s v="71 Chế Lan Viên, Tây Thạnh, Hồ Chí Minh, Việt Nam71 Chế Lan Viên, Tây Thạnh, Hồ Chí Minh, Việt Nam"/>
    <n v="1"/>
    <x v="1"/>
    <x v="12"/>
    <d v="1899-12-30T07:30:47"/>
    <x v="9"/>
  </r>
  <r>
    <s v="3565904712471638614"/>
    <s v=""/>
    <x v="13"/>
    <n v="0"/>
    <s v=""/>
    <s v="NULL"/>
    <x v="0"/>
    <s v="2026-08-20 07:34:31"/>
    <s v="2026-08-20 07:44:29"/>
    <s v="NULL"/>
    <s v="NULL"/>
    <s v="2026-08-20 09:44:29"/>
    <s v=""/>
    <s v="106.507497"/>
    <s v="10.639072"/>
    <s v="106.8589988"/>
    <s v="10.9274525"/>
    <n v="246564"/>
    <n v="0"/>
    <n v="246564"/>
    <s v="Cash"/>
    <s v="GAHealth Việt Nam, Mỹ Yên, Long An, Việt NamGAHealth Việt Nam"/>
    <s v="Công ty TNHH Korea Express-Packsimex, Duong So 4, KCN Biên Hòa 1, Trấn Biên, Đồng Nai, Việt NamCông ty TNHH Korea Express-Packsimex"/>
    <n v="1"/>
    <x v="1"/>
    <x v="12"/>
    <d v="1899-12-30T07:34:31"/>
    <x v="208"/>
  </r>
  <r>
    <s v="3565904712488411673"/>
    <s v=""/>
    <x v="13"/>
    <n v="0"/>
    <s v=""/>
    <s v="NULL"/>
    <x v="0"/>
    <s v="2026-08-20 07:39:28"/>
    <s v="2026-08-20 07:49:26"/>
    <s v="NULL"/>
    <s v="NULL"/>
    <s v="2026-08-20 12:02:25"/>
    <s v=""/>
    <s v="106.5083845"/>
    <s v="10.6428394"/>
    <s v="106.7877331"/>
    <s v="10.8233057"/>
    <n v="261900"/>
    <n v="0"/>
    <n v="261900"/>
    <s v="Cash"/>
    <s v="CÔNG TY TNHH BIBICA MIỀN TÂY, 9 VL3, KCN Vĩnh Lộc 2, Mỹ Yên, Tây Ninh, Việt NamCÔNG TY TNHH BIBICA MIỀN TÂY"/>
    <s v="CÔNG TY TNHH SAMIL PHARMACEUTICAL, Đường D15, Tăng Nhơn Phú, Hồ Chí Minh, Việt NamCÔNG TY TNHH SAMIL PHARMACEUTICAL"/>
    <n v="1"/>
    <x v="1"/>
    <x v="12"/>
    <d v="1899-12-30T07:39:28"/>
    <x v="495"/>
  </r>
  <r>
    <s v="3565904712488412025"/>
    <s v=""/>
    <x v="13"/>
    <n v="3275435"/>
    <s v=""/>
    <s v="Motorcycle"/>
    <x v="2"/>
    <s v="2026-08-20 07:41:10"/>
    <s v="2026-08-20 07:51:08"/>
    <s v="2026-08-20 09:59:41"/>
    <s v="NULL"/>
    <s v=""/>
    <s v=""/>
    <s v="106.5662616"/>
    <s v="10.6461536"/>
    <s v="106.7195372"/>
    <s v="10.9373357"/>
    <n v="260604"/>
    <n v="202028"/>
    <n v="58576"/>
    <s v="Cash"/>
    <s v="Công ty TNHH Vy Kỳ, Đ. Sân Banh, Phước Lý, Tây Ninh, Việt NamCông ty TNHH Vy Kỳ"/>
    <s v="Công Ty TNHH Fujikura Fiber Optics VN, Đường số 6, KCN Việt Nam-Singapore (VSIP1, Thuận Giao, Hồ Chí Minh, Việt NamCông Ty TNHH Fujikura Fiber Optics VN"/>
    <n v="1"/>
    <x v="1"/>
    <x v="12"/>
    <d v="1899-12-30T07:41:10"/>
    <x v="14"/>
  </r>
  <r>
    <s v="3565906986354827784"/>
    <s v=""/>
    <x v="13"/>
    <n v="0"/>
    <s v=""/>
    <s v="NULL"/>
    <x v="0"/>
    <s v="2026-08-20 07:32:17"/>
    <s v="2026-08-20 07:42:15"/>
    <s v="NULL"/>
    <s v="NULL"/>
    <s v="2026-08-20 09:42:15"/>
    <s v=""/>
    <s v="106.5138326"/>
    <s v="10.6292451"/>
    <s v="106.7434187"/>
    <s v="10.7934933"/>
    <n v="203472"/>
    <n v="0"/>
    <n v="203472"/>
    <s v="Cash"/>
    <s v="Công Ty TNHH MTV Cellutane Việt Nam, Đường Số 4 Phúc Long, KCN, Mỹ Yên, Tây Ninh, Việt NamCông Ty TNHH MTV Cellutane Việt Nam"/>
    <s v="Công ty TNHH iWater (Quận 2), Đường Số 31D, Khu đô thị An Phú An Khánh, Bình Trưng, Hồ Chí Minh, Việt NamCông ty TNHH iWater (Quận 2)"/>
    <n v="1"/>
    <x v="1"/>
    <x v="12"/>
    <d v="1899-12-30T07:32:17"/>
    <x v="208"/>
  </r>
  <r>
    <s v="3565906986354828162"/>
    <s v=""/>
    <x v="13"/>
    <n v="0"/>
    <s v=""/>
    <s v="NULL"/>
    <x v="0"/>
    <s v="2026-08-20 07:34:17"/>
    <s v="2026-08-20 07:44:16"/>
    <s v="NULL"/>
    <s v="NULL"/>
    <s v="2026-08-21 10:36:12"/>
    <s v=""/>
    <s v="106.507497"/>
    <s v="10.639072"/>
    <s v="106.7509567"/>
    <s v="10.8856414"/>
    <n v="262980"/>
    <n v="0"/>
    <n v="262980"/>
    <s v="Cash"/>
    <s v="GAHealth Việt Nam, Mỹ Yên, Long An, Việt NamGAHealth Việt Nam"/>
    <s v="Công ty Bao Bì NgaiMee, Đường Số 6, Dĩ An, Hồ Chí Minh, Việt NamCông ty Bao Bì NgaiMee"/>
    <n v="1"/>
    <x v="1"/>
    <x v="12"/>
    <d v="1899-12-30T07:34:17"/>
    <x v="496"/>
  </r>
  <r>
    <s v="3565906986388386387"/>
    <s v=""/>
    <x v="13"/>
    <n v="2852976"/>
    <s v=""/>
    <s v="Motorcycle"/>
    <x v="1"/>
    <s v="2026-08-20 07:42:34"/>
    <s v="2026-08-20 07:52:32"/>
    <s v="2026-08-20 08:04:30"/>
    <s v="NULL"/>
    <s v="2026-08-20 08:07:38"/>
    <s v=""/>
    <s v="106.5672462"/>
    <s v="10.6412792"/>
    <s v="106.5869224"/>
    <s v="10.9136714"/>
    <n v="250884"/>
    <n v="205934"/>
    <n v="44950"/>
    <s v="Cash"/>
    <s v="Công Ty TNHH Triệu Tín, 35B, Ấp, Phước Lý, Tây Ninh, Việt NamCông Ty TNHH Triệu Tín"/>
    <s v="6/2E Đường Huỳnh Thị Mài, Hóc Môn, Hồ Chí Minh, Việt Nam6/2E Đường Huỳnh Thị Mài, Hóc Môn, Hồ Chí Minh, Việt Nam"/>
    <n v="1"/>
    <x v="1"/>
    <x v="12"/>
    <d v="1899-12-30T07:42:34"/>
    <x v="497"/>
  </r>
  <r>
    <s v="3565907640624309082"/>
    <s v=""/>
    <x v="13"/>
    <n v="0"/>
    <s v=""/>
    <s v="NULL"/>
    <x v="0"/>
    <s v="2026-08-20 07:35:07"/>
    <s v="2026-08-20 07:45:06"/>
    <s v="NULL"/>
    <s v="NULL"/>
    <s v="2026-08-20 10:59:02"/>
    <s v=""/>
    <s v="106.5039447"/>
    <s v="10.6433253"/>
    <s v="106.8484686"/>
    <s v="11.0058459"/>
    <n v="287280"/>
    <n v="0"/>
    <n v="287280"/>
    <s v="Cash"/>
    <s v="Công Ty Cổ Phần Nosafood - Nhà máy Bến Lức, Đường VL7, KCN Vĩnh Lộc 2 X, Mỹ Yên, Tây Ninh, Việt NamCông Ty Cổ Phần Nosafood - Nhà máy Bến Lức"/>
    <s v="Công Ty Chang Shin VN, Thạnh Phú, KCN, Tân Triều, Đồng Nai, Việt NamCông Ty Chang Shin VN"/>
    <n v="1"/>
    <x v="1"/>
    <x v="12"/>
    <d v="1899-12-30T07:35:07"/>
    <x v="498"/>
  </r>
  <r>
    <s v="3565907640657867275"/>
    <s v=""/>
    <x v="13"/>
    <n v="0"/>
    <s v=""/>
    <s v="NULL"/>
    <x v="0"/>
    <s v="2026-08-20 07:43:44"/>
    <s v="2026-08-20 07:53:42"/>
    <s v="NULL"/>
    <s v="NULL"/>
    <s v="2026-08-20 09:53:42"/>
    <s v=""/>
    <s v="106.55402827397461"/>
    <s v="10.644653366161537"/>
    <s v="106.6989609"/>
    <s v="10.7469416"/>
    <n v="173124"/>
    <n v="0"/>
    <n v="173124"/>
    <s v="Cash"/>
    <s v="JHV3+QCP, Phước Lý, Tây Ninh, Việt NamJHV3+QCP, Phước Lý, Tây Ninh, Việt Nam"/>
    <s v="Quận 4 TP HCM, Tân Hưng, Hồ Chí Minh, Việt NamQuận 4 TP HCM"/>
    <n v="1"/>
    <x v="1"/>
    <x v="12"/>
    <d v="1899-12-30T07:43:44"/>
    <x v="208"/>
  </r>
  <r>
    <s v="3565907640657867342"/>
    <s v=""/>
    <x v="13"/>
    <n v="4724857"/>
    <s v=""/>
    <s v="Motorcycle"/>
    <x v="2"/>
    <s v="2026-08-20 07:44:01"/>
    <s v="2026-08-20 07:53:59"/>
    <s v="2026-08-20 10:16:13"/>
    <s v="NULL"/>
    <s v=""/>
    <s v=""/>
    <s v="106.55402827397461"/>
    <s v="10.644653366161537"/>
    <s v="106.6746036"/>
    <s v="10.7504578"/>
    <n v="124740"/>
    <n v="96702"/>
    <n v="28038"/>
    <s v="Cash"/>
    <s v="JHV3+QCP, Phước Lý, Tây Ninh, Việt NamJHV3+QCP, Phước Lý, Tây Ninh, Việt Nam"/>
    <s v="Quận 5, Trần Tuấn Khải, An Đông, Hồ Chí Minh, Việt NamQuận 5"/>
    <n v="1"/>
    <x v="1"/>
    <x v="12"/>
    <d v="1899-12-30T07:44:01"/>
    <x v="14"/>
  </r>
  <r>
    <s v="3565909705362727648"/>
    <s v=""/>
    <x v="13"/>
    <n v="2716957"/>
    <s v=""/>
    <s v="Motorcycle"/>
    <x v="2"/>
    <s v="2026-08-20 07:42:47"/>
    <s v="2026-08-20 07:52:46"/>
    <s v="2026-08-20 11:20:49"/>
    <s v="NULL"/>
    <s v=""/>
    <s v=""/>
    <s v="106.5672462"/>
    <s v="10.6412792"/>
    <s v="106.6432542"/>
    <s v="10.8895813"/>
    <n v="187812"/>
    <n v="145598"/>
    <n v="42214"/>
    <s v="Cash"/>
    <s v="Công Ty TNHH Triệu Tín, 35B, Ấp, Phước Lý, Tây Ninh, Việt NamCông Ty TNHH Triệu Tín"/>
    <s v="35/2 Tổ 57 Kp5, Tân Thới Hiệp, Hồ Chí Minh, Việt Nam35/2 Tổ 57 Kp5, Tân Thới Hiệp, Hồ Chí Minh, Việt Nam"/>
    <n v="1"/>
    <x v="1"/>
    <x v="12"/>
    <d v="1899-12-30T07:42:47"/>
    <x v="14"/>
  </r>
  <r>
    <s v="3565909705362727763"/>
    <s v=""/>
    <x v="13"/>
    <n v="3695521"/>
    <s v=""/>
    <s v="Motorcycle"/>
    <x v="2"/>
    <s v="2026-08-20 07:43:14"/>
    <s v="2026-08-20 07:53:12"/>
    <s v="2026-08-20 10:09:18"/>
    <s v="NULL"/>
    <s v=""/>
    <s v=""/>
    <s v="106.55402827397461"/>
    <s v="10.644653366161537"/>
    <s v="106.690788"/>
    <s v="10.793931"/>
    <n v="191268"/>
    <n v="148277"/>
    <n v="42991"/>
    <s v="Cash"/>
    <s v="JHV3+QCP, Phước Lý, Tây Ninh, Việt NamJHV3+QCP, Phước Lý, Tây Ninh, Việt Nam"/>
    <s v="Quận 1, Đường Trần Khắc Chân, Tân Định, Hồ Chí Minh, Việt NamQuận 1"/>
    <n v="1"/>
    <x v="1"/>
    <x v="12"/>
    <d v="1899-12-30T07:43:14"/>
    <x v="14"/>
  </r>
  <r>
    <s v="3565909705379500290"/>
    <s v=""/>
    <x v="13"/>
    <n v="0"/>
    <s v=""/>
    <s v="NULL"/>
    <x v="0"/>
    <s v="2026-08-20 07:47:24"/>
    <s v="2026-08-20 07:57:23"/>
    <s v="NULL"/>
    <s v="NULL"/>
    <s v="2026-08-20 09:57:23"/>
    <s v=""/>
    <s v="106.4954532"/>
    <s v="10.6028295"/>
    <s v="106.6746036"/>
    <s v="10.7504578"/>
    <n v="229824"/>
    <n v="0"/>
    <n v="229824"/>
    <s v="Cash"/>
    <s v="Petfood Evolution Co., Ltd, đường số 1, khu công nghiệp Thuận Đạo Mở Rộng, Long Cang, Tây Ninh, Việt NamPetfood Evolution Co., Ltd"/>
    <s v="Quận 5, Trần Tuấn Khải, An Đông, Hồ Chí Minh, Việt NamQuận 5"/>
    <n v="1"/>
    <x v="1"/>
    <x v="12"/>
    <d v="1899-12-30T07:47:24"/>
    <x v="9"/>
  </r>
  <r>
    <s v="3565909787579478388"/>
    <s v=""/>
    <x v="13"/>
    <n v="4808007"/>
    <s v=""/>
    <s v="Motorcycle"/>
    <x v="2"/>
    <s v="2026-08-20 07:41:36"/>
    <s v="2026-08-20 07:51:34"/>
    <s v="2026-08-20 08:49:12"/>
    <s v="NULL"/>
    <s v=""/>
    <s v=""/>
    <s v="106.5662616"/>
    <s v="10.6461536"/>
    <s v="106.8589988"/>
    <s v="10.9274525"/>
    <n v="271404"/>
    <n v="210401"/>
    <n v="61003"/>
    <s v="Cash"/>
    <s v="Công ty TNHH Vy Kỳ, Đ. Sân Banh, Phước Lý, Tây Ninh, Việt NamCông ty TNHH Vy Kỳ"/>
    <s v="Công ty TNHH Korea Express-Packsimex, Duong So 4, KCN Biên Hòa 1, Trấn Biên, Đồng Nai, Việt NamCông ty TNHH Korea Express-Packsimex"/>
    <n v="1"/>
    <x v="1"/>
    <x v="12"/>
    <d v="1899-12-30T07:41:36"/>
    <x v="14"/>
  </r>
  <r>
    <s v="3565909787596251789"/>
    <s v=""/>
    <x v="13"/>
    <n v="0"/>
    <s v=""/>
    <s v="NULL"/>
    <x v="0"/>
    <s v="2026-08-20 07:47:11"/>
    <s v="2026-08-20 07:57:09"/>
    <s v="NULL"/>
    <s v="NULL"/>
    <s v="2026-08-20 09:57:09"/>
    <s v=""/>
    <s v="106.4954532"/>
    <s v="10.6028295"/>
    <s v="106.6408802"/>
    <s v="10.7471372"/>
    <n v="165348"/>
    <n v="0"/>
    <n v="165348"/>
    <s v="Cash"/>
    <s v="Petfood Evolution Co., Ltd, đường số 1, khu công nghiệp Thuận Đạo Mở Rộng, Long Cang, Tây Ninh, Việt NamPetfood Evolution Co., Ltd"/>
    <s v="Quận 6, Đường Phan Văn Khỏe, Bình Tây, Hồ Chí Minh, Việt NamQuận 6"/>
    <n v="1"/>
    <x v="1"/>
    <x v="12"/>
    <d v="1899-12-30T07:47:11"/>
    <x v="208"/>
  </r>
  <r>
    <s v="3565910214811284386"/>
    <s v=""/>
    <x v="13"/>
    <n v="0"/>
    <s v=""/>
    <s v="NULL"/>
    <x v="0"/>
    <s v="2026-08-20 07:39:57"/>
    <s v="2026-08-20 07:49:55"/>
    <s v="NULL"/>
    <s v="NULL"/>
    <s v="2026-08-20 10:41:16"/>
    <s v=""/>
    <s v="106.5171232"/>
    <s v="10.6425146"/>
    <s v="106.7434187"/>
    <s v="10.7934933"/>
    <n v="192132"/>
    <n v="0"/>
    <n v="192132"/>
    <s v="Cash"/>
    <s v="CÔNG TY CỔ PHẦN TẬP ĐOÀN KIM ĐỨC, Đường VL1, KCN Vĩnh, Mỹ Yên, Tây Ninh, Việt NamCÔNG TY CỔ PHẦN TẬP ĐOÀN KIM ĐỨC"/>
    <s v="Công ty TNHH iWater (Quận 2), Đường Số 31D, Khu đô thị An Phú An Khánh, Bình Trưng, Hồ Chí Minh, Việt NamCông ty TNHH iWater (Quận 2)"/>
    <n v="1"/>
    <x v="1"/>
    <x v="12"/>
    <d v="1899-12-30T07:39:57"/>
    <x v="499"/>
  </r>
  <r>
    <s v="3565910214836445621"/>
    <s v=""/>
    <x v="13"/>
    <n v="2852976"/>
    <s v=""/>
    <s v="Motorcycle"/>
    <x v="1"/>
    <s v="2026-08-20 07:42:20"/>
    <s v="2026-08-20 07:52:18"/>
    <s v="2026-08-20 08:08:54"/>
    <s v="NULL"/>
    <s v="2026-08-20 08:15:15"/>
    <s v=""/>
    <s v="106.5672462"/>
    <s v="10.6412792"/>
    <s v="106.8484686"/>
    <s v="11.0058459"/>
    <n v="301320"/>
    <n v="247333"/>
    <n v="53987"/>
    <s v="Cash"/>
    <s v="Công Ty TNHH Triệu Tín, 35B, Ấp, Phước Lý, Tây Ninh, Việt NamCông Ty TNHH Triệu Tín"/>
    <s v="Công Ty Chang Shin VN, Thạnh Phú, KCN, Tân Triều, Đồng Nai, Việt NamCông Ty Chang Shin VN"/>
    <n v="1"/>
    <x v="1"/>
    <x v="12"/>
    <d v="1899-12-30T07:42:20"/>
    <x v="500"/>
  </r>
  <r>
    <s v="3565910214853219190"/>
    <s v=""/>
    <x v="13"/>
    <n v="0"/>
    <s v=""/>
    <s v="NULL"/>
    <x v="0"/>
    <s v="2026-08-20 07:48:51"/>
    <s v="2026-08-20 07:58:50"/>
    <s v="NULL"/>
    <s v="NULL"/>
    <s v="2026-08-20 10:27:17"/>
    <s v=""/>
    <s v="106.5142456"/>
    <s v="10.6372476"/>
    <s v="106.690788"/>
    <s v="10.793931"/>
    <n v="177012"/>
    <n v="0"/>
    <n v="177012"/>
    <s v="Cash"/>
    <s v="Kho công ty TNHH Daiichi Sankyo Việt Nam, Đường VL1 khu công nghiệp, vĩnh lộc 2, Mỹ Yên, Tây Ninh, Việt NamKho công ty TNHH Daiichi Sankyo Việt Nam"/>
    <s v="Quận 1, Đường Trần Khắc Chân, Tân Định, Hồ Chí Minh, Việt NamQuận 1"/>
    <n v="1"/>
    <x v="1"/>
    <x v="12"/>
    <d v="1899-12-30T07:48:51"/>
    <x v="501"/>
  </r>
  <r>
    <s v="3565910259480621375"/>
    <s v=""/>
    <x v="13"/>
    <n v="0"/>
    <s v=""/>
    <s v="NULL"/>
    <x v="0"/>
    <s v="2026-08-20 07:46:14"/>
    <s v="2026-08-20 07:56:13"/>
    <s v="NULL"/>
    <s v="NULL"/>
    <s v="2026-08-20 09:56:13"/>
    <s v=""/>
    <s v="106.4954532"/>
    <s v="10.6028295"/>
    <s v="106.6393828"/>
    <s v="10.7697352"/>
    <n v="170856"/>
    <n v="0"/>
    <n v="170856"/>
    <s v="Cash"/>
    <s v="Petfood Evolution Co., Ltd, đường số 1, khu công nghiệp Thuận Đạo Mở Rộng, Long Cang, Tây Ninh, Việt NamPetfood Evolution Co., Ltd"/>
    <s v="Quận 11, Đường Hòa Bình, Hòa Bình, Hồ Chí Minh, Việt NamQuận 11"/>
    <n v="1"/>
    <x v="1"/>
    <x v="12"/>
    <d v="1899-12-30T07:46:14"/>
    <x v="9"/>
  </r>
  <r>
    <s v="3565910259480621529"/>
    <s v=""/>
    <x v="13"/>
    <n v="0"/>
    <s v=""/>
    <s v="NULL"/>
    <x v="0"/>
    <s v="2026-08-20 07:46:58"/>
    <s v="2026-08-20 07:56:56"/>
    <s v="NULL"/>
    <s v="NULL"/>
    <s v="2026-08-20 09:56:56"/>
    <s v=""/>
    <s v="106.4954532"/>
    <s v="10.6028295"/>
    <s v="106.7076858"/>
    <s v="10.7295817"/>
    <n v="188028"/>
    <n v="0"/>
    <n v="188028"/>
    <s v="Cash"/>
    <s v="Petfood Evolution Co., Ltd, đường số 1, khu công nghiệp Thuận Đạo Mở Rộng, Long Cang, Tây Ninh, Việt NamPetfood Evolution Co., Ltd"/>
    <s v="quận 7, Hưng Phước 4, Khu đô thị Phú Mỹ Hưng, Tân Hưng, Hồ Chí Minh, Việt Namquận 7"/>
    <n v="1"/>
    <x v="1"/>
    <x v="12"/>
    <d v="1899-12-30T07:46:58"/>
    <x v="208"/>
  </r>
  <r>
    <s v="3565911328105386554"/>
    <s v=""/>
    <x v="13"/>
    <n v="0"/>
    <s v=""/>
    <s v="NULL"/>
    <x v="0"/>
    <s v="2026-08-20 07:44:38"/>
    <s v="2026-08-20 07:54:36"/>
    <s v="NULL"/>
    <s v="NULL"/>
    <s v="2026-08-20 09:54:36"/>
    <s v=""/>
    <s v="106.56415629521484"/>
    <s v="10.646509141632096"/>
    <s v="106.7076858"/>
    <s v="10.7295817"/>
    <n v="164700"/>
    <n v="0"/>
    <n v="164700"/>
    <s v="Cash"/>
    <s v="JHW8+92, Phước Lý, Tây Ninh, Việt NamJHW8+92, Phước Lý, Tây Ninh, Việt Nam"/>
    <s v="quận 7, Hưng Phước 4, Khu đô thị Phú Mỹ Hưng, Tân Hưng, Hồ Chí Minh, Việt Namquận 7"/>
    <n v="1"/>
    <x v="1"/>
    <x v="12"/>
    <d v="1899-12-30T07:44:38"/>
    <x v="208"/>
  </r>
  <r>
    <s v="3565911328105386717"/>
    <s v=""/>
    <x v="13"/>
    <n v="0"/>
    <s v=""/>
    <s v="NULL"/>
    <x v="0"/>
    <s v="2026-08-20 07:45:24"/>
    <s v="2026-08-20 07:55:23"/>
    <s v="NULL"/>
    <s v="NULL"/>
    <s v="2026-08-20 09:55:23"/>
    <s v=""/>
    <s v="106.56415629521484"/>
    <s v="10.646509141632096"/>
    <s v="106.6393828"/>
    <s v="10.7697352"/>
    <n v="148176"/>
    <n v="0"/>
    <n v="148176"/>
    <s v="Cash"/>
    <s v="JHW8+92, Phước Lý, Tây Ninh, Việt NamJHW8+92, Phước Lý, Tây Ninh, Việt Nam"/>
    <s v="Quận 11, Đường Hòa Bình, Hòa Bình, Hồ Chí Minh, Việt NamQuận 11"/>
    <n v="1"/>
    <x v="1"/>
    <x v="12"/>
    <d v="1899-12-30T07:45:24"/>
    <x v="9"/>
  </r>
  <r>
    <s v="3565911764338168261"/>
    <s v=""/>
    <x v="13"/>
    <n v="2852976"/>
    <s v=""/>
    <s v="Motorcycle"/>
    <x v="1"/>
    <s v="2026-08-20 07:40:11"/>
    <s v="2026-08-20 07:50:09"/>
    <s v="2026-08-20 07:45:24"/>
    <s v="NULL"/>
    <s v="2026-08-20 07:47:12"/>
    <s v=""/>
    <s v="106.5171232"/>
    <s v="10.6425146"/>
    <s v="106.7386068"/>
    <s v="10.7965274"/>
    <n v="248292"/>
    <n v="203806"/>
    <n v="44486"/>
    <s v="Cash"/>
    <s v="CÔNG TY CỔ PHẦN TẬP ĐOÀN KIM ĐỨC, Đường VL1, KCN Vĩnh, Mỹ Yên, Tây Ninh, Việt NamCÔNG TY CỔ PHẦN TẬP ĐOÀN KIM ĐỨC"/>
    <s v="92-94 Nguyễn Quý Đức, Khu đô thị An Phú An Khánh, Bình Trưng, Hồ Chí Minh, Việt Nam92-94 Nguyễn Quý Đức, Khu đô thị An Phú An Khánh, Bình Trưng, Hồ Chí Minh, Việt Nam"/>
    <n v="1"/>
    <x v="1"/>
    <x v="12"/>
    <d v="1899-12-30T07:40:11"/>
    <x v="502"/>
  </r>
  <r>
    <s v="3565915417887330516"/>
    <s v=""/>
    <x v="13"/>
    <n v="0"/>
    <s v=""/>
    <s v="NULL"/>
    <x v="0"/>
    <s v="2026-08-20 07:49:57"/>
    <s v="2026-08-20 07:59:56"/>
    <s v="NULL"/>
    <s v="NULL"/>
    <s v="2026-08-20 11:39:22"/>
    <s v=""/>
    <s v="106.5142456"/>
    <s v="10.6372476"/>
    <s v="106.7076858"/>
    <s v="10.7295817"/>
    <n v="194616"/>
    <n v="0"/>
    <n v="194616"/>
    <s v="Cash"/>
    <s v="Kho công ty TNHH Daiichi Sankyo Việt Nam, Đường VL1 khu công nghiệp, vĩnh lộc 2, Mỹ Yên, Tây Ninh, Việt NamKho công ty TNHH Daiichi Sankyo Việt Nam"/>
    <s v="quận 7, Hưng Phước 4, Khu đô thị Phú Mỹ Hưng, Tân Hưng, Hồ Chí Minh, Việt Namquận 7"/>
    <n v="1"/>
    <x v="1"/>
    <x v="12"/>
    <d v="1899-12-30T07:49:57"/>
    <x v="503"/>
  </r>
  <r>
    <s v="3565916099344294099"/>
    <s v=""/>
    <x v="13"/>
    <n v="0"/>
    <s v=""/>
    <s v="NULL"/>
    <x v="0"/>
    <s v="2026-08-20 07:46:28"/>
    <s v="2026-08-20 07:56:26"/>
    <s v="NULL"/>
    <s v="NULL"/>
    <s v="2026-08-20 09:56:26"/>
    <s v=""/>
    <s v="106.4954532"/>
    <s v="10.6028295"/>
    <s v="106.6727587"/>
    <s v="10.7604736"/>
    <n v="185760"/>
    <n v="0"/>
    <n v="185760"/>
    <s v="Cash"/>
    <s v="Petfood Evolution Co., Ltd, đường số 1, khu công nghiệp Thuận Đạo Mở Rộng, Long Cang, Tây Ninh, Việt NamPetfood Evolution Co., Ltd"/>
    <s v="Quận 10, Đường Nguyễn Chí Thanh, An Đông, Hồ Chí Minh, Việt NamQuận 10"/>
    <n v="1"/>
    <x v="1"/>
    <x v="12"/>
    <d v="1899-12-30T07:46:28"/>
    <x v="208"/>
  </r>
  <r>
    <s v="3565916099344294208"/>
    <s v=""/>
    <x v="13"/>
    <n v="0"/>
    <s v=""/>
    <s v="NULL"/>
    <x v="0"/>
    <s v="2026-08-20 07:46:44"/>
    <s v="2026-08-20 07:56:43"/>
    <s v="NULL"/>
    <s v="NULL"/>
    <s v="2026-08-20 09:56:43"/>
    <s v=""/>
    <s v="106.4954532"/>
    <s v="10.6028295"/>
    <s v="106.6536587"/>
    <s v="10.7295791"/>
    <n v="158760"/>
    <n v="0"/>
    <n v="158760"/>
    <s v="Cash"/>
    <s v="Petfood Evolution Co., Ltd, đường số 1, khu công nghiệp Thuận Đạo Mở Rộng, Long Cang, Tây Ninh, Việt NamPetfood Evolution Co., Ltd"/>
    <s v="Quận 8, Đường Số 18, Ấp 2, Bình Hưng, Hồ Chí Minh, Việt NamQuận 8"/>
    <n v="1"/>
    <x v="1"/>
    <x v="12"/>
    <d v="1899-12-30T07:46:44"/>
    <x v="9"/>
  </r>
  <r>
    <s v="3565917738964840588"/>
    <s v=""/>
    <x v="13"/>
    <n v="0"/>
    <s v=""/>
    <s v="NULL"/>
    <x v="0"/>
    <s v="2026-08-20 07:49:06"/>
    <s v="2026-08-20 07:59:04"/>
    <s v="NULL"/>
    <s v="NULL"/>
    <s v="2026-08-20 09:59:04"/>
    <s v=""/>
    <s v="106.5142456"/>
    <s v="10.6372476"/>
    <s v="106.6650848"/>
    <s v="10.7895815"/>
    <n v="164268"/>
    <n v="0"/>
    <n v="164268"/>
    <s v="Cash"/>
    <s v="Kho công ty TNHH Daiichi Sankyo Việt Nam, Đường VL1 khu công nghiệp, vĩnh lộc 2, Mỹ Yên, Tây Ninh, Việt NamKho công ty TNHH Daiichi Sankyo Việt Nam"/>
    <s v="Quận 3, Cách Mạng Tháng Tám, Nhiêu Lộc, Hồ Chí Minh, Việt NamQuận 3"/>
    <n v="1"/>
    <x v="1"/>
    <x v="12"/>
    <d v="1899-12-30T07:49:06"/>
    <x v="208"/>
  </r>
  <r>
    <s v="3565918256164462669"/>
    <s v=""/>
    <x v="13"/>
    <n v="1046579"/>
    <s v=""/>
    <s v="Motorcycle"/>
    <x v="2"/>
    <s v="2026-08-20 07:49:45"/>
    <s v="2026-08-20 07:59:43"/>
    <s v="2026-08-20 09:04:40"/>
    <s v="NULL"/>
    <s v=""/>
    <s v=""/>
    <s v="106.5142456"/>
    <s v="10.6372476"/>
    <s v="106.6408802"/>
    <s v="10.7471372"/>
    <n v="150444"/>
    <n v="116629"/>
    <n v="33815"/>
    <s v="Cash"/>
    <s v="Kho công ty TNHH Daiichi Sankyo Việt Nam, Đường VL1 khu công nghiệp, vĩnh lộc 2, Mỹ Yên, Tây Ninh, Việt NamKho công ty TNHH Daiichi Sankyo Việt Nam"/>
    <s v="Quận 6, Đường Phan Văn Khỏe, Bình Tây, Hồ Chí Minh, Việt NamQuận 6"/>
    <n v="1"/>
    <x v="1"/>
    <x v="12"/>
    <d v="1899-12-30T07:49:45"/>
    <x v="14"/>
  </r>
  <r>
    <s v="3566611398974984502"/>
    <s v=""/>
    <x v="14"/>
    <n v="3746341"/>
    <s v=""/>
    <s v="Motorcycle"/>
    <x v="1"/>
    <s v="2026-08-21 07:17:23"/>
    <s v="2026-08-21 07:27:22"/>
    <s v="2026-08-21 07:21:01"/>
    <s v="2026-08-21 07:21:16"/>
    <s v="2026-08-21 07:24:57"/>
    <s v=""/>
    <s v="106.4924797"/>
    <s v="10.6034783"/>
    <s v="106.7666109"/>
    <s v="11.073035"/>
    <n v="301644"/>
    <n v="247599"/>
    <n v="54045"/>
    <s v="Cash"/>
    <s v="OMV Company Limited, Long Cang, Tây Ninh, Việt NamOMV Company Limited"/>
    <s v="POONG IN VINA CO., LTD., Khu Phố 8, Tân Uyên, Hồ Chí Minh, Việt NamPOONG IN VINA CO., LTD."/>
    <n v="1"/>
    <x v="1"/>
    <x v="13"/>
    <d v="1899-12-30T07:17:23"/>
    <x v="504"/>
  </r>
  <r>
    <s v="3566611398974984952"/>
    <s v=""/>
    <x v="14"/>
    <n v="0"/>
    <s v=""/>
    <s v="NULL"/>
    <x v="0"/>
    <s v="2026-08-21 07:20:28"/>
    <s v="2026-08-21 07:30:27"/>
    <s v="NULL"/>
    <s v="NULL"/>
    <s v="2026-08-21 09:30:27"/>
    <s v=""/>
    <s v="106.4983642"/>
    <s v="10.6043798"/>
    <s v="106.7572747"/>
    <s v="10.8246347"/>
    <n v="270216"/>
    <n v="0"/>
    <n v="270216"/>
    <s v="Cash"/>
    <s v="CÔNG TY TNHH QUỐC TẾ RYTHERN (VIỆT NAM), đường số 14, Long Cang, Tây Ninh, Việt NamCÔNG TY TNHH QUỐC TẾ RYTHERN (VIỆT NAM)"/>
    <s v="CÔNG TY TNHH JM (JMGROUP), Đường Nguyễn Văn Bá, Thủ Đức, Hồ Chí Minh, Việt NamCÔNG TY TNHH JM (JMGROUP)"/>
    <n v="1"/>
    <x v="1"/>
    <x v="13"/>
    <d v="1899-12-30T07:20:28"/>
    <x v="9"/>
  </r>
  <r>
    <s v="3566612623636255733"/>
    <s v=""/>
    <x v="14"/>
    <n v="0"/>
    <s v=""/>
    <s v="NULL"/>
    <x v="0"/>
    <s v="2026-08-21 07:22:54"/>
    <s v="2026-08-21 07:32:53"/>
    <s v="NULL"/>
    <s v="NULL"/>
    <s v="2026-08-21 09:32:53"/>
    <s v=""/>
    <s v="106.4983642"/>
    <s v="10.6043798"/>
    <s v="106.7036940357208"/>
    <s v="10.815418730669986"/>
    <n v="177012"/>
    <n v="0"/>
    <n v="177012"/>
    <s v="Cash"/>
    <s v="CÔNG TY TNHH QUỐC TẾ RYTHERN (VIỆT NAM), đường số 14, Long Cang, Tây Ninh, Việt NamCÔNG TY TNHH QUỐC TẾ RYTHERN (VIỆT NAM)"/>
    <s v="RP83+65F, Bình Thạnh, Hồ Chí Minh, Việt NamRP83+65F, Bình Thạnh, Hồ Chí Minh, Việt Nam"/>
    <n v="1"/>
    <x v="1"/>
    <x v="13"/>
    <d v="1899-12-30T07:22:54"/>
    <x v="9"/>
  </r>
  <r>
    <s v="3566612699293110933"/>
    <s v=""/>
    <x v="14"/>
    <n v="0"/>
    <s v=""/>
    <s v="NULL"/>
    <x v="0"/>
    <s v="2026-08-21 07:21:16"/>
    <s v="2026-08-21 07:31:15"/>
    <s v="NULL"/>
    <s v="NULL"/>
    <s v="2026-08-21 11:08:29"/>
    <s v=""/>
    <s v="106.4983642"/>
    <s v="10.6043798"/>
    <s v="107.0360858"/>
    <s v="10.9457592"/>
    <n v="347976"/>
    <n v="0"/>
    <n v="347976"/>
    <s v="Cash"/>
    <s v="CÔNG TY TNHH QUỐC TẾ RYTHERN (VIỆT NAM), đường số 14, Long Cang, Tây Ninh, Việt NamCÔNG TY TNHH QUỐC TẾ RYTHERN (VIỆT NAM)"/>
    <s v="Cty Pou Phong Vietnam CO.,LTD, KCN BÀU XÉO, An Viễn, Đồng Nai, Việt NamCty Pou Phong Vietnam CO.,LTD"/>
    <n v="1"/>
    <x v="1"/>
    <x v="13"/>
    <d v="1899-12-30T07:21:16"/>
    <x v="505"/>
  </r>
  <r>
    <s v="3566614771296063812"/>
    <s v=""/>
    <x v="14"/>
    <n v="0"/>
    <s v=""/>
    <s v="NULL"/>
    <x v="0"/>
    <s v="2026-08-21 07:20:49"/>
    <s v="2026-08-21 07:30:48"/>
    <s v="NULL"/>
    <s v="NULL"/>
    <s v="2026-08-21 09:30:48"/>
    <s v=""/>
    <s v="106.4983642"/>
    <s v="10.6043798"/>
    <s v="106.8021041"/>
    <s v="10.8263777"/>
    <n v="211788"/>
    <n v="0"/>
    <n v="211788"/>
    <s v="Cash"/>
    <s v="CÔNG TY TNHH QUỐC TẾ RYTHERN (VIỆT NAM), đường số 14, Long Cang, Tây Ninh, Việt NamCÔNG TY TNHH QUỐC TẾ RYTHERN (VIỆT NAM)"/>
    <s v="Công Ty TNHH MTV Daeyoung Electronics Vina, Đường D2, Tăng Nhơn Phú, Hồ Chí Minh, Việt NamCông Ty TNHH MTV Daeyoung Electronics Vina"/>
    <n v="1"/>
    <x v="1"/>
    <x v="13"/>
    <d v="1899-12-30T07:20:49"/>
    <x v="9"/>
  </r>
  <r>
    <s v="3566614771296064345"/>
    <s v=""/>
    <x v="14"/>
    <n v="0"/>
    <s v=""/>
    <s v="NULL"/>
    <x v="0"/>
    <s v="2026-08-21 07:24:33"/>
    <s v="2026-08-21 07:34:32"/>
    <s v="NULL"/>
    <s v="NULL"/>
    <s v="2026-08-21 10:20:48"/>
    <s v=""/>
    <s v="106.4983642"/>
    <s v="10.6043798"/>
    <s v="106.59345829367068"/>
    <s v="10.79174182096194"/>
    <n v="171504"/>
    <n v="0"/>
    <n v="171504"/>
    <s v="Cash"/>
    <s v="CÔNG TY TNHH QUỐC TẾ RYTHERN (VIỆT NAM), đường số 14, Long Cang, Tây Ninh, Việt NamCÔNG TY TNHH QUỐC TẾ RYTHERN (VIỆT NAM)"/>
    <s v="56 Đường số 10, Bình Tân, Hồ Chí Minh, Việt Nam56 Đường số 10, Bình Tân, Hồ Chí Minh, Việt Nam"/>
    <n v="1"/>
    <x v="1"/>
    <x v="13"/>
    <d v="1899-12-30T07:24:33"/>
    <x v="192"/>
  </r>
  <r>
    <s v="3566614771296064441"/>
    <s v=""/>
    <x v="14"/>
    <n v="0"/>
    <s v=""/>
    <s v="NULL"/>
    <x v="0"/>
    <s v="2026-08-21 07:25:11"/>
    <s v="2026-08-21 07:35:10"/>
    <s v="NULL"/>
    <s v="NULL"/>
    <s v="2026-08-21 09:35:10"/>
    <s v=""/>
    <s v="106.4973945"/>
    <s v="10.6090006"/>
    <s v="106.7464376"/>
    <s v="10.8958555"/>
    <n v="217296"/>
    <n v="0"/>
    <n v="217296"/>
    <s v="Cash"/>
    <s v="CÔNG TY TNHH KUZCO VIỆT NAM, Long Cang, Tây Ninh, Việt NamCÔNG TY TNHH KUZCO VIỆT NAM"/>
    <s v="Công Ty TNHH Eins Vina Co., Ltd, Thống Nhất, Quận, Dĩ An, Hồ Chí Minh, Việt NamCông Ty TNHH Eins Vina Co., Ltd"/>
    <n v="1"/>
    <x v="1"/>
    <x v="13"/>
    <d v="1899-12-30T07:25:11"/>
    <x v="9"/>
  </r>
  <r>
    <s v="3566624451330274174"/>
    <s v=""/>
    <x v="14"/>
    <n v="0"/>
    <s v=""/>
    <s v="NULL"/>
    <x v="0"/>
    <s v="2026-08-21 07:23:58"/>
    <s v="2026-08-21 07:33:56"/>
    <s v="NULL"/>
    <s v="NULL"/>
    <s v="2026-08-21 09:54:34"/>
    <s v=""/>
    <s v="106.4983642"/>
    <s v="10.6043798"/>
    <s v="106.67604776668698"/>
    <s v="10.833740857707388"/>
    <n v="249048"/>
    <n v="0"/>
    <n v="249048"/>
    <s v="Cash"/>
    <s v="CÔNG TY TNHH QUỐC TẾ RYTHERN (VIỆT NAM), đường số 14, Long Cang, Tây Ninh, Việt NamCÔNG TY TNHH QUỐC TẾ RYTHERN (VIỆT NAM)"/>
    <s v="250 Nguyễn Oanh, Gò Vấp, Hồ Chí Minh, Việt Nam250 Nguyễn Oanh, Gò Vấp, Hồ Chí Minh, Việt Nam"/>
    <n v="1"/>
    <x v="1"/>
    <x v="13"/>
    <d v="1899-12-30T07:23:58"/>
    <x v="506"/>
  </r>
  <r>
    <s v="3566624451363820377"/>
    <s v=""/>
    <x v="14"/>
    <n v="0"/>
    <s v=""/>
    <s v="NULL"/>
    <x v="0"/>
    <s v="2026-08-21 07:36:38"/>
    <s v="2026-08-21 07:46:37"/>
    <s v="NULL"/>
    <s v="NULL"/>
    <s v="2026-08-21 09:46:37"/>
    <s v=""/>
    <s v="106.5138828"/>
    <s v="10.6294804"/>
    <s v="106.7572747"/>
    <s v="10.8246347"/>
    <n v="252396"/>
    <n v="0"/>
    <n v="252396"/>
    <s v="Cash"/>
    <s v="Công Ty TNHH MAY MẶC IZ DIRECT VN, Đường Số 4 Phúc Long, KCN, Mỹ Yên, Tây Ninh, Việt NamCông Ty TNHH MAY MẶC IZ DIRECT VN"/>
    <s v="CÔNG TY TNHH JM (JMGROUP), Đường Nguyễn Văn Bá, Thủ Đức, Hồ Chí Minh, Việt NamCÔNG TY TNHH JM (JMGROUP)"/>
    <n v="1"/>
    <x v="1"/>
    <x v="13"/>
    <d v="1899-12-30T07:36:38"/>
    <x v="9"/>
  </r>
  <r>
    <s v="3566624478467421139"/>
    <s v=""/>
    <x v="14"/>
    <n v="0"/>
    <s v=""/>
    <s v="NULL"/>
    <x v="0"/>
    <s v="2026-08-21 07:24:59"/>
    <s v="2026-08-21 07:34:58"/>
    <s v="NULL"/>
    <s v="NULL"/>
    <s v="2026-08-21 09:34:58"/>
    <s v=""/>
    <s v="106.4973945"/>
    <s v="10.6090006"/>
    <s v="106.7258219"/>
    <s v="10.9593159"/>
    <n v="249264"/>
    <n v="0"/>
    <n v="249264"/>
    <s v="Cash"/>
    <s v="CÔNG TY TNHH KUZCO VIỆT NAM, Long Cang, Tây Ninh, Việt NamCÔNG TY TNHH KUZCO VIỆT NAM"/>
    <s v="CÔNG TY TNHH TM - DV MPC LOGISTICS, Thuận An Hòa, khu phố bình thuận 2, Thuận Giao, Hồ Chí Minh, Việt NamCÔNG TY TNHH TM - DV MPC LOGISTICS"/>
    <n v="1"/>
    <x v="1"/>
    <x v="13"/>
    <d v="1899-12-30T07:24:59"/>
    <x v="9"/>
  </r>
  <r>
    <s v="3566624478484193419"/>
    <s v=""/>
    <x v="14"/>
    <n v="3746341"/>
    <s v=""/>
    <s v="Motorcycle"/>
    <x v="1"/>
    <s v="2026-08-21 07:25:55"/>
    <s v="2026-08-21 07:35:54"/>
    <s v="2026-08-21 08:10:30"/>
    <s v="NULL"/>
    <s v="2026-08-21 08:12:36"/>
    <s v=""/>
    <s v="106.4990706"/>
    <s v="10.6113348"/>
    <s v="106.986139"/>
    <s v="10.7867221"/>
    <n v="219240"/>
    <n v="179959"/>
    <n v="39281"/>
    <s v="Cash"/>
    <s v="CÔNG TY TNHH QUANG HỌC SUN TAT VIỆT NAM, Đường số 15, Khu công nghiệp Thuận Đạo mở rộng, Long Cang, Tây Ninh, Việt NamCÔNG TY TNHH QUANG HỌC SUN TAT VIỆT NAM"/>
    <s v="KAWAJUN VIETNAM INDUSTRY Co., Ltd, Road N 4, Loc An Industrial Park, Long Thành, Đồng Nai, Việt NamKAWAJUN VIETNAM INDUSTRY Co., Ltd"/>
    <n v="1"/>
    <x v="1"/>
    <x v="13"/>
    <d v="1899-12-30T07:25:55"/>
    <x v="507"/>
  </r>
  <r>
    <s v="3566625112209977443"/>
    <s v=""/>
    <x v="14"/>
    <n v="0"/>
    <s v=""/>
    <s v="NULL"/>
    <x v="0"/>
    <s v="2026-08-21 07:20:00"/>
    <s v="2026-08-21 07:29:59"/>
    <s v="NULL"/>
    <s v="NULL"/>
    <s v="2026-08-21 11:37:46"/>
    <s v=""/>
    <s v="106.4983642"/>
    <s v="10.6043798"/>
    <s v="106.986139"/>
    <s v="10.7867221"/>
    <n v="286524"/>
    <n v="0"/>
    <n v="286524"/>
    <s v="Cash"/>
    <s v="CÔNG TY TNHH QUỐC TẾ RYTHERN (VIỆT NAM), đường số 14, Long Cang, Tây Ninh, Việt NamCÔNG TY TNHH QUỐC TẾ RYTHERN (VIỆT NAM)"/>
    <s v="KAWAJUN VIETNAM INDUSTRY Co., Ltd, Road N 4, Loc An Industrial Park, Long Thành, Đồng Nai, Việt NamKAWAJUN VIETNAM INDUSTRY Co., Ltd"/>
    <n v="1"/>
    <x v="1"/>
    <x v="13"/>
    <d v="1899-12-30T07:20:00"/>
    <x v="508"/>
  </r>
  <r>
    <s v="3566625112226751066"/>
    <s v=""/>
    <x v="14"/>
    <n v="0"/>
    <s v=""/>
    <s v="NULL"/>
    <x v="0"/>
    <s v="2026-08-21 07:29:45"/>
    <s v="2026-08-21 07:39:44"/>
    <s v="NULL"/>
    <s v="NULL"/>
    <s v="2026-08-21 09:39:44"/>
    <s v=""/>
    <s v="106.4951467"/>
    <s v="10.6033893"/>
    <s v="106.64629486085207"/>
    <s v="10.800415004445503"/>
    <n v="168480"/>
    <n v="0"/>
    <n v="168480"/>
    <s v="Cash"/>
    <s v="CÔNG TY TNHH MTV PARAMOUNT BRIGHT HOLDING LIMITED (PARK BRIGHT HOLDING LIMITED), Long Cang, Long An Province Việt NamCÔNG TY TNHH MTV PARAMOUNT BRIGHT HOLDING LIMITED (PARK BRIGHT HOLDING LIMITED)"/>
    <s v="27/26 Đồng Xoài, Tân Bình, Hồ Chí Minh, Việt Nam27/26 Đồng Xoài, Tân Bình, Hồ Chí Minh, Việt Nam"/>
    <n v="1"/>
    <x v="1"/>
    <x v="13"/>
    <d v="1899-12-30T07:29:45"/>
    <x v="9"/>
  </r>
  <r>
    <s v="3566625112226751383"/>
    <s v=""/>
    <x v="14"/>
    <n v="0"/>
    <s v=""/>
    <s v="NULL"/>
    <x v="0"/>
    <s v="2026-08-21 07:31:45"/>
    <s v="2026-08-21 07:41:44"/>
    <s v="NULL"/>
    <s v="NULL"/>
    <s v="2026-08-21 09:41:44"/>
    <s v=""/>
    <s v="106.4881433"/>
    <s v="10.6174177"/>
    <s v="106.8021041"/>
    <s v="10.8263777"/>
    <n v="277020"/>
    <n v="0"/>
    <n v="277020"/>
    <s v="Cash"/>
    <s v="Công ty CARGILL Long An, Bến Lức, Tây Ninh, Việt NamCông ty CARGILL Long An"/>
    <s v="Công Ty TNHH MTV Daeyoung Electronics Vina, Đường D2, Tăng Nhơn Phú, Hồ Chí Minh, Việt NamCông Ty TNHH MTV Daeyoung Electronics Vina"/>
    <n v="1"/>
    <x v="1"/>
    <x v="13"/>
    <d v="1899-12-30T07:31:45"/>
    <x v="9"/>
  </r>
  <r>
    <s v="3566625112243523687"/>
    <s v=""/>
    <x v="14"/>
    <n v="0"/>
    <s v=""/>
    <s v="NULL"/>
    <x v="0"/>
    <s v="2026-08-21 07:33:05"/>
    <s v="2026-08-21 07:43:04"/>
    <s v="NULL"/>
    <s v="NULL"/>
    <s v="2026-08-21 09:43:04"/>
    <s v=""/>
    <s v="106.4899714365234"/>
    <s v="10.626483313911612"/>
    <s v="106.7048862782959"/>
    <s v="10.820859568017616"/>
    <n v="205956"/>
    <n v="0"/>
    <n v="205956"/>
    <s v="Cash"/>
    <s v="JFGR+G2H, Bến Lức, Tây Ninh, Việt NamJFGR+G2H, Bến Lức, Tây Ninh, Việt Nam"/>
    <s v="427 Nơ Trang Long, Bình Lợi Trung, Hồ Chí Minh, Việt Nam427 Nơ Trang Long, Bình Lợi Trung, Hồ Chí Minh, Việt Nam"/>
    <n v="1"/>
    <x v="1"/>
    <x v="13"/>
    <d v="1899-12-30T07:33:05"/>
    <x v="9"/>
  </r>
  <r>
    <s v="3566625112243523970"/>
    <s v=""/>
    <x v="14"/>
    <n v="0"/>
    <s v=""/>
    <s v="NULL"/>
    <x v="0"/>
    <s v="2026-08-21 07:34:47"/>
    <s v="2026-08-21 07:44:46"/>
    <s v="NULL"/>
    <s v="NULL"/>
    <s v="2026-08-21 09:44:46"/>
    <s v=""/>
    <s v="106.511192"/>
    <s v="10.6227633"/>
    <s v="106.64904228203127"/>
    <s v="10.801005093774044"/>
    <n v="119016"/>
    <n v="0"/>
    <n v="119016"/>
    <s v="Cash"/>
    <s v="CÔNG TY TNHH KEUM WOO, Đ. Số 1, khu công nghiệp, Mỹ Yên, Tây Ninh, Việt NamCÔNG TY TNHH KEUM WOO"/>
    <s v="132/6F-6G Lê Trung Nghĩa, Bảy Hiền, Hồ Chí Minh, Việt Nam132/6F-6G Lê Trung Nghĩa, Bảy Hiền, Hồ Chí Minh, Việt Nam"/>
    <n v="1"/>
    <x v="1"/>
    <x v="13"/>
    <d v="1899-12-30T07:34:47"/>
    <x v="9"/>
  </r>
  <r>
    <s v="3566626914519184029"/>
    <s v=""/>
    <x v="14"/>
    <n v="0"/>
    <s v=""/>
    <s v="NULL"/>
    <x v="0"/>
    <s v="2026-08-21 07:26:19"/>
    <s v="2026-08-21 07:36:18"/>
    <s v="NULL"/>
    <s v="NULL"/>
    <s v="2026-08-21 09:36:18"/>
    <s v=""/>
    <s v="106.4990706"/>
    <s v="10.6113348"/>
    <s v="106.8021041"/>
    <s v="10.8263777"/>
    <n v="210168"/>
    <n v="0"/>
    <n v="210168"/>
    <s v="Cash"/>
    <s v="CÔNG TY TNHH QUANG HỌC SUN TAT VIỆT NAM, Đường số 15, Khu công nghiệp Thuận Đạo mở rộng, Long Cang, Tây Ninh, Việt NamCÔNG TY TNHH QUANG HỌC SUN TAT VIỆT NAM"/>
    <s v="Công Ty TNHH MTV Daeyoung Electronics Vina, Đường D2, Tăng Nhơn Phú, Hồ Chí Minh, Việt NamCông Ty TNHH MTV Daeyoung Electronics Vina"/>
    <n v="1"/>
    <x v="1"/>
    <x v="13"/>
    <d v="1899-12-30T07:26:19"/>
    <x v="9"/>
  </r>
  <r>
    <s v="3566627510403952768"/>
    <s v=""/>
    <x v="14"/>
    <n v="0"/>
    <s v=""/>
    <s v="NULL"/>
    <x v="0"/>
    <s v="2026-08-21 07:23:40"/>
    <s v="2026-08-21 07:33:39"/>
    <s v="NULL"/>
    <s v="NULL"/>
    <s v="2026-08-21 09:33:39"/>
    <s v=""/>
    <s v="106.4983642"/>
    <s v="10.6043798"/>
    <s v="106.63612545156252"/>
    <s v="10.867991916129064"/>
    <n v="182628"/>
    <n v="0"/>
    <n v="182628"/>
    <s v="Cash"/>
    <s v="CÔNG TY TNHH QUỐC TẾ RYTHERN (VIỆT NAM), đường số 14, Long Cang, Tây Ninh, Việt NamCÔNG TY TNHH QUỐC TẾ RYTHERN (VIỆT NAM)"/>
    <s v="15 Tổ 19 Kp3, Khu Phố 3A, Tân Thới Hiệp, Hồ Chí Minh, Việt Nam15 Tổ 19 Kp3, Khu Phố 3A, Tân Thới Hiệp, Hồ Chí Minh, Việt Nam"/>
    <n v="1"/>
    <x v="1"/>
    <x v="13"/>
    <d v="1899-12-30T07:23:40"/>
    <x v="9"/>
  </r>
  <r>
    <s v="3566627510403953301"/>
    <s v=""/>
    <x v="14"/>
    <n v="2852976"/>
    <s v=""/>
    <s v="Motorcycle"/>
    <x v="1"/>
    <s v="2026-08-21 07:27:03"/>
    <s v="2026-08-21 07:37:02"/>
    <s v="2026-08-21 08:11:18"/>
    <s v="NULL"/>
    <s v="2026-08-21 08:13:45"/>
    <s v=""/>
    <s v="106.4941308"/>
    <s v="10.6096558"/>
    <s v="107.0360858"/>
    <s v="10.9457592"/>
    <n v="329616"/>
    <n v="270560"/>
    <n v="59056"/>
    <s v="Cash"/>
    <s v="Công ty TNHH Sản xuất và Thương mại Khải Tín Huy, đường số 1, KCN Thuận Đạo (mở rộng, Long Cang, Tây Ninh, Việt NamCông ty TNHH Sản xuất và Thương mại Khải Tín Huy"/>
    <s v="Cty Pou Phong Vietnam CO.,LTD, KCN BÀU XÉO, An Viễn, Đồng Nai, Việt NamCty Pou Phong Vietnam CO.,LTD"/>
    <n v="1"/>
    <x v="1"/>
    <x v="13"/>
    <d v="1899-12-30T07:27:03"/>
    <x v="509"/>
  </r>
  <r>
    <s v="3566627510420726191"/>
    <s v=""/>
    <x v="14"/>
    <n v="0"/>
    <s v=""/>
    <s v="NULL"/>
    <x v="0"/>
    <s v="2026-08-21 07:32:21"/>
    <s v="2026-08-21 07:42:20"/>
    <s v="NULL"/>
    <s v="NULL"/>
    <s v="2026-08-21 09:42:20"/>
    <s v=""/>
    <s v="106.4879115"/>
    <s v="10.6193971"/>
    <s v="106.8582511"/>
    <s v="10.9835759"/>
    <n v="283716"/>
    <n v="0"/>
    <n v="283716"/>
    <s v="Cash"/>
    <s v="CÔNG TY TNHH RICHFIELD VN, Bến Lức, Tây Ninh, Việt NamCÔNG TY TNHH RICHFIELD VN"/>
    <s v="Công Ty TNHH MJ Apparel, KP3, Phường, Trảng Dài, Đồng Nai, Việt NamCông Ty TNHH MJ Apparel"/>
    <n v="1"/>
    <x v="1"/>
    <x v="13"/>
    <d v="1899-12-30T07:32:21"/>
    <x v="9"/>
  </r>
  <r>
    <s v="3566627510437499412"/>
    <s v=""/>
    <x v="14"/>
    <n v="0"/>
    <s v=""/>
    <s v="NULL"/>
    <x v="0"/>
    <s v="2026-08-21 07:38:27"/>
    <s v="2026-08-21 07:48:26"/>
    <s v="NULL"/>
    <s v="NULL"/>
    <s v="2026-08-21 09:48:26"/>
    <s v=""/>
    <s v="106.5129337"/>
    <s v="10.6290476"/>
    <s v="106.59890016826171"/>
    <s v="10.888465448877962"/>
    <n v="149796"/>
    <n v="0"/>
    <n v="149796"/>
    <s v="Cash"/>
    <s v="CÔNG TY TNHH YUTIAN VIỆT NAM, Phúc Long, Mỹ Yên, Tây Ninh, Việt NamCÔNG TY TNHH YUTIAN VIỆT NAM"/>
    <s v="Tổ 65, 1/6 Tổ 64 Khu Phố 7, Khu Phố 6, Hóc Môn, Hồ Chí Minh, Việt NamTổ 65, 1/6 Tổ 64 Khu Phố 7, Khu Phố 6, Hóc Môn, Hồ Chí Minh, Việt Nam"/>
    <n v="1"/>
    <x v="1"/>
    <x v="13"/>
    <d v="1899-12-30T07:38:27"/>
    <x v="9"/>
  </r>
  <r>
    <s v="3566627510437499633"/>
    <s v=""/>
    <x v="14"/>
    <n v="0"/>
    <s v=""/>
    <s v="NULL"/>
    <x v="0"/>
    <s v="2026-08-21 07:39:41"/>
    <s v="2026-08-21 07:49:40"/>
    <s v="NULL"/>
    <s v="NULL"/>
    <s v="2026-08-21 09:49:40"/>
    <s v=""/>
    <s v="106.5111467"/>
    <s v="10.6321096"/>
    <s v="106.59143862593383"/>
    <s v="10.796814230295071"/>
    <n v="144288"/>
    <n v="0"/>
    <n v="144288"/>
    <s v="Cash"/>
    <s v="CÔNG TY TNHH SOLVAY PEROXIDES VIỆT NAM, Đ. Số 1, Khu Công Nghiệp, Mỹ Yên, Tây Ninh, Việt NamCÔNG TY TNHH SOLVAY PEROXIDES VIỆT NAM"/>
    <s v="107 Liên Khu 4-5, Bình Tân, Hồ Chí Minh, Việt Nam107 Liên Khu 4-5, Bình Tân, Hồ Chí Minh, Việt Nam"/>
    <n v="1"/>
    <x v="1"/>
    <x v="13"/>
    <d v="1899-12-30T07:39:41"/>
    <x v="9"/>
  </r>
  <r>
    <s v="3566627777203630189"/>
    <s v=""/>
    <x v="14"/>
    <n v="0"/>
    <s v=""/>
    <s v="NULL"/>
    <x v="0"/>
    <s v="2026-08-21 07:24:15"/>
    <s v="2026-08-21 07:34:14"/>
    <s v="NULL"/>
    <s v="NULL"/>
    <s v="2026-08-21 10:19:59"/>
    <s v=""/>
    <s v="106.4983642"/>
    <s v="10.6043798"/>
    <s v="106.64554176007992"/>
    <s v="10.798647524106451"/>
    <n v="184356"/>
    <n v="0"/>
    <n v="184356"/>
    <s v="Cash"/>
    <s v="CÔNG TY TNHH QUỐC TẾ RYTHERN (VIỆT NAM), đường số 14, Long Cang, Tây Ninh, Việt NamCÔNG TY TNHH QUỐC TẾ RYTHERN (VIỆT NAM)"/>
    <s v="E28 Hoàng Hoa Thám, Tân Bình, Hồ Chí Minh, Việt NamE28 Hoàng Hoa Thám, Tân Bình, Hồ Chí Minh, Việt Nam"/>
    <n v="1"/>
    <x v="1"/>
    <x v="13"/>
    <d v="1899-12-30T07:24:15"/>
    <x v="510"/>
  </r>
  <r>
    <s v="3566627777203630343"/>
    <s v=""/>
    <x v="14"/>
    <n v="4758904"/>
    <s v=""/>
    <s v="Motorcycle"/>
    <x v="2"/>
    <s v="2026-08-21 07:25:22"/>
    <s v="2026-08-21 07:35:21"/>
    <s v="2026-08-21 16:55:49"/>
    <s v="NULL"/>
    <s v=""/>
    <s v=""/>
    <s v="106.4973945"/>
    <s v="10.6090006"/>
    <s v="106.9335037"/>
    <s v="10.9455416"/>
    <n v="300024"/>
    <n v="232588"/>
    <n v="67436"/>
    <s v="Cash"/>
    <s v="CÔNG TY TNHH KUZCO VIỆT NAM, Long Cang, Tây Ninh, Việt NamCÔNG TY TNHH KUZCO VIỆT NAM"/>
    <s v="CÔNG TY TNHH OKURA, Đường số 2, Khu Công Nghiệp, Hố Nai, Đồng Nai, Việt NamCÔNG TY TNHH OKURA"/>
    <n v="1"/>
    <x v="1"/>
    <x v="13"/>
    <d v="1899-12-30T07:25:22"/>
    <x v="14"/>
  </r>
  <r>
    <s v="3566627777228791854"/>
    <s v=""/>
    <x v="14"/>
    <n v="0"/>
    <s v=""/>
    <s v="NULL"/>
    <x v="0"/>
    <s v="2026-08-21 07:30:39"/>
    <s v="2026-08-21 07:40:38"/>
    <s v="NULL"/>
    <s v="NULL"/>
    <s v="2026-08-21 09:40:38"/>
    <s v=""/>
    <s v="106.4946141"/>
    <s v="10.6118874"/>
    <s v="106.7464376"/>
    <s v="10.8958555"/>
    <n v="218916"/>
    <n v="0"/>
    <n v="218916"/>
    <s v="Cash"/>
    <s v="Chi nhánh Long An - Công ty TNHH Nutreco International Việt Nam (Nutreco Long An), H, Đường Số 1, Long Cang, Tây Ninh, Việt NamChi nhánh Long An - Công ty TNHH Nutreco International Việt Nam (Nutreco Long An)"/>
    <s v="Công Ty TNHH Eins Vina Co., Ltd, Thống Nhất, Quận, Dĩ An, Hồ Chí Minh, Việt NamCông Ty TNHH Eins Vina Co., Ltd"/>
    <n v="1"/>
    <x v="1"/>
    <x v="13"/>
    <d v="1899-12-30T07:30:39"/>
    <x v="9"/>
  </r>
  <r>
    <s v="3566627777245565163"/>
    <s v=""/>
    <x v="14"/>
    <n v="0"/>
    <s v=""/>
    <s v="NULL"/>
    <x v="0"/>
    <s v="2026-08-21 07:37:31"/>
    <s v="2026-08-21 07:47:30"/>
    <s v="NULL"/>
    <s v="NULL"/>
    <s v="2026-08-21 09:47:30"/>
    <s v=""/>
    <s v="106.5139871"/>
    <s v="10.6277752"/>
    <s v="106.8582511"/>
    <s v="10.9835759"/>
    <n v="278532"/>
    <n v="0"/>
    <n v="278532"/>
    <s v="Cash"/>
    <s v="CÔNG TY TNHH ISHIKAWA KIKOU VIỆT NAM, Đường Số 13, KCN Phúc Long, Mỹ Yên, Tây Ninh, Việt NamCÔNG TY TNHH ISHIKAWA KIKOU VIỆT NAM"/>
    <s v="Công Ty TNHH MJ Apparel, KP3, Phường, Trảng Dài, Đồng Nai, Việt NamCông Ty TNHH MJ Apparel"/>
    <n v="1"/>
    <x v="1"/>
    <x v="13"/>
    <d v="1899-12-30T07:37:31"/>
    <x v="9"/>
  </r>
  <r>
    <s v="3566628863578694555"/>
    <s v=""/>
    <x v="14"/>
    <n v="4812677"/>
    <s v=""/>
    <s v="Motorcycle"/>
    <x v="2"/>
    <s v="2026-08-21 07:37:02"/>
    <s v="2026-08-21 07:47:01"/>
    <s v="2026-08-22 10:55:28"/>
    <s v="NULL"/>
    <s v=""/>
    <s v=""/>
    <s v="106.5138828"/>
    <s v="10.6294804"/>
    <s v="107.0360858"/>
    <s v="10.9457592"/>
    <n v="321192"/>
    <n v="248998"/>
    <n v="72194"/>
    <s v="Cash"/>
    <s v="Công Ty TNHH MAY MẶC IZ DIRECT VN, Đường Số 4 Phúc Long, KCN, Mỹ Yên, Tây Ninh, Việt NamCông Ty TNHH MAY MẶC IZ DIRECT VN"/>
    <s v="Cty Pou Phong Vietnam CO.,LTD, KCN BÀU XÉO, An Viễn, Đồng Nai, Việt NamCty Pou Phong Vietnam CO.,LTD"/>
    <n v="1"/>
    <x v="1"/>
    <x v="13"/>
    <d v="1899-12-30T07:37:02"/>
    <x v="14"/>
  </r>
  <r>
    <s v="3566628863578694660"/>
    <s v=""/>
    <x v="14"/>
    <n v="0"/>
    <s v=""/>
    <s v="NULL"/>
    <x v="0"/>
    <s v="2026-08-21 07:37:43"/>
    <s v="2026-08-21 07:47:42"/>
    <s v="NULL"/>
    <s v="NULL"/>
    <s v="2026-08-21 09:47:42"/>
    <s v=""/>
    <s v="106.5139871"/>
    <s v="10.6277752"/>
    <s v="106.7482328"/>
    <s v="10.8008839"/>
    <n v="209628"/>
    <n v="0"/>
    <n v="209628"/>
    <s v="Cash"/>
    <s v="CÔNG TY TNHH ISHIKAWA KIKOU VIỆT NAM, Đường Số 13, KCN Phúc Long, Mỹ Yên, Tây Ninh, Việt NamCÔNG TY TNHH ISHIKAWA KIKOU VIỆT NAM"/>
    <s v="88 Đ. Số 24, Bình Trưng, Hồ Chí Minh 70000, Việt Nam88 Đ. Số 24, Bình Trưng, Hồ Chí Minh 70000, Việt Nam"/>
    <n v="1"/>
    <x v="1"/>
    <x v="13"/>
    <d v="1899-12-30T07:37:43"/>
    <x v="9"/>
  </r>
  <r>
    <s v="3566629677164617745"/>
    <s v=""/>
    <x v="14"/>
    <n v="3163273"/>
    <s v=""/>
    <s v="Motorcycle"/>
    <x v="2"/>
    <s v="2026-08-21 07:33:41"/>
    <s v="2026-08-21 07:43:40"/>
    <s v="2026-08-21 09:39:54"/>
    <s v="NULL"/>
    <s v=""/>
    <s v=""/>
    <s v="106.5114111"/>
    <s v="10.6193946"/>
    <s v="106.59800743652342"/>
    <s v="10.88806667376608"/>
    <n v="189432"/>
    <n v="146854"/>
    <n v="42578"/>
    <s v="Cash"/>
    <s v="Cty SEJIN VINA, Phúc Long, Mỹ Yên, Tây Ninh, Việt NamCty SEJIN VINA"/>
    <s v="8 Lê Thị Hà, Hóc Môn, Hồ Chí Minh, Việt Nam8 Lê Thị Hà, Hóc Môn, Hồ Chí Minh, Việt Nam"/>
    <n v="1"/>
    <x v="1"/>
    <x v="13"/>
    <d v="1899-12-30T07:33:41"/>
    <x v="14"/>
  </r>
  <r>
    <s v="3566629677173006434"/>
    <s v=""/>
    <x v="14"/>
    <n v="0"/>
    <s v=""/>
    <s v="NULL"/>
    <x v="0"/>
    <s v="2026-08-21 07:36:11"/>
    <s v="2026-08-21 07:46:10"/>
    <s v="NULL"/>
    <s v="NULL"/>
    <s v="2026-08-21 09:46:10"/>
    <s v=""/>
    <s v="106.5112188"/>
    <s v="10.6230088"/>
    <s v="106.986139"/>
    <s v="10.7867221"/>
    <n v="216648"/>
    <n v="0"/>
    <n v="216648"/>
    <s v="Cash"/>
    <s v="CHANG MAO VIETNAM CO., LTD, Nhà Xưởng N 5, Đ. Số 1, Mỹ Yên, Tây Ninh, Việt NamCHANG MAO VIETNAM CO., LTD"/>
    <s v="KAWAJUN VIETNAM INDUSTRY Co., Ltd, Road N 4, Loc An Industrial Park, Long Thành, Đồng Nai, Việt NamKAWAJUN VIETNAM INDUSTRY Co., Ltd"/>
    <n v="1"/>
    <x v="1"/>
    <x v="13"/>
    <d v="1899-12-30T07:36:11"/>
    <x v="9"/>
  </r>
  <r>
    <s v="3566629677173006538"/>
    <s v=""/>
    <x v="14"/>
    <n v="0"/>
    <s v=""/>
    <s v="NULL"/>
    <x v="0"/>
    <s v="2026-08-21 07:36:49"/>
    <s v="2026-08-21 07:46:48"/>
    <s v="NULL"/>
    <s v="NULL"/>
    <s v="2026-08-21 09:46:48"/>
    <s v=""/>
    <s v="106.5138828"/>
    <s v="10.6294804"/>
    <s v="106.8021041"/>
    <s v="10.8263777"/>
    <n v="195372"/>
    <n v="0"/>
    <n v="195372"/>
    <s v="Cash"/>
    <s v="Công Ty TNHH MAY MẶC IZ DIRECT VN, Đường Số 4 Phúc Long, KCN, Mỹ Yên, Tây Ninh, Việt NamCông Ty TNHH MAY MẶC IZ DIRECT VN"/>
    <s v="Công Ty TNHH MTV Daeyoung Electronics Vina, Đường D2, Tăng Nhơn Phú, Hồ Chí Minh, Việt NamCông Ty TNHH MTV Daeyoung Electronics Vina"/>
    <n v="1"/>
    <x v="1"/>
    <x v="13"/>
    <d v="1899-12-30T07:36:49"/>
    <x v="9"/>
  </r>
  <r>
    <s v="3566630819172933833"/>
    <s v=""/>
    <x v="14"/>
    <n v="0"/>
    <s v=""/>
    <s v="NULL"/>
    <x v="0"/>
    <s v="2026-08-21 07:35:57"/>
    <s v="2026-08-21 07:45:56"/>
    <s v="NULL"/>
    <s v="NULL"/>
    <s v="2026-08-21 09:45:56"/>
    <s v=""/>
    <s v="106.5112188"/>
    <s v="10.6230088"/>
    <s v="106.9335037"/>
    <s v="10.9455416"/>
    <n v="294516"/>
    <n v="0"/>
    <n v="294516"/>
    <s v="Cash"/>
    <s v="CHANG MAO VIETNAM CO., LTD, Nhà Xưởng N 5, Đ. Số 1, Mỹ Yên, Tây Ninh, Việt NamCHANG MAO VIETNAM CO., LTD"/>
    <s v="CÔNG TY TNHH OKURA, Đường số 2, Khu Công Nghiệp, Hố Nai, Đồng Nai, Việt NamCÔNG TY TNHH OKURA"/>
    <n v="1"/>
    <x v="1"/>
    <x v="13"/>
    <d v="1899-12-30T07:35:57"/>
    <x v="9"/>
  </r>
  <r>
    <s v="3566630819198096019"/>
    <s v=""/>
    <x v="14"/>
    <n v="0"/>
    <s v=""/>
    <s v="NULL"/>
    <x v="0"/>
    <s v="2026-08-21 07:44:10"/>
    <s v="2026-08-21 07:54:09"/>
    <s v="NULL"/>
    <s v="NULL"/>
    <s v="2026-08-21 10:09:46"/>
    <s v=""/>
    <s v="106.5099606"/>
    <s v="10.6414349"/>
    <s v="106.58976085739441"/>
    <s v="10.794294284347693"/>
    <n v="105408"/>
    <n v="0"/>
    <n v="105408"/>
    <s v="Cash"/>
    <s v="Công ty Thuốc Thú Y APA, Đường VL3, Mỹ Yên, Tây Ninh, Việt NamCông ty Thuốc Thú Y APA"/>
    <s v="QHVQ+PV8, 128A Đường Số 6, P, Bình Tân, Hồ Chí Minh 700000, Việt NamQHVQ+PV8, 128A Đường Số 6, P, Bình Tân, Hồ Chí Minh 700000, Việt Nam"/>
    <n v="1"/>
    <x v="1"/>
    <x v="13"/>
    <d v="1899-12-30T07:44:10"/>
    <x v="511"/>
  </r>
  <r>
    <s v="3566635598414574066"/>
    <s v=""/>
    <x v="14"/>
    <n v="4762198"/>
    <s v=""/>
    <s v="Motorcycle"/>
    <x v="2"/>
    <s v="2026-08-21 07:40:06"/>
    <s v="2026-08-21 07:50:05"/>
    <s v="2026-08-21 09:17:30"/>
    <s v="NULL"/>
    <s v=""/>
    <s v=""/>
    <s v="106.5039447"/>
    <s v="10.6433253"/>
    <s v="106.7258219"/>
    <s v="10.9593159"/>
    <n v="321840"/>
    <n v="249500"/>
    <n v="72340"/>
    <s v="Cash"/>
    <s v="Công Ty Cổ Phần Nosafood - Nhà máy Bến Lức, Đường VL7, KCN Vĩnh Lộc 2 X, Mỹ Yên, Tây Ninh, Việt NamCông Ty Cổ Phần Nosafood - Nhà máy Bến Lức"/>
    <s v="CÔNG TY TNHH TM - DV MPC LOGISTICS, Thuận An Hòa, khu phố bình thuận 2, Thuận Giao, Hồ Chí Minh, Việt NamCÔNG TY TNHH TM - DV MPC LOGISTICS"/>
    <n v="1"/>
    <x v="1"/>
    <x v="13"/>
    <d v="1899-12-30T07:40:06"/>
    <x v="14"/>
  </r>
  <r>
    <s v="3566635598448120552"/>
    <s v=""/>
    <x v="14"/>
    <n v="0"/>
    <s v=""/>
    <s v="NULL"/>
    <x v="0"/>
    <s v="2026-08-21 07:51:50"/>
    <s v="2026-08-21 08:01:50"/>
    <s v="NULL"/>
    <s v="NULL"/>
    <s v="2026-08-21 10:01:50"/>
    <s v=""/>
    <s v="106.4949754"/>
    <s v="10.6041049"/>
    <s v="106.6746036"/>
    <s v="10.7504578"/>
    <n v="176364"/>
    <n v="0"/>
    <n v="176364"/>
    <s v="Cash"/>
    <s v="Cty TNHH MTV Benkan Việt Nam 1, Đạo mỡ rộng, đường số 01, KCN Thuận, Long Cang, Tây Ninh, Việt NamCty TNHH MTV Benkan Việt Nam 1"/>
    <s v="Quận 5, Trần Tuấn Khải, An Đông, Hồ Chí Minh, Việt NamQuận 5"/>
    <n v="1"/>
    <x v="1"/>
    <x v="13"/>
    <d v="1899-12-30T07:51:50"/>
    <x v="4"/>
  </r>
  <r>
    <s v="3566635769349238987"/>
    <s v=""/>
    <x v="14"/>
    <n v="0"/>
    <s v=""/>
    <s v="NULL"/>
    <x v="0"/>
    <s v="2026-08-21 07:38:40"/>
    <s v="2026-08-21 07:48:39"/>
    <s v="NULL"/>
    <s v="NULL"/>
    <s v="2026-08-21 09:48:39"/>
    <s v=""/>
    <s v="106.5129337"/>
    <s v="10.6290476"/>
    <s v="106.6359902"/>
    <s v="10.8747247"/>
    <n v="213084"/>
    <n v="0"/>
    <n v="213084"/>
    <s v="Cash"/>
    <s v="CÔNG TY TNHH YUTIAN VIỆT NAM, Phúc Long, Mỹ Yên, Tây Ninh, Việt NamCÔNG TY TNHH YUTIAN VIỆT NAM"/>
    <s v="10a Trần Thị Bảy, Tân Thới Hiệp, Hồ Chí Minh, Việt Nam10a Trần Thị Bảy, Tân Thới Hiệp, Hồ Chí Minh, Việt Nam"/>
    <n v="1"/>
    <x v="1"/>
    <x v="13"/>
    <d v="1899-12-30T07:38:40"/>
    <x v="9"/>
  </r>
  <r>
    <s v="3566635769366012489"/>
    <s v=""/>
    <x v="14"/>
    <n v="0"/>
    <s v=""/>
    <s v="NULL"/>
    <x v="0"/>
    <s v="2026-08-21 07:45:50"/>
    <s v="2026-08-21 07:55:49"/>
    <s v="NULL"/>
    <s v="NULL"/>
    <s v="2026-08-21 09:55:49"/>
    <s v=""/>
    <s v="106.55364842043458"/>
    <s v="10.643670288115208"/>
    <s v="106.8021041"/>
    <s v="10.8263777"/>
    <n v="212652"/>
    <n v="0"/>
    <n v="212652"/>
    <s v="Cash"/>
    <s v="JHV3+QCP, Phước Lý, Tây Ninh, Việt NamJHV3+QCP, Phước Lý, Tây Ninh, Việt Nam"/>
    <s v="Công Ty TNHH MTV Daeyoung Electronics Vina, Đường D2, Tăng Nhơn Phú, Hồ Chí Minh, Việt NamCông Ty TNHH MTV Daeyoung Electronics Vina"/>
    <n v="1"/>
    <x v="1"/>
    <x v="13"/>
    <d v="1899-12-30T07:45:50"/>
    <x v="9"/>
  </r>
  <r>
    <s v="3566636218525643169"/>
    <s v=""/>
    <x v="14"/>
    <n v="0"/>
    <s v=""/>
    <s v="NULL"/>
    <x v="0"/>
    <s v="2026-08-21 07:40:20"/>
    <s v="2026-08-21 07:50:19"/>
    <s v="NULL"/>
    <s v="NULL"/>
    <s v="2026-08-21 09:50:19"/>
    <s v=""/>
    <s v="106.5039447"/>
    <s v="10.6433253"/>
    <s v="106.7464376"/>
    <s v="10.8958555"/>
    <n v="204984"/>
    <n v="0"/>
    <n v="204984"/>
    <s v="Cash"/>
    <s v="Công Ty Cổ Phần Nosafood - Nhà máy Bến Lức, Đường VL7, KCN Vĩnh Lộc 2 X, Mỹ Yên, Tây Ninh, Việt NamCông Ty Cổ Phần Nosafood - Nhà máy Bến Lức"/>
    <s v="Công Ty TNHH Eins Vina Co., Ltd, Thống Nhất, Quận, Dĩ An, Hồ Chí Minh, Việt NamCông Ty TNHH Eins Vina Co., Ltd"/>
    <n v="1"/>
    <x v="1"/>
    <x v="13"/>
    <d v="1899-12-30T07:40:20"/>
    <x v="9"/>
  </r>
  <r>
    <s v="3566636218525643600"/>
    <s v=""/>
    <x v="14"/>
    <n v="0"/>
    <s v=""/>
    <s v="NULL"/>
    <x v="0"/>
    <s v="2026-08-21 07:42:35"/>
    <s v="2026-08-21 07:52:34"/>
    <s v="NULL"/>
    <s v="NULL"/>
    <s v="2026-08-21 09:52:34"/>
    <s v=""/>
    <s v="106.5171232"/>
    <s v="10.6425146"/>
    <s v="106.7049546"/>
    <s v="10.820836"/>
    <n v="182844"/>
    <n v="0"/>
    <n v="182844"/>
    <s v="Cash"/>
    <s v="CÔNG TY CỔ PHẦN TẬP ĐOÀN KIM ĐỨC, Đường VL1, KCN Vĩnh, Mỹ Yên, Tây Ninh, Việt NamCÔNG TY CỔ PHẦN TẬP ĐOÀN KIM ĐỨC"/>
    <s v="427 Nơ Trang Long, Bình Lợi Trung, Hồ Chí Minh, Việt Nam427 Nơ Trang Long, Bình Lợi Trung, Hồ Chí Minh, Việt Nam"/>
    <n v="1"/>
    <x v="1"/>
    <x v="13"/>
    <d v="1899-12-30T07:42:35"/>
    <x v="9"/>
  </r>
  <r>
    <s v="3566636218550804674"/>
    <s v=""/>
    <x v="14"/>
    <n v="0"/>
    <s v=""/>
    <s v="NULL"/>
    <x v="0"/>
    <s v="2026-08-21 07:44:33"/>
    <s v="2026-08-21 07:54:32"/>
    <s v="NULL"/>
    <s v="NULL"/>
    <s v="2026-08-21 09:54:32"/>
    <s v=""/>
    <s v="106.50137753115236"/>
    <s v="10.63451774619226"/>
    <s v="106.7258219"/>
    <s v="10.9593159"/>
    <n v="322272"/>
    <n v="0"/>
    <n v="322272"/>
    <s v="Cash"/>
    <s v="JGM2+QJ6, Bến Lức, Tây Ninh, Việt NamJGM2+QJ6, Bến Lức, Tây Ninh, Việt Nam"/>
    <s v="CÔNG TY TNHH TM - DV MPC LOGISTICS, Thuận An Hòa, khu phố bình thuận 2, Thuận Giao, Hồ Chí Minh, Việt NamCÔNG TY TNHH TM - DV MPC LOGISTICS"/>
    <n v="1"/>
    <x v="1"/>
    <x v="13"/>
    <d v="1899-12-30T07:44:33"/>
    <x v="9"/>
  </r>
  <r>
    <s v="3566636218567578185"/>
    <s v=""/>
    <x v="14"/>
    <n v="0"/>
    <s v=""/>
    <s v="NULL"/>
    <x v="0"/>
    <s v="2026-08-21 07:51:38"/>
    <s v="2026-08-21 08:01:38"/>
    <s v="NULL"/>
    <s v="NULL"/>
    <s v="2026-08-21 10:01:38"/>
    <s v=""/>
    <s v="106.4949754"/>
    <s v="10.6041049"/>
    <s v="106.6408802"/>
    <s v="10.7471372"/>
    <n v="165348"/>
    <n v="0"/>
    <n v="165348"/>
    <s v="Cash"/>
    <s v="Cty TNHH MTV Benkan Việt Nam 1, Đạo mỡ rộng, đường số 01, KCN Thuận, Long Cang, Tây Ninh, Việt NamCty TNHH MTV Benkan Việt Nam 1"/>
    <s v="Quận 6, Đường Phan Văn Khỏe, Bình Tây, Hồ Chí Minh, Việt NamQuận 6"/>
    <n v="1"/>
    <x v="1"/>
    <x v="13"/>
    <d v="1899-12-30T07:51:38"/>
    <x v="4"/>
  </r>
  <r>
    <s v="3566638017756229925"/>
    <s v=""/>
    <x v="14"/>
    <n v="0"/>
    <s v=""/>
    <s v="NULL"/>
    <x v="0"/>
    <s v="2026-08-21 07:43:05"/>
    <s v="2026-08-21 07:53:04"/>
    <s v="NULL"/>
    <s v="NULL"/>
    <s v="2026-08-21 09:53:04"/>
    <s v=""/>
    <s v="106.5171232"/>
    <s v="10.6425146"/>
    <s v="106.63777118678591"/>
    <s v="10.873333922582908"/>
    <n v="200880"/>
    <n v="0"/>
    <n v="200880"/>
    <s v="Cash"/>
    <s v="CÔNG TY CỔ PHẦN TẬP ĐOÀN KIM ĐỨC, Đường VL1, KCN Vĩnh, Mỹ Yên, Tây Ninh, Việt NamCÔNG TY CỔ PHẦN TẬP ĐOÀN KIM ĐỨC"/>
    <s v="380 Dương Thị Mười, Tân Thới Hiệp, Hồ Chí Minh, Việt Nam380 Dương Thị Mười, Tân Thới Hiệp, Hồ Chí Minh, Việt Nam"/>
    <n v="1"/>
    <x v="1"/>
    <x v="13"/>
    <d v="1899-12-30T07:43:05"/>
    <x v="9"/>
  </r>
  <r>
    <s v="3566638017781392279"/>
    <s v=""/>
    <x v="14"/>
    <n v="0"/>
    <s v=""/>
    <s v="NULL"/>
    <x v="0"/>
    <s v="2026-08-21 07:51:14"/>
    <s v="2026-08-21 08:01:13"/>
    <s v="NULL"/>
    <s v="NULL"/>
    <s v="2026-08-21 10:01:13"/>
    <s v=""/>
    <s v="106.4949754"/>
    <s v="10.6041049"/>
    <s v="106.6536587"/>
    <s v="10.7295791"/>
    <n v="157140"/>
    <n v="0"/>
    <n v="157140"/>
    <s v="Cash"/>
    <s v="Cty TNHH MTV Benkan Việt Nam 1, Đạo mỡ rộng, đường số 01, KCN Thuận, Long Cang, Tây Ninh, Việt NamCty TNHH MTV Benkan Việt Nam 1"/>
    <s v="Quận 8, Đường Số 18, Ấp 2, Bình Hưng, Hồ Chí Minh, Việt NamQuận 8"/>
    <n v="1"/>
    <x v="1"/>
    <x v="13"/>
    <d v="1899-12-30T07:51:14"/>
    <x v="9"/>
  </r>
  <r>
    <s v="3566638312917786798"/>
    <s v=""/>
    <x v="14"/>
    <n v="0"/>
    <s v=""/>
    <s v="NULL"/>
    <x v="0"/>
    <s v="2026-08-21 07:47:50"/>
    <s v="2026-08-21 07:57:49"/>
    <s v="NULL"/>
    <s v="NULL"/>
    <s v="2026-08-21 09:57:49"/>
    <s v=""/>
    <s v="106.5724577"/>
    <s v="10.6514818"/>
    <s v="106.690788"/>
    <s v="10.793931"/>
    <n v="99576"/>
    <n v="0"/>
    <n v="99576"/>
    <s v="Cash"/>
    <s v="CTY mỹ phẩm trị liệu, Ba Trung, Phước Lý, Tây Ninh, Việt NamCTY mỹ phẩm trị liệu"/>
    <s v="Quận 1, Đường Trần Khắc Chân, Tân Định, Hồ Chí Minh, Việt NamQuận 1"/>
    <n v="1"/>
    <x v="1"/>
    <x v="13"/>
    <d v="1899-12-30T07:47:50"/>
    <x v="9"/>
  </r>
  <r>
    <s v="3566638312917787197"/>
    <s v=""/>
    <x v="14"/>
    <n v="0"/>
    <s v=""/>
    <s v="NULL"/>
    <x v="0"/>
    <s v="2026-08-21 07:49:48"/>
    <s v="2026-08-21 07:59:48"/>
    <s v="NULL"/>
    <s v="NULL"/>
    <s v="2026-08-21 09:59:48"/>
    <s v=""/>
    <s v="106.574113"/>
    <s v="10.646726"/>
    <s v="106.6727587"/>
    <s v="10.7604736"/>
    <n v="113508"/>
    <n v="0"/>
    <n v="113508"/>
    <s v="Cash"/>
    <s v="Kho Công ty TNHH G&amp;F Việt Nam, Ba Trung, Phước Lý, Tây Ninh, Việt NamKho Công ty TNHH G&amp;F Việt Nam"/>
    <s v="Quận 10, Đường Nguyễn Chí Thanh, An Đông, Hồ Chí Minh, Việt NamQuận 10"/>
    <n v="1"/>
    <x v="1"/>
    <x v="13"/>
    <d v="1899-12-30T07:49:48"/>
    <x v="4"/>
  </r>
  <r>
    <s v="3566638312917787444"/>
    <s v=""/>
    <x v="14"/>
    <n v="0"/>
    <s v=""/>
    <s v="NULL"/>
    <x v="0"/>
    <s v="2026-08-21 07:51:01"/>
    <s v="2026-08-21 08:01:01"/>
    <s v="NULL"/>
    <s v="NULL"/>
    <s v="2026-08-21 10:01:01"/>
    <s v=""/>
    <s v="106.4949754"/>
    <s v="10.6041049"/>
    <s v="106.6727587"/>
    <s v="10.7604736"/>
    <n v="179820"/>
    <n v="0"/>
    <n v="179820"/>
    <s v="Cash"/>
    <s v="Cty TNHH MTV Benkan Việt Nam 1, Đạo mỡ rộng, đường số 01, KCN Thuận, Long Cang, Tây Ninh, Việt NamCty TNHH MTV Benkan Việt Nam 1"/>
    <s v="Quận 10, Đường Nguyễn Chí Thanh, An Đông, Hồ Chí Minh, Việt NamQuận 10"/>
    <n v="1"/>
    <x v="1"/>
    <x v="13"/>
    <d v="1899-12-30T07:51:01"/>
    <x v="4"/>
  </r>
  <r>
    <s v="3566638312934560174"/>
    <s v=""/>
    <x v="14"/>
    <n v="0"/>
    <s v=""/>
    <s v="NULL"/>
    <x v="0"/>
    <s v="2026-08-21 07:53:57"/>
    <s v="2026-08-21 08:03:56"/>
    <s v="NULL"/>
    <s v="NULL"/>
    <s v="2026-08-21 10:03:56"/>
    <s v=""/>
    <s v="106.5094209"/>
    <s v="10.64068"/>
    <s v="106.6746036"/>
    <s v="10.7504578"/>
    <n v="152280"/>
    <n v="0"/>
    <n v="152280"/>
    <s v="Cash"/>
    <s v="TLT Electronics Vietnam, Đường Vĩnh Lộc 3 Voi Lá, KCN Vĩnh Lộc 2, Mỹ Yên, Tây Ninh, Việt NamTLT Electronics Vietnam"/>
    <s v="Quận 5, Trần Tuấn Khải, An Đông, Hồ Chí Minh, Việt NamQuận 5"/>
    <n v="1"/>
    <x v="1"/>
    <x v="13"/>
    <d v="1899-12-30T07:53:57"/>
    <x v="9"/>
  </r>
  <r>
    <s v="3566638312934560356"/>
    <s v=""/>
    <x v="14"/>
    <n v="0"/>
    <s v=""/>
    <s v="NULL"/>
    <x v="0"/>
    <s v="2026-08-21 07:54:51"/>
    <s v="2026-08-21 08:04:50"/>
    <s v="NULL"/>
    <s v="NULL"/>
    <s v="2026-08-21 10:04:50"/>
    <s v=""/>
    <s v="106.5094209"/>
    <s v="10.64068"/>
    <s v="106.6727587"/>
    <s v="10.7604736"/>
    <n v="155520"/>
    <n v="0"/>
    <n v="155520"/>
    <s v="Cash"/>
    <s v="TLT Electronics Vietnam, Đường Vĩnh Lộc 3 Voi Lá, KCN Vĩnh Lộc 2, Mỹ Yên, Tây Ninh, Việt NamTLT Electronics Vietnam"/>
    <s v="Quận 10, Đường Nguyễn Chí Thanh, An Đông, Hồ Chí Minh, Việt NamQuận 10"/>
    <n v="1"/>
    <x v="1"/>
    <x v="13"/>
    <d v="1899-12-30T07:54:51"/>
    <x v="9"/>
  </r>
  <r>
    <s v="3566639032500974552"/>
    <s v=""/>
    <x v="14"/>
    <n v="0"/>
    <s v=""/>
    <s v="NULL"/>
    <x v="0"/>
    <s v="2026-08-21 07:48:37"/>
    <s v="2026-08-21 07:58:36"/>
    <s v="NULL"/>
    <s v="NULL"/>
    <s v="2026-08-21 09:58:36"/>
    <s v=""/>
    <s v="106.5724577"/>
    <s v="10.6514818"/>
    <s v="106.6746036"/>
    <s v="10.7504578"/>
    <n v="108324"/>
    <n v="0"/>
    <n v="108324"/>
    <s v="Cash"/>
    <s v="CTY mỹ phẩm trị liệu, Ba Trung, Phước Lý, Tây Ninh, Việt NamCTY mỹ phẩm trị liệu"/>
    <s v="Quận 5, Trần Tuấn Khải, An Đông, Hồ Chí Minh, Việt NamQuận 5"/>
    <n v="1"/>
    <x v="1"/>
    <x v="13"/>
    <d v="1899-12-30T07:48:37"/>
    <x v="9"/>
  </r>
  <r>
    <s v="3566639032517747173"/>
    <s v=""/>
    <x v="14"/>
    <n v="0"/>
    <s v=""/>
    <s v="NULL"/>
    <x v="0"/>
    <s v="2026-08-21 07:50:49"/>
    <s v="2026-08-21 08:00:48"/>
    <s v="NULL"/>
    <s v="NULL"/>
    <s v="2026-08-21 10:00:48"/>
    <s v=""/>
    <s v="106.4949754"/>
    <s v="10.6041049"/>
    <s v="106.6393828"/>
    <s v="10.7697352"/>
    <n v="169776"/>
    <n v="0"/>
    <n v="169776"/>
    <s v="Cash"/>
    <s v="Cty TNHH MTV Benkan Việt Nam 1, Đạo mỡ rộng, đường số 01, KCN Thuận, Long Cang, Tây Ninh, Việt NamCty TNHH MTV Benkan Việt Nam 1"/>
    <s v="Quận 11, Đường Hòa Bình, Hòa Bình, Hồ Chí Minh, Việt NamQuận 11"/>
    <n v="1"/>
    <x v="1"/>
    <x v="13"/>
    <d v="1899-12-30T07:50:49"/>
    <x v="9"/>
  </r>
  <r>
    <s v="3566639686820786889"/>
    <s v=""/>
    <x v="14"/>
    <n v="4336533"/>
    <s v=""/>
    <s v="Motorcycle"/>
    <x v="2"/>
    <s v="2026-08-21 07:48:19"/>
    <s v="2026-08-21 07:58:18"/>
    <s v="2026-08-21 10:08:45"/>
    <s v="NULL"/>
    <s v=""/>
    <s v=""/>
    <s v="106.5724577"/>
    <s v="10.6514818"/>
    <s v="106.6989609"/>
    <s v="10.7469416"/>
    <n v="121608"/>
    <n v="94274"/>
    <n v="27334"/>
    <s v="Cash"/>
    <s v="CTY mỹ phẩm trị liệu, Ba Trung, Phước Lý, Tây Ninh, Việt NamCTY mỹ phẩm trị liệu"/>
    <s v="Quận 4 TP HCM, Tân Hưng, Hồ Chí Minh, Việt NamQuận 4 TP HCM"/>
    <n v="1"/>
    <x v="1"/>
    <x v="13"/>
    <d v="1899-12-30T07:48:19"/>
    <x v="14"/>
  </r>
  <r>
    <s v="3566639686837560047"/>
    <s v=""/>
    <x v="14"/>
    <n v="0"/>
    <s v=""/>
    <s v="NULL"/>
    <x v="0"/>
    <s v="2026-08-21 07:53:17"/>
    <s v="2026-08-21 08:03:16"/>
    <s v="NULL"/>
    <s v="NULL"/>
    <s v="2026-08-21 10:03:16"/>
    <s v=""/>
    <s v="106.5094209"/>
    <s v="10.64068"/>
    <s v="106.690788"/>
    <s v="10.793931"/>
    <n v="178632"/>
    <n v="0"/>
    <n v="178632"/>
    <s v="Cash"/>
    <s v="TLT Electronics Vietnam, Đường Vĩnh Lộc 3 Voi Lá, KCN Vĩnh Lộc 2, Mỹ Yên, Tây Ninh, Việt NamTLT Electronics Vietnam"/>
    <s v="Quận 1, Đường Trần Khắc Chân, Tân Định, Hồ Chí Minh, Việt NamQuận 1"/>
    <n v="1"/>
    <x v="1"/>
    <x v="13"/>
    <d v="1899-12-30T07:53:17"/>
    <x v="9"/>
  </r>
  <r>
    <s v="3566640593377652835"/>
    <s v=""/>
    <x v="14"/>
    <n v="0"/>
    <s v=""/>
    <s v="NULL"/>
    <x v="0"/>
    <s v="2026-08-21 07:46:25"/>
    <s v="2026-08-21 07:56:24"/>
    <s v="NULL"/>
    <s v="NULL"/>
    <s v="2026-08-21 09:56:24"/>
    <s v=""/>
    <s v="106.55364842043458"/>
    <s v="10.643670288115208"/>
    <s v="106.7482328"/>
    <s v="10.8008839"/>
    <n v="167400"/>
    <n v="0"/>
    <n v="167400"/>
    <s v="Cash"/>
    <s v="JHV3+QCP, Phước Lý, Tây Ninh, Việt NamJHV3+QCP, Phước Lý, Tây Ninh, Việt Nam"/>
    <s v="88 Đ. Số 24, Bình Trưng, Hồ Chí Minh 70000, Việt Nam88 Đ. Số 24, Bình Trưng, Hồ Chí Minh 70000, Việt Nam"/>
    <n v="1"/>
    <x v="1"/>
    <x v="13"/>
    <d v="1899-12-30T07:46:25"/>
    <x v="9"/>
  </r>
  <r>
    <s v="3566640593377653448"/>
    <s v=""/>
    <x v="14"/>
    <n v="4707501"/>
    <s v=""/>
    <s v="Motorcycle"/>
    <x v="2"/>
    <s v="2026-08-21 07:49:33"/>
    <s v="2026-08-21 07:59:32"/>
    <s v="2026-08-21 08:52:58"/>
    <s v="NULL"/>
    <s v=""/>
    <s v=""/>
    <s v="106.574113"/>
    <s v="10.646726"/>
    <s v="106.6536587"/>
    <s v="10.7295791"/>
    <n v="92880"/>
    <n v="72003"/>
    <n v="20877"/>
    <s v="Cash"/>
    <s v="Kho Công ty TNHH G&amp;F Việt Nam, Ba Trung, Phước Lý, Tây Ninh, Việt NamKho Công ty TNHH G&amp;F Việt Nam"/>
    <s v="Quận 8, Đường Số 18, Ấp 2, Bình Hưng, Hồ Chí Minh, Việt NamQuận 8"/>
    <n v="1"/>
    <x v="1"/>
    <x v="13"/>
    <d v="1899-12-30T07:49:33"/>
    <x v="14"/>
  </r>
  <r>
    <s v="3566640593394426640"/>
    <s v=""/>
    <x v="14"/>
    <n v="0"/>
    <s v=""/>
    <s v="NULL"/>
    <x v="0"/>
    <s v="2026-08-21 07:55:04"/>
    <s v="2026-08-21 08:05:03"/>
    <s v="NULL"/>
    <s v="NULL"/>
    <s v="2026-08-21 10:05:03"/>
    <s v=""/>
    <s v="106.5094209"/>
    <s v="10.64068"/>
    <s v="106.6393828"/>
    <s v="10.7697352"/>
    <n v="181548"/>
    <n v="0"/>
    <n v="181548"/>
    <s v="Cash"/>
    <s v="TLT Electronics Vietnam, Đường Vĩnh Lộc 3 Voi Lá, KCN Vĩnh Lộc 2, Mỹ Yên, Tây Ninh, Việt NamTLT Electronics Vietnam"/>
    <s v="Quận 11, Đường Hòa Bình, Hòa Bình, Hồ Chí Minh, Việt NamQuận 11"/>
    <n v="1"/>
    <x v="1"/>
    <x v="13"/>
    <d v="1899-12-30T07:55:04"/>
    <x v="9"/>
  </r>
  <r>
    <s v="3566644724498657425"/>
    <s v=""/>
    <x v="14"/>
    <n v="0"/>
    <s v=""/>
    <s v="NULL"/>
    <x v="0"/>
    <s v="2026-08-21 07:54:09"/>
    <s v="2026-08-21 08:04:08"/>
    <s v="NULL"/>
    <s v="NULL"/>
    <s v="2026-08-21 10:04:08"/>
    <s v=""/>
    <s v="106.5094209"/>
    <s v="10.64068"/>
    <s v="106.6408802"/>
    <s v="10.7471372"/>
    <n v="166212"/>
    <n v="0"/>
    <n v="166212"/>
    <s v="Cash"/>
    <s v="TLT Electronics Vietnam, Đường Vĩnh Lộc 3 Voi Lá, KCN Vĩnh Lộc 2, Mỹ Yên, Tây Ninh, Việt NamTLT Electronics Vietnam"/>
    <s v="Quận 6, Đường Phan Văn Khỏe, Bình Tây, Hồ Chí Minh, Việt NamQuận 6"/>
    <n v="1"/>
    <x v="1"/>
    <x v="13"/>
    <d v="1899-12-30T07:54:09"/>
    <x v="9"/>
  </r>
  <r>
    <s v="3567350015657730518"/>
    <s v=""/>
    <x v="15"/>
    <n v="0"/>
    <s v=""/>
    <s v="NULL"/>
    <x v="0"/>
    <s v="2026-08-22 07:38:14"/>
    <s v="2026-08-22 07:48:14"/>
    <s v="NULL"/>
    <s v="NULL"/>
    <s v="2026-08-22 09:48:14"/>
    <s v=""/>
    <s v="106.4989851"/>
    <s v="10.6100853"/>
    <s v="106.7550816"/>
    <s v="10.9058533"/>
    <n v="230580"/>
    <n v="0"/>
    <n v="230580"/>
    <s v="Cash"/>
    <s v="OKIA OPTICAL VIETNAM, Long Cang, Tây Ninh, Việt NamOKIA OPTICAL VIETNAM"/>
    <s v="Công ty bất động sản Phú Thượng-TP Dĩ An-Bình Dương, Khu Phố Thống Nhất 1, Dĩ An, Hồ Chí Minh, Việt NamCông ty bất động sản Phú Thượng-TP Dĩ An-Bình Dương"/>
    <n v="1"/>
    <x v="1"/>
    <x v="14"/>
    <d v="1899-12-30T07:38:14"/>
    <x v="4"/>
  </r>
  <r>
    <s v="3567351250418881472"/>
    <s v=""/>
    <x v="15"/>
    <n v="2852976"/>
    <s v=""/>
    <s v="Motorcycle"/>
    <x v="1"/>
    <s v="2026-08-22 07:35:30"/>
    <s v="2026-08-22 07:45:29"/>
    <s v="2026-08-22 07:55:31"/>
    <s v="NULL"/>
    <s v="2026-08-22 07:58:18"/>
    <s v=""/>
    <s v="106.4951938"/>
    <s v="10.6017891"/>
    <s v="106.8272646"/>
    <s v="11.0918947"/>
    <n v="338796"/>
    <n v="278095"/>
    <n v="60701"/>
    <s v="Cash"/>
    <s v="Công ty TNHH Quick Pack Việt Nam, Đường Số 13, KCN Thuận Đạo mở rộng, Long Cang, Tây Ninh, Việt NamCông ty TNHH Quick Pack Việt Nam"/>
    <s v="Công ty CP khoáng sản XD Tân Uyên Fico, Bắc Tân Uyên, Hồ Chí Minh, Việt NamCông ty CP khoáng sản XD Tân Uyên Fico"/>
    <n v="1"/>
    <x v="1"/>
    <x v="14"/>
    <d v="1899-12-30T07:35:30"/>
    <x v="512"/>
  </r>
  <r>
    <s v="3567352224084611929"/>
    <s v=""/>
    <x v="15"/>
    <n v="2852976"/>
    <s v=""/>
    <s v="Motorcycle"/>
    <x v="1"/>
    <s v="2026-08-22 07:36:07"/>
    <s v="2026-08-22 07:46:07"/>
    <s v="2026-08-22 07:36:29"/>
    <s v="NULL"/>
    <s v="2026-08-22 07:40:46"/>
    <s v=""/>
    <s v="106.4951938"/>
    <s v="10.6017891"/>
    <s v="106.6752891"/>
    <s v="10.9807104"/>
    <n v="253692"/>
    <n v="208239"/>
    <n v="45453"/>
    <s v="Cash"/>
    <s v="Công ty TNHH Quick Pack Việt Nam, Đường Số 13, KCN Thuận Đạo mở rộng, Long Cang, Tây Ninh, Việt NamCông ty TNHH Quick Pack Việt Nam"/>
    <s v="Thu Dau Mot University, Trần Văn Ơn, Phú Lợi, Hồ Chí Minh, Việt NamThu Dau Mot University"/>
    <n v="1"/>
    <x v="1"/>
    <x v="14"/>
    <d v="1899-12-30T07:36:07"/>
    <x v="513"/>
  </r>
  <r>
    <s v="3567352224101397019"/>
    <s v=""/>
    <x v="15"/>
    <n v="0"/>
    <s v=""/>
    <s v="NULL"/>
    <x v="0"/>
    <s v="2026-08-22 07:40:07"/>
    <s v="2026-08-22 07:50:07"/>
    <s v="NULL"/>
    <s v="NULL"/>
    <s v="2026-08-22 10:28:45"/>
    <s v=""/>
    <s v="106.4989851"/>
    <s v="10.6100853"/>
    <s v="106.7905535"/>
    <s v="10.8080538"/>
    <n v="199800"/>
    <n v="0"/>
    <n v="199800"/>
    <s v="Cash"/>
    <s v="OKIA OPTICAL VIETNAM, Long Cang, Tây Ninh, Việt NamOKIA OPTICAL VIETNAM"/>
    <s v="Công ty TNHH TV-TK-XD Phát Minh - Văn phòng Quận 9, Đường 18 tổ 8, Khu Phố 6, Phước Long, Hồ Chí Minh, Việt NamCông ty TNHH TV-TK-XD Phát Minh - Văn phòng Quận 9"/>
    <n v="1"/>
    <x v="1"/>
    <x v="14"/>
    <d v="1899-12-30T07:40:07"/>
    <x v="514"/>
  </r>
  <r>
    <s v="3567352224101397156"/>
    <s v=""/>
    <x v="15"/>
    <n v="0"/>
    <s v=""/>
    <s v="NULL"/>
    <x v="0"/>
    <s v="2026-08-22 07:41:00"/>
    <s v="2026-08-22 07:51:00"/>
    <s v="NULL"/>
    <s v="NULL"/>
    <s v="2026-08-22 09:51:01"/>
    <s v=""/>
    <s v="106.4989851"/>
    <s v="10.6100853"/>
    <s v="106.59451326906436"/>
    <s v="10.886614650784228"/>
    <n v="187380"/>
    <n v="0"/>
    <n v="187380"/>
    <s v="Cash"/>
    <s v="OKIA OPTICAL VIETNAM, Long Cang, Tây Ninh, Việt NamOKIA OPTICAL VIETNAM"/>
    <s v="3D 70, Tổ 14, Hóc Môn, Hồ Chí Minh, Việt Nam3D 70, Tổ 14, Hóc Môn, Hồ Chí Minh, Việt Nam"/>
    <n v="1"/>
    <x v="1"/>
    <x v="14"/>
    <d v="1899-12-30T07:41:00"/>
    <x v="0"/>
  </r>
  <r>
    <s v="3567356205947113827"/>
    <s v=""/>
    <x v="15"/>
    <n v="0"/>
    <s v=""/>
    <s v="NULL"/>
    <x v="0"/>
    <s v="2026-08-22 07:39:07"/>
    <s v="2026-08-22 07:49:07"/>
    <s v="NULL"/>
    <s v="NULL"/>
    <s v="2026-08-22 11:45:30"/>
    <s v=""/>
    <s v="106.4989851"/>
    <s v="10.6100853"/>
    <s v="106.8557943"/>
    <s v="10.899171"/>
    <n v="252072"/>
    <n v="0"/>
    <n v="252072"/>
    <s v="Cash"/>
    <s v="OKIA OPTICAL VIETNAM, Long Cang, Tây Ninh, Việt NamOKIA OPTICAL VIETNAM"/>
    <s v="Công Ty Tnhh Một Thành Viên Long Thành Tuấn, Quốc lộ 51, Ấp 2, Long Hưng, Đồng Nai, Việt NamCông Ty Tnhh Một Thành Viên Long Thành Tuấn"/>
    <n v="1"/>
    <x v="1"/>
    <x v="14"/>
    <d v="1899-12-30T07:39:07"/>
    <x v="515"/>
  </r>
  <r>
    <s v="3567357702399283295"/>
    <s v=""/>
    <x v="15"/>
    <n v="0"/>
    <s v=""/>
    <s v="NULL"/>
    <x v="0"/>
    <s v="2026-08-22 07:39:48"/>
    <s v="2026-08-22 07:49:48"/>
    <s v="NULL"/>
    <s v="NULL"/>
    <s v="2026-08-22 09:49:48"/>
    <s v=""/>
    <s v="106.4989851"/>
    <s v="10.6100853"/>
    <s v="106.8203904"/>
    <s v="10.8058417"/>
    <n v="205740"/>
    <n v="0"/>
    <n v="205740"/>
    <s v="Cash"/>
    <s v="OKIA OPTICAL VIETNAM, Long Cang, Tây Ninh, Việt NamOKIA OPTICAL VIETNAM"/>
    <s v="Công Ty Cổ Phần Du Lịch Và Truyền Thông Thủ Đức, Đường Nguyễn Duy Trinh, Khu phố 3, Long Trường, Hồ Chí Minh, Việt NamCông Ty Cổ Phần Du Lịch Và Truyền Thông Thủ Đức"/>
    <n v="1"/>
    <x v="1"/>
    <x v="14"/>
    <d v="1899-12-30T07:39:48"/>
    <x v="4"/>
  </r>
  <r>
    <s v="3567357702416069349"/>
    <s v=""/>
    <x v="15"/>
    <n v="2744899"/>
    <s v=""/>
    <s v="Motorcycle"/>
    <x v="2"/>
    <s v="2026-08-22 07:49:02"/>
    <s v="2026-08-22 07:59:02"/>
    <s v="2026-08-23 07:32:41"/>
    <s v="NULL"/>
    <s v=""/>
    <s v=""/>
    <s v="106.55292935001218"/>
    <s v="10.644634180666616"/>
    <s v="106.7550816"/>
    <s v="10.9058533"/>
    <n v="189324"/>
    <n v="146770"/>
    <n v="42554"/>
    <s v="Cash"/>
    <s v="JHV3+QCP, Phước Lý, Tây Ninh, Việt NamJHV3+QCP, Phước Lý, Tây Ninh, Việt Nam"/>
    <s v="Công ty bất động sản Phú Thượng-TP Dĩ An-Bình Dương, Khu Phố Thống Nhất 1, Dĩ An, Hồ Chí Minh, Việt NamCông ty bất động sản Phú Thượng-TP Dĩ An-Bình Dương"/>
    <n v="1"/>
    <x v="1"/>
    <x v="14"/>
    <d v="1899-12-30T07:49:02"/>
    <x v="14"/>
  </r>
  <r>
    <s v="3567360007613931667"/>
    <s v=""/>
    <x v="15"/>
    <n v="0"/>
    <s v=""/>
    <s v="NULL"/>
    <x v="0"/>
    <s v="2026-08-22 07:44:00"/>
    <s v="2026-08-22 07:53:59"/>
    <s v="NULL"/>
    <s v="NULL"/>
    <s v="2026-08-22 10:12:02"/>
    <s v=""/>
    <s v="106.5126803"/>
    <s v="10.6193428"/>
    <s v="106.7550816"/>
    <s v="10.9058533"/>
    <n v="211356"/>
    <n v="0"/>
    <n v="211356"/>
    <s v="Cash"/>
    <s v="TQT TEXTILE J.S.C, Đ. Số 1, KCN Phúc Long, Mỹ Yên, Tây Ninh, Việt NamTQT TEXTILE J.S.C"/>
    <s v="Công ty bất động sản Phú Thượng-TP Dĩ An-Bình Dương, Khu Phố Thống Nhất 1, Dĩ An, Hồ Chí Minh, Việt NamCông ty bất động sản Phú Thượng-TP Dĩ An-Bình Dương"/>
    <n v="1"/>
    <x v="1"/>
    <x v="14"/>
    <d v="1899-12-30T07:44:00"/>
    <x v="516"/>
  </r>
  <r>
    <s v="3567360087775469792"/>
    <s v=""/>
    <x v="15"/>
    <n v="3746341"/>
    <s v=""/>
    <s v="Motorcycle"/>
    <x v="1"/>
    <s v="2026-08-22 07:38:33"/>
    <s v="2026-08-22 07:48:33"/>
    <s v="2026-08-22 07:42:28"/>
    <s v="NULL"/>
    <s v="2026-08-22 07:46:24"/>
    <s v=""/>
    <s v="106.4989851"/>
    <s v="10.6100853"/>
    <s v="106.8708835"/>
    <s v="10.9513205"/>
    <n v="274104"/>
    <n v="224994"/>
    <n v="49110"/>
    <s v="Cash"/>
    <s v="OKIA OPTICAL VIETNAM, Long Cang, Tây Ninh, Việt NamOKIA OPTICAL VIETNAM"/>
    <s v="Công ty Mesa - Biên Hòa, Đường Đồng Khởi, Tam Hiệp, Đồng Nai, Việt NamCông ty Mesa - Biên Hòa"/>
    <n v="1"/>
    <x v="1"/>
    <x v="14"/>
    <d v="1899-12-30T07:38:33"/>
    <x v="517"/>
  </r>
  <r>
    <s v="3567360087792243263"/>
    <s v=""/>
    <x v="15"/>
    <n v="0"/>
    <s v=""/>
    <s v="NULL"/>
    <x v="0"/>
    <s v="2026-08-22 07:46:41"/>
    <s v="2026-08-22 07:56:41"/>
    <s v="NULL"/>
    <s v="NULL"/>
    <s v="2026-08-22 10:14:26"/>
    <s v=""/>
    <s v="106.5039447"/>
    <s v="10.6433253"/>
    <s v="106.5943345"/>
    <s v="10.8867196"/>
    <n v="129168"/>
    <n v="0"/>
    <n v="129168"/>
    <s v="Cash"/>
    <s v="Công Ty Cổ Phần Nosafood - Nhà máy Bến Lức, Đường VL7, KCN Vĩnh Lộc 2 X, Mỹ Yên, Tây Ninh, Việt NamCông Ty Cổ Phần Nosafood - Nhà máy Bến Lức"/>
    <s v="3D 70, Tổ 14, Hóc Môn, Hồ Chí Minh, Việt Nam3D 70, Tổ 14, Hóc Môn, Hồ Chí Minh, Việt Nam"/>
    <n v="1"/>
    <x v="1"/>
    <x v="14"/>
    <d v="1899-12-30T07:46:41"/>
    <x v="518"/>
  </r>
  <r>
    <s v="3567360087792243503"/>
    <s v=""/>
    <x v="15"/>
    <n v="4177117"/>
    <s v=""/>
    <s v="Motorcycle"/>
    <x v="2"/>
    <s v="2026-08-22 07:48:02"/>
    <s v="2026-08-22 07:58:02"/>
    <s v="2026-08-22 10:23:07"/>
    <s v="2026-08-22 10:32:50"/>
    <s v=""/>
    <s v=""/>
    <s v="106.5161509"/>
    <s v="10.6456886"/>
    <s v="106.8272646"/>
    <s v="11.0918947"/>
    <n v="314496"/>
    <n v="243807"/>
    <n v="70689"/>
    <s v="Cash"/>
    <s v="Công ty Cổ Phần In DICA, Đường VL1, KCN Vĩnh Lộc 2, Mỹ Yên, Tây Ninh, Việt NamCông ty Cổ Phần In DICA"/>
    <s v="Công ty CP khoáng sản XD Tân Uyên Fico, Bắc Tân Uyên, Hồ Chí Minh, Việt NamCông ty CP khoáng sản XD Tân Uyên Fico"/>
    <n v="1"/>
    <x v="1"/>
    <x v="14"/>
    <d v="1899-12-30T07:48:02"/>
    <x v="14"/>
  </r>
  <r>
    <s v="3567360087792243644"/>
    <s v=""/>
    <x v="15"/>
    <n v="4436641"/>
    <s v=""/>
    <s v="Motorcycle"/>
    <x v="2"/>
    <s v="2026-08-22 07:48:48"/>
    <s v="2026-08-22 07:58:48"/>
    <s v="2026-08-22 09:08:11"/>
    <s v="2026-08-22 09:24:32"/>
    <s v=""/>
    <s v=""/>
    <s v="106.55292935001218"/>
    <s v="10.644634180666616"/>
    <s v="106.7369988"/>
    <s v="10.9322267"/>
    <n v="195372"/>
    <n v="151459"/>
    <n v="43913"/>
    <s v="Cash"/>
    <s v="JHV3+QCP, Phước Lý, Tây Ninh, Việt NamJHV3+QCP, Phước Lý, Tây Ninh, Việt Nam"/>
    <s v="Công ty vinata 19 đường số 10. Kcn vsip1. Thuận an. Bình Dương, Đường số 10, An Phú, Hồ Chí Minh, Việt NamCông ty vinata 19 đường số 10. Kcn vsip1. Thuận an. Bình Dương"/>
    <n v="1"/>
    <x v="1"/>
    <x v="14"/>
    <d v="1899-12-30T07:48:48"/>
    <x v="14"/>
  </r>
  <r>
    <s v="3567361691375325324"/>
    <s v=""/>
    <x v="15"/>
    <n v="0"/>
    <s v=""/>
    <s v="NULL"/>
    <x v="0"/>
    <s v="2026-08-22 07:40:39"/>
    <s v="2026-08-22 07:50:39"/>
    <s v="NULL"/>
    <s v="NULL"/>
    <s v="2026-08-22 10:29:19"/>
    <s v=""/>
    <s v="106.4989851"/>
    <s v="10.6100853"/>
    <s v="106.702825"/>
    <s v="10.8135113"/>
    <n v="166752"/>
    <n v="0"/>
    <n v="166752"/>
    <s v="Cash"/>
    <s v="OKIA OPTICAL VIETNAM, Long Cang, Tây Ninh, Việt NamOKIA OPTICAL VIETNAM"/>
    <s v="Bình Thạnh, Hồ Chí Minh, Việt NamBình Thạnh"/>
    <n v="1"/>
    <x v="1"/>
    <x v="14"/>
    <d v="1899-12-30T07:40:39"/>
    <x v="197"/>
  </r>
  <r>
    <s v="3567361691375325529"/>
    <s v=""/>
    <x v="15"/>
    <n v="0"/>
    <s v=""/>
    <s v="NULL"/>
    <x v="0"/>
    <s v="2026-08-22 07:41:52"/>
    <s v="2026-08-22 07:51:52"/>
    <s v="NULL"/>
    <s v="NULL"/>
    <s v="2026-08-22 11:00:59"/>
    <s v=""/>
    <s v="106.4989851"/>
    <s v="10.6100853"/>
    <s v="106.6386753050018"/>
    <s v="10.808764646155904"/>
    <n v="137700"/>
    <n v="0"/>
    <n v="137700"/>
    <s v="Cash"/>
    <s v="OKIA OPTICAL VIETNAM, Long Cang, Tây Ninh, Việt NamOKIA OPTICAL VIETNAM"/>
    <s v="119 C12, Tân Sơn, Hồ Chí Minh, Việt Nam119 C12, Tân Sơn, Hồ Chí Minh, Việt Nam"/>
    <n v="1"/>
    <x v="1"/>
    <x v="14"/>
    <d v="1899-12-30T07:41:52"/>
    <x v="519"/>
  </r>
  <r>
    <s v="3567361691375326109"/>
    <s v=""/>
    <x v="15"/>
    <n v="1240099"/>
    <s v=""/>
    <s v="Motorcycle"/>
    <x v="2"/>
    <s v="2026-08-22 07:45:15"/>
    <s v="2026-08-22 07:55:14"/>
    <s v="2026-08-22 10:23:58"/>
    <s v="2026-08-22 10:40:22"/>
    <s v=""/>
    <s v=""/>
    <s v="106.5139871"/>
    <s v="10.6277752"/>
    <s v="106.7905535"/>
    <s v="10.8080538"/>
    <n v="253476"/>
    <n v="196503"/>
    <n v="56973"/>
    <s v="Cash"/>
    <s v="CÔNG TY TNHH ISHIKAWA KIKOU VIỆT NAM, Đường Số 13, KCN Phúc Long, Mỹ Yên, Tây Ninh, Việt NamCÔNG TY TNHH ISHIKAWA KIKOU VIỆT NAM"/>
    <s v="Công ty TNHH TV-TK-XD Phát Minh - Văn phòng Quận 9, Đường 18 tổ 8, Khu Phố 6, Phước Long, Hồ Chí Minh, Việt NamCông ty TNHH TV-TK-XD Phát Minh - Văn phòng Quận 9"/>
    <n v="1"/>
    <x v="1"/>
    <x v="14"/>
    <d v="1899-12-30T07:45:15"/>
    <x v="14"/>
  </r>
  <r>
    <s v="3567361691400499718"/>
    <s v=""/>
    <x v="15"/>
    <n v="3531594"/>
    <s v=""/>
    <s v="Motorcycle"/>
    <x v="2"/>
    <s v="2026-08-22 07:50:19"/>
    <s v="2026-08-22 08:00:19"/>
    <s v="2026-08-22 09:20:09"/>
    <s v="NULL"/>
    <s v=""/>
    <s v=""/>
    <s v="106.55910915958249"/>
    <s v="10.645055948837653"/>
    <s v="106.7325363"/>
    <s v="10.7939132"/>
    <n v="155628"/>
    <n v="120648"/>
    <n v="34980"/>
    <s v="Cash"/>
    <s v="JHV5+W9X, ĐT835B, Phước Lý, Tây Ninh 82511, Việt NamJHV5+W9X, ĐT835B, Phước Lý, Tây Ninh 82511, Việt Nam"/>
    <s v="Đ. 9/15 Hẻm 41, Khu Phố 4, An Khánh, Hồ Chí Minh, Việt NamĐ. 9/15 Hẻm 41, Khu Phố 4, An Khánh, Hồ Chí Minh, Việt Nam"/>
    <n v="1"/>
    <x v="1"/>
    <x v="14"/>
    <d v="1899-12-30T07:50:19"/>
    <x v="14"/>
  </r>
  <r>
    <s v="3567362746242785368"/>
    <s v=""/>
    <x v="15"/>
    <n v="0"/>
    <s v=""/>
    <s v="NULL"/>
    <x v="0"/>
    <s v="2026-08-22 07:42:25"/>
    <s v="2026-08-22 07:52:25"/>
    <s v="NULL"/>
    <s v="NULL"/>
    <s v="2026-08-22 09:52:25"/>
    <s v=""/>
    <s v="106.4929753"/>
    <s v="10.6058762"/>
    <s v="106.6320003"/>
    <s v="11.1229655"/>
    <n v="331668"/>
    <n v="0"/>
    <n v="331668"/>
    <s v="Cash"/>
    <s v="SHUNDAO (VIETNAM) INDUSTRIAL COMPANY LIMITED, Đường số 10, Khu công nghiệp Thuận Đạomở rộng, Long Cang, Tây Ninh, Việt NamSHUNDAO (VIETNAM) INDUSTRIAL COMPANY LIMITED"/>
    <s v="Công Ty TNHH Yakult Việt Nam Tại Bình Dương - Cửa Hàng Bến Cát, Khu phố 6, Chánh Phú Hòa, Thới Hòa, Hồ Chí Minh, Việt NamCông Ty TNHH Yakult Việt Nam Tại Bình Dương - Cửa Hàng Bến Cát"/>
    <n v="1"/>
    <x v="1"/>
    <x v="14"/>
    <d v="1899-12-30T07:42:25"/>
    <x v="4"/>
  </r>
  <r>
    <s v="3567362746242785440"/>
    <s v=""/>
    <x v="15"/>
    <n v="0"/>
    <s v=""/>
    <s v="NULL"/>
    <x v="0"/>
    <s v="2026-08-22 07:43:01"/>
    <s v="2026-08-22 07:53:01"/>
    <s v="NULL"/>
    <s v="NULL"/>
    <s v="2026-08-22 09:53:01"/>
    <s v=""/>
    <s v="106.4929753"/>
    <s v="10.6058762"/>
    <s v="106.6752891"/>
    <s v="10.9807104"/>
    <n v="250884"/>
    <n v="0"/>
    <n v="250884"/>
    <s v="Cash"/>
    <s v="SHUNDAO (VIETNAM) INDUSTRIAL COMPANY LIMITED, Đường số 10, Khu công nghiệp Thuận Đạomở rộng, Long Cang, Tây Ninh, Việt NamSHUNDAO (VIETNAM) INDUSTRIAL COMPANY LIMITED"/>
    <s v="Thu Dau Mot University, Trần Văn Ơn, Phú Lợi, Hồ Chí Minh, Việt NamThu Dau Mot University"/>
    <n v="1"/>
    <x v="1"/>
    <x v="14"/>
    <d v="1899-12-30T07:43:01"/>
    <x v="4"/>
  </r>
  <r>
    <s v="3567362746242785809"/>
    <s v=""/>
    <x v="15"/>
    <n v="0"/>
    <s v=""/>
    <s v="NULL"/>
    <x v="0"/>
    <s v="2026-08-22 07:45:01"/>
    <s v="2026-08-22 07:55:01"/>
    <s v="NULL"/>
    <s v="NULL"/>
    <s v="2026-08-22 09:55:01"/>
    <s v=""/>
    <s v="106.5139871"/>
    <s v="10.6277752"/>
    <s v="106.8203904"/>
    <s v="10.8058417"/>
    <n v="190188"/>
    <n v="0"/>
    <n v="190188"/>
    <s v="Cash"/>
    <s v="CÔNG TY TNHH ISHIKAWA KIKOU VIỆT NAM, Đường Số 13, KCN Phúc Long, Mỹ Yên, Tây Ninh, Việt NamCÔNG TY TNHH ISHIKAWA KIKOU VIỆT NAM"/>
    <s v="Công Ty Cổ Phần Du Lịch Và Truyền Thông Thủ Đức, Đường Nguyễn Duy Trinh, Khu phố 3, Long Trường, Hồ Chí Minh, Việt NamCông Ty Cổ Phần Du Lịch Và Truyền Thông Thủ Đức"/>
    <n v="1"/>
    <x v="1"/>
    <x v="14"/>
    <d v="1899-12-30T07:45:01"/>
    <x v="4"/>
  </r>
  <r>
    <s v="3567363416710668384"/>
    <s v=""/>
    <x v="15"/>
    <n v="4821817"/>
    <s v=""/>
    <s v="Motorcycle"/>
    <x v="2"/>
    <s v="2026-08-22 07:44:24"/>
    <s v="2026-08-22 07:54:23"/>
    <s v="2026-08-22 10:05:26"/>
    <s v="NULL"/>
    <s v=""/>
    <s v=""/>
    <s v="106.5126803"/>
    <s v="10.6193428"/>
    <s v="106.8557943"/>
    <s v="10.899171"/>
    <n v="232956"/>
    <n v="180595"/>
    <n v="52361"/>
    <s v="Cash"/>
    <s v="TQT TEXTILE J.S.C, Đ. Số 1, KCN Phúc Long, Mỹ Yên, Tây Ninh, Việt NamTQT TEXTILE J.S.C"/>
    <s v="Công Ty Tnhh Một Thành Viên Long Thành Tuấn, Quốc lộ 51, Ấp 2, Long Hưng, Đồng Nai, Việt NamCông Ty Tnhh Một Thành Viên Long Thành Tuấn"/>
    <n v="1"/>
    <x v="1"/>
    <x v="14"/>
    <d v="1899-12-30T07:44:24"/>
    <x v="14"/>
  </r>
  <r>
    <s v="3567381519184122576"/>
    <s v=""/>
    <x v="15"/>
    <n v="0"/>
    <s v=""/>
    <s v="NULL"/>
    <x v="0"/>
    <s v="2026-08-22 08:21:35"/>
    <s v="2026-08-22 08:31:34"/>
    <s v="NULL"/>
    <s v="NULL"/>
    <s v="2026-08-22 10:31:34"/>
    <s v=""/>
    <s v="106.4951938"/>
    <s v="10.6017891"/>
    <s v="106.6408802"/>
    <s v="10.7471372"/>
    <n v="170316"/>
    <n v="0"/>
    <n v="170316"/>
    <s v="Cash"/>
    <s v="Công ty TNHH Quick Pack Việt Nam, Đường Số 13, KCN Thuận Đạo mở rộng, Long Cang, Tây Ninh, Việt NamCông ty TNHH Quick Pack Việt Nam"/>
    <s v="Quận 6, Đường Phan Văn Khỏe, Bình Tây, Hồ Chí Minh, Việt NamQuận 6"/>
    <n v="1"/>
    <x v="1"/>
    <x v="14"/>
    <d v="1899-12-30T08:21:35"/>
    <x v="9"/>
  </r>
  <r>
    <s v="3567382784832131152"/>
    <s v=""/>
    <x v="15"/>
    <n v="0"/>
    <s v=""/>
    <s v="NULL"/>
    <x v="0"/>
    <s v="2026-08-22 08:24:56"/>
    <s v="2026-08-22 08:34:55"/>
    <s v="NULL"/>
    <s v="NULL"/>
    <s v="2026-08-22 10:34:55"/>
    <s v=""/>
    <s v="106.4951938"/>
    <s v="10.6017891"/>
    <s v="106.6565005"/>
    <s v="10.7722764"/>
    <n v="180252"/>
    <n v="0"/>
    <n v="180252"/>
    <s v="Cash"/>
    <s v="Công ty TNHH Quick Pack Việt Nam, Đường Số 13, KCN Thuận Đạo mở rộng, Long Cang, Tây Ninh, Việt NamCông ty TNHH Quick Pack Việt Nam"/>
    <s v="Công Ty Dv Công Ích Quận 11, Đường Số 2, Phú Thọ, Hồ Chí Minh, Việt NamCông Ty Dv Công Ích Quận 11"/>
    <n v="1"/>
    <x v="1"/>
    <x v="14"/>
    <d v="1899-12-30T08:24:56"/>
    <x v="9"/>
  </r>
  <r>
    <s v="3567382897709245008"/>
    <s v=""/>
    <x v="15"/>
    <n v="0"/>
    <s v=""/>
    <s v="NULL"/>
    <x v="0"/>
    <s v="2026-08-22 08:20:04"/>
    <s v="2026-08-22 08:30:03"/>
    <s v="NULL"/>
    <s v="NULL"/>
    <s v="2026-08-22 10:30:03"/>
    <s v=""/>
    <s v="106.4951938"/>
    <s v="10.6017891"/>
    <s v="106.7293479"/>
    <s v="10.7869031"/>
    <n v="212976"/>
    <n v="0"/>
    <n v="212976"/>
    <s v="Cash"/>
    <s v="Công ty TNHH Quick Pack Việt Nam, Đường Số 13, KCN Thuận Đạo mở rộng, Long Cang, Tây Ninh, Việt NamCông ty TNHH Quick Pack Việt Nam"/>
    <s v="Công Ty Tnhh, Trần Não, Quận 2, An Khánh, Hồ Chí Minh, Việt NamCông Ty Tnhh"/>
    <n v="1"/>
    <x v="1"/>
    <x v="14"/>
    <d v="1899-12-30T08:20:04"/>
    <x v="9"/>
  </r>
  <r>
    <s v="3567382897751192340"/>
    <s v=""/>
    <x v="15"/>
    <n v="2623584"/>
    <s v=""/>
    <s v="Motorcycle"/>
    <x v="2"/>
    <s v="2026-08-22 08:27:08"/>
    <s v="2026-08-22 08:37:07"/>
    <s v="2026-08-22 10:39:21"/>
    <s v="2026-08-22 10:55:32"/>
    <s v=""/>
    <s v=""/>
    <s v="106.5161509"/>
    <s v="10.6456886"/>
    <s v="106.6776275"/>
    <s v="10.7577667"/>
    <n v="162972"/>
    <n v="126341"/>
    <n v="36631"/>
    <s v="Cash"/>
    <s v="Công ty Cổ Phần In DICA, Đường VL1, KCN Vĩnh Lộc 2, Mỹ Yên, Tây Ninh, Việt NamCông ty Cổ Phần In DICA"/>
    <s v="Công Ty Tnhh Mtv Dịch Vụ Công Ích Quận 5, Đường Lê Hồng Phong, Chợ Quán, Hồ Chí Minh, Việt NamCông Ty Tnhh Mtv Dịch Vụ Công Ích Quận 5"/>
    <n v="1"/>
    <x v="1"/>
    <x v="14"/>
    <d v="1899-12-30T08:27:08"/>
    <x v="14"/>
  </r>
  <r>
    <s v="3567383720371638490"/>
    <s v=""/>
    <x v="15"/>
    <n v="0"/>
    <s v=""/>
    <s v="NULL"/>
    <x v="0"/>
    <s v="2026-08-22 08:20:39"/>
    <s v="2026-08-22 08:30:38"/>
    <s v="NULL"/>
    <s v="NULL"/>
    <s v="2026-08-22 10:30:38"/>
    <s v=""/>
    <s v="106.4951938"/>
    <s v="10.6017891"/>
    <s v="106.6823683"/>
    <s v="10.7801292"/>
    <n v="192780"/>
    <n v="0"/>
    <n v="192780"/>
    <s v="Cash"/>
    <s v="Công ty TNHH Quick Pack Việt Nam, Đường Số 13, KCN Thuận Đạo mở rộng, Long Cang, Tây Ninh, Việt NamCông ty TNHH Quick Pack Việt Nam"/>
    <s v="CÔNG TY CỔ PHẦN THƯƠNG MẠI DỊCH VỤ QUẬN 3, Lý Chính Thắng, Nhiêu Lộc, Hồ Chí Minh, Việt NamCÔNG TY CỔ PHẦN THƯƠNG MẠI DỊCH VỤ QUẬN 3"/>
    <n v="1"/>
    <x v="1"/>
    <x v="14"/>
    <d v="1899-12-30T08:20:39"/>
    <x v="9"/>
  </r>
  <r>
    <s v="3567384295502995811"/>
    <s v=""/>
    <x v="15"/>
    <n v="0"/>
    <s v=""/>
    <s v="NULL"/>
    <x v="0"/>
    <s v="2026-08-22 08:21:59"/>
    <s v="2026-08-22 08:31:58"/>
    <s v="NULL"/>
    <s v="NULL"/>
    <s v="2026-08-22 10:31:58"/>
    <s v=""/>
    <s v="106.4951938"/>
    <s v="10.6017891"/>
    <s v="106.7076858"/>
    <s v="10.7295817"/>
    <n v="183924"/>
    <n v="0"/>
    <n v="183924"/>
    <s v="Cash"/>
    <s v="Công ty TNHH Quick Pack Việt Nam, Đường Số 13, KCN Thuận Đạo mở rộng, Long Cang, Tây Ninh, Việt NamCông ty TNHH Quick Pack Việt Nam"/>
    <s v="quận 7, Hưng Phước 4, Khu đô thị Phú Mỹ Hưng, Tân Hưng, Hồ Chí Minh, Việt Namquận 7"/>
    <n v="1"/>
    <x v="1"/>
    <x v="14"/>
    <d v="1899-12-30T08:21:59"/>
    <x v="9"/>
  </r>
  <r>
    <s v="3567384295536546451"/>
    <s v=""/>
    <x v="15"/>
    <n v="3395253"/>
    <s v=""/>
    <s v="Motorcycle"/>
    <x v="2"/>
    <s v="2026-08-22 08:26:11"/>
    <s v="2026-08-22 08:36:10"/>
    <s v="2026-08-22 10:26:20"/>
    <s v="NULL"/>
    <s v=""/>
    <s v=""/>
    <s v="106.5161509"/>
    <s v="10.6456886"/>
    <s v="106.7040212"/>
    <s v="10.7733574"/>
    <n v="177012"/>
    <n v="137225"/>
    <n v="39787"/>
    <s v="Cash"/>
    <s v="Công ty Cổ Phần In DICA, Đường VL1, KCN Vĩnh Lộc 2, Mỹ Yên, Tây Ninh, Việt NamCông ty Cổ Phần In DICA"/>
    <s v="The Gangs Central, Nguyễn Huệ, Sài Gòn, Quận 1, Hồ Chí Minh, Việt NamThe Gangs Central"/>
    <n v="1"/>
    <x v="1"/>
    <x v="14"/>
    <d v="1899-12-30T08:26:11"/>
    <x v="14"/>
  </r>
  <r>
    <s v="3567386860261171494"/>
    <s v=""/>
    <x v="15"/>
    <n v="0"/>
    <s v=""/>
    <s v="NULL"/>
    <x v="0"/>
    <s v="2026-08-22 08:26:25"/>
    <s v="2026-08-22 08:36:24"/>
    <s v="NULL"/>
    <s v="NULL"/>
    <s v="2026-08-23 09:18:21"/>
    <s v=""/>
    <s v="106.5161509"/>
    <s v="10.6456886"/>
    <s v="106.7293479"/>
    <s v="10.7869031"/>
    <n v="190188"/>
    <n v="0"/>
    <n v="190188"/>
    <s v="Cash"/>
    <s v="Công ty Cổ Phần In DICA, Đường VL1, KCN Vĩnh Lộc 2, Mỹ Yên, Tây Ninh, Việt NamCông ty Cổ Phần In DICA"/>
    <s v="Công Ty Tnhh, Trần Não, Quận 2, An Khánh, Hồ Chí Minh, Việt NamCông Ty Tnhh"/>
    <n v="1"/>
    <x v="1"/>
    <x v="14"/>
    <d v="1899-12-30T08:26:25"/>
    <x v="5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E5BC0F-37DB-405A-9407-54E0CD64E036}" name="PivotTable2" cacheId="12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D22" firstHeaderRow="1" firstDataRow="3" firstDataCol="1" rowPageCount="1" colPageCount="1"/>
  <pivotFields count="28">
    <pivotField dataField="1" compact="0" outline="0" showAll="0"/>
    <pivotField compact="0" outline="0" showAll="0"/>
    <pivotField axis="axisRow" compact="0" outline="0" showAll="0">
      <items count="17">
        <item sd="0" x="8"/>
        <item sd="0" x="10"/>
        <item x="0"/>
        <item x="1"/>
        <item x="2"/>
        <item x="3"/>
        <item x="4"/>
        <item x="5"/>
        <item x="6"/>
        <item x="7"/>
        <item x="9"/>
        <item x="11"/>
        <item x="12"/>
        <item x="13"/>
        <item x="14"/>
        <item x="15"/>
        <item t="default"/>
      </items>
    </pivotField>
    <pivotField compact="0" outline="0" showAll="0"/>
    <pivotField compact="0" outline="0" showAll="0"/>
    <pivotField compact="0" outline="0" showAll="0"/>
    <pivotField axis="axisPage" compact="0" outline="0" showAll="0">
      <items count="7">
        <item x="4"/>
        <item x="1"/>
        <item x="3"/>
        <item x="5"/>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sd="0" x="0"/>
        <item sd="0" x="1"/>
        <item t="default"/>
      </items>
    </pivotField>
    <pivotField axis="axisCol" compact="0" outline="0" showAll="0">
      <items count="16">
        <item x="7"/>
        <item x="0"/>
        <item x="1"/>
        <item x="8"/>
        <item x="9"/>
        <item x="2"/>
        <item x="3"/>
        <item x="4"/>
        <item x="5"/>
        <item x="6"/>
        <item x="10"/>
        <item x="11"/>
        <item x="12"/>
        <item x="13"/>
        <item x="14"/>
        <item t="default"/>
      </items>
    </pivotField>
    <pivotField compact="0" numFmtId="166" outline="0" showAll="0"/>
    <pivotField compact="0" outline="0" showAll="0"/>
  </pivotFields>
  <rowFields count="1">
    <field x="2"/>
  </rowFields>
  <rowItems count="17">
    <i>
      <x/>
    </i>
    <i>
      <x v="1"/>
    </i>
    <i>
      <x v="2"/>
    </i>
    <i>
      <x v="3"/>
    </i>
    <i>
      <x v="4"/>
    </i>
    <i>
      <x v="5"/>
    </i>
    <i>
      <x v="6"/>
    </i>
    <i>
      <x v="7"/>
    </i>
    <i>
      <x v="8"/>
    </i>
    <i>
      <x v="9"/>
    </i>
    <i>
      <x v="10"/>
    </i>
    <i>
      <x v="11"/>
    </i>
    <i>
      <x v="12"/>
    </i>
    <i>
      <x v="13"/>
    </i>
    <i>
      <x v="14"/>
    </i>
    <i>
      <x v="15"/>
    </i>
    <i t="grand">
      <x/>
    </i>
  </rowItems>
  <colFields count="2">
    <field x="24"/>
    <field x="25"/>
  </colFields>
  <colItems count="3">
    <i>
      <x/>
    </i>
    <i>
      <x v="1"/>
    </i>
    <i t="grand">
      <x/>
    </i>
  </colItems>
  <pageFields count="1">
    <pageField fld="6" hier="-1"/>
  </pageFields>
  <dataFields count="1">
    <dataField name="Count of order_displa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C1" dT="2026-09-03T03:42:59.54" personId="{90C3A1F5-E36B-45E4-A973-3959C3D35F77}" id="{43854A6F-F1AF-4419-A8FF-A862D5BCA5BF}">
    <text xml:space="preserve">Order creation vs order cancellation/completion [h]:mm:ss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1637"/>
  <sheetViews>
    <sheetView workbookViewId="0">
      <pane ySplit="1" topLeftCell="A67" activePane="bottomLeft" state="frozen"/>
      <selection pane="bottomLeft" activeCell="A91" activeCellId="1" sqref="C75 A91"/>
    </sheetView>
  </sheetViews>
  <sheetFormatPr defaultRowHeight="14.4" x14ac:dyDescent="0.3"/>
  <cols>
    <col min="1" max="1" width="20.21875" bestFit="1" customWidth="1"/>
    <col min="2" max="2" width="17.6640625" bestFit="1" customWidth="1"/>
    <col min="3" max="3" width="9" bestFit="1" customWidth="1"/>
    <col min="4" max="4" width="8" bestFit="1" customWidth="1"/>
    <col min="5" max="5" width="14.6640625" customWidth="1"/>
    <col min="6" max="6" width="10.77734375" bestFit="1" customWidth="1"/>
    <col min="7" max="7" width="18.5546875" customWidth="1"/>
    <col min="8" max="8" width="22.109375" bestFit="1" customWidth="1"/>
    <col min="9" max="9" width="23.77734375" bestFit="1" customWidth="1"/>
    <col min="10" max="11" width="18" bestFit="1" customWidth="1"/>
    <col min="12" max="12" width="25.44140625" bestFit="1" customWidth="1"/>
    <col min="13" max="13" width="24.44140625" bestFit="1" customWidth="1"/>
    <col min="14" max="17" width="18.77734375" bestFit="1" customWidth="1"/>
    <col min="18" max="18" width="10.44140625" bestFit="1" customWidth="1"/>
    <col min="19" max="19" width="14.77734375" bestFit="1" customWidth="1"/>
    <col min="20" max="20" width="16" bestFit="1" customWidth="1"/>
    <col min="21" max="21" width="17.33203125" bestFit="1" customWidth="1"/>
    <col min="22" max="22" width="57.33203125" customWidth="1"/>
    <col min="23" max="23" width="60.88671875" customWidth="1"/>
    <col min="24" max="24" width="17" bestFit="1" customWidth="1"/>
    <col min="25" max="25" width="20.6640625" bestFit="1" customWidth="1"/>
    <col min="26" max="26" width="18.88671875" bestFit="1" customWidth="1"/>
    <col min="27" max="28" width="18.88671875" customWidth="1"/>
    <col min="29" max="29" width="27.33203125" bestFit="1" customWidth="1"/>
    <col min="30" max="30" width="22.109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9410</v>
      </c>
      <c r="Z1" s="1" t="s">
        <v>9394</v>
      </c>
      <c r="AA1" s="1" t="s">
        <v>9402</v>
      </c>
      <c r="AB1" s="1" t="s">
        <v>9403</v>
      </c>
      <c r="AC1" s="1" t="s">
        <v>9407</v>
      </c>
      <c r="AD1" s="1" t="s">
        <v>9408</v>
      </c>
    </row>
    <row r="2" spans="1:31" hidden="1" x14ac:dyDescent="0.3">
      <c r="A2" t="s">
        <v>24</v>
      </c>
      <c r="B2" t="s">
        <v>25</v>
      </c>
      <c r="C2">
        <v>42459206</v>
      </c>
      <c r="D2">
        <v>0</v>
      </c>
      <c r="E2" t="s">
        <v>25</v>
      </c>
      <c r="F2" t="s">
        <v>26</v>
      </c>
      <c r="G2" t="s">
        <v>27</v>
      </c>
      <c r="H2" t="s">
        <v>28</v>
      </c>
      <c r="I2" t="s">
        <v>29</v>
      </c>
      <c r="J2" t="s">
        <v>26</v>
      </c>
      <c r="K2" t="s">
        <v>26</v>
      </c>
      <c r="L2" t="s">
        <v>30</v>
      </c>
      <c r="M2" t="s">
        <v>25</v>
      </c>
      <c r="N2" t="s">
        <v>31</v>
      </c>
      <c r="O2" t="s">
        <v>32</v>
      </c>
      <c r="P2" t="s">
        <v>33</v>
      </c>
      <c r="Q2" t="s">
        <v>34</v>
      </c>
      <c r="R2">
        <v>117828</v>
      </c>
      <c r="S2">
        <v>0</v>
      </c>
      <c r="T2">
        <v>117828</v>
      </c>
      <c r="U2" t="s">
        <v>35</v>
      </c>
      <c r="V2" t="s">
        <v>36</v>
      </c>
      <c r="W2" t="s">
        <v>37</v>
      </c>
      <c r="X2" s="4">
        <v>1</v>
      </c>
      <c r="Y2" s="4"/>
      <c r="Z2">
        <f>MONTH(H2)</f>
        <v>7</v>
      </c>
      <c r="AA2">
        <f>DAY(H2)</f>
        <v>7</v>
      </c>
      <c r="AB2" s="5">
        <f>MOD(H2, 1)</f>
        <v>0.31281250000029104</v>
      </c>
      <c r="AC2" s="3">
        <f>IFERROR(IF(M2="",L2-H2,M2-H2),"Order rejected, no time available")</f>
        <v>9.0289351850515231E-2</v>
      </c>
      <c r="AD2" t="str" cm="1">
        <f t="array" ref="AD2">IFERROR(_xlfn.IFS(
    AC2="", "",
    AC2*86400 &lt; 30, "1. 0s - &lt;30s",
    AC2*86400 &lt; 60, "2. 30s - &lt;1m",
    AC2*86400 &lt; 300, "3. 1m - &lt;5m",
    AC2*86400 &lt; 1800, "4. 5m - &lt;30m",
    TRUE, "5. &gt;= 30m"
),"6. Invalid (Order rejected)")</f>
        <v>5. &gt;= 30m</v>
      </c>
      <c r="AE2" s="3"/>
    </row>
    <row r="3" spans="1:31" hidden="1" x14ac:dyDescent="0.3">
      <c r="A3" t="s">
        <v>38</v>
      </c>
      <c r="B3" t="s">
        <v>25</v>
      </c>
      <c r="C3">
        <v>42459206</v>
      </c>
      <c r="D3">
        <v>0</v>
      </c>
      <c r="E3" t="s">
        <v>25</v>
      </c>
      <c r="F3" t="s">
        <v>26</v>
      </c>
      <c r="G3" t="s">
        <v>27</v>
      </c>
      <c r="H3" t="s">
        <v>39</v>
      </c>
      <c r="I3" t="s">
        <v>40</v>
      </c>
      <c r="J3" t="s">
        <v>26</v>
      </c>
      <c r="K3" t="s">
        <v>26</v>
      </c>
      <c r="L3" t="s">
        <v>41</v>
      </c>
      <c r="M3" t="s">
        <v>25</v>
      </c>
      <c r="N3" t="s">
        <v>31</v>
      </c>
      <c r="O3" t="s">
        <v>32</v>
      </c>
      <c r="P3" t="s">
        <v>42</v>
      </c>
      <c r="Q3" t="s">
        <v>43</v>
      </c>
      <c r="R3">
        <v>91692</v>
      </c>
      <c r="S3">
        <v>0</v>
      </c>
      <c r="T3">
        <v>91692</v>
      </c>
      <c r="U3" t="s">
        <v>35</v>
      </c>
      <c r="V3" t="s">
        <v>36</v>
      </c>
      <c r="W3" t="s">
        <v>44</v>
      </c>
      <c r="X3" s="4">
        <v>1</v>
      </c>
      <c r="Y3" s="4"/>
      <c r="Z3">
        <f t="shared" ref="Z3:Z66" si="0">MONTH(H3)</f>
        <v>7</v>
      </c>
      <c r="AA3">
        <f t="shared" ref="AA3:AA66" si="1">DAY(H3)</f>
        <v>7</v>
      </c>
      <c r="AB3" s="5">
        <f t="shared" ref="AB3:AB66" si="2">MOD(H3, 1)</f>
        <v>0.31462962963269092</v>
      </c>
      <c r="AC3" s="3">
        <f t="shared" ref="AC3:AC66" si="3">IFERROR(IF(M3="",L3-H3,M3-H3),"Order rejected, no time available")</f>
        <v>9.0289351850515231E-2</v>
      </c>
      <c r="AD3" t="str" cm="1">
        <f t="array" ref="AD3">IFERROR(_xlfn.IFS(
    AC3="", "",
    AC3*86400 &lt; 30, "1. 0s - &lt;30s",
    AC3*86400 &lt; 60, "2. 30s - &lt;1m",
    AC3*86400 &lt; 300, "3. 1m - &lt;5m",
    AC3*86400 &lt; 1800, "4. 5m - &lt;30m",
    TRUE, "5. &gt;= 30m"
),"6. Invalid (Order rejected)")</f>
        <v>5. &gt;= 30m</v>
      </c>
    </row>
    <row r="4" spans="1:31" hidden="1" x14ac:dyDescent="0.3">
      <c r="A4" t="s">
        <v>45</v>
      </c>
      <c r="B4" t="s">
        <v>25</v>
      </c>
      <c r="C4">
        <v>42459206</v>
      </c>
      <c r="D4">
        <v>0</v>
      </c>
      <c r="E4" t="s">
        <v>25</v>
      </c>
      <c r="F4" t="s">
        <v>26</v>
      </c>
      <c r="G4" t="s">
        <v>27</v>
      </c>
      <c r="H4" t="s">
        <v>46</v>
      </c>
      <c r="I4" t="s">
        <v>47</v>
      </c>
      <c r="J4" t="s">
        <v>26</v>
      </c>
      <c r="K4" t="s">
        <v>26</v>
      </c>
      <c r="L4" t="s">
        <v>48</v>
      </c>
      <c r="M4" t="s">
        <v>25</v>
      </c>
      <c r="N4" t="s">
        <v>31</v>
      </c>
      <c r="O4" t="s">
        <v>32</v>
      </c>
      <c r="P4" t="s">
        <v>49</v>
      </c>
      <c r="Q4" t="s">
        <v>50</v>
      </c>
      <c r="R4">
        <v>113400</v>
      </c>
      <c r="S4">
        <v>0</v>
      </c>
      <c r="T4">
        <v>113400</v>
      </c>
      <c r="U4" t="s">
        <v>35</v>
      </c>
      <c r="V4" t="s">
        <v>36</v>
      </c>
      <c r="W4" t="s">
        <v>51</v>
      </c>
      <c r="X4" s="4">
        <v>1</v>
      </c>
      <c r="Y4" s="4"/>
      <c r="Z4">
        <f t="shared" si="0"/>
        <v>7</v>
      </c>
      <c r="AA4">
        <f t="shared" si="1"/>
        <v>7</v>
      </c>
      <c r="AB4" s="5">
        <f t="shared" si="2"/>
        <v>0.31251157407677965</v>
      </c>
      <c r="AC4" s="3">
        <f t="shared" si="3"/>
        <v>9.0289351850515231E-2</v>
      </c>
      <c r="AD4" t="str" cm="1">
        <f t="array" ref="AD4">IFERROR(_xlfn.IFS(
    AC4="", "",
    AC4*86400 &lt; 30, "1. 0s - &lt;30s",
    AC4*86400 &lt; 60, "2. 30s - &lt;1m",
    AC4*86400 &lt; 300, "3. 1m - &lt;5m",
    AC4*86400 &lt; 1800, "4. 5m - &lt;30m",
    TRUE, "5. &gt;= 30m"
),"6. Invalid (Order rejected)")</f>
        <v>5. &gt;= 30m</v>
      </c>
    </row>
    <row r="5" spans="1:31" hidden="1" x14ac:dyDescent="0.3">
      <c r="A5" t="s">
        <v>52</v>
      </c>
      <c r="B5" t="s">
        <v>25</v>
      </c>
      <c r="C5">
        <v>42459206</v>
      </c>
      <c r="D5">
        <v>0</v>
      </c>
      <c r="E5" t="s">
        <v>25</v>
      </c>
      <c r="F5" t="s">
        <v>26</v>
      </c>
      <c r="G5" t="s">
        <v>27</v>
      </c>
      <c r="H5" t="s">
        <v>53</v>
      </c>
      <c r="I5" t="s">
        <v>54</v>
      </c>
      <c r="J5" t="s">
        <v>26</v>
      </c>
      <c r="K5" t="s">
        <v>26</v>
      </c>
      <c r="L5" t="s">
        <v>55</v>
      </c>
      <c r="M5" t="s">
        <v>25</v>
      </c>
      <c r="N5" t="s">
        <v>31</v>
      </c>
      <c r="O5" t="s">
        <v>32</v>
      </c>
      <c r="P5" t="s">
        <v>56</v>
      </c>
      <c r="Q5" t="s">
        <v>57</v>
      </c>
      <c r="R5">
        <v>104544</v>
      </c>
      <c r="S5">
        <v>0</v>
      </c>
      <c r="T5">
        <v>104544</v>
      </c>
      <c r="U5" t="s">
        <v>35</v>
      </c>
      <c r="V5" t="s">
        <v>36</v>
      </c>
      <c r="W5" t="s">
        <v>58</v>
      </c>
      <c r="X5" s="4">
        <v>1</v>
      </c>
      <c r="Y5" s="4"/>
      <c r="Z5">
        <f t="shared" si="0"/>
        <v>7</v>
      </c>
      <c r="AA5">
        <f t="shared" si="1"/>
        <v>7</v>
      </c>
      <c r="AB5" s="5">
        <f t="shared" si="2"/>
        <v>0.31328703703911742</v>
      </c>
      <c r="AC5" s="3">
        <f t="shared" si="3"/>
        <v>9.0289351850515231E-2</v>
      </c>
      <c r="AD5" t="str" cm="1">
        <f t="array" ref="AD5">IFERROR(_xlfn.IFS(
    AC5="", "",
    AC5*86400 &lt; 30, "1. 0s - &lt;30s",
    AC5*86400 &lt; 60, "2. 30s - &lt;1m",
    AC5*86400 &lt; 300, "3. 1m - &lt;5m",
    AC5*86400 &lt; 1800, "4. 5m - &lt;30m",
    TRUE, "5. &gt;= 30m"
),"6. Invalid (Order rejected)")</f>
        <v>5. &gt;= 30m</v>
      </c>
    </row>
    <row r="6" spans="1:31" hidden="1" x14ac:dyDescent="0.3">
      <c r="A6" t="s">
        <v>59</v>
      </c>
      <c r="B6" t="s">
        <v>25</v>
      </c>
      <c r="C6">
        <v>42459206</v>
      </c>
      <c r="D6">
        <v>0</v>
      </c>
      <c r="E6" t="s">
        <v>25</v>
      </c>
      <c r="F6" t="s">
        <v>26</v>
      </c>
      <c r="G6" t="s">
        <v>27</v>
      </c>
      <c r="H6" t="s">
        <v>60</v>
      </c>
      <c r="I6" t="s">
        <v>61</v>
      </c>
      <c r="J6" t="s">
        <v>26</v>
      </c>
      <c r="K6" t="s">
        <v>26</v>
      </c>
      <c r="L6" t="s">
        <v>62</v>
      </c>
      <c r="M6" t="s">
        <v>25</v>
      </c>
      <c r="N6" t="s">
        <v>31</v>
      </c>
      <c r="O6" t="s">
        <v>32</v>
      </c>
      <c r="P6" t="s">
        <v>63</v>
      </c>
      <c r="Q6" t="s">
        <v>64</v>
      </c>
      <c r="R6">
        <v>99792</v>
      </c>
      <c r="S6">
        <v>0</v>
      </c>
      <c r="T6">
        <v>99792</v>
      </c>
      <c r="U6" t="s">
        <v>35</v>
      </c>
      <c r="V6" t="s">
        <v>36</v>
      </c>
      <c r="W6" t="s">
        <v>65</v>
      </c>
      <c r="X6" s="4">
        <v>1</v>
      </c>
      <c r="Y6" s="4"/>
      <c r="Z6">
        <f t="shared" si="0"/>
        <v>7</v>
      </c>
      <c r="AA6">
        <f t="shared" si="1"/>
        <v>7</v>
      </c>
      <c r="AB6" s="5">
        <f t="shared" si="2"/>
        <v>0.31443287037109258</v>
      </c>
      <c r="AC6" s="3">
        <f t="shared" si="3"/>
        <v>9.0289351850515231E-2</v>
      </c>
      <c r="AD6" t="str" cm="1">
        <f t="array" ref="AD6">IFERROR(_xlfn.IFS(
    AC6="", "",
    AC6*86400 &lt; 30, "1. 0s - &lt;30s",
    AC6*86400 &lt; 60, "2. 30s - &lt;1m",
    AC6*86400 &lt; 300, "3. 1m - &lt;5m",
    AC6*86400 &lt; 1800, "4. 5m - &lt;30m",
    TRUE, "5. &gt;= 30m"
),"6. Invalid (Order rejected)")</f>
        <v>5. &gt;= 30m</v>
      </c>
    </row>
    <row r="7" spans="1:31" hidden="1" x14ac:dyDescent="0.3">
      <c r="A7" t="s">
        <v>66</v>
      </c>
      <c r="B7" t="s">
        <v>25</v>
      </c>
      <c r="C7">
        <v>42459206</v>
      </c>
      <c r="D7">
        <v>0</v>
      </c>
      <c r="E7" t="s">
        <v>25</v>
      </c>
      <c r="F7" t="s">
        <v>26</v>
      </c>
      <c r="G7" t="s">
        <v>27</v>
      </c>
      <c r="H7" t="s">
        <v>67</v>
      </c>
      <c r="I7" t="s">
        <v>68</v>
      </c>
      <c r="J7" t="s">
        <v>26</v>
      </c>
      <c r="K7" t="s">
        <v>26</v>
      </c>
      <c r="L7" t="s">
        <v>69</v>
      </c>
      <c r="M7" t="s">
        <v>25</v>
      </c>
      <c r="N7" t="s">
        <v>31</v>
      </c>
      <c r="O7" t="s">
        <v>32</v>
      </c>
      <c r="P7" t="s">
        <v>42</v>
      </c>
      <c r="Q7" t="s">
        <v>43</v>
      </c>
      <c r="R7">
        <v>91692</v>
      </c>
      <c r="S7">
        <v>0</v>
      </c>
      <c r="T7">
        <v>91692</v>
      </c>
      <c r="U7" t="s">
        <v>35</v>
      </c>
      <c r="V7" t="s">
        <v>36</v>
      </c>
      <c r="W7" t="s">
        <v>44</v>
      </c>
      <c r="X7" s="4">
        <v>1</v>
      </c>
      <c r="Y7" s="4"/>
      <c r="Z7">
        <f t="shared" si="0"/>
        <v>7</v>
      </c>
      <c r="AA7">
        <f t="shared" si="1"/>
        <v>7</v>
      </c>
      <c r="AB7" s="5">
        <f t="shared" si="2"/>
        <v>0.31482638888701331</v>
      </c>
      <c r="AC7" s="3">
        <f t="shared" si="3"/>
        <v>9.0289351850515231E-2</v>
      </c>
      <c r="AD7" t="str" cm="1">
        <f t="array" ref="AD7">IFERROR(_xlfn.IFS(
    AC7="", "",
    AC7*86400 &lt; 30, "1. 0s - &lt;30s",
    AC7*86400 &lt; 60, "2. 30s - &lt;1m",
    AC7*86400 &lt; 300, "3. 1m - &lt;5m",
    AC7*86400 &lt; 1800, "4. 5m - &lt;30m",
    TRUE, "5. &gt;= 30m"
),"6. Invalid (Order rejected)")</f>
        <v>5. &gt;= 30m</v>
      </c>
    </row>
    <row r="8" spans="1:31" hidden="1" x14ac:dyDescent="0.3">
      <c r="A8" t="s">
        <v>70</v>
      </c>
      <c r="B8" t="s">
        <v>25</v>
      </c>
      <c r="C8">
        <v>42459206</v>
      </c>
      <c r="D8">
        <v>0</v>
      </c>
      <c r="E8" t="s">
        <v>25</v>
      </c>
      <c r="F8" t="s">
        <v>26</v>
      </c>
      <c r="G8" t="s">
        <v>27</v>
      </c>
      <c r="H8" t="s">
        <v>71</v>
      </c>
      <c r="I8" t="s">
        <v>72</v>
      </c>
      <c r="J8" t="s">
        <v>26</v>
      </c>
      <c r="K8" t="s">
        <v>26</v>
      </c>
      <c r="L8" t="s">
        <v>73</v>
      </c>
      <c r="M8" t="s">
        <v>25</v>
      </c>
      <c r="N8" t="s">
        <v>31</v>
      </c>
      <c r="O8" t="s">
        <v>32</v>
      </c>
      <c r="P8" t="s">
        <v>56</v>
      </c>
      <c r="Q8" t="s">
        <v>57</v>
      </c>
      <c r="R8">
        <v>104544</v>
      </c>
      <c r="S8">
        <v>0</v>
      </c>
      <c r="T8">
        <v>104544</v>
      </c>
      <c r="U8" t="s">
        <v>35</v>
      </c>
      <c r="V8" t="s">
        <v>36</v>
      </c>
      <c r="W8" t="s">
        <v>58</v>
      </c>
      <c r="X8" s="4">
        <v>1</v>
      </c>
      <c r="Y8" s="4"/>
      <c r="Z8">
        <f t="shared" si="0"/>
        <v>7</v>
      </c>
      <c r="AA8">
        <f t="shared" si="1"/>
        <v>7</v>
      </c>
      <c r="AB8" s="5">
        <f t="shared" si="2"/>
        <v>0.31349537037021946</v>
      </c>
      <c r="AC8" s="3">
        <f t="shared" si="3"/>
        <v>9.0289351850515231E-2</v>
      </c>
      <c r="AD8" t="str" cm="1">
        <f t="array" ref="AD8">IFERROR(_xlfn.IFS(
    AC8="", "",
    AC8*86400 &lt; 30, "1. 0s - &lt;30s",
    AC8*86400 &lt; 60, "2. 30s - &lt;1m",
    AC8*86400 &lt; 300, "3. 1m - &lt;5m",
    AC8*86400 &lt; 1800, "4. 5m - &lt;30m",
    TRUE, "5. &gt;= 30m"
),"6. Invalid (Order rejected)")</f>
        <v>5. &gt;= 30m</v>
      </c>
    </row>
    <row r="9" spans="1:31" hidden="1" x14ac:dyDescent="0.3">
      <c r="A9" t="s">
        <v>74</v>
      </c>
      <c r="B9" t="s">
        <v>25</v>
      </c>
      <c r="C9">
        <v>42459206</v>
      </c>
      <c r="D9">
        <v>4179701</v>
      </c>
      <c r="E9" t="s">
        <v>25</v>
      </c>
      <c r="F9" t="s">
        <v>75</v>
      </c>
      <c r="G9" t="s">
        <v>76</v>
      </c>
      <c r="H9" t="s">
        <v>77</v>
      </c>
      <c r="I9" t="s">
        <v>78</v>
      </c>
      <c r="J9" t="s">
        <v>79</v>
      </c>
      <c r="K9" t="s">
        <v>26</v>
      </c>
      <c r="L9" t="s">
        <v>80</v>
      </c>
      <c r="M9" t="s">
        <v>25</v>
      </c>
      <c r="N9" t="s">
        <v>31</v>
      </c>
      <c r="O9" t="s">
        <v>32</v>
      </c>
      <c r="P9" t="s">
        <v>81</v>
      </c>
      <c r="Q9" t="s">
        <v>82</v>
      </c>
      <c r="R9">
        <v>191160</v>
      </c>
      <c r="S9">
        <v>156910</v>
      </c>
      <c r="T9">
        <v>34250</v>
      </c>
      <c r="U9" t="s">
        <v>35</v>
      </c>
      <c r="V9" t="s">
        <v>36</v>
      </c>
      <c r="W9" t="s">
        <v>83</v>
      </c>
      <c r="X9" s="4">
        <v>1</v>
      </c>
      <c r="Y9" s="4"/>
      <c r="Z9">
        <f t="shared" si="0"/>
        <v>7</v>
      </c>
      <c r="AA9">
        <f t="shared" si="1"/>
        <v>7</v>
      </c>
      <c r="AB9" s="5">
        <f t="shared" si="2"/>
        <v>0.315046296294895</v>
      </c>
      <c r="AC9" s="3">
        <f t="shared" si="3"/>
        <v>3.5694444442924578E-2</v>
      </c>
      <c r="AD9" t="str" cm="1">
        <f t="array" ref="AD9">IFERROR(_xlfn.IFS(
    AC9="", "",
    AC9*86400 &lt; 30, "1. 0s - &lt;30s",
    AC9*86400 &lt; 60, "2. 30s - &lt;1m",
    AC9*86400 &lt; 300, "3. 1m - &lt;5m",
    AC9*86400 &lt; 1800, "4. 5m - &lt;30m",
    TRUE, "5. &gt;= 30m"
),"6. Invalid (Order rejected)")</f>
        <v>5. &gt;= 30m</v>
      </c>
    </row>
    <row r="10" spans="1:31" hidden="1" x14ac:dyDescent="0.3">
      <c r="A10" t="s">
        <v>84</v>
      </c>
      <c r="B10" t="s">
        <v>25</v>
      </c>
      <c r="C10">
        <v>42459206</v>
      </c>
      <c r="D10">
        <v>3746341</v>
      </c>
      <c r="E10" t="s">
        <v>25</v>
      </c>
      <c r="F10" t="s">
        <v>75</v>
      </c>
      <c r="G10" t="s">
        <v>76</v>
      </c>
      <c r="H10" t="s">
        <v>85</v>
      </c>
      <c r="I10" t="s">
        <v>86</v>
      </c>
      <c r="J10" t="s">
        <v>87</v>
      </c>
      <c r="K10" t="s">
        <v>26</v>
      </c>
      <c r="L10" t="s">
        <v>88</v>
      </c>
      <c r="M10" t="s">
        <v>25</v>
      </c>
      <c r="N10" t="s">
        <v>31</v>
      </c>
      <c r="O10" t="s">
        <v>32</v>
      </c>
      <c r="P10" t="s">
        <v>89</v>
      </c>
      <c r="Q10" t="s">
        <v>90</v>
      </c>
      <c r="R10">
        <v>123660</v>
      </c>
      <c r="S10">
        <v>101504</v>
      </c>
      <c r="T10">
        <v>22156</v>
      </c>
      <c r="U10" t="s">
        <v>35</v>
      </c>
      <c r="V10" t="s">
        <v>36</v>
      </c>
      <c r="W10" t="s">
        <v>91</v>
      </c>
      <c r="X10" s="4">
        <v>1</v>
      </c>
      <c r="Y10" s="4"/>
      <c r="Z10">
        <f t="shared" si="0"/>
        <v>7</v>
      </c>
      <c r="AA10">
        <f t="shared" si="1"/>
        <v>7</v>
      </c>
      <c r="AB10" s="5">
        <f t="shared" si="2"/>
        <v>0.31130787036818219</v>
      </c>
      <c r="AC10" s="3">
        <f t="shared" si="3"/>
        <v>3.9097222223063E-2</v>
      </c>
      <c r="AD10" t="str" cm="1">
        <f t="array" ref="AD10">IFERROR(_xlfn.IFS(
    AC10="", "",
    AC10*86400 &lt; 30, "1. 0s - &lt;30s",
    AC10*86400 &lt; 60, "2. 30s - &lt;1m",
    AC10*86400 &lt; 300, "3. 1m - &lt;5m",
    AC10*86400 &lt; 1800, "4. 5m - &lt;30m",
    TRUE, "5. &gt;= 30m"
),"6. Invalid (Order rejected)")</f>
        <v>5. &gt;= 30m</v>
      </c>
    </row>
    <row r="11" spans="1:31" hidden="1" x14ac:dyDescent="0.3">
      <c r="A11" t="s">
        <v>92</v>
      </c>
      <c r="B11" t="s">
        <v>25</v>
      </c>
      <c r="C11">
        <v>42459206</v>
      </c>
      <c r="D11">
        <v>0</v>
      </c>
      <c r="E11" t="s">
        <v>25</v>
      </c>
      <c r="F11" t="s">
        <v>26</v>
      </c>
      <c r="G11" t="s">
        <v>27</v>
      </c>
      <c r="H11" t="s">
        <v>93</v>
      </c>
      <c r="I11" t="s">
        <v>94</v>
      </c>
      <c r="J11" t="s">
        <v>26</v>
      </c>
      <c r="K11" t="s">
        <v>26</v>
      </c>
      <c r="L11" t="s">
        <v>95</v>
      </c>
      <c r="M11" t="s">
        <v>25</v>
      </c>
      <c r="N11" t="s">
        <v>31</v>
      </c>
      <c r="O11" t="s">
        <v>32</v>
      </c>
      <c r="P11" t="s">
        <v>96</v>
      </c>
      <c r="Q11" t="s">
        <v>97</v>
      </c>
      <c r="R11">
        <v>115992</v>
      </c>
      <c r="S11">
        <v>0</v>
      </c>
      <c r="T11">
        <v>115992</v>
      </c>
      <c r="U11" t="s">
        <v>35</v>
      </c>
      <c r="V11" t="s">
        <v>36</v>
      </c>
      <c r="W11" t="s">
        <v>98</v>
      </c>
      <c r="X11" s="4">
        <v>1</v>
      </c>
      <c r="Y11" s="4"/>
      <c r="Z11">
        <f t="shared" si="0"/>
        <v>7</v>
      </c>
      <c r="AA11">
        <f t="shared" si="1"/>
        <v>7</v>
      </c>
      <c r="AB11" s="5">
        <f t="shared" si="2"/>
        <v>0.31225694444583496</v>
      </c>
      <c r="AC11" s="3">
        <f t="shared" si="3"/>
        <v>9.0289351850515231E-2</v>
      </c>
      <c r="AD11" t="str" cm="1">
        <f t="array" ref="AD11">IFERROR(_xlfn.IFS(
    AC11="", "",
    AC11*86400 &lt; 30, "1. 0s - &lt;30s",
    AC11*86400 &lt; 60, "2. 30s - &lt;1m",
    AC11*86400 &lt; 300, "3. 1m - &lt;5m",
    AC11*86400 &lt; 1800, "4. 5m - &lt;30m",
    TRUE, "5. &gt;= 30m"
),"6. Invalid (Order rejected)")</f>
        <v>5. &gt;= 30m</v>
      </c>
    </row>
    <row r="12" spans="1:31" hidden="1" x14ac:dyDescent="0.3">
      <c r="A12" t="s">
        <v>99</v>
      </c>
      <c r="B12" t="s">
        <v>25</v>
      </c>
      <c r="C12">
        <v>42459206</v>
      </c>
      <c r="D12">
        <v>0</v>
      </c>
      <c r="E12" t="s">
        <v>25</v>
      </c>
      <c r="F12" t="s">
        <v>26</v>
      </c>
      <c r="G12" t="s">
        <v>27</v>
      </c>
      <c r="H12" t="s">
        <v>100</v>
      </c>
      <c r="I12" t="s">
        <v>101</v>
      </c>
      <c r="J12" t="s">
        <v>26</v>
      </c>
      <c r="K12" t="s">
        <v>26</v>
      </c>
      <c r="L12" t="s">
        <v>102</v>
      </c>
      <c r="M12" t="s">
        <v>25</v>
      </c>
      <c r="N12" t="s">
        <v>31</v>
      </c>
      <c r="O12" t="s">
        <v>32</v>
      </c>
      <c r="P12" t="s">
        <v>103</v>
      </c>
      <c r="Q12" t="s">
        <v>104</v>
      </c>
      <c r="R12">
        <v>108648</v>
      </c>
      <c r="S12">
        <v>0</v>
      </c>
      <c r="T12">
        <v>108648</v>
      </c>
      <c r="U12" t="s">
        <v>35</v>
      </c>
      <c r="V12" t="s">
        <v>36</v>
      </c>
      <c r="W12" t="s">
        <v>105</v>
      </c>
      <c r="X12" s="4">
        <v>1</v>
      </c>
      <c r="Y12" s="4"/>
      <c r="Z12">
        <f t="shared" si="0"/>
        <v>7</v>
      </c>
      <c r="AA12">
        <f t="shared" si="1"/>
        <v>7</v>
      </c>
      <c r="AB12" s="5">
        <f t="shared" si="2"/>
        <v>0.31422453703999054</v>
      </c>
      <c r="AC12" s="3">
        <f t="shared" si="3"/>
        <v>9.0289351850515231E-2</v>
      </c>
      <c r="AD12" t="str" cm="1">
        <f t="array" ref="AD12">IFERROR(_xlfn.IFS(
    AC12="", "",
    AC12*86400 &lt; 30, "1. 0s - &lt;30s",
    AC12*86400 &lt; 60, "2. 30s - &lt;1m",
    AC12*86400 &lt; 300, "3. 1m - &lt;5m",
    AC12*86400 &lt; 1800, "4. 5m - &lt;30m",
    TRUE, "5. &gt;= 30m"
),"6. Invalid (Order rejected)")</f>
        <v>5. &gt;= 30m</v>
      </c>
    </row>
    <row r="13" spans="1:31" hidden="1" x14ac:dyDescent="0.3">
      <c r="A13" t="s">
        <v>106</v>
      </c>
      <c r="B13" t="s">
        <v>25</v>
      </c>
      <c r="C13">
        <v>42459206</v>
      </c>
      <c r="D13">
        <v>0</v>
      </c>
      <c r="E13" t="s">
        <v>25</v>
      </c>
      <c r="F13" t="s">
        <v>26</v>
      </c>
      <c r="G13" t="s">
        <v>27</v>
      </c>
      <c r="H13" t="s">
        <v>107</v>
      </c>
      <c r="I13" t="s">
        <v>108</v>
      </c>
      <c r="J13" t="s">
        <v>26</v>
      </c>
      <c r="K13" t="s">
        <v>26</v>
      </c>
      <c r="L13" t="s">
        <v>109</v>
      </c>
      <c r="M13" t="s">
        <v>25</v>
      </c>
      <c r="N13" t="s">
        <v>31</v>
      </c>
      <c r="O13" t="s">
        <v>32</v>
      </c>
      <c r="P13" t="s">
        <v>110</v>
      </c>
      <c r="Q13" t="s">
        <v>111</v>
      </c>
      <c r="R13">
        <v>139428</v>
      </c>
      <c r="S13">
        <v>0</v>
      </c>
      <c r="T13">
        <v>139428</v>
      </c>
      <c r="U13" t="s">
        <v>35</v>
      </c>
      <c r="V13" t="s">
        <v>36</v>
      </c>
      <c r="W13" t="s">
        <v>112</v>
      </c>
      <c r="X13" s="4">
        <v>1</v>
      </c>
      <c r="Y13" s="4"/>
      <c r="Z13">
        <f t="shared" si="0"/>
        <v>7</v>
      </c>
      <c r="AA13">
        <f t="shared" si="1"/>
        <v>7</v>
      </c>
      <c r="AB13" s="5">
        <f t="shared" si="2"/>
        <v>0.31721064815064892</v>
      </c>
      <c r="AC13" s="3">
        <f t="shared" si="3"/>
        <v>9.0289351850515231E-2</v>
      </c>
      <c r="AD13" t="str" cm="1">
        <f t="array" ref="AD13">IFERROR(_xlfn.IFS(
    AC13="", "",
    AC13*86400 &lt; 30, "1. 0s - &lt;30s",
    AC13*86400 &lt; 60, "2. 30s - &lt;1m",
    AC13*86400 &lt; 300, "3. 1m - &lt;5m",
    AC13*86400 &lt; 1800, "4. 5m - &lt;30m",
    TRUE, "5. &gt;= 30m"
),"6. Invalid (Order rejected)")</f>
        <v>5. &gt;= 30m</v>
      </c>
    </row>
    <row r="14" spans="1:31" hidden="1" x14ac:dyDescent="0.3">
      <c r="A14" t="s">
        <v>113</v>
      </c>
      <c r="B14" t="s">
        <v>25</v>
      </c>
      <c r="C14">
        <v>42459206</v>
      </c>
      <c r="D14">
        <v>0</v>
      </c>
      <c r="E14" t="s">
        <v>25</v>
      </c>
      <c r="F14" t="s">
        <v>26</v>
      </c>
      <c r="G14" t="s">
        <v>27</v>
      </c>
      <c r="H14" t="s">
        <v>114</v>
      </c>
      <c r="I14" t="s">
        <v>115</v>
      </c>
      <c r="J14" t="s">
        <v>26</v>
      </c>
      <c r="K14" t="s">
        <v>26</v>
      </c>
      <c r="L14" t="s">
        <v>116</v>
      </c>
      <c r="M14" t="s">
        <v>25</v>
      </c>
      <c r="N14" t="s">
        <v>31</v>
      </c>
      <c r="O14" t="s">
        <v>32</v>
      </c>
      <c r="P14" t="s">
        <v>117</v>
      </c>
      <c r="Q14" t="s">
        <v>118</v>
      </c>
      <c r="R14">
        <v>187596</v>
      </c>
      <c r="S14">
        <v>0</v>
      </c>
      <c r="T14">
        <v>187596</v>
      </c>
      <c r="U14" t="s">
        <v>35</v>
      </c>
      <c r="V14" t="s">
        <v>36</v>
      </c>
      <c r="W14" t="s">
        <v>119</v>
      </c>
      <c r="X14" s="4">
        <v>1</v>
      </c>
      <c r="Y14" s="4"/>
      <c r="Z14">
        <f t="shared" si="0"/>
        <v>7</v>
      </c>
      <c r="AA14">
        <f t="shared" si="1"/>
        <v>7</v>
      </c>
      <c r="AB14" s="5">
        <f t="shared" si="2"/>
        <v>0.31565972221869742</v>
      </c>
      <c r="AC14" s="3">
        <f t="shared" si="3"/>
        <v>9.0289351857791189E-2</v>
      </c>
      <c r="AD14" t="str" cm="1">
        <f t="array" ref="AD14">IFERROR(_xlfn.IFS(
    AC14="", "",
    AC14*86400 &lt; 30, "1. 0s - &lt;30s",
    AC14*86400 &lt; 60, "2. 30s - &lt;1m",
    AC14*86400 &lt; 300, "3. 1m - &lt;5m",
    AC14*86400 &lt; 1800, "4. 5m - &lt;30m",
    TRUE, "5. &gt;= 30m"
),"6. Invalid (Order rejected)")</f>
        <v>5. &gt;= 30m</v>
      </c>
    </row>
    <row r="15" spans="1:31" hidden="1" x14ac:dyDescent="0.3">
      <c r="A15" t="s">
        <v>120</v>
      </c>
      <c r="B15" t="s">
        <v>25</v>
      </c>
      <c r="C15">
        <v>42459206</v>
      </c>
      <c r="D15">
        <v>0</v>
      </c>
      <c r="E15" t="s">
        <v>25</v>
      </c>
      <c r="F15" t="s">
        <v>26</v>
      </c>
      <c r="G15" t="s">
        <v>27</v>
      </c>
      <c r="H15" t="s">
        <v>121</v>
      </c>
      <c r="I15" t="s">
        <v>122</v>
      </c>
      <c r="J15" t="s">
        <v>26</v>
      </c>
      <c r="K15" t="s">
        <v>26</v>
      </c>
      <c r="L15" t="s">
        <v>123</v>
      </c>
      <c r="M15" t="s">
        <v>25</v>
      </c>
      <c r="N15" t="s">
        <v>31</v>
      </c>
      <c r="O15" t="s">
        <v>32</v>
      </c>
      <c r="P15" t="s">
        <v>124</v>
      </c>
      <c r="Q15" t="s">
        <v>125</v>
      </c>
      <c r="R15">
        <v>151956</v>
      </c>
      <c r="S15">
        <v>0</v>
      </c>
      <c r="T15">
        <v>151956</v>
      </c>
      <c r="U15" t="s">
        <v>35</v>
      </c>
      <c r="V15" t="s">
        <v>36</v>
      </c>
      <c r="W15" t="s">
        <v>126</v>
      </c>
      <c r="X15" s="4">
        <v>1</v>
      </c>
      <c r="Y15" s="4"/>
      <c r="Z15">
        <f t="shared" si="0"/>
        <v>7</v>
      </c>
      <c r="AA15">
        <f t="shared" si="1"/>
        <v>7</v>
      </c>
      <c r="AB15" s="5">
        <f t="shared" si="2"/>
        <v>0.31700231481227092</v>
      </c>
      <c r="AC15" s="3">
        <f t="shared" si="3"/>
        <v>9.0289351857791189E-2</v>
      </c>
      <c r="AD15" t="str" cm="1">
        <f t="array" ref="AD15">IFERROR(_xlfn.IFS(
    AC15="", "",
    AC15*86400 &lt; 30, "1. 0s - &lt;30s",
    AC15*86400 &lt; 60, "2. 30s - &lt;1m",
    AC15*86400 &lt; 300, "3. 1m - &lt;5m",
    AC15*86400 &lt; 1800, "4. 5m - &lt;30m",
    TRUE, "5. &gt;= 30m"
),"6. Invalid (Order rejected)")</f>
        <v>5. &gt;= 30m</v>
      </c>
    </row>
    <row r="16" spans="1:31" hidden="1" x14ac:dyDescent="0.3">
      <c r="A16" t="s">
        <v>127</v>
      </c>
      <c r="B16" t="s">
        <v>25</v>
      </c>
      <c r="C16">
        <v>42459206</v>
      </c>
      <c r="D16">
        <v>0</v>
      </c>
      <c r="E16" t="s">
        <v>25</v>
      </c>
      <c r="F16" t="s">
        <v>26</v>
      </c>
      <c r="G16" t="s">
        <v>27</v>
      </c>
      <c r="H16" t="s">
        <v>128</v>
      </c>
      <c r="I16" t="s">
        <v>129</v>
      </c>
      <c r="J16" t="s">
        <v>26</v>
      </c>
      <c r="K16" t="s">
        <v>26</v>
      </c>
      <c r="L16" t="s">
        <v>130</v>
      </c>
      <c r="M16" t="s">
        <v>25</v>
      </c>
      <c r="N16" t="s">
        <v>31</v>
      </c>
      <c r="O16" t="s">
        <v>32</v>
      </c>
      <c r="P16" t="s">
        <v>131</v>
      </c>
      <c r="Q16" t="s">
        <v>132</v>
      </c>
      <c r="R16">
        <v>99036</v>
      </c>
      <c r="S16">
        <v>0</v>
      </c>
      <c r="T16">
        <v>99036</v>
      </c>
      <c r="U16" t="s">
        <v>35</v>
      </c>
      <c r="V16" t="s">
        <v>36</v>
      </c>
      <c r="W16" t="s">
        <v>133</v>
      </c>
      <c r="X16" s="4">
        <v>1</v>
      </c>
      <c r="Y16" s="4"/>
      <c r="Z16">
        <f t="shared" si="0"/>
        <v>7</v>
      </c>
      <c r="AA16">
        <f t="shared" si="1"/>
        <v>7</v>
      </c>
      <c r="AB16" s="5">
        <f t="shared" si="2"/>
        <v>0.31660879629635019</v>
      </c>
      <c r="AC16" s="3">
        <f t="shared" si="3"/>
        <v>9.0289351850515231E-2</v>
      </c>
      <c r="AD16" t="str" cm="1">
        <f t="array" ref="AD16">IFERROR(_xlfn.IFS(
    AC16="", "",
    AC16*86400 &lt; 30, "1. 0s - &lt;30s",
    AC16*86400 &lt; 60, "2. 30s - &lt;1m",
    AC16*86400 &lt; 300, "3. 1m - &lt;5m",
    AC16*86400 &lt; 1800, "4. 5m - &lt;30m",
    TRUE, "5. &gt;= 30m"
),"6. Invalid (Order rejected)")</f>
        <v>5. &gt;= 30m</v>
      </c>
    </row>
    <row r="17" spans="1:30" hidden="1" x14ac:dyDescent="0.3">
      <c r="A17" t="s">
        <v>134</v>
      </c>
      <c r="B17" t="s">
        <v>25</v>
      </c>
      <c r="C17">
        <v>42459206</v>
      </c>
      <c r="D17">
        <v>2852976</v>
      </c>
      <c r="E17" t="s">
        <v>25</v>
      </c>
      <c r="F17" t="s">
        <v>75</v>
      </c>
      <c r="G17" t="s">
        <v>76</v>
      </c>
      <c r="H17" t="s">
        <v>135</v>
      </c>
      <c r="I17" t="s">
        <v>136</v>
      </c>
      <c r="J17" t="s">
        <v>137</v>
      </c>
      <c r="K17" t="s">
        <v>26</v>
      </c>
      <c r="L17" t="s">
        <v>138</v>
      </c>
      <c r="M17" t="s">
        <v>25</v>
      </c>
      <c r="N17" t="s">
        <v>31</v>
      </c>
      <c r="O17" t="s">
        <v>32</v>
      </c>
      <c r="P17" t="s">
        <v>89</v>
      </c>
      <c r="Q17" t="s">
        <v>90</v>
      </c>
      <c r="R17">
        <v>123660</v>
      </c>
      <c r="S17">
        <v>101504</v>
      </c>
      <c r="T17">
        <v>22156</v>
      </c>
      <c r="U17" t="s">
        <v>35</v>
      </c>
      <c r="V17" t="s">
        <v>36</v>
      </c>
      <c r="W17" t="s">
        <v>91</v>
      </c>
      <c r="X17" s="4">
        <v>1</v>
      </c>
      <c r="Y17" s="4"/>
      <c r="Z17">
        <f t="shared" si="0"/>
        <v>7</v>
      </c>
      <c r="AA17">
        <f t="shared" si="1"/>
        <v>8</v>
      </c>
      <c r="AB17" s="5">
        <f t="shared" si="2"/>
        <v>0.32458333333488554</v>
      </c>
      <c r="AC17" s="3">
        <f t="shared" si="3"/>
        <v>2.0370370330056176E-3</v>
      </c>
      <c r="AD17" t="str" cm="1">
        <f t="array" ref="AD17">IFERROR(_xlfn.IFS(
    AC17="", "",
    AC17*86400 &lt; 30, "1. 0s - &lt;30s",
    AC17*86400 &lt; 60, "2. 30s - &lt;1m",
    AC17*86400 &lt; 300, "3. 1m - &lt;5m",
    AC17*86400 &lt; 1800, "4. 5m - &lt;30m",
    TRUE, "5. &gt;= 30m"
),"6. Invalid (Order rejected)")</f>
        <v>3. 1m - &lt;5m</v>
      </c>
    </row>
    <row r="18" spans="1:30" hidden="1" x14ac:dyDescent="0.3">
      <c r="A18" t="s">
        <v>139</v>
      </c>
      <c r="B18" t="s">
        <v>25</v>
      </c>
      <c r="C18">
        <v>42459206</v>
      </c>
      <c r="D18">
        <v>0</v>
      </c>
      <c r="E18" t="s">
        <v>25</v>
      </c>
      <c r="F18" t="s">
        <v>26</v>
      </c>
      <c r="G18" t="s">
        <v>27</v>
      </c>
      <c r="H18" t="s">
        <v>140</v>
      </c>
      <c r="I18" t="s">
        <v>141</v>
      </c>
      <c r="J18" t="s">
        <v>26</v>
      </c>
      <c r="K18" t="s">
        <v>26</v>
      </c>
      <c r="L18" t="s">
        <v>142</v>
      </c>
      <c r="M18" t="s">
        <v>25</v>
      </c>
      <c r="N18" t="s">
        <v>31</v>
      </c>
      <c r="O18" t="s">
        <v>32</v>
      </c>
      <c r="P18" t="s">
        <v>63</v>
      </c>
      <c r="Q18" t="s">
        <v>64</v>
      </c>
      <c r="R18">
        <v>99792</v>
      </c>
      <c r="S18">
        <v>0</v>
      </c>
      <c r="T18">
        <v>99792</v>
      </c>
      <c r="U18" t="s">
        <v>35</v>
      </c>
      <c r="V18" t="s">
        <v>36</v>
      </c>
      <c r="W18" t="s">
        <v>65</v>
      </c>
      <c r="X18" s="4">
        <v>1</v>
      </c>
      <c r="Y18" s="4"/>
      <c r="Z18">
        <f t="shared" si="0"/>
        <v>7</v>
      </c>
      <c r="AA18">
        <f t="shared" si="1"/>
        <v>8</v>
      </c>
      <c r="AB18" s="5">
        <f t="shared" si="2"/>
        <v>0.32792824073840166</v>
      </c>
      <c r="AC18" s="3">
        <f t="shared" si="3"/>
        <v>9.0289351857791189E-2</v>
      </c>
      <c r="AD18" t="str" cm="1">
        <f t="array" ref="AD18">IFERROR(_xlfn.IFS(
    AC18="", "",
    AC18*86400 &lt; 30, "1. 0s - &lt;30s",
    AC18*86400 &lt; 60, "2. 30s - &lt;1m",
    AC18*86400 &lt; 300, "3. 1m - &lt;5m",
    AC18*86400 &lt; 1800, "4. 5m - &lt;30m",
    TRUE, "5. &gt;= 30m"
),"6. Invalid (Order rejected)")</f>
        <v>5. &gt;= 30m</v>
      </c>
    </row>
    <row r="19" spans="1:30" hidden="1" x14ac:dyDescent="0.3">
      <c r="A19" t="s">
        <v>143</v>
      </c>
      <c r="B19" t="s">
        <v>25</v>
      </c>
      <c r="C19">
        <v>42459206</v>
      </c>
      <c r="D19">
        <v>0</v>
      </c>
      <c r="E19" t="s">
        <v>25</v>
      </c>
      <c r="F19" t="s">
        <v>26</v>
      </c>
      <c r="G19" t="s">
        <v>27</v>
      </c>
      <c r="H19" t="s">
        <v>144</v>
      </c>
      <c r="I19" t="s">
        <v>145</v>
      </c>
      <c r="J19" t="s">
        <v>26</v>
      </c>
      <c r="K19" t="s">
        <v>26</v>
      </c>
      <c r="L19" t="s">
        <v>146</v>
      </c>
      <c r="M19" t="s">
        <v>25</v>
      </c>
      <c r="N19" t="s">
        <v>31</v>
      </c>
      <c r="O19" t="s">
        <v>32</v>
      </c>
      <c r="P19" t="s">
        <v>147</v>
      </c>
      <c r="Q19" t="s">
        <v>148</v>
      </c>
      <c r="R19">
        <v>106812</v>
      </c>
      <c r="S19">
        <v>0</v>
      </c>
      <c r="T19">
        <v>106812</v>
      </c>
      <c r="U19" t="s">
        <v>35</v>
      </c>
      <c r="V19" t="s">
        <v>36</v>
      </c>
      <c r="W19" t="s">
        <v>149</v>
      </c>
      <c r="X19" s="4">
        <v>1</v>
      </c>
      <c r="Y19" s="4"/>
      <c r="Z19">
        <f t="shared" si="0"/>
        <v>7</v>
      </c>
      <c r="AA19">
        <f t="shared" si="1"/>
        <v>8</v>
      </c>
      <c r="AB19" s="5">
        <f t="shared" si="2"/>
        <v>0.3294328703705105</v>
      </c>
      <c r="AC19" s="3">
        <f t="shared" si="3"/>
        <v>9.0289351850515231E-2</v>
      </c>
      <c r="AD19" t="str" cm="1">
        <f t="array" ref="AD19">IFERROR(_xlfn.IFS(
    AC19="", "",
    AC19*86400 &lt; 30, "1. 0s - &lt;30s",
    AC19*86400 &lt; 60, "2. 30s - &lt;1m",
    AC19*86400 &lt; 300, "3. 1m - &lt;5m",
    AC19*86400 &lt; 1800, "4. 5m - &lt;30m",
    TRUE, "5. &gt;= 30m"
),"6. Invalid (Order rejected)")</f>
        <v>5. &gt;= 30m</v>
      </c>
    </row>
    <row r="20" spans="1:30" hidden="1" x14ac:dyDescent="0.3">
      <c r="A20" t="s">
        <v>150</v>
      </c>
      <c r="B20" t="s">
        <v>25</v>
      </c>
      <c r="C20">
        <v>42459206</v>
      </c>
      <c r="D20">
        <v>0</v>
      </c>
      <c r="E20" t="s">
        <v>25</v>
      </c>
      <c r="F20" t="s">
        <v>26</v>
      </c>
      <c r="G20" t="s">
        <v>27</v>
      </c>
      <c r="H20" t="s">
        <v>151</v>
      </c>
      <c r="I20" t="s">
        <v>152</v>
      </c>
      <c r="J20" t="s">
        <v>26</v>
      </c>
      <c r="K20" t="s">
        <v>26</v>
      </c>
      <c r="L20" t="s">
        <v>153</v>
      </c>
      <c r="M20" t="s">
        <v>25</v>
      </c>
      <c r="N20" t="s">
        <v>31</v>
      </c>
      <c r="O20" t="s">
        <v>32</v>
      </c>
      <c r="P20" t="s">
        <v>154</v>
      </c>
      <c r="Q20" t="s">
        <v>155</v>
      </c>
      <c r="R20">
        <v>109728</v>
      </c>
      <c r="S20">
        <v>0</v>
      </c>
      <c r="T20">
        <v>109728</v>
      </c>
      <c r="U20" t="s">
        <v>35</v>
      </c>
      <c r="V20" t="s">
        <v>36</v>
      </c>
      <c r="W20" t="s">
        <v>156</v>
      </c>
      <c r="X20" s="4">
        <v>1</v>
      </c>
      <c r="Y20" s="4"/>
      <c r="Z20">
        <f t="shared" si="0"/>
        <v>7</v>
      </c>
      <c r="AA20">
        <f t="shared" si="1"/>
        <v>8</v>
      </c>
      <c r="AB20" s="5">
        <f t="shared" si="2"/>
        <v>0.32918981481634546</v>
      </c>
      <c r="AC20" s="3">
        <f t="shared" si="3"/>
        <v>9.0289351850515231E-2</v>
      </c>
      <c r="AD20" t="str" cm="1">
        <f t="array" ref="AD20">IFERROR(_xlfn.IFS(
    AC20="", "",
    AC20*86400 &lt; 30, "1. 0s - &lt;30s",
    AC20*86400 &lt; 60, "2. 30s - &lt;1m",
    AC20*86400 &lt; 300, "3. 1m - &lt;5m",
    AC20*86400 &lt; 1800, "4. 5m - &lt;30m",
    TRUE, "5. &gt;= 30m"
),"6. Invalid (Order rejected)")</f>
        <v>5. &gt;= 30m</v>
      </c>
    </row>
    <row r="21" spans="1:30" hidden="1" x14ac:dyDescent="0.3">
      <c r="A21" t="s">
        <v>157</v>
      </c>
      <c r="B21" t="s">
        <v>25</v>
      </c>
      <c r="C21">
        <v>42459206</v>
      </c>
      <c r="D21">
        <v>0</v>
      </c>
      <c r="E21" t="s">
        <v>25</v>
      </c>
      <c r="F21" t="s">
        <v>26</v>
      </c>
      <c r="G21" t="s">
        <v>27</v>
      </c>
      <c r="H21" t="s">
        <v>158</v>
      </c>
      <c r="I21" t="s">
        <v>159</v>
      </c>
      <c r="J21" t="s">
        <v>26</v>
      </c>
      <c r="K21" t="s">
        <v>26</v>
      </c>
      <c r="L21" t="s">
        <v>160</v>
      </c>
      <c r="M21" t="s">
        <v>25</v>
      </c>
      <c r="N21" t="s">
        <v>31</v>
      </c>
      <c r="O21" t="s">
        <v>32</v>
      </c>
      <c r="P21" t="s">
        <v>110</v>
      </c>
      <c r="Q21" t="s">
        <v>111</v>
      </c>
      <c r="R21">
        <v>139428</v>
      </c>
      <c r="S21">
        <v>0</v>
      </c>
      <c r="T21">
        <v>139428</v>
      </c>
      <c r="U21" t="s">
        <v>35</v>
      </c>
      <c r="V21" t="s">
        <v>36</v>
      </c>
      <c r="W21" t="s">
        <v>112</v>
      </c>
      <c r="X21" s="4">
        <v>1</v>
      </c>
      <c r="Y21" s="4"/>
      <c r="Z21">
        <f t="shared" si="0"/>
        <v>7</v>
      </c>
      <c r="AA21">
        <f t="shared" si="1"/>
        <v>8</v>
      </c>
      <c r="AB21" s="5">
        <f t="shared" si="2"/>
        <v>0.330671296294895</v>
      </c>
      <c r="AC21" s="3">
        <f t="shared" si="3"/>
        <v>9.0277777781011537E-2</v>
      </c>
      <c r="AD21" t="str" cm="1">
        <f t="array" ref="AD21">IFERROR(_xlfn.IFS(
    AC21="", "",
    AC21*86400 &lt; 30, "1. 0s - &lt;30s",
    AC21*86400 &lt; 60, "2. 30s - &lt;1m",
    AC21*86400 &lt; 300, "3. 1m - &lt;5m",
    AC21*86400 &lt; 1800, "4. 5m - &lt;30m",
    TRUE, "5. &gt;= 30m"
),"6. Invalid (Order rejected)")</f>
        <v>5. &gt;= 30m</v>
      </c>
    </row>
    <row r="22" spans="1:30" hidden="1" x14ac:dyDescent="0.3">
      <c r="A22" t="s">
        <v>161</v>
      </c>
      <c r="B22" t="s">
        <v>25</v>
      </c>
      <c r="C22">
        <v>42459206</v>
      </c>
      <c r="D22">
        <v>0</v>
      </c>
      <c r="E22" t="s">
        <v>25</v>
      </c>
      <c r="F22" t="s">
        <v>26</v>
      </c>
      <c r="G22" t="s">
        <v>27</v>
      </c>
      <c r="H22" t="s">
        <v>162</v>
      </c>
      <c r="I22" t="s">
        <v>163</v>
      </c>
      <c r="J22" t="s">
        <v>26</v>
      </c>
      <c r="K22" t="s">
        <v>26</v>
      </c>
      <c r="L22" t="s">
        <v>164</v>
      </c>
      <c r="M22" t="s">
        <v>25</v>
      </c>
      <c r="N22" t="s">
        <v>31</v>
      </c>
      <c r="O22" t="s">
        <v>32</v>
      </c>
      <c r="P22" t="s">
        <v>89</v>
      </c>
      <c r="Q22" t="s">
        <v>90</v>
      </c>
      <c r="R22">
        <v>123660</v>
      </c>
      <c r="S22">
        <v>0</v>
      </c>
      <c r="T22">
        <v>123660</v>
      </c>
      <c r="U22" t="s">
        <v>35</v>
      </c>
      <c r="V22" t="s">
        <v>36</v>
      </c>
      <c r="W22" t="s">
        <v>91</v>
      </c>
      <c r="X22" s="4">
        <v>1</v>
      </c>
      <c r="Y22" s="4"/>
      <c r="Z22">
        <f t="shared" si="0"/>
        <v>7</v>
      </c>
      <c r="AA22">
        <f t="shared" si="1"/>
        <v>8</v>
      </c>
      <c r="AB22" s="5">
        <f t="shared" si="2"/>
        <v>0.32494212962774327</v>
      </c>
      <c r="AC22" s="3">
        <f t="shared" si="3"/>
        <v>9.0289351850515231E-2</v>
      </c>
      <c r="AD22" t="str" cm="1">
        <f t="array" ref="AD22">IFERROR(_xlfn.IFS(
    AC22="", "",
    AC22*86400 &lt; 30, "1. 0s - &lt;30s",
    AC22*86400 &lt; 60, "2. 30s - &lt;1m",
    AC22*86400 &lt; 300, "3. 1m - &lt;5m",
    AC22*86400 &lt; 1800, "4. 5m - &lt;30m",
    TRUE, "5. &gt;= 30m"
),"6. Invalid (Order rejected)")</f>
        <v>5. &gt;= 30m</v>
      </c>
    </row>
    <row r="23" spans="1:30" hidden="1" x14ac:dyDescent="0.3">
      <c r="A23" t="s">
        <v>165</v>
      </c>
      <c r="B23" t="s">
        <v>25</v>
      </c>
      <c r="C23">
        <v>42459206</v>
      </c>
      <c r="D23">
        <v>0</v>
      </c>
      <c r="E23" t="s">
        <v>25</v>
      </c>
      <c r="F23" t="s">
        <v>26</v>
      </c>
      <c r="G23" t="s">
        <v>27</v>
      </c>
      <c r="H23" t="s">
        <v>166</v>
      </c>
      <c r="I23" t="s">
        <v>167</v>
      </c>
      <c r="J23" t="s">
        <v>26</v>
      </c>
      <c r="K23" t="s">
        <v>26</v>
      </c>
      <c r="L23" t="s">
        <v>168</v>
      </c>
      <c r="M23" t="s">
        <v>25</v>
      </c>
      <c r="N23" t="s">
        <v>31</v>
      </c>
      <c r="O23" t="s">
        <v>32</v>
      </c>
      <c r="P23" t="s">
        <v>169</v>
      </c>
      <c r="Q23" t="s">
        <v>170</v>
      </c>
      <c r="R23">
        <v>136512</v>
      </c>
      <c r="S23">
        <v>0</v>
      </c>
      <c r="T23">
        <v>136512</v>
      </c>
      <c r="U23" t="s">
        <v>35</v>
      </c>
      <c r="V23" t="s">
        <v>36</v>
      </c>
      <c r="W23" t="s">
        <v>171</v>
      </c>
      <c r="X23" s="4">
        <v>1</v>
      </c>
      <c r="Y23" s="4"/>
      <c r="Z23">
        <f t="shared" si="0"/>
        <v>7</v>
      </c>
      <c r="AA23">
        <f t="shared" si="1"/>
        <v>8</v>
      </c>
      <c r="AB23" s="5">
        <f t="shared" si="2"/>
        <v>0.32539351852028631</v>
      </c>
      <c r="AC23" s="3">
        <f t="shared" si="3"/>
        <v>9.0289351850515231E-2</v>
      </c>
      <c r="AD23" t="str" cm="1">
        <f t="array" ref="AD23">IFERROR(_xlfn.IFS(
    AC23="", "",
    AC23*86400 &lt; 30, "1. 0s - &lt;30s",
    AC23*86400 &lt; 60, "2. 30s - &lt;1m",
    AC23*86400 &lt; 300, "3. 1m - &lt;5m",
    AC23*86400 &lt; 1800, "4. 5m - &lt;30m",
    TRUE, "5. &gt;= 30m"
),"6. Invalid (Order rejected)")</f>
        <v>5. &gt;= 30m</v>
      </c>
    </row>
    <row r="24" spans="1:30" hidden="1" x14ac:dyDescent="0.3">
      <c r="A24" t="s">
        <v>172</v>
      </c>
      <c r="B24" t="s">
        <v>25</v>
      </c>
      <c r="C24">
        <v>42459206</v>
      </c>
      <c r="D24">
        <v>0</v>
      </c>
      <c r="E24" t="s">
        <v>25</v>
      </c>
      <c r="F24" t="s">
        <v>26</v>
      </c>
      <c r="G24" t="s">
        <v>27</v>
      </c>
      <c r="H24" t="s">
        <v>173</v>
      </c>
      <c r="I24" t="s">
        <v>174</v>
      </c>
      <c r="J24" t="s">
        <v>26</v>
      </c>
      <c r="K24" t="s">
        <v>26</v>
      </c>
      <c r="L24" t="s">
        <v>175</v>
      </c>
      <c r="M24" t="s">
        <v>25</v>
      </c>
      <c r="N24" t="s">
        <v>31</v>
      </c>
      <c r="O24" t="s">
        <v>32</v>
      </c>
      <c r="P24" t="s">
        <v>49</v>
      </c>
      <c r="Q24" t="s">
        <v>50</v>
      </c>
      <c r="R24">
        <v>113400</v>
      </c>
      <c r="S24">
        <v>0</v>
      </c>
      <c r="T24">
        <v>113400</v>
      </c>
      <c r="U24" t="s">
        <v>35</v>
      </c>
      <c r="V24" t="s">
        <v>36</v>
      </c>
      <c r="W24" t="s">
        <v>51</v>
      </c>
      <c r="X24" s="4">
        <v>1</v>
      </c>
      <c r="Y24" s="4"/>
      <c r="Z24">
        <f t="shared" si="0"/>
        <v>7</v>
      </c>
      <c r="AA24">
        <f t="shared" si="1"/>
        <v>8</v>
      </c>
      <c r="AB24" s="5">
        <f t="shared" si="2"/>
        <v>0.32559027777460869</v>
      </c>
      <c r="AC24" s="3">
        <f t="shared" si="3"/>
        <v>9.4386574077361729E-2</v>
      </c>
      <c r="AD24" t="str" cm="1">
        <f t="array" ref="AD24">IFERROR(_xlfn.IFS(
    AC24="", "",
    AC24*86400 &lt; 30, "1. 0s - &lt;30s",
    AC24*86400 &lt; 60, "2. 30s - &lt;1m",
    AC24*86400 &lt; 300, "3. 1m - &lt;5m",
    AC24*86400 &lt; 1800, "4. 5m - &lt;30m",
    TRUE, "5. &gt;= 30m"
),"6. Invalid (Order rejected)")</f>
        <v>5. &gt;= 30m</v>
      </c>
    </row>
    <row r="25" spans="1:30" hidden="1" x14ac:dyDescent="0.3">
      <c r="A25" t="s">
        <v>176</v>
      </c>
      <c r="B25" t="s">
        <v>25</v>
      </c>
      <c r="C25">
        <v>42459206</v>
      </c>
      <c r="D25">
        <v>0</v>
      </c>
      <c r="E25" t="s">
        <v>25</v>
      </c>
      <c r="F25" t="s">
        <v>26</v>
      </c>
      <c r="G25" t="s">
        <v>27</v>
      </c>
      <c r="H25" t="s">
        <v>177</v>
      </c>
      <c r="I25" t="s">
        <v>178</v>
      </c>
      <c r="J25" t="s">
        <v>26</v>
      </c>
      <c r="K25" t="s">
        <v>26</v>
      </c>
      <c r="L25" t="s">
        <v>179</v>
      </c>
      <c r="M25" t="s">
        <v>25</v>
      </c>
      <c r="N25" t="s">
        <v>31</v>
      </c>
      <c r="O25" t="s">
        <v>32</v>
      </c>
      <c r="P25" t="s">
        <v>180</v>
      </c>
      <c r="Q25" t="s">
        <v>181</v>
      </c>
      <c r="R25">
        <v>93204</v>
      </c>
      <c r="S25">
        <v>0</v>
      </c>
      <c r="T25">
        <v>93204</v>
      </c>
      <c r="U25" t="s">
        <v>35</v>
      </c>
      <c r="V25" t="s">
        <v>36</v>
      </c>
      <c r="W25" t="s">
        <v>182</v>
      </c>
      <c r="X25" s="4">
        <v>1</v>
      </c>
      <c r="Y25" s="4"/>
      <c r="Z25">
        <f t="shared" si="0"/>
        <v>7</v>
      </c>
      <c r="AA25">
        <f t="shared" si="1"/>
        <v>8</v>
      </c>
      <c r="AB25" s="5">
        <f t="shared" si="2"/>
        <v>0.32731481481459923</v>
      </c>
      <c r="AC25" s="3">
        <f t="shared" si="3"/>
        <v>9.0289351850515231E-2</v>
      </c>
      <c r="AD25" t="str" cm="1">
        <f t="array" ref="AD25">IFERROR(_xlfn.IFS(
    AC25="", "",
    AC25*86400 &lt; 30, "1. 0s - &lt;30s",
    AC25*86400 &lt; 60, "2. 30s - &lt;1m",
    AC25*86400 &lt; 300, "3. 1m - &lt;5m",
    AC25*86400 &lt; 1800, "4. 5m - &lt;30m",
    TRUE, "5. &gt;= 30m"
),"6. Invalid (Order rejected)")</f>
        <v>5. &gt;= 30m</v>
      </c>
    </row>
    <row r="26" spans="1:30" hidden="1" x14ac:dyDescent="0.3">
      <c r="A26" t="s">
        <v>183</v>
      </c>
      <c r="B26" t="s">
        <v>25</v>
      </c>
      <c r="C26">
        <v>42459206</v>
      </c>
      <c r="D26">
        <v>0</v>
      </c>
      <c r="E26" t="s">
        <v>25</v>
      </c>
      <c r="F26" t="s">
        <v>26</v>
      </c>
      <c r="G26" t="s">
        <v>27</v>
      </c>
      <c r="H26" t="s">
        <v>184</v>
      </c>
      <c r="I26" t="s">
        <v>185</v>
      </c>
      <c r="J26" t="s">
        <v>26</v>
      </c>
      <c r="K26" t="s">
        <v>26</v>
      </c>
      <c r="L26" t="s">
        <v>186</v>
      </c>
      <c r="M26" t="s">
        <v>25</v>
      </c>
      <c r="N26" t="s">
        <v>31</v>
      </c>
      <c r="O26" t="s">
        <v>32</v>
      </c>
      <c r="P26" t="s">
        <v>103</v>
      </c>
      <c r="Q26" t="s">
        <v>104</v>
      </c>
      <c r="R26">
        <v>108648</v>
      </c>
      <c r="S26">
        <v>0</v>
      </c>
      <c r="T26">
        <v>108648</v>
      </c>
      <c r="U26" t="s">
        <v>35</v>
      </c>
      <c r="V26" t="s">
        <v>36</v>
      </c>
      <c r="W26" t="s">
        <v>105</v>
      </c>
      <c r="X26" s="4">
        <v>1</v>
      </c>
      <c r="Y26" s="4"/>
      <c r="Z26">
        <f t="shared" si="0"/>
        <v>7</v>
      </c>
      <c r="AA26">
        <f t="shared" si="1"/>
        <v>8</v>
      </c>
      <c r="AB26" s="5">
        <f t="shared" si="2"/>
        <v>0.328229166669189</v>
      </c>
      <c r="AC26" s="3">
        <f t="shared" si="3"/>
        <v>9.0289351850515231E-2</v>
      </c>
      <c r="AD26" t="str" cm="1">
        <f t="array" ref="AD26">IFERROR(_xlfn.IFS(
    AC26="", "",
    AC26*86400 &lt; 30, "1. 0s - &lt;30s",
    AC26*86400 &lt; 60, "2. 30s - &lt;1m",
    AC26*86400 &lt; 300, "3. 1m - &lt;5m",
    AC26*86400 &lt; 1800, "4. 5m - &lt;30m",
    TRUE, "5. &gt;= 30m"
),"6. Invalid (Order rejected)")</f>
        <v>5. &gt;= 30m</v>
      </c>
    </row>
    <row r="27" spans="1:30" hidden="1" x14ac:dyDescent="0.3">
      <c r="A27" t="s">
        <v>187</v>
      </c>
      <c r="B27" t="s">
        <v>25</v>
      </c>
      <c r="C27">
        <v>42459206</v>
      </c>
      <c r="D27">
        <v>0</v>
      </c>
      <c r="E27" t="s">
        <v>25</v>
      </c>
      <c r="F27" t="s">
        <v>26</v>
      </c>
      <c r="G27" t="s">
        <v>27</v>
      </c>
      <c r="H27" t="s">
        <v>188</v>
      </c>
      <c r="I27" t="s">
        <v>189</v>
      </c>
      <c r="J27" t="s">
        <v>26</v>
      </c>
      <c r="K27" t="s">
        <v>26</v>
      </c>
      <c r="L27" t="s">
        <v>190</v>
      </c>
      <c r="M27" t="s">
        <v>25</v>
      </c>
      <c r="N27" t="s">
        <v>31</v>
      </c>
      <c r="O27" t="s">
        <v>32</v>
      </c>
      <c r="P27" t="s">
        <v>117</v>
      </c>
      <c r="Q27" t="s">
        <v>118</v>
      </c>
      <c r="R27">
        <v>187596</v>
      </c>
      <c r="S27">
        <v>0</v>
      </c>
      <c r="T27">
        <v>187596</v>
      </c>
      <c r="U27" t="s">
        <v>35</v>
      </c>
      <c r="V27" t="s">
        <v>36</v>
      </c>
      <c r="W27" t="s">
        <v>119</v>
      </c>
      <c r="X27" s="4">
        <v>1</v>
      </c>
      <c r="Y27" s="4"/>
      <c r="Z27">
        <f t="shared" si="0"/>
        <v>7</v>
      </c>
      <c r="AA27">
        <f t="shared" si="1"/>
        <v>8</v>
      </c>
      <c r="AB27" s="5">
        <f t="shared" si="2"/>
        <v>0.32879629629314877</v>
      </c>
      <c r="AC27" s="3">
        <f t="shared" si="3"/>
        <v>9.0289351857791189E-2</v>
      </c>
      <c r="AD27" t="str" cm="1">
        <f t="array" ref="AD27">IFERROR(_xlfn.IFS(
    AC27="", "",
    AC27*86400 &lt; 30, "1. 0s - &lt;30s",
    AC27*86400 &lt; 60, "2. 30s - &lt;1m",
    AC27*86400 &lt; 300, "3. 1m - &lt;5m",
    AC27*86400 &lt; 1800, "4. 5m - &lt;30m",
    TRUE, "5. &gt;= 30m"
),"6. Invalid (Order rejected)")</f>
        <v>5. &gt;= 30m</v>
      </c>
    </row>
    <row r="28" spans="1:30" hidden="1" x14ac:dyDescent="0.3">
      <c r="A28" t="s">
        <v>191</v>
      </c>
      <c r="B28" t="s">
        <v>192</v>
      </c>
      <c r="C28">
        <v>42598944</v>
      </c>
      <c r="D28">
        <v>3106185</v>
      </c>
      <c r="E28" t="s">
        <v>25</v>
      </c>
      <c r="F28" t="s">
        <v>75</v>
      </c>
      <c r="G28" t="s">
        <v>76</v>
      </c>
      <c r="H28" t="s">
        <v>193</v>
      </c>
      <c r="I28" t="s">
        <v>194</v>
      </c>
      <c r="J28" t="s">
        <v>195</v>
      </c>
      <c r="K28" t="s">
        <v>26</v>
      </c>
      <c r="L28" t="s">
        <v>196</v>
      </c>
      <c r="M28" t="s">
        <v>25</v>
      </c>
      <c r="N28" t="s">
        <v>197</v>
      </c>
      <c r="O28" t="s">
        <v>198</v>
      </c>
      <c r="P28" t="s">
        <v>199</v>
      </c>
      <c r="Q28" t="s">
        <v>200</v>
      </c>
      <c r="R28">
        <v>298296</v>
      </c>
      <c r="S28">
        <v>231248</v>
      </c>
      <c r="T28">
        <v>67048</v>
      </c>
      <c r="U28" t="s">
        <v>35</v>
      </c>
      <c r="V28" t="s">
        <v>201</v>
      </c>
      <c r="W28" t="s">
        <v>202</v>
      </c>
      <c r="X28" s="4">
        <v>1</v>
      </c>
      <c r="Y28" s="4"/>
      <c r="Z28">
        <f t="shared" si="0"/>
        <v>7</v>
      </c>
      <c r="AA28">
        <f t="shared" si="1"/>
        <v>11</v>
      </c>
      <c r="AB28" s="5">
        <f t="shared" si="2"/>
        <v>0.30084490740409819</v>
      </c>
      <c r="AC28" s="3">
        <f t="shared" si="3"/>
        <v>4.0740740805631503E-3</v>
      </c>
      <c r="AD28" t="str" cm="1">
        <f t="array" ref="AD28">IFERROR(_xlfn.IFS(
    AC28="", "",
    AC28*86400 &lt; 30, "1. 0s - &lt;30s",
    AC28*86400 &lt; 60, "2. 30s - &lt;1m",
    AC28*86400 &lt; 300, "3. 1m - &lt;5m",
    AC28*86400 &lt; 1800, "4. 5m - &lt;30m",
    TRUE, "5. &gt;= 30m"
),"6. Invalid (Order rejected)")</f>
        <v>4. 5m - &lt;30m</v>
      </c>
    </row>
    <row r="29" spans="1:30" hidden="1" x14ac:dyDescent="0.3">
      <c r="A29" t="s">
        <v>203</v>
      </c>
      <c r="B29" t="s">
        <v>192</v>
      </c>
      <c r="C29">
        <v>42598944</v>
      </c>
      <c r="D29">
        <v>3746341</v>
      </c>
      <c r="E29" t="s">
        <v>25</v>
      </c>
      <c r="F29" t="s">
        <v>75</v>
      </c>
      <c r="G29" t="s">
        <v>76</v>
      </c>
      <c r="H29" t="s">
        <v>204</v>
      </c>
      <c r="I29" t="s">
        <v>205</v>
      </c>
      <c r="J29" t="s">
        <v>206</v>
      </c>
      <c r="K29" t="s">
        <v>26</v>
      </c>
      <c r="L29" t="s">
        <v>207</v>
      </c>
      <c r="M29" t="s">
        <v>25</v>
      </c>
      <c r="N29" t="s">
        <v>197</v>
      </c>
      <c r="O29" t="s">
        <v>198</v>
      </c>
      <c r="P29" t="s">
        <v>208</v>
      </c>
      <c r="Q29" t="s">
        <v>209</v>
      </c>
      <c r="R29">
        <v>322596</v>
      </c>
      <c r="S29">
        <v>264798</v>
      </c>
      <c r="T29">
        <v>57798</v>
      </c>
      <c r="U29" t="s">
        <v>35</v>
      </c>
      <c r="V29" t="s">
        <v>201</v>
      </c>
      <c r="W29" t="s">
        <v>210</v>
      </c>
      <c r="X29" s="4">
        <v>1</v>
      </c>
      <c r="Y29" s="4"/>
      <c r="Z29">
        <f t="shared" si="0"/>
        <v>7</v>
      </c>
      <c r="AA29">
        <f t="shared" si="1"/>
        <v>11</v>
      </c>
      <c r="AB29" s="5">
        <f t="shared" si="2"/>
        <v>0.30186342592787696</v>
      </c>
      <c r="AC29" s="3">
        <f t="shared" si="3"/>
        <v>1.3275462959427387E-2</v>
      </c>
      <c r="AD29" t="str" cm="1">
        <f t="array" ref="AD29">IFERROR(_xlfn.IFS(
    AC29="", "",
    AC29*86400 &lt; 30, "1. 0s - &lt;30s",
    AC29*86400 &lt; 60, "2. 30s - &lt;1m",
    AC29*86400 &lt; 300, "3. 1m - &lt;5m",
    AC29*86400 &lt; 1800, "4. 5m - &lt;30m",
    TRUE, "5. &gt;= 30m"
),"6. Invalid (Order rejected)")</f>
        <v>4. 5m - &lt;30m</v>
      </c>
    </row>
    <row r="30" spans="1:30" hidden="1" x14ac:dyDescent="0.3">
      <c r="A30" t="s">
        <v>211</v>
      </c>
      <c r="B30" t="s">
        <v>192</v>
      </c>
      <c r="C30">
        <v>42598944</v>
      </c>
      <c r="D30">
        <v>0</v>
      </c>
      <c r="E30" t="s">
        <v>25</v>
      </c>
      <c r="F30" t="s">
        <v>26</v>
      </c>
      <c r="G30" t="s">
        <v>27</v>
      </c>
      <c r="H30" t="s">
        <v>212</v>
      </c>
      <c r="I30" t="s">
        <v>213</v>
      </c>
      <c r="J30" t="s">
        <v>26</v>
      </c>
      <c r="K30" t="s">
        <v>26</v>
      </c>
      <c r="L30" t="s">
        <v>214</v>
      </c>
      <c r="M30" t="s">
        <v>25</v>
      </c>
      <c r="N30" t="s">
        <v>215</v>
      </c>
      <c r="O30" t="s">
        <v>216</v>
      </c>
      <c r="P30" t="s">
        <v>217</v>
      </c>
      <c r="Q30" t="s">
        <v>218</v>
      </c>
      <c r="R30">
        <v>285660</v>
      </c>
      <c r="S30">
        <v>0</v>
      </c>
      <c r="T30">
        <v>285660</v>
      </c>
      <c r="U30" t="s">
        <v>35</v>
      </c>
      <c r="V30" t="s">
        <v>219</v>
      </c>
      <c r="W30" t="s">
        <v>220</v>
      </c>
      <c r="X30" s="4">
        <v>1</v>
      </c>
      <c r="Y30" s="4"/>
      <c r="Z30">
        <f t="shared" si="0"/>
        <v>7</v>
      </c>
      <c r="AA30">
        <f t="shared" si="1"/>
        <v>11</v>
      </c>
      <c r="AB30" s="5">
        <f t="shared" si="2"/>
        <v>0.30450231481518131</v>
      </c>
      <c r="AC30" s="3">
        <f t="shared" si="3"/>
        <v>9.0277777781011537E-2</v>
      </c>
      <c r="AD30" t="str" cm="1">
        <f t="array" ref="AD30">IFERROR(_xlfn.IFS(
    AC30="", "",
    AC30*86400 &lt; 30, "1. 0s - &lt;30s",
    AC30*86400 &lt; 60, "2. 30s - &lt;1m",
    AC30*86400 &lt; 300, "3. 1m - &lt;5m",
    AC30*86400 &lt; 1800, "4. 5m - &lt;30m",
    TRUE, "5. &gt;= 30m"
),"6. Invalid (Order rejected)")</f>
        <v>5. &gt;= 30m</v>
      </c>
    </row>
    <row r="31" spans="1:30" hidden="1" x14ac:dyDescent="0.3">
      <c r="A31" t="s">
        <v>221</v>
      </c>
      <c r="B31" t="s">
        <v>192</v>
      </c>
      <c r="C31">
        <v>42598944</v>
      </c>
      <c r="D31">
        <v>3746341</v>
      </c>
      <c r="E31" t="s">
        <v>25</v>
      </c>
      <c r="F31" t="s">
        <v>75</v>
      </c>
      <c r="G31" t="s">
        <v>76</v>
      </c>
      <c r="H31" t="s">
        <v>222</v>
      </c>
      <c r="I31" t="s">
        <v>223</v>
      </c>
      <c r="J31" t="s">
        <v>224</v>
      </c>
      <c r="K31" t="s">
        <v>26</v>
      </c>
      <c r="L31" t="s">
        <v>225</v>
      </c>
      <c r="M31" t="s">
        <v>25</v>
      </c>
      <c r="N31" t="s">
        <v>197</v>
      </c>
      <c r="O31" t="s">
        <v>198</v>
      </c>
      <c r="P31" t="s">
        <v>208</v>
      </c>
      <c r="Q31" t="s">
        <v>209</v>
      </c>
      <c r="R31">
        <v>306396</v>
      </c>
      <c r="S31">
        <v>251500</v>
      </c>
      <c r="T31">
        <v>54896</v>
      </c>
      <c r="U31" t="s">
        <v>35</v>
      </c>
      <c r="V31" t="s">
        <v>201</v>
      </c>
      <c r="W31" t="s">
        <v>210</v>
      </c>
      <c r="X31" s="4">
        <v>1</v>
      </c>
      <c r="Y31" s="4"/>
      <c r="Z31">
        <f t="shared" si="0"/>
        <v>7</v>
      </c>
      <c r="AA31">
        <f t="shared" si="1"/>
        <v>11</v>
      </c>
      <c r="AB31" s="5">
        <f t="shared" si="2"/>
        <v>0.30202546296641231</v>
      </c>
      <c r="AC31" s="3">
        <f t="shared" si="3"/>
        <v>1.5520833330811001E-2</v>
      </c>
      <c r="AD31" t="str" cm="1">
        <f t="array" ref="AD31">IFERROR(_xlfn.IFS(
    AC31="", "",
    AC31*86400 &lt; 30, "1. 0s - &lt;30s",
    AC31*86400 &lt; 60, "2. 30s - &lt;1m",
    AC31*86400 &lt; 300, "3. 1m - &lt;5m",
    AC31*86400 &lt; 1800, "4. 5m - &lt;30m",
    TRUE, "5. &gt;= 30m"
),"6. Invalid (Order rejected)")</f>
        <v>4. 5m - &lt;30m</v>
      </c>
    </row>
    <row r="32" spans="1:30" hidden="1" x14ac:dyDescent="0.3">
      <c r="A32" t="s">
        <v>226</v>
      </c>
      <c r="B32" t="s">
        <v>192</v>
      </c>
      <c r="C32">
        <v>42598944</v>
      </c>
      <c r="D32">
        <v>0</v>
      </c>
      <c r="E32" t="s">
        <v>25</v>
      </c>
      <c r="F32" t="s">
        <v>26</v>
      </c>
      <c r="G32" t="s">
        <v>27</v>
      </c>
      <c r="H32" t="s">
        <v>227</v>
      </c>
      <c r="I32" t="s">
        <v>228</v>
      </c>
      <c r="J32" t="s">
        <v>26</v>
      </c>
      <c r="K32" t="s">
        <v>26</v>
      </c>
      <c r="L32" t="s">
        <v>229</v>
      </c>
      <c r="M32" t="s">
        <v>25</v>
      </c>
      <c r="N32" t="s">
        <v>197</v>
      </c>
      <c r="O32" t="s">
        <v>198</v>
      </c>
      <c r="P32" t="s">
        <v>230</v>
      </c>
      <c r="Q32" t="s">
        <v>231</v>
      </c>
      <c r="R32">
        <v>238464</v>
      </c>
      <c r="S32">
        <v>0</v>
      </c>
      <c r="T32">
        <v>238464</v>
      </c>
      <c r="U32" t="s">
        <v>35</v>
      </c>
      <c r="V32" t="s">
        <v>201</v>
      </c>
      <c r="W32" t="s">
        <v>232</v>
      </c>
      <c r="X32" s="4">
        <v>1</v>
      </c>
      <c r="Y32" s="4"/>
      <c r="Z32">
        <f t="shared" si="0"/>
        <v>7</v>
      </c>
      <c r="AA32">
        <f t="shared" si="1"/>
        <v>11</v>
      </c>
      <c r="AB32" s="5">
        <f t="shared" si="2"/>
        <v>0.30236111111298669</v>
      </c>
      <c r="AC32" s="3">
        <f t="shared" si="3"/>
        <v>9.0266203704231884E-2</v>
      </c>
      <c r="AD32" t="str" cm="1">
        <f t="array" ref="AD32">IFERROR(_xlfn.IFS(
    AC32="", "",
    AC32*86400 &lt; 30, "1. 0s - &lt;30s",
    AC32*86400 &lt; 60, "2. 30s - &lt;1m",
    AC32*86400 &lt; 300, "3. 1m - &lt;5m",
    AC32*86400 &lt; 1800, "4. 5m - &lt;30m",
    TRUE, "5. &gt;= 30m"
),"6. Invalid (Order rejected)")</f>
        <v>5. &gt;= 30m</v>
      </c>
    </row>
    <row r="33" spans="1:30" hidden="1" x14ac:dyDescent="0.3">
      <c r="A33" t="s">
        <v>233</v>
      </c>
      <c r="B33" t="s">
        <v>192</v>
      </c>
      <c r="C33">
        <v>42598944</v>
      </c>
      <c r="D33">
        <v>0</v>
      </c>
      <c r="E33" t="s">
        <v>25</v>
      </c>
      <c r="F33" t="s">
        <v>26</v>
      </c>
      <c r="G33" t="s">
        <v>27</v>
      </c>
      <c r="H33" t="s">
        <v>234</v>
      </c>
      <c r="I33" t="s">
        <v>235</v>
      </c>
      <c r="J33" t="s">
        <v>26</v>
      </c>
      <c r="K33" t="s">
        <v>26</v>
      </c>
      <c r="L33" t="s">
        <v>236</v>
      </c>
      <c r="M33" t="s">
        <v>25</v>
      </c>
      <c r="N33" t="s">
        <v>215</v>
      </c>
      <c r="O33" t="s">
        <v>216</v>
      </c>
      <c r="P33" t="s">
        <v>237</v>
      </c>
      <c r="Q33" t="s">
        <v>238</v>
      </c>
      <c r="R33">
        <v>258336</v>
      </c>
      <c r="S33">
        <v>0</v>
      </c>
      <c r="T33">
        <v>258336</v>
      </c>
      <c r="U33" t="s">
        <v>35</v>
      </c>
      <c r="V33" t="s">
        <v>219</v>
      </c>
      <c r="W33" t="s">
        <v>239</v>
      </c>
      <c r="X33" s="4">
        <v>1</v>
      </c>
      <c r="Y33" s="4"/>
      <c r="Z33">
        <f t="shared" si="0"/>
        <v>7</v>
      </c>
      <c r="AA33">
        <f t="shared" si="1"/>
        <v>11</v>
      </c>
      <c r="AB33" s="5">
        <f t="shared" si="2"/>
        <v>0.30349537036818219</v>
      </c>
      <c r="AC33" s="3">
        <f t="shared" si="3"/>
        <v>9.0277777781011537E-2</v>
      </c>
      <c r="AD33" t="str" cm="1">
        <f t="array" ref="AD33">IFERROR(_xlfn.IFS(
    AC33="", "",
    AC33*86400 &lt; 30, "1. 0s - &lt;30s",
    AC33*86400 &lt; 60, "2. 30s - &lt;1m",
    AC33*86400 &lt; 300, "3. 1m - &lt;5m",
    AC33*86400 &lt; 1800, "4. 5m - &lt;30m",
    TRUE, "5. &gt;= 30m"
),"6. Invalid (Order rejected)")</f>
        <v>5. &gt;= 30m</v>
      </c>
    </row>
    <row r="34" spans="1:30" hidden="1" x14ac:dyDescent="0.3">
      <c r="A34" t="s">
        <v>240</v>
      </c>
      <c r="B34" t="s">
        <v>192</v>
      </c>
      <c r="C34">
        <v>42598944</v>
      </c>
      <c r="D34">
        <v>0</v>
      </c>
      <c r="E34" t="s">
        <v>25</v>
      </c>
      <c r="F34" t="s">
        <v>26</v>
      </c>
      <c r="G34" t="s">
        <v>27</v>
      </c>
      <c r="H34" t="s">
        <v>241</v>
      </c>
      <c r="I34" t="s">
        <v>242</v>
      </c>
      <c r="J34" t="s">
        <v>26</v>
      </c>
      <c r="K34" t="s">
        <v>26</v>
      </c>
      <c r="L34" t="s">
        <v>243</v>
      </c>
      <c r="M34" t="s">
        <v>25</v>
      </c>
      <c r="N34" t="s">
        <v>244</v>
      </c>
      <c r="O34" t="s">
        <v>245</v>
      </c>
      <c r="P34" t="s">
        <v>246</v>
      </c>
      <c r="Q34" t="s">
        <v>247</v>
      </c>
      <c r="R34">
        <v>174096</v>
      </c>
      <c r="S34">
        <v>0</v>
      </c>
      <c r="T34">
        <v>174096</v>
      </c>
      <c r="U34" t="s">
        <v>35</v>
      </c>
      <c r="V34" t="s">
        <v>248</v>
      </c>
      <c r="W34" t="s">
        <v>249</v>
      </c>
      <c r="X34" s="4">
        <v>1</v>
      </c>
      <c r="Y34" s="4"/>
      <c r="Z34">
        <f t="shared" si="0"/>
        <v>7</v>
      </c>
      <c r="AA34">
        <f t="shared" si="1"/>
        <v>11</v>
      </c>
      <c r="AB34" s="5">
        <f t="shared" si="2"/>
        <v>0.30800925925723277</v>
      </c>
      <c r="AC34" s="3">
        <f t="shared" si="3"/>
        <v>9.0266203704231884E-2</v>
      </c>
      <c r="AD34" t="str" cm="1">
        <f t="array" ref="AD34">IFERROR(_xlfn.IFS(
    AC34="", "",
    AC34*86400 &lt; 30, "1. 0s - &lt;30s",
    AC34*86400 &lt; 60, "2. 30s - &lt;1m",
    AC34*86400 &lt; 300, "3. 1m - &lt;5m",
    AC34*86400 &lt; 1800, "4. 5m - &lt;30m",
    TRUE, "5. &gt;= 30m"
),"6. Invalid (Order rejected)")</f>
        <v>5. &gt;= 30m</v>
      </c>
    </row>
    <row r="35" spans="1:30" hidden="1" x14ac:dyDescent="0.3">
      <c r="A35" t="s">
        <v>250</v>
      </c>
      <c r="B35" t="s">
        <v>192</v>
      </c>
      <c r="C35">
        <v>42598944</v>
      </c>
      <c r="D35">
        <v>0</v>
      </c>
      <c r="E35" t="s">
        <v>25</v>
      </c>
      <c r="F35" t="s">
        <v>26</v>
      </c>
      <c r="G35" t="s">
        <v>27</v>
      </c>
      <c r="H35" t="s">
        <v>251</v>
      </c>
      <c r="I35" t="s">
        <v>252</v>
      </c>
      <c r="J35" t="s">
        <v>26</v>
      </c>
      <c r="K35" t="s">
        <v>26</v>
      </c>
      <c r="L35" t="s">
        <v>253</v>
      </c>
      <c r="M35" t="s">
        <v>25</v>
      </c>
      <c r="N35" t="s">
        <v>215</v>
      </c>
      <c r="O35" t="s">
        <v>216</v>
      </c>
      <c r="P35" t="s">
        <v>254</v>
      </c>
      <c r="Q35" t="s">
        <v>255</v>
      </c>
      <c r="R35">
        <v>318276</v>
      </c>
      <c r="S35">
        <v>0</v>
      </c>
      <c r="T35">
        <v>318276</v>
      </c>
      <c r="U35" t="s">
        <v>35</v>
      </c>
      <c r="V35" t="s">
        <v>219</v>
      </c>
      <c r="W35" t="s">
        <v>256</v>
      </c>
      <c r="X35" s="4">
        <v>1</v>
      </c>
      <c r="Y35" s="4"/>
      <c r="Z35">
        <f t="shared" si="0"/>
        <v>7</v>
      </c>
      <c r="AA35">
        <f t="shared" si="1"/>
        <v>11</v>
      </c>
      <c r="AB35" s="5">
        <f t="shared" si="2"/>
        <v>0.30378472222218988</v>
      </c>
      <c r="AC35" s="3">
        <f t="shared" si="3"/>
        <v>0.17074074073752854</v>
      </c>
      <c r="AD35" t="str" cm="1">
        <f t="array" ref="AD35">IFERROR(_xlfn.IFS(
    AC35="", "",
    AC35*86400 &lt; 30, "1. 0s - &lt;30s",
    AC35*86400 &lt; 60, "2. 30s - &lt;1m",
    AC35*86400 &lt; 300, "3. 1m - &lt;5m",
    AC35*86400 &lt; 1800, "4. 5m - &lt;30m",
    TRUE, "5. &gt;= 30m"
),"6. Invalid (Order rejected)")</f>
        <v>5. &gt;= 30m</v>
      </c>
    </row>
    <row r="36" spans="1:30" hidden="1" x14ac:dyDescent="0.3">
      <c r="A36" t="s">
        <v>257</v>
      </c>
      <c r="B36" t="s">
        <v>192</v>
      </c>
      <c r="C36">
        <v>42598944</v>
      </c>
      <c r="D36">
        <v>0</v>
      </c>
      <c r="E36" t="s">
        <v>25</v>
      </c>
      <c r="F36" t="s">
        <v>26</v>
      </c>
      <c r="G36" t="s">
        <v>27</v>
      </c>
      <c r="H36" t="s">
        <v>258</v>
      </c>
      <c r="I36" t="s">
        <v>259</v>
      </c>
      <c r="J36" t="s">
        <v>26</v>
      </c>
      <c r="K36" t="s">
        <v>26</v>
      </c>
      <c r="L36" t="s">
        <v>260</v>
      </c>
      <c r="M36" t="s">
        <v>25</v>
      </c>
      <c r="N36" t="s">
        <v>261</v>
      </c>
      <c r="O36" t="s">
        <v>262</v>
      </c>
      <c r="P36" t="s">
        <v>263</v>
      </c>
      <c r="Q36" t="s">
        <v>264</v>
      </c>
      <c r="R36">
        <v>133596</v>
      </c>
      <c r="S36">
        <v>0</v>
      </c>
      <c r="T36">
        <v>133596</v>
      </c>
      <c r="U36" t="s">
        <v>35</v>
      </c>
      <c r="V36" t="s">
        <v>265</v>
      </c>
      <c r="W36" t="s">
        <v>266</v>
      </c>
      <c r="X36" s="4">
        <v>1</v>
      </c>
      <c r="Y36" s="4"/>
      <c r="Z36">
        <f t="shared" si="0"/>
        <v>7</v>
      </c>
      <c r="AA36">
        <f t="shared" si="1"/>
        <v>11</v>
      </c>
      <c r="AB36" s="5">
        <f t="shared" si="2"/>
        <v>0.3058564814782585</v>
      </c>
      <c r="AC36" s="3">
        <f t="shared" si="3"/>
        <v>9.0266203704231884E-2</v>
      </c>
      <c r="AD36" t="str" cm="1">
        <f t="array" ref="AD36">IFERROR(_xlfn.IFS(
    AC36="", "",
    AC36*86400 &lt; 30, "1. 0s - &lt;30s",
    AC36*86400 &lt; 60, "2. 30s - &lt;1m",
    AC36*86400 &lt; 300, "3. 1m - &lt;5m",
    AC36*86400 &lt; 1800, "4. 5m - &lt;30m",
    TRUE, "5. &gt;= 30m"
),"6. Invalid (Order rejected)")</f>
        <v>5. &gt;= 30m</v>
      </c>
    </row>
    <row r="37" spans="1:30" hidden="1" x14ac:dyDescent="0.3">
      <c r="A37" t="s">
        <v>267</v>
      </c>
      <c r="B37" t="s">
        <v>192</v>
      </c>
      <c r="C37">
        <v>42598944</v>
      </c>
      <c r="D37">
        <v>0</v>
      </c>
      <c r="E37" t="s">
        <v>25</v>
      </c>
      <c r="F37" t="s">
        <v>26</v>
      </c>
      <c r="G37" t="s">
        <v>27</v>
      </c>
      <c r="H37" t="s">
        <v>268</v>
      </c>
      <c r="I37" t="s">
        <v>269</v>
      </c>
      <c r="J37" t="s">
        <v>26</v>
      </c>
      <c r="K37" t="s">
        <v>26</v>
      </c>
      <c r="L37" t="s">
        <v>270</v>
      </c>
      <c r="M37" t="s">
        <v>25</v>
      </c>
      <c r="N37" t="s">
        <v>261</v>
      </c>
      <c r="O37" t="s">
        <v>262</v>
      </c>
      <c r="P37" t="s">
        <v>263</v>
      </c>
      <c r="Q37" t="s">
        <v>264</v>
      </c>
      <c r="R37">
        <v>180576</v>
      </c>
      <c r="S37">
        <v>0</v>
      </c>
      <c r="T37">
        <v>180576</v>
      </c>
      <c r="U37" t="s">
        <v>35</v>
      </c>
      <c r="V37" t="s">
        <v>265</v>
      </c>
      <c r="W37" t="s">
        <v>266</v>
      </c>
      <c r="X37" s="4">
        <v>1</v>
      </c>
      <c r="Y37" s="4"/>
      <c r="Z37">
        <f t="shared" si="0"/>
        <v>7</v>
      </c>
      <c r="AA37">
        <f t="shared" si="1"/>
        <v>11</v>
      </c>
      <c r="AB37" s="5">
        <f t="shared" si="2"/>
        <v>0.30594907407066785</v>
      </c>
      <c r="AC37" s="3">
        <f t="shared" si="3"/>
        <v>9.0277777781011537E-2</v>
      </c>
      <c r="AD37" t="str" cm="1">
        <f t="array" ref="AD37">IFERROR(_xlfn.IFS(
    AC37="", "",
    AC37*86400 &lt; 30, "1. 0s - &lt;30s",
    AC37*86400 &lt; 60, "2. 30s - &lt;1m",
    AC37*86400 &lt; 300, "3. 1m - &lt;5m",
    AC37*86400 &lt; 1800, "4. 5m - &lt;30m",
    TRUE, "5. &gt;= 30m"
),"6. Invalid (Order rejected)")</f>
        <v>5. &gt;= 30m</v>
      </c>
    </row>
    <row r="38" spans="1:30" hidden="1" x14ac:dyDescent="0.3">
      <c r="A38" t="s">
        <v>271</v>
      </c>
      <c r="B38" t="s">
        <v>192</v>
      </c>
      <c r="C38">
        <v>42598944</v>
      </c>
      <c r="D38">
        <v>0</v>
      </c>
      <c r="E38" t="s">
        <v>25</v>
      </c>
      <c r="F38" t="s">
        <v>26</v>
      </c>
      <c r="G38" t="s">
        <v>27</v>
      </c>
      <c r="H38" t="s">
        <v>272</v>
      </c>
      <c r="I38" t="s">
        <v>273</v>
      </c>
      <c r="J38" t="s">
        <v>26</v>
      </c>
      <c r="K38" t="s">
        <v>26</v>
      </c>
      <c r="L38" t="s">
        <v>274</v>
      </c>
      <c r="M38" t="s">
        <v>25</v>
      </c>
      <c r="N38" t="s">
        <v>275</v>
      </c>
      <c r="O38" t="s">
        <v>276</v>
      </c>
      <c r="P38" t="s">
        <v>208</v>
      </c>
      <c r="Q38" t="s">
        <v>209</v>
      </c>
      <c r="R38">
        <v>332640</v>
      </c>
      <c r="S38">
        <v>0</v>
      </c>
      <c r="T38">
        <v>332640</v>
      </c>
      <c r="U38" t="s">
        <v>35</v>
      </c>
      <c r="V38" t="s">
        <v>277</v>
      </c>
      <c r="W38" t="s">
        <v>210</v>
      </c>
      <c r="X38" s="4">
        <v>1</v>
      </c>
      <c r="Y38" s="4"/>
      <c r="Z38">
        <f t="shared" si="0"/>
        <v>7</v>
      </c>
      <c r="AA38">
        <f t="shared" si="1"/>
        <v>11</v>
      </c>
      <c r="AB38" s="5">
        <f t="shared" si="2"/>
        <v>0.30964120370481396</v>
      </c>
      <c r="AC38" s="3">
        <f t="shared" si="3"/>
        <v>9.0266203704231884E-2</v>
      </c>
      <c r="AD38" t="str" cm="1">
        <f t="array" ref="AD38">IFERROR(_xlfn.IFS(
    AC38="", "",
    AC38*86400 &lt; 30, "1. 0s - &lt;30s",
    AC38*86400 &lt; 60, "2. 30s - &lt;1m",
    AC38*86400 &lt; 300, "3. 1m - &lt;5m",
    AC38*86400 &lt; 1800, "4. 5m - &lt;30m",
    TRUE, "5. &gt;= 30m"
),"6. Invalid (Order rejected)")</f>
        <v>5. &gt;= 30m</v>
      </c>
    </row>
    <row r="39" spans="1:30" hidden="1" x14ac:dyDescent="0.3">
      <c r="A39" t="s">
        <v>278</v>
      </c>
      <c r="B39" t="s">
        <v>192</v>
      </c>
      <c r="C39">
        <v>42598944</v>
      </c>
      <c r="D39">
        <v>0</v>
      </c>
      <c r="E39" t="s">
        <v>25</v>
      </c>
      <c r="F39" t="s">
        <v>26</v>
      </c>
      <c r="G39" t="s">
        <v>27</v>
      </c>
      <c r="H39" t="s">
        <v>279</v>
      </c>
      <c r="I39" t="s">
        <v>280</v>
      </c>
      <c r="J39" t="s">
        <v>26</v>
      </c>
      <c r="K39" t="s">
        <v>26</v>
      </c>
      <c r="L39" t="s">
        <v>281</v>
      </c>
      <c r="M39" t="s">
        <v>25</v>
      </c>
      <c r="N39" t="s">
        <v>261</v>
      </c>
      <c r="O39" t="s">
        <v>262</v>
      </c>
      <c r="P39" t="s">
        <v>282</v>
      </c>
      <c r="Q39" t="s">
        <v>283</v>
      </c>
      <c r="R39">
        <v>194184</v>
      </c>
      <c r="S39">
        <v>0</v>
      </c>
      <c r="T39">
        <v>194184</v>
      </c>
      <c r="U39" t="s">
        <v>35</v>
      </c>
      <c r="V39" t="s">
        <v>265</v>
      </c>
      <c r="W39" t="s">
        <v>284</v>
      </c>
      <c r="X39" s="4">
        <v>1</v>
      </c>
      <c r="Y39" s="4"/>
      <c r="Z39">
        <f t="shared" si="0"/>
        <v>7</v>
      </c>
      <c r="AA39">
        <f t="shared" si="1"/>
        <v>11</v>
      </c>
      <c r="AB39" s="5">
        <f t="shared" si="2"/>
        <v>0.30525462963123573</v>
      </c>
      <c r="AC39" s="3">
        <f t="shared" si="3"/>
        <v>9.0266203704231884E-2</v>
      </c>
      <c r="AD39" t="str" cm="1">
        <f t="array" ref="AD39">IFERROR(_xlfn.IFS(
    AC39="", "",
    AC39*86400 &lt; 30, "1. 0s - &lt;30s",
    AC39*86400 &lt; 60, "2. 30s - &lt;1m",
    AC39*86400 &lt; 300, "3. 1m - &lt;5m",
    AC39*86400 &lt; 1800, "4. 5m - &lt;30m",
    TRUE, "5. &gt;= 30m"
),"6. Invalid (Order rejected)")</f>
        <v>5. &gt;= 30m</v>
      </c>
    </row>
    <row r="40" spans="1:30" hidden="1" x14ac:dyDescent="0.3">
      <c r="A40" t="s">
        <v>285</v>
      </c>
      <c r="B40" t="s">
        <v>192</v>
      </c>
      <c r="C40">
        <v>42598944</v>
      </c>
      <c r="D40">
        <v>0</v>
      </c>
      <c r="E40" t="s">
        <v>25</v>
      </c>
      <c r="F40" t="s">
        <v>26</v>
      </c>
      <c r="G40" t="s">
        <v>27</v>
      </c>
      <c r="H40" t="s">
        <v>286</v>
      </c>
      <c r="I40" t="s">
        <v>287</v>
      </c>
      <c r="J40" t="s">
        <v>26</v>
      </c>
      <c r="K40" t="s">
        <v>26</v>
      </c>
      <c r="L40" t="s">
        <v>288</v>
      </c>
      <c r="M40" t="s">
        <v>25</v>
      </c>
      <c r="N40" t="s">
        <v>261</v>
      </c>
      <c r="O40" t="s">
        <v>262</v>
      </c>
      <c r="P40" t="s">
        <v>289</v>
      </c>
      <c r="Q40" t="s">
        <v>290</v>
      </c>
      <c r="R40">
        <v>172152</v>
      </c>
      <c r="S40">
        <v>0</v>
      </c>
      <c r="T40">
        <v>172152</v>
      </c>
      <c r="U40" t="s">
        <v>35</v>
      </c>
      <c r="V40" t="s">
        <v>265</v>
      </c>
      <c r="W40" t="s">
        <v>291</v>
      </c>
      <c r="X40" s="4">
        <v>1</v>
      </c>
      <c r="Y40" s="4"/>
      <c r="Z40">
        <f t="shared" si="0"/>
        <v>7</v>
      </c>
      <c r="AA40">
        <f t="shared" si="1"/>
        <v>11</v>
      </c>
      <c r="AB40" s="5">
        <f t="shared" si="2"/>
        <v>0.30541666666977108</v>
      </c>
      <c r="AC40" s="3">
        <f t="shared" si="3"/>
        <v>9.0277777773735579E-2</v>
      </c>
      <c r="AD40" t="str" cm="1">
        <f t="array" ref="AD40">IFERROR(_xlfn.IFS(
    AC40="", "",
    AC40*86400 &lt; 30, "1. 0s - &lt;30s",
    AC40*86400 &lt; 60, "2. 30s - &lt;1m",
    AC40*86400 &lt; 300, "3. 1m - &lt;5m",
    AC40*86400 &lt; 1800, "4. 5m - &lt;30m",
    TRUE, "5. &gt;= 30m"
),"6. Invalid (Order rejected)")</f>
        <v>5. &gt;= 30m</v>
      </c>
    </row>
    <row r="41" spans="1:30" hidden="1" x14ac:dyDescent="0.3">
      <c r="A41" t="s">
        <v>292</v>
      </c>
      <c r="B41" t="s">
        <v>192</v>
      </c>
      <c r="C41">
        <v>42598944</v>
      </c>
      <c r="D41">
        <v>0</v>
      </c>
      <c r="E41" t="s">
        <v>25</v>
      </c>
      <c r="F41" t="s">
        <v>26</v>
      </c>
      <c r="G41" t="s">
        <v>27</v>
      </c>
      <c r="H41" t="s">
        <v>293</v>
      </c>
      <c r="I41" t="s">
        <v>294</v>
      </c>
      <c r="J41" t="s">
        <v>26</v>
      </c>
      <c r="K41" t="s">
        <v>26</v>
      </c>
      <c r="L41" t="s">
        <v>295</v>
      </c>
      <c r="M41" t="s">
        <v>25</v>
      </c>
      <c r="N41" t="s">
        <v>244</v>
      </c>
      <c r="O41" t="s">
        <v>245</v>
      </c>
      <c r="P41" t="s">
        <v>296</v>
      </c>
      <c r="Q41" t="s">
        <v>297</v>
      </c>
      <c r="R41">
        <v>244944</v>
      </c>
      <c r="S41">
        <v>0</v>
      </c>
      <c r="T41">
        <v>244944</v>
      </c>
      <c r="U41" t="s">
        <v>35</v>
      </c>
      <c r="V41" t="s">
        <v>248</v>
      </c>
      <c r="W41" t="s">
        <v>298</v>
      </c>
      <c r="X41" s="4">
        <v>1</v>
      </c>
      <c r="Y41" s="4"/>
      <c r="Z41">
        <f t="shared" si="0"/>
        <v>7</v>
      </c>
      <c r="AA41">
        <f t="shared" si="1"/>
        <v>11</v>
      </c>
      <c r="AB41" s="5">
        <f t="shared" si="2"/>
        <v>0.30741898147971369</v>
      </c>
      <c r="AC41" s="3">
        <f t="shared" si="3"/>
        <v>0.10378472222510027</v>
      </c>
      <c r="AD41" t="str" cm="1">
        <f t="array" ref="AD41">IFERROR(_xlfn.IFS(
    AC41="", "",
    AC41*86400 &lt; 30, "1. 0s - &lt;30s",
    AC41*86400 &lt; 60, "2. 30s - &lt;1m",
    AC41*86400 &lt; 300, "3. 1m - &lt;5m",
    AC41*86400 &lt; 1800, "4. 5m - &lt;30m",
    TRUE, "5. &gt;= 30m"
),"6. Invalid (Order rejected)")</f>
        <v>5. &gt;= 30m</v>
      </c>
    </row>
    <row r="42" spans="1:30" hidden="1" x14ac:dyDescent="0.3">
      <c r="A42" t="s">
        <v>299</v>
      </c>
      <c r="B42" t="s">
        <v>192</v>
      </c>
      <c r="C42">
        <v>42598944</v>
      </c>
      <c r="D42">
        <v>3106185</v>
      </c>
      <c r="E42" t="s">
        <v>25</v>
      </c>
      <c r="F42" t="s">
        <v>75</v>
      </c>
      <c r="G42" t="s">
        <v>76</v>
      </c>
      <c r="H42" t="s">
        <v>300</v>
      </c>
      <c r="I42" t="s">
        <v>301</v>
      </c>
      <c r="J42" t="s">
        <v>302</v>
      </c>
      <c r="K42" t="s">
        <v>26</v>
      </c>
      <c r="L42" t="s">
        <v>303</v>
      </c>
      <c r="M42" t="s">
        <v>25</v>
      </c>
      <c r="N42" t="s">
        <v>197</v>
      </c>
      <c r="O42" t="s">
        <v>198</v>
      </c>
      <c r="P42" t="s">
        <v>304</v>
      </c>
      <c r="Q42" t="s">
        <v>305</v>
      </c>
      <c r="R42">
        <v>281664</v>
      </c>
      <c r="S42">
        <v>218355</v>
      </c>
      <c r="T42">
        <v>63309</v>
      </c>
      <c r="U42" t="s">
        <v>35</v>
      </c>
      <c r="V42" t="s">
        <v>201</v>
      </c>
      <c r="W42" t="s">
        <v>202</v>
      </c>
      <c r="X42" s="4">
        <v>1</v>
      </c>
      <c r="Y42" s="4"/>
      <c r="Z42">
        <f t="shared" si="0"/>
        <v>7</v>
      </c>
      <c r="AA42">
        <f t="shared" si="1"/>
        <v>11</v>
      </c>
      <c r="AB42" s="5">
        <f t="shared" si="2"/>
        <v>0.30107638888875954</v>
      </c>
      <c r="AC42" s="3">
        <f t="shared" si="3"/>
        <v>5.5902777748997323E-3</v>
      </c>
      <c r="AD42" t="str" cm="1">
        <f t="array" ref="AD42">IFERROR(_xlfn.IFS(
    AC42="", "",
    AC42*86400 &lt; 30, "1. 0s - &lt;30s",
    AC42*86400 &lt; 60, "2. 30s - &lt;1m",
    AC42*86400 &lt; 300, "3. 1m - &lt;5m",
    AC42*86400 &lt; 1800, "4. 5m - &lt;30m",
    TRUE, "5. &gt;= 30m"
),"6. Invalid (Order rejected)")</f>
        <v>4. 5m - &lt;30m</v>
      </c>
    </row>
    <row r="43" spans="1:30" hidden="1" x14ac:dyDescent="0.3">
      <c r="A43" t="s">
        <v>306</v>
      </c>
      <c r="B43" t="s">
        <v>192</v>
      </c>
      <c r="C43">
        <v>42598944</v>
      </c>
      <c r="D43">
        <v>0</v>
      </c>
      <c r="E43" t="s">
        <v>25</v>
      </c>
      <c r="F43" t="s">
        <v>26</v>
      </c>
      <c r="G43" t="s">
        <v>27</v>
      </c>
      <c r="H43" t="s">
        <v>307</v>
      </c>
      <c r="I43" t="s">
        <v>308</v>
      </c>
      <c r="J43" t="s">
        <v>26</v>
      </c>
      <c r="K43" t="s">
        <v>26</v>
      </c>
      <c r="L43" t="s">
        <v>309</v>
      </c>
      <c r="M43" t="s">
        <v>25</v>
      </c>
      <c r="N43" t="s">
        <v>244</v>
      </c>
      <c r="O43" t="s">
        <v>245</v>
      </c>
      <c r="P43" t="s">
        <v>310</v>
      </c>
      <c r="Q43" t="s">
        <v>311</v>
      </c>
      <c r="R43">
        <v>170964</v>
      </c>
      <c r="S43">
        <v>0</v>
      </c>
      <c r="T43">
        <v>170964</v>
      </c>
      <c r="U43" t="s">
        <v>35</v>
      </c>
      <c r="V43" t="s">
        <v>248</v>
      </c>
      <c r="W43" t="s">
        <v>312</v>
      </c>
      <c r="X43" s="4">
        <v>1</v>
      </c>
      <c r="Y43" s="4"/>
      <c r="Z43">
        <f t="shared" si="0"/>
        <v>7</v>
      </c>
      <c r="AA43">
        <f t="shared" si="1"/>
        <v>11</v>
      </c>
      <c r="AB43" s="5">
        <f t="shared" si="2"/>
        <v>0.30783564814919373</v>
      </c>
      <c r="AC43" s="3">
        <f t="shared" si="3"/>
        <v>9.0266203704231884E-2</v>
      </c>
      <c r="AD43" t="str" cm="1">
        <f t="array" ref="AD43">IFERROR(_xlfn.IFS(
    AC43="", "",
    AC43*86400 &lt; 30, "1. 0s - &lt;30s",
    AC43*86400 &lt; 60, "2. 30s - &lt;1m",
    AC43*86400 &lt; 300, "3. 1m - &lt;5m",
    AC43*86400 &lt; 1800, "4. 5m - &lt;30m",
    TRUE, "5. &gt;= 30m"
),"6. Invalid (Order rejected)")</f>
        <v>5. &gt;= 30m</v>
      </c>
    </row>
    <row r="44" spans="1:30" hidden="1" x14ac:dyDescent="0.3">
      <c r="A44" t="s">
        <v>313</v>
      </c>
      <c r="B44" t="s">
        <v>192</v>
      </c>
      <c r="C44">
        <v>42598944</v>
      </c>
      <c r="D44">
        <v>0</v>
      </c>
      <c r="E44" t="s">
        <v>25</v>
      </c>
      <c r="F44" t="s">
        <v>26</v>
      </c>
      <c r="G44" t="s">
        <v>27</v>
      </c>
      <c r="H44" t="s">
        <v>314</v>
      </c>
      <c r="I44" t="s">
        <v>315</v>
      </c>
      <c r="J44" t="s">
        <v>26</v>
      </c>
      <c r="K44" t="s">
        <v>26</v>
      </c>
      <c r="L44" t="s">
        <v>316</v>
      </c>
      <c r="M44" t="s">
        <v>25</v>
      </c>
      <c r="N44" t="s">
        <v>275</v>
      </c>
      <c r="O44" t="s">
        <v>276</v>
      </c>
      <c r="P44" t="s">
        <v>317</v>
      </c>
      <c r="Q44" t="s">
        <v>318</v>
      </c>
      <c r="R44">
        <v>253152</v>
      </c>
      <c r="S44">
        <v>0</v>
      </c>
      <c r="T44">
        <v>253152</v>
      </c>
      <c r="U44" t="s">
        <v>35</v>
      </c>
      <c r="V44" t="s">
        <v>277</v>
      </c>
      <c r="W44" t="s">
        <v>319</v>
      </c>
      <c r="X44" s="4">
        <v>1</v>
      </c>
      <c r="Y44" s="4"/>
      <c r="Z44">
        <f t="shared" si="0"/>
        <v>7</v>
      </c>
      <c r="AA44">
        <f t="shared" si="1"/>
        <v>11</v>
      </c>
      <c r="AB44" s="5">
        <f t="shared" si="2"/>
        <v>0.30993055555882165</v>
      </c>
      <c r="AC44" s="3">
        <f t="shared" si="3"/>
        <v>9.0277777773735579E-2</v>
      </c>
      <c r="AD44" t="str" cm="1">
        <f t="array" ref="AD44">IFERROR(_xlfn.IFS(
    AC44="", "",
    AC44*86400 &lt; 30, "1. 0s - &lt;30s",
    AC44*86400 &lt; 60, "2. 30s - &lt;1m",
    AC44*86400 &lt; 300, "3. 1m - &lt;5m",
    AC44*86400 &lt; 1800, "4. 5m - &lt;30m",
    TRUE, "5. &gt;= 30m"
),"6. Invalid (Order rejected)")</f>
        <v>5. &gt;= 30m</v>
      </c>
    </row>
    <row r="45" spans="1:30" hidden="1" x14ac:dyDescent="0.3">
      <c r="A45" t="s">
        <v>320</v>
      </c>
      <c r="B45" t="s">
        <v>192</v>
      </c>
      <c r="C45">
        <v>42598944</v>
      </c>
      <c r="D45">
        <v>0</v>
      </c>
      <c r="E45" t="s">
        <v>25</v>
      </c>
      <c r="F45" t="s">
        <v>26</v>
      </c>
      <c r="G45" t="s">
        <v>27</v>
      </c>
      <c r="H45" t="s">
        <v>321</v>
      </c>
      <c r="I45" t="s">
        <v>322</v>
      </c>
      <c r="J45" t="s">
        <v>26</v>
      </c>
      <c r="K45" t="s">
        <v>26</v>
      </c>
      <c r="L45" t="s">
        <v>323</v>
      </c>
      <c r="M45" t="s">
        <v>25</v>
      </c>
      <c r="N45" t="s">
        <v>197</v>
      </c>
      <c r="O45" t="s">
        <v>198</v>
      </c>
      <c r="P45" t="s">
        <v>324</v>
      </c>
      <c r="Q45" t="s">
        <v>325</v>
      </c>
      <c r="R45">
        <v>222156</v>
      </c>
      <c r="S45">
        <v>0</v>
      </c>
      <c r="T45">
        <v>222156</v>
      </c>
      <c r="U45" t="s">
        <v>35</v>
      </c>
      <c r="V45" t="s">
        <v>201</v>
      </c>
      <c r="W45" t="s">
        <v>326</v>
      </c>
      <c r="X45" s="4">
        <v>1</v>
      </c>
      <c r="Y45" s="4"/>
      <c r="Z45">
        <f t="shared" si="0"/>
        <v>7</v>
      </c>
      <c r="AA45">
        <f t="shared" si="1"/>
        <v>11</v>
      </c>
      <c r="AB45" s="5">
        <f t="shared" si="2"/>
        <v>0.30171296296612127</v>
      </c>
      <c r="AC45" s="3">
        <f t="shared" si="3"/>
        <v>9.0266203696955927E-2</v>
      </c>
      <c r="AD45" t="str" cm="1">
        <f t="array" ref="AD45">IFERROR(_xlfn.IFS(
    AC45="", "",
    AC45*86400 &lt; 30, "1. 0s - &lt;30s",
    AC45*86400 &lt; 60, "2. 30s - &lt;1m",
    AC45*86400 &lt; 300, "3. 1m - &lt;5m",
    AC45*86400 &lt; 1800, "4. 5m - &lt;30m",
    TRUE, "5. &gt;= 30m"
),"6. Invalid (Order rejected)")</f>
        <v>5. &gt;= 30m</v>
      </c>
    </row>
    <row r="46" spans="1:30" hidden="1" x14ac:dyDescent="0.3">
      <c r="A46" t="s">
        <v>327</v>
      </c>
      <c r="B46" t="s">
        <v>192</v>
      </c>
      <c r="C46">
        <v>42598944</v>
      </c>
      <c r="D46">
        <v>0</v>
      </c>
      <c r="E46" t="s">
        <v>25</v>
      </c>
      <c r="F46" t="s">
        <v>26</v>
      </c>
      <c r="G46" t="s">
        <v>27</v>
      </c>
      <c r="H46" t="s">
        <v>328</v>
      </c>
      <c r="I46" t="s">
        <v>329</v>
      </c>
      <c r="J46" t="s">
        <v>26</v>
      </c>
      <c r="K46" t="s">
        <v>26</v>
      </c>
      <c r="L46" t="s">
        <v>330</v>
      </c>
      <c r="M46" t="s">
        <v>25</v>
      </c>
      <c r="N46" t="s">
        <v>261</v>
      </c>
      <c r="O46" t="s">
        <v>262</v>
      </c>
      <c r="P46" t="s">
        <v>289</v>
      </c>
      <c r="Q46" t="s">
        <v>290</v>
      </c>
      <c r="R46">
        <v>172152</v>
      </c>
      <c r="S46">
        <v>0</v>
      </c>
      <c r="T46">
        <v>172152</v>
      </c>
      <c r="U46" t="s">
        <v>35</v>
      </c>
      <c r="V46" t="s">
        <v>265</v>
      </c>
      <c r="W46" t="s">
        <v>291</v>
      </c>
      <c r="X46" s="4">
        <v>1</v>
      </c>
      <c r="Y46" s="4"/>
      <c r="Z46">
        <f t="shared" si="0"/>
        <v>7</v>
      </c>
      <c r="AA46">
        <f t="shared" si="1"/>
        <v>11</v>
      </c>
      <c r="AB46" s="5">
        <f t="shared" si="2"/>
        <v>0.30553240740846377</v>
      </c>
      <c r="AC46" s="3">
        <f t="shared" si="3"/>
        <v>9.0277777773735579E-2</v>
      </c>
      <c r="AD46" t="str" cm="1">
        <f t="array" ref="AD46">IFERROR(_xlfn.IFS(
    AC46="", "",
    AC46*86400 &lt; 30, "1. 0s - &lt;30s",
    AC46*86400 &lt; 60, "2. 30s - &lt;1m",
    AC46*86400 &lt; 300, "3. 1m - &lt;5m",
    AC46*86400 &lt; 1800, "4. 5m - &lt;30m",
    TRUE, "5. &gt;= 30m"
),"6. Invalid (Order rejected)")</f>
        <v>5. &gt;= 30m</v>
      </c>
    </row>
    <row r="47" spans="1:30" hidden="1" x14ac:dyDescent="0.3">
      <c r="A47" t="s">
        <v>331</v>
      </c>
      <c r="B47" t="s">
        <v>192</v>
      </c>
      <c r="C47">
        <v>42598944</v>
      </c>
      <c r="D47">
        <v>0</v>
      </c>
      <c r="E47" t="s">
        <v>25</v>
      </c>
      <c r="F47" t="s">
        <v>26</v>
      </c>
      <c r="G47" t="s">
        <v>27</v>
      </c>
      <c r="H47" t="s">
        <v>332</v>
      </c>
      <c r="I47" t="s">
        <v>333</v>
      </c>
      <c r="J47" t="s">
        <v>26</v>
      </c>
      <c r="K47" t="s">
        <v>26</v>
      </c>
      <c r="L47" t="s">
        <v>334</v>
      </c>
      <c r="M47" t="s">
        <v>25</v>
      </c>
      <c r="N47" t="s">
        <v>244</v>
      </c>
      <c r="O47" t="s">
        <v>245</v>
      </c>
      <c r="P47" t="s">
        <v>335</v>
      </c>
      <c r="Q47" t="s">
        <v>336</v>
      </c>
      <c r="R47">
        <v>234576</v>
      </c>
      <c r="S47">
        <v>0</v>
      </c>
      <c r="T47">
        <v>234576</v>
      </c>
      <c r="U47" t="s">
        <v>35</v>
      </c>
      <c r="V47" t="s">
        <v>248</v>
      </c>
      <c r="W47" t="s">
        <v>337</v>
      </c>
      <c r="X47" s="4">
        <v>1</v>
      </c>
      <c r="Y47" s="4"/>
      <c r="Z47">
        <f t="shared" si="0"/>
        <v>7</v>
      </c>
      <c r="AA47">
        <f t="shared" si="1"/>
        <v>11</v>
      </c>
      <c r="AB47" s="5">
        <f t="shared" si="2"/>
        <v>0.30813657407270512</v>
      </c>
      <c r="AC47" s="3">
        <f t="shared" si="3"/>
        <v>0.10353009259415558</v>
      </c>
      <c r="AD47" t="str" cm="1">
        <f t="array" ref="AD47">IFERROR(_xlfn.IFS(
    AC47="", "",
    AC47*86400 &lt; 30, "1. 0s - &lt;30s",
    AC47*86400 &lt; 60, "2. 30s - &lt;1m",
    AC47*86400 &lt; 300, "3. 1m - &lt;5m",
    AC47*86400 &lt; 1800, "4. 5m - &lt;30m",
    TRUE, "5. &gt;= 30m"
),"6. Invalid (Order rejected)")</f>
        <v>5. &gt;= 30m</v>
      </c>
    </row>
    <row r="48" spans="1:30" hidden="1" x14ac:dyDescent="0.3">
      <c r="A48" t="s">
        <v>338</v>
      </c>
      <c r="B48" t="s">
        <v>192</v>
      </c>
      <c r="C48">
        <v>42598944</v>
      </c>
      <c r="D48">
        <v>0</v>
      </c>
      <c r="E48" t="s">
        <v>25</v>
      </c>
      <c r="F48" t="s">
        <v>26</v>
      </c>
      <c r="G48" t="s">
        <v>27</v>
      </c>
      <c r="H48" t="s">
        <v>339</v>
      </c>
      <c r="I48" t="s">
        <v>340</v>
      </c>
      <c r="J48" t="s">
        <v>26</v>
      </c>
      <c r="K48" t="s">
        <v>26</v>
      </c>
      <c r="L48" t="s">
        <v>341</v>
      </c>
      <c r="M48" t="s">
        <v>25</v>
      </c>
      <c r="N48" t="s">
        <v>244</v>
      </c>
      <c r="O48" t="s">
        <v>245</v>
      </c>
      <c r="P48" t="s">
        <v>342</v>
      </c>
      <c r="Q48" t="s">
        <v>343</v>
      </c>
      <c r="R48">
        <v>186732</v>
      </c>
      <c r="S48">
        <v>0</v>
      </c>
      <c r="T48">
        <v>186732</v>
      </c>
      <c r="U48" t="s">
        <v>35</v>
      </c>
      <c r="V48" t="s">
        <v>248</v>
      </c>
      <c r="W48" t="s">
        <v>344</v>
      </c>
      <c r="X48" s="4">
        <v>1</v>
      </c>
      <c r="Y48" s="4"/>
      <c r="Z48">
        <f t="shared" si="0"/>
        <v>7</v>
      </c>
      <c r="AA48">
        <f t="shared" si="1"/>
        <v>11</v>
      </c>
      <c r="AB48" s="5">
        <f t="shared" si="2"/>
        <v>0.30769675925694173</v>
      </c>
      <c r="AC48" s="3">
        <f t="shared" si="3"/>
        <v>9.0266203704231884E-2</v>
      </c>
      <c r="AD48" t="str" cm="1">
        <f t="array" ref="AD48">IFERROR(_xlfn.IFS(
    AC48="", "",
    AC48*86400 &lt; 30, "1. 0s - &lt;30s",
    AC48*86400 &lt; 60, "2. 30s - &lt;1m",
    AC48*86400 &lt; 300, "3. 1m - &lt;5m",
    AC48*86400 &lt; 1800, "4. 5m - &lt;30m",
    TRUE, "5. &gt;= 30m"
),"6. Invalid (Order rejected)")</f>
        <v>5. &gt;= 30m</v>
      </c>
    </row>
    <row r="49" spans="1:30" hidden="1" x14ac:dyDescent="0.3">
      <c r="A49" t="s">
        <v>345</v>
      </c>
      <c r="B49" t="s">
        <v>192</v>
      </c>
      <c r="C49">
        <v>42598944</v>
      </c>
      <c r="D49">
        <v>0</v>
      </c>
      <c r="E49" t="s">
        <v>25</v>
      </c>
      <c r="F49" t="s">
        <v>26</v>
      </c>
      <c r="G49" t="s">
        <v>27</v>
      </c>
      <c r="H49" t="s">
        <v>346</v>
      </c>
      <c r="I49" t="s">
        <v>347</v>
      </c>
      <c r="J49" t="s">
        <v>26</v>
      </c>
      <c r="K49" t="s">
        <v>26</v>
      </c>
      <c r="L49" t="s">
        <v>348</v>
      </c>
      <c r="M49" t="s">
        <v>25</v>
      </c>
      <c r="N49" t="s">
        <v>349</v>
      </c>
      <c r="O49" t="s">
        <v>350</v>
      </c>
      <c r="P49" t="s">
        <v>351</v>
      </c>
      <c r="Q49" t="s">
        <v>352</v>
      </c>
      <c r="R49">
        <v>297432</v>
      </c>
      <c r="S49">
        <v>0</v>
      </c>
      <c r="T49">
        <v>297432</v>
      </c>
      <c r="U49" t="s">
        <v>35</v>
      </c>
      <c r="V49" t="s">
        <v>353</v>
      </c>
      <c r="W49" t="s">
        <v>354</v>
      </c>
      <c r="X49" s="4">
        <v>1</v>
      </c>
      <c r="Y49" s="4"/>
      <c r="Z49">
        <f t="shared" si="0"/>
        <v>7</v>
      </c>
      <c r="AA49">
        <f t="shared" si="1"/>
        <v>11</v>
      </c>
      <c r="AB49" s="5">
        <f t="shared" si="2"/>
        <v>0.31688657407357823</v>
      </c>
      <c r="AC49" s="3">
        <f t="shared" si="3"/>
        <v>9.0266203704231884E-2</v>
      </c>
      <c r="AD49" t="str" cm="1">
        <f t="array" ref="AD49">IFERROR(_xlfn.IFS(
    AC49="", "",
    AC49*86400 &lt; 30, "1. 0s - &lt;30s",
    AC49*86400 &lt; 60, "2. 30s - &lt;1m",
    AC49*86400 &lt; 300, "3. 1m - &lt;5m",
    AC49*86400 &lt; 1800, "4. 5m - &lt;30m",
    TRUE, "5. &gt;= 30m"
),"6. Invalid (Order rejected)")</f>
        <v>5. &gt;= 30m</v>
      </c>
    </row>
    <row r="50" spans="1:30" hidden="1" x14ac:dyDescent="0.3">
      <c r="A50" t="s">
        <v>355</v>
      </c>
      <c r="B50" t="s">
        <v>192</v>
      </c>
      <c r="C50">
        <v>42598944</v>
      </c>
      <c r="D50">
        <v>0</v>
      </c>
      <c r="E50" t="s">
        <v>25</v>
      </c>
      <c r="F50" t="s">
        <v>26</v>
      </c>
      <c r="G50" t="s">
        <v>27</v>
      </c>
      <c r="H50" t="s">
        <v>356</v>
      </c>
      <c r="I50" t="s">
        <v>357</v>
      </c>
      <c r="J50" t="s">
        <v>26</v>
      </c>
      <c r="K50" t="s">
        <v>26</v>
      </c>
      <c r="L50" t="s">
        <v>358</v>
      </c>
      <c r="M50" t="s">
        <v>25</v>
      </c>
      <c r="N50" t="s">
        <v>244</v>
      </c>
      <c r="O50" t="s">
        <v>245</v>
      </c>
      <c r="P50" t="s">
        <v>342</v>
      </c>
      <c r="Q50" t="s">
        <v>343</v>
      </c>
      <c r="R50">
        <v>138024</v>
      </c>
      <c r="S50">
        <v>0</v>
      </c>
      <c r="T50">
        <v>138024</v>
      </c>
      <c r="U50" t="s">
        <v>35</v>
      </c>
      <c r="V50" t="s">
        <v>248</v>
      </c>
      <c r="W50" t="s">
        <v>344</v>
      </c>
      <c r="X50" s="4">
        <v>1</v>
      </c>
      <c r="Y50" s="4"/>
      <c r="Z50">
        <f t="shared" si="0"/>
        <v>7</v>
      </c>
      <c r="AA50">
        <f t="shared" si="1"/>
        <v>11</v>
      </c>
      <c r="AB50" s="5">
        <f t="shared" si="2"/>
        <v>0.30756944444146939</v>
      </c>
      <c r="AC50" s="3">
        <f t="shared" si="3"/>
        <v>9.0277777781011537E-2</v>
      </c>
      <c r="AD50" t="str" cm="1">
        <f t="array" ref="AD50">IFERROR(_xlfn.IFS(
    AC50="", "",
    AC50*86400 &lt; 30, "1. 0s - &lt;30s",
    AC50*86400 &lt; 60, "2. 30s - &lt;1m",
    AC50*86400 &lt; 300, "3. 1m - &lt;5m",
    AC50*86400 &lt; 1800, "4. 5m - &lt;30m",
    TRUE, "5. &gt;= 30m"
),"6. Invalid (Order rejected)")</f>
        <v>5. &gt;= 30m</v>
      </c>
    </row>
    <row r="51" spans="1:30" x14ac:dyDescent="0.3">
      <c r="A51" t="s">
        <v>359</v>
      </c>
      <c r="B51" t="s">
        <v>192</v>
      </c>
      <c r="C51">
        <v>42598944</v>
      </c>
      <c r="D51">
        <v>4400047</v>
      </c>
      <c r="E51" t="s">
        <v>25</v>
      </c>
      <c r="F51" t="s">
        <v>75</v>
      </c>
      <c r="G51" t="s">
        <v>360</v>
      </c>
      <c r="H51" t="s">
        <v>361</v>
      </c>
      <c r="I51" t="s">
        <v>362</v>
      </c>
      <c r="J51" t="s">
        <v>363</v>
      </c>
      <c r="K51" t="s">
        <v>26</v>
      </c>
      <c r="L51" t="s">
        <v>25</v>
      </c>
      <c r="M51" t="s">
        <v>25</v>
      </c>
      <c r="N51" t="s">
        <v>275</v>
      </c>
      <c r="O51" t="s">
        <v>276</v>
      </c>
      <c r="P51" t="s">
        <v>351</v>
      </c>
      <c r="Q51" t="s">
        <v>352</v>
      </c>
      <c r="R51">
        <v>302292</v>
      </c>
      <c r="S51">
        <v>234346</v>
      </c>
      <c r="T51">
        <v>67946</v>
      </c>
      <c r="U51" t="s">
        <v>35</v>
      </c>
      <c r="V51" t="s">
        <v>277</v>
      </c>
      <c r="W51" t="s">
        <v>354</v>
      </c>
      <c r="X51" s="4">
        <v>1</v>
      </c>
      <c r="Y51" s="4"/>
      <c r="Z51">
        <f t="shared" si="0"/>
        <v>7</v>
      </c>
      <c r="AA51">
        <f t="shared" si="1"/>
        <v>11</v>
      </c>
      <c r="AB51" s="5">
        <f t="shared" si="2"/>
        <v>0.30938657407386927</v>
      </c>
      <c r="AC51" s="3" t="str">
        <f t="shared" si="3"/>
        <v>Order rejected, no time available</v>
      </c>
      <c r="AD51" t="str" cm="1">
        <f t="array" ref="AD51">IFERROR(_xlfn.IFS(
    AC51="", "",
    AC51*86400 &lt; 30, "1. 0s - &lt;30s",
    AC51*86400 &lt; 60, "2. 30s - &lt;1m",
    AC51*86400 &lt; 300, "3. 1m - &lt;5m",
    AC51*86400 &lt; 1800, "4. 5m - &lt;30m",
    TRUE, "5. &gt;= 30m"
),"6. Invalid (Order rejected)")</f>
        <v>6. Invalid (Order rejected)</v>
      </c>
    </row>
    <row r="52" spans="1:30" hidden="1" x14ac:dyDescent="0.3">
      <c r="A52" t="s">
        <v>364</v>
      </c>
      <c r="B52" t="s">
        <v>192</v>
      </c>
      <c r="C52">
        <v>42598944</v>
      </c>
      <c r="D52">
        <v>0</v>
      </c>
      <c r="E52" t="s">
        <v>25</v>
      </c>
      <c r="F52" t="s">
        <v>26</v>
      </c>
      <c r="G52" t="s">
        <v>27</v>
      </c>
      <c r="H52" t="s">
        <v>365</v>
      </c>
      <c r="I52" t="s">
        <v>366</v>
      </c>
      <c r="J52" t="s">
        <v>26</v>
      </c>
      <c r="K52" t="s">
        <v>26</v>
      </c>
      <c r="L52" t="s">
        <v>367</v>
      </c>
      <c r="M52" t="s">
        <v>25</v>
      </c>
      <c r="N52" t="s">
        <v>349</v>
      </c>
      <c r="O52" t="s">
        <v>350</v>
      </c>
      <c r="P52" t="s">
        <v>208</v>
      </c>
      <c r="Q52" t="s">
        <v>209</v>
      </c>
      <c r="R52">
        <v>311688</v>
      </c>
      <c r="S52">
        <v>0</v>
      </c>
      <c r="T52">
        <v>311688</v>
      </c>
      <c r="U52" t="s">
        <v>35</v>
      </c>
      <c r="V52" t="s">
        <v>353</v>
      </c>
      <c r="W52" t="s">
        <v>210</v>
      </c>
      <c r="X52" s="4">
        <v>1</v>
      </c>
      <c r="Y52" s="4"/>
      <c r="Z52">
        <f t="shared" si="0"/>
        <v>7</v>
      </c>
      <c r="AA52">
        <f t="shared" si="1"/>
        <v>11</v>
      </c>
      <c r="AB52" s="5">
        <f t="shared" si="2"/>
        <v>0.31869212962919846</v>
      </c>
      <c r="AC52" s="3">
        <f t="shared" si="3"/>
        <v>9.0266203704231884E-2</v>
      </c>
      <c r="AD52" t="str" cm="1">
        <f t="array" ref="AD52">IFERROR(_xlfn.IFS(
    AC52="", "",
    AC52*86400 &lt; 30, "1. 0s - &lt;30s",
    AC52*86400 &lt; 60, "2. 30s - &lt;1m",
    AC52*86400 &lt; 300, "3. 1m - &lt;5m",
    AC52*86400 &lt; 1800, "4. 5m - &lt;30m",
    TRUE, "5. &gt;= 30m"
),"6. Invalid (Order rejected)")</f>
        <v>5. &gt;= 30m</v>
      </c>
    </row>
    <row r="53" spans="1:30" hidden="1" x14ac:dyDescent="0.3">
      <c r="A53" t="s">
        <v>368</v>
      </c>
      <c r="B53" t="s">
        <v>192</v>
      </c>
      <c r="C53">
        <v>42598944</v>
      </c>
      <c r="D53">
        <v>0</v>
      </c>
      <c r="E53" t="s">
        <v>25</v>
      </c>
      <c r="F53" t="s">
        <v>26</v>
      </c>
      <c r="G53" t="s">
        <v>27</v>
      </c>
      <c r="H53" t="s">
        <v>369</v>
      </c>
      <c r="I53" t="s">
        <v>370</v>
      </c>
      <c r="J53" t="s">
        <v>26</v>
      </c>
      <c r="K53" t="s">
        <v>26</v>
      </c>
      <c r="L53" t="s">
        <v>371</v>
      </c>
      <c r="M53" t="s">
        <v>25</v>
      </c>
      <c r="N53" t="s">
        <v>349</v>
      </c>
      <c r="O53" t="s">
        <v>350</v>
      </c>
      <c r="P53" t="s">
        <v>246</v>
      </c>
      <c r="Q53" t="s">
        <v>247</v>
      </c>
      <c r="R53">
        <v>275724</v>
      </c>
      <c r="S53">
        <v>0</v>
      </c>
      <c r="T53">
        <v>275724</v>
      </c>
      <c r="U53" t="s">
        <v>35</v>
      </c>
      <c r="V53" t="s">
        <v>353</v>
      </c>
      <c r="W53" t="s">
        <v>249</v>
      </c>
      <c r="X53" s="4">
        <v>1</v>
      </c>
      <c r="Y53" s="4"/>
      <c r="Z53">
        <f t="shared" si="0"/>
        <v>7</v>
      </c>
      <c r="AA53">
        <f t="shared" si="1"/>
        <v>11</v>
      </c>
      <c r="AB53" s="5">
        <f t="shared" si="2"/>
        <v>0.31965277777635492</v>
      </c>
      <c r="AC53" s="3">
        <f t="shared" si="3"/>
        <v>9.0277777781011537E-2</v>
      </c>
      <c r="AD53" t="str" cm="1">
        <f t="array" ref="AD53">IFERROR(_xlfn.IFS(
    AC53="", "",
    AC53*86400 &lt; 30, "1. 0s - &lt;30s",
    AC53*86400 &lt; 60, "2. 30s - &lt;1m",
    AC53*86400 &lt; 300, "3. 1m - &lt;5m",
    AC53*86400 &lt; 1800, "4. 5m - &lt;30m",
    TRUE, "5. &gt;= 30m"
),"6. Invalid (Order rejected)")</f>
        <v>5. &gt;= 30m</v>
      </c>
    </row>
    <row r="54" spans="1:30" hidden="1" x14ac:dyDescent="0.3">
      <c r="A54" t="s">
        <v>372</v>
      </c>
      <c r="B54" t="s">
        <v>192</v>
      </c>
      <c r="C54">
        <v>42598944</v>
      </c>
      <c r="D54">
        <v>0</v>
      </c>
      <c r="E54" t="s">
        <v>25</v>
      </c>
      <c r="F54" t="s">
        <v>26</v>
      </c>
      <c r="G54" t="s">
        <v>27</v>
      </c>
      <c r="H54" t="s">
        <v>373</v>
      </c>
      <c r="I54" t="s">
        <v>374</v>
      </c>
      <c r="J54" t="s">
        <v>26</v>
      </c>
      <c r="K54" t="s">
        <v>26</v>
      </c>
      <c r="L54" t="s">
        <v>375</v>
      </c>
      <c r="M54" t="s">
        <v>25</v>
      </c>
      <c r="N54" t="s">
        <v>275</v>
      </c>
      <c r="O54" t="s">
        <v>276</v>
      </c>
      <c r="P54" t="s">
        <v>324</v>
      </c>
      <c r="Q54" t="s">
        <v>325</v>
      </c>
      <c r="R54">
        <v>220536</v>
      </c>
      <c r="S54">
        <v>0</v>
      </c>
      <c r="T54">
        <v>220536</v>
      </c>
      <c r="U54" t="s">
        <v>35</v>
      </c>
      <c r="V54" t="s">
        <v>277</v>
      </c>
      <c r="W54" t="s">
        <v>326</v>
      </c>
      <c r="X54" s="4">
        <v>1</v>
      </c>
      <c r="Y54" s="4"/>
      <c r="Z54">
        <f t="shared" si="0"/>
        <v>7</v>
      </c>
      <c r="AA54">
        <f t="shared" si="1"/>
        <v>11</v>
      </c>
      <c r="AB54" s="5">
        <f t="shared" si="2"/>
        <v>0.31028935185167938</v>
      </c>
      <c r="AC54" s="3">
        <f t="shared" si="3"/>
        <v>9.0266203704231884E-2</v>
      </c>
      <c r="AD54" t="str" cm="1">
        <f t="array" ref="AD54">IFERROR(_xlfn.IFS(
    AC54="", "",
    AC54*86400 &lt; 30, "1. 0s - &lt;30s",
    AC54*86400 &lt; 60, "2. 30s - &lt;1m",
    AC54*86400 &lt; 300, "3. 1m - &lt;5m",
    AC54*86400 &lt; 1800, "4. 5m - &lt;30m",
    TRUE, "5. &gt;= 30m"
),"6. Invalid (Order rejected)")</f>
        <v>5. &gt;= 30m</v>
      </c>
    </row>
    <row r="55" spans="1:30" x14ac:dyDescent="0.3">
      <c r="A55" t="s">
        <v>376</v>
      </c>
      <c r="B55" t="s">
        <v>192</v>
      </c>
      <c r="C55">
        <v>42598944</v>
      </c>
      <c r="D55">
        <v>3531594</v>
      </c>
      <c r="E55" t="s">
        <v>25</v>
      </c>
      <c r="F55" t="s">
        <v>75</v>
      </c>
      <c r="G55" t="s">
        <v>360</v>
      </c>
      <c r="H55" t="s">
        <v>377</v>
      </c>
      <c r="I55" t="s">
        <v>378</v>
      </c>
      <c r="J55" t="s">
        <v>379</v>
      </c>
      <c r="K55" t="s">
        <v>26</v>
      </c>
      <c r="L55" t="s">
        <v>25</v>
      </c>
      <c r="M55" t="s">
        <v>25</v>
      </c>
      <c r="N55" t="s">
        <v>275</v>
      </c>
      <c r="O55" t="s">
        <v>276</v>
      </c>
      <c r="P55" t="s">
        <v>289</v>
      </c>
      <c r="Q55" t="s">
        <v>290</v>
      </c>
      <c r="R55">
        <v>226476</v>
      </c>
      <c r="S55">
        <v>175571</v>
      </c>
      <c r="T55">
        <v>50905</v>
      </c>
      <c r="U55" t="s">
        <v>35</v>
      </c>
      <c r="V55" t="s">
        <v>277</v>
      </c>
      <c r="W55" t="s">
        <v>291</v>
      </c>
      <c r="X55" s="4">
        <v>1</v>
      </c>
      <c r="Y55" s="4"/>
      <c r="Z55">
        <f t="shared" si="0"/>
        <v>7</v>
      </c>
      <c r="AA55">
        <f t="shared" si="1"/>
        <v>11</v>
      </c>
      <c r="AB55" s="5">
        <f t="shared" si="2"/>
        <v>0.31290509259270038</v>
      </c>
      <c r="AC55" s="3" t="str">
        <f t="shared" si="3"/>
        <v>Order rejected, no time available</v>
      </c>
      <c r="AD55" t="str" cm="1">
        <f t="array" ref="AD55">IFERROR(_xlfn.IFS(
    AC55="", "",
    AC55*86400 &lt; 30, "1. 0s - &lt;30s",
    AC55*86400 &lt; 60, "2. 30s - &lt;1m",
    AC55*86400 &lt; 300, "3. 1m - &lt;5m",
    AC55*86400 &lt; 1800, "4. 5m - &lt;30m",
    TRUE, "5. &gt;= 30m"
),"6. Invalid (Order rejected)")</f>
        <v>6. Invalid (Order rejected)</v>
      </c>
    </row>
    <row r="56" spans="1:30" hidden="1" x14ac:dyDescent="0.3">
      <c r="A56" t="s">
        <v>380</v>
      </c>
      <c r="B56" t="s">
        <v>192</v>
      </c>
      <c r="C56">
        <v>42598944</v>
      </c>
      <c r="D56">
        <v>0</v>
      </c>
      <c r="E56" t="s">
        <v>25</v>
      </c>
      <c r="F56" t="s">
        <v>26</v>
      </c>
      <c r="G56" t="s">
        <v>27</v>
      </c>
      <c r="H56" t="s">
        <v>381</v>
      </c>
      <c r="I56" t="s">
        <v>382</v>
      </c>
      <c r="J56" t="s">
        <v>26</v>
      </c>
      <c r="K56" t="s">
        <v>26</v>
      </c>
      <c r="L56" t="s">
        <v>383</v>
      </c>
      <c r="M56" t="s">
        <v>25</v>
      </c>
      <c r="N56" t="s">
        <v>349</v>
      </c>
      <c r="O56" t="s">
        <v>350</v>
      </c>
      <c r="P56" t="s">
        <v>384</v>
      </c>
      <c r="Q56" t="s">
        <v>385</v>
      </c>
      <c r="R56">
        <v>197316</v>
      </c>
      <c r="S56">
        <v>0</v>
      </c>
      <c r="T56">
        <v>197316</v>
      </c>
      <c r="U56" t="s">
        <v>35</v>
      </c>
      <c r="V56" t="s">
        <v>353</v>
      </c>
      <c r="W56" t="s">
        <v>386</v>
      </c>
      <c r="X56" s="4">
        <v>1</v>
      </c>
      <c r="Y56" s="4"/>
      <c r="Z56">
        <f t="shared" si="0"/>
        <v>7</v>
      </c>
      <c r="AA56">
        <f t="shared" si="1"/>
        <v>11</v>
      </c>
      <c r="AB56" s="5">
        <f t="shared" si="2"/>
        <v>0.31798611111298669</v>
      </c>
      <c r="AC56" s="3">
        <f t="shared" si="3"/>
        <v>9.0277777773735579E-2</v>
      </c>
      <c r="AD56" t="str" cm="1">
        <f t="array" ref="AD56">IFERROR(_xlfn.IFS(
    AC56="", "",
    AC56*86400 &lt; 30, "1. 0s - &lt;30s",
    AC56*86400 &lt; 60, "2. 30s - &lt;1m",
    AC56*86400 &lt; 300, "3. 1m - &lt;5m",
    AC56*86400 &lt; 1800, "4. 5m - &lt;30m",
    TRUE, "5. &gt;= 30m"
),"6. Invalid (Order rejected)")</f>
        <v>5. &gt;= 30m</v>
      </c>
    </row>
    <row r="57" spans="1:30" hidden="1" x14ac:dyDescent="0.3">
      <c r="A57" t="s">
        <v>387</v>
      </c>
      <c r="B57" t="s">
        <v>192</v>
      </c>
      <c r="C57">
        <v>42598944</v>
      </c>
      <c r="D57">
        <v>0</v>
      </c>
      <c r="E57" t="s">
        <v>25</v>
      </c>
      <c r="F57" t="s">
        <v>26</v>
      </c>
      <c r="G57" t="s">
        <v>27</v>
      </c>
      <c r="H57" t="s">
        <v>388</v>
      </c>
      <c r="I57" t="s">
        <v>389</v>
      </c>
      <c r="J57" t="s">
        <v>26</v>
      </c>
      <c r="K57" t="s">
        <v>26</v>
      </c>
      <c r="L57" t="s">
        <v>334</v>
      </c>
      <c r="M57" t="s">
        <v>25</v>
      </c>
      <c r="N57" t="s">
        <v>349</v>
      </c>
      <c r="O57" t="s">
        <v>350</v>
      </c>
      <c r="P57" t="s">
        <v>390</v>
      </c>
      <c r="Q57" t="s">
        <v>391</v>
      </c>
      <c r="R57">
        <v>245376</v>
      </c>
      <c r="S57">
        <v>0</v>
      </c>
      <c r="T57">
        <v>245376</v>
      </c>
      <c r="U57" t="s">
        <v>35</v>
      </c>
      <c r="V57" t="s">
        <v>353</v>
      </c>
      <c r="W57" t="s">
        <v>392</v>
      </c>
      <c r="X57" s="4">
        <v>1</v>
      </c>
      <c r="Y57" s="4"/>
      <c r="Z57">
        <f t="shared" si="0"/>
        <v>7</v>
      </c>
      <c r="AA57">
        <f t="shared" si="1"/>
        <v>11</v>
      </c>
      <c r="AB57" s="5">
        <f t="shared" si="2"/>
        <v>0.32140046296262881</v>
      </c>
      <c r="AC57" s="3">
        <f t="shared" si="3"/>
        <v>9.0266203704231884E-2</v>
      </c>
      <c r="AD57" t="str" cm="1">
        <f t="array" ref="AD57">IFERROR(_xlfn.IFS(
    AC57="", "",
    AC57*86400 &lt; 30, "1. 0s - &lt;30s",
    AC57*86400 &lt; 60, "2. 30s - &lt;1m",
    AC57*86400 &lt; 300, "3. 1m - &lt;5m",
    AC57*86400 &lt; 1800, "4. 5m - &lt;30m",
    TRUE, "5. &gt;= 30m"
),"6. Invalid (Order rejected)")</f>
        <v>5. &gt;= 30m</v>
      </c>
    </row>
    <row r="58" spans="1:30" x14ac:dyDescent="0.3">
      <c r="A58" t="s">
        <v>393</v>
      </c>
      <c r="B58" t="s">
        <v>192</v>
      </c>
      <c r="C58">
        <v>42598944</v>
      </c>
      <c r="D58">
        <v>3128592</v>
      </c>
      <c r="E58" t="s">
        <v>25</v>
      </c>
      <c r="F58" t="s">
        <v>75</v>
      </c>
      <c r="G58" t="s">
        <v>360</v>
      </c>
      <c r="H58" t="s">
        <v>394</v>
      </c>
      <c r="I58" t="s">
        <v>362</v>
      </c>
      <c r="J58" t="s">
        <v>395</v>
      </c>
      <c r="K58" t="s">
        <v>26</v>
      </c>
      <c r="L58" t="s">
        <v>25</v>
      </c>
      <c r="M58" t="s">
        <v>25</v>
      </c>
      <c r="N58" t="s">
        <v>275</v>
      </c>
      <c r="O58" t="s">
        <v>276</v>
      </c>
      <c r="P58" t="s">
        <v>324</v>
      </c>
      <c r="Q58" t="s">
        <v>325</v>
      </c>
      <c r="R58">
        <v>324972</v>
      </c>
      <c r="S58">
        <v>251929</v>
      </c>
      <c r="T58">
        <v>73043</v>
      </c>
      <c r="U58" t="s">
        <v>35</v>
      </c>
      <c r="V58" t="s">
        <v>277</v>
      </c>
      <c r="W58" t="s">
        <v>326</v>
      </c>
      <c r="X58" s="4">
        <v>1</v>
      </c>
      <c r="Y58" s="4"/>
      <c r="Z58">
        <f t="shared" si="0"/>
        <v>7</v>
      </c>
      <c r="AA58">
        <f t="shared" si="1"/>
        <v>11</v>
      </c>
      <c r="AB58" s="5">
        <f t="shared" si="2"/>
        <v>0.31163194444525288</v>
      </c>
      <c r="AC58" s="3" t="str">
        <f t="shared" si="3"/>
        <v>Order rejected, no time available</v>
      </c>
      <c r="AD58" t="str" cm="1">
        <f t="array" ref="AD58">IFERROR(_xlfn.IFS(
    AC58="", "",
    AC58*86400 &lt; 30, "1. 0s - &lt;30s",
    AC58*86400 &lt; 60, "2. 30s - &lt;1m",
    AC58*86400 &lt; 300, "3. 1m - &lt;5m",
    AC58*86400 &lt; 1800, "4. 5m - &lt;30m",
    TRUE, "5. &gt;= 30m"
),"6. Invalid (Order rejected)")</f>
        <v>6. Invalid (Order rejected)</v>
      </c>
    </row>
    <row r="59" spans="1:30" hidden="1" x14ac:dyDescent="0.3">
      <c r="A59" t="s">
        <v>396</v>
      </c>
      <c r="B59" t="s">
        <v>192</v>
      </c>
      <c r="C59">
        <v>42598944</v>
      </c>
      <c r="D59">
        <v>0</v>
      </c>
      <c r="E59" t="s">
        <v>25</v>
      </c>
      <c r="F59" t="s">
        <v>26</v>
      </c>
      <c r="G59" t="s">
        <v>27</v>
      </c>
      <c r="H59" t="s">
        <v>397</v>
      </c>
      <c r="I59" t="s">
        <v>398</v>
      </c>
      <c r="J59" t="s">
        <v>26</v>
      </c>
      <c r="K59" t="s">
        <v>26</v>
      </c>
      <c r="L59" t="s">
        <v>399</v>
      </c>
      <c r="M59" t="s">
        <v>25</v>
      </c>
      <c r="N59" t="s">
        <v>349</v>
      </c>
      <c r="O59" t="s">
        <v>350</v>
      </c>
      <c r="P59" t="s">
        <v>324</v>
      </c>
      <c r="Q59" t="s">
        <v>325</v>
      </c>
      <c r="R59">
        <v>231984</v>
      </c>
      <c r="S59">
        <v>0</v>
      </c>
      <c r="T59">
        <v>231984</v>
      </c>
      <c r="U59" t="s">
        <v>35</v>
      </c>
      <c r="V59" t="s">
        <v>353</v>
      </c>
      <c r="W59" t="s">
        <v>326</v>
      </c>
      <c r="X59" s="4">
        <v>1</v>
      </c>
      <c r="Y59" s="4"/>
      <c r="Z59">
        <f t="shared" si="0"/>
        <v>7</v>
      </c>
      <c r="AA59">
        <f t="shared" si="1"/>
        <v>11</v>
      </c>
      <c r="AB59" s="5">
        <f t="shared" si="2"/>
        <v>0.31715277778130258</v>
      </c>
      <c r="AC59" s="3">
        <f t="shared" si="3"/>
        <v>9.0277777773735579E-2</v>
      </c>
      <c r="AD59" t="str" cm="1">
        <f t="array" ref="AD59">IFERROR(_xlfn.IFS(
    AC59="", "",
    AC59*86400 &lt; 30, "1. 0s - &lt;30s",
    AC59*86400 &lt; 60, "2. 30s - &lt;1m",
    AC59*86400 &lt; 300, "3. 1m - &lt;5m",
    AC59*86400 &lt; 1800, "4. 5m - &lt;30m",
    TRUE, "5. &gt;= 30m"
),"6. Invalid (Order rejected)")</f>
        <v>5. &gt;= 30m</v>
      </c>
    </row>
    <row r="60" spans="1:30" hidden="1" x14ac:dyDescent="0.3">
      <c r="A60" t="s">
        <v>400</v>
      </c>
      <c r="B60" t="s">
        <v>192</v>
      </c>
      <c r="C60">
        <v>42598944</v>
      </c>
      <c r="D60">
        <v>0</v>
      </c>
      <c r="E60" t="s">
        <v>25</v>
      </c>
      <c r="F60" t="s">
        <v>26</v>
      </c>
      <c r="G60" t="s">
        <v>27</v>
      </c>
      <c r="H60" t="s">
        <v>401</v>
      </c>
      <c r="I60" t="s">
        <v>402</v>
      </c>
      <c r="J60" t="s">
        <v>26</v>
      </c>
      <c r="K60" t="s">
        <v>26</v>
      </c>
      <c r="L60" t="s">
        <v>403</v>
      </c>
      <c r="M60" t="s">
        <v>25</v>
      </c>
      <c r="N60" t="s">
        <v>349</v>
      </c>
      <c r="O60" t="s">
        <v>350</v>
      </c>
      <c r="P60" t="s">
        <v>384</v>
      </c>
      <c r="Q60" t="s">
        <v>385</v>
      </c>
      <c r="R60">
        <v>213516</v>
      </c>
      <c r="S60">
        <v>0</v>
      </c>
      <c r="T60">
        <v>213516</v>
      </c>
      <c r="U60" t="s">
        <v>35</v>
      </c>
      <c r="V60" t="s">
        <v>353</v>
      </c>
      <c r="W60" t="s">
        <v>386</v>
      </c>
      <c r="X60" s="4">
        <v>1</v>
      </c>
      <c r="Y60" s="4"/>
      <c r="Z60">
        <f t="shared" si="0"/>
        <v>7</v>
      </c>
      <c r="AA60">
        <f t="shared" si="1"/>
        <v>11</v>
      </c>
      <c r="AB60" s="5">
        <f t="shared" si="2"/>
        <v>0.317766203705105</v>
      </c>
      <c r="AC60" s="3">
        <f t="shared" si="3"/>
        <v>9.0266203704231884E-2</v>
      </c>
      <c r="AD60" t="str" cm="1">
        <f t="array" ref="AD60">IFERROR(_xlfn.IFS(
    AC60="", "",
    AC60*86400 &lt; 30, "1. 0s - &lt;30s",
    AC60*86400 &lt; 60, "2. 30s - &lt;1m",
    AC60*86400 &lt; 300, "3. 1m - &lt;5m",
    AC60*86400 &lt; 1800, "4. 5m - &lt;30m",
    TRUE, "5. &gt;= 30m"
),"6. Invalid (Order rejected)")</f>
        <v>5. &gt;= 30m</v>
      </c>
    </row>
    <row r="61" spans="1:30" hidden="1" x14ac:dyDescent="0.3">
      <c r="A61" t="s">
        <v>404</v>
      </c>
      <c r="B61" t="s">
        <v>192</v>
      </c>
      <c r="C61">
        <v>42598944</v>
      </c>
      <c r="D61">
        <v>0</v>
      </c>
      <c r="E61" t="s">
        <v>25</v>
      </c>
      <c r="F61" t="s">
        <v>26</v>
      </c>
      <c r="G61" t="s">
        <v>27</v>
      </c>
      <c r="H61" t="s">
        <v>405</v>
      </c>
      <c r="I61" t="s">
        <v>406</v>
      </c>
      <c r="J61" t="s">
        <v>26</v>
      </c>
      <c r="K61" t="s">
        <v>26</v>
      </c>
      <c r="L61" t="s">
        <v>407</v>
      </c>
      <c r="M61" t="s">
        <v>25</v>
      </c>
      <c r="N61" t="s">
        <v>349</v>
      </c>
      <c r="O61" t="s">
        <v>350</v>
      </c>
      <c r="P61" t="s">
        <v>246</v>
      </c>
      <c r="Q61" t="s">
        <v>247</v>
      </c>
      <c r="R61">
        <v>160704</v>
      </c>
      <c r="S61">
        <v>0</v>
      </c>
      <c r="T61">
        <v>160704</v>
      </c>
      <c r="U61" t="s">
        <v>35</v>
      </c>
      <c r="V61" t="s">
        <v>353</v>
      </c>
      <c r="W61" t="s">
        <v>249</v>
      </c>
      <c r="X61" s="4">
        <v>1</v>
      </c>
      <c r="Y61" s="4"/>
      <c r="Z61">
        <f t="shared" si="0"/>
        <v>7</v>
      </c>
      <c r="AA61">
        <f t="shared" si="1"/>
        <v>11</v>
      </c>
      <c r="AB61" s="5">
        <f t="shared" si="2"/>
        <v>0.31945601852203254</v>
      </c>
      <c r="AC61" s="3">
        <f t="shared" si="3"/>
        <v>9.0277777773735579E-2</v>
      </c>
      <c r="AD61" t="str" cm="1">
        <f t="array" ref="AD61">IFERROR(_xlfn.IFS(
    AC61="", "",
    AC61*86400 &lt; 30, "1. 0s - &lt;30s",
    AC61*86400 &lt; 60, "2. 30s - &lt;1m",
    AC61*86400 &lt; 300, "3. 1m - &lt;5m",
    AC61*86400 &lt; 1800, "4. 5m - &lt;30m",
    TRUE, "5. &gt;= 30m"
),"6. Invalid (Order rejected)")</f>
        <v>5. &gt;= 30m</v>
      </c>
    </row>
    <row r="62" spans="1:30" hidden="1" x14ac:dyDescent="0.3">
      <c r="A62" t="s">
        <v>408</v>
      </c>
      <c r="B62" t="s">
        <v>192</v>
      </c>
      <c r="C62">
        <v>42598944</v>
      </c>
      <c r="D62">
        <v>4300716</v>
      </c>
      <c r="E62" t="s">
        <v>25</v>
      </c>
      <c r="F62" t="s">
        <v>75</v>
      </c>
      <c r="G62" t="s">
        <v>409</v>
      </c>
      <c r="H62" t="s">
        <v>410</v>
      </c>
      <c r="I62" t="s">
        <v>411</v>
      </c>
      <c r="J62" t="s">
        <v>412</v>
      </c>
      <c r="K62" t="s">
        <v>26</v>
      </c>
      <c r="L62" t="s">
        <v>25</v>
      </c>
      <c r="M62" t="s">
        <v>413</v>
      </c>
      <c r="N62" t="s">
        <v>349</v>
      </c>
      <c r="O62" t="s">
        <v>350</v>
      </c>
      <c r="P62" t="s">
        <v>324</v>
      </c>
      <c r="Q62" t="s">
        <v>325</v>
      </c>
      <c r="R62">
        <v>215784</v>
      </c>
      <c r="S62">
        <v>167283</v>
      </c>
      <c r="T62">
        <v>48501</v>
      </c>
      <c r="U62" t="s">
        <v>35</v>
      </c>
      <c r="V62" t="s">
        <v>353</v>
      </c>
      <c r="W62" t="s">
        <v>326</v>
      </c>
      <c r="X62" s="4">
        <v>1</v>
      </c>
      <c r="Y62" s="4"/>
      <c r="Z62">
        <f t="shared" si="0"/>
        <v>7</v>
      </c>
      <c r="AA62">
        <f t="shared" si="1"/>
        <v>11</v>
      </c>
      <c r="AB62" s="5">
        <f t="shared" si="2"/>
        <v>0.31753472222044365</v>
      </c>
      <c r="AC62" s="3">
        <f t="shared" si="3"/>
        <v>10.007627314815181</v>
      </c>
      <c r="AD62" t="str" cm="1">
        <f t="array" ref="AD62">IFERROR(_xlfn.IFS(
    AC62="", "",
    AC62*86400 &lt; 30, "1. 0s - &lt;30s",
    AC62*86400 &lt; 60, "2. 30s - &lt;1m",
    AC62*86400 &lt; 300, "3. 1m - &lt;5m",
    AC62*86400 &lt; 1800, "4. 5m - &lt;30m",
    TRUE, "5. &gt;= 30m"
),"6. Invalid (Order rejected)")</f>
        <v>5. &gt;= 30m</v>
      </c>
    </row>
    <row r="63" spans="1:30" hidden="1" x14ac:dyDescent="0.3">
      <c r="A63" t="s">
        <v>414</v>
      </c>
      <c r="B63" t="s">
        <v>192</v>
      </c>
      <c r="C63">
        <v>42598944</v>
      </c>
      <c r="D63">
        <v>0</v>
      </c>
      <c r="E63" t="s">
        <v>25</v>
      </c>
      <c r="F63" t="s">
        <v>26</v>
      </c>
      <c r="G63" t="s">
        <v>27</v>
      </c>
      <c r="H63" t="s">
        <v>415</v>
      </c>
      <c r="I63" t="s">
        <v>416</v>
      </c>
      <c r="J63" t="s">
        <v>26</v>
      </c>
      <c r="K63" t="s">
        <v>26</v>
      </c>
      <c r="L63" t="s">
        <v>417</v>
      </c>
      <c r="M63" t="s">
        <v>25</v>
      </c>
      <c r="N63" t="s">
        <v>349</v>
      </c>
      <c r="O63" t="s">
        <v>350</v>
      </c>
      <c r="P63" t="s">
        <v>418</v>
      </c>
      <c r="Q63" t="s">
        <v>419</v>
      </c>
      <c r="R63">
        <v>490752</v>
      </c>
      <c r="S63">
        <v>0</v>
      </c>
      <c r="T63">
        <v>490752</v>
      </c>
      <c r="U63" t="s">
        <v>35</v>
      </c>
      <c r="V63" t="s">
        <v>353</v>
      </c>
      <c r="W63" t="s">
        <v>420</v>
      </c>
      <c r="X63" s="4">
        <v>1</v>
      </c>
      <c r="Y63" s="4"/>
      <c r="Z63">
        <f t="shared" si="0"/>
        <v>7</v>
      </c>
      <c r="AA63">
        <f t="shared" si="1"/>
        <v>11</v>
      </c>
      <c r="AB63" s="5">
        <f t="shared" si="2"/>
        <v>0.32063657407707069</v>
      </c>
      <c r="AC63" s="3">
        <f t="shared" si="3"/>
        <v>9.0266203704231884E-2</v>
      </c>
      <c r="AD63" t="str" cm="1">
        <f t="array" ref="AD63">IFERROR(_xlfn.IFS(
    AC63="", "",
    AC63*86400 &lt; 30, "1. 0s - &lt;30s",
    AC63*86400 &lt; 60, "2. 30s - &lt;1m",
    AC63*86400 &lt; 300, "3. 1m - &lt;5m",
    AC63*86400 &lt; 1800, "4. 5m - &lt;30m",
    TRUE, "5. &gt;= 30m"
),"6. Invalid (Order rejected)")</f>
        <v>5. &gt;= 30m</v>
      </c>
    </row>
    <row r="64" spans="1:30" hidden="1" x14ac:dyDescent="0.3">
      <c r="A64" t="s">
        <v>421</v>
      </c>
      <c r="B64" t="s">
        <v>192</v>
      </c>
      <c r="C64">
        <v>42598944</v>
      </c>
      <c r="D64">
        <v>0</v>
      </c>
      <c r="E64" t="s">
        <v>25</v>
      </c>
      <c r="F64" t="s">
        <v>26</v>
      </c>
      <c r="G64" t="s">
        <v>27</v>
      </c>
      <c r="H64" t="s">
        <v>422</v>
      </c>
      <c r="I64" t="s">
        <v>423</v>
      </c>
      <c r="J64" t="s">
        <v>26</v>
      </c>
      <c r="K64" t="s">
        <v>26</v>
      </c>
      <c r="L64" t="s">
        <v>424</v>
      </c>
      <c r="M64" t="s">
        <v>25</v>
      </c>
      <c r="N64" t="s">
        <v>349</v>
      </c>
      <c r="O64" t="s">
        <v>350</v>
      </c>
      <c r="P64" t="s">
        <v>418</v>
      </c>
      <c r="Q64" t="s">
        <v>419</v>
      </c>
      <c r="R64">
        <v>355320</v>
      </c>
      <c r="S64">
        <v>0</v>
      </c>
      <c r="T64">
        <v>355320</v>
      </c>
      <c r="U64" t="s">
        <v>35</v>
      </c>
      <c r="V64" t="s">
        <v>353</v>
      </c>
      <c r="W64" t="s">
        <v>420</v>
      </c>
      <c r="X64" s="4">
        <v>1</v>
      </c>
      <c r="Y64" s="4"/>
      <c r="Z64">
        <f t="shared" si="0"/>
        <v>7</v>
      </c>
      <c r="AA64">
        <f t="shared" si="1"/>
        <v>11</v>
      </c>
      <c r="AB64" s="5">
        <f t="shared" si="2"/>
        <v>0.32084490740817273</v>
      </c>
      <c r="AC64" s="3">
        <f t="shared" si="3"/>
        <v>0.10519675925752381</v>
      </c>
      <c r="AD64" t="str" cm="1">
        <f t="array" ref="AD64">IFERROR(_xlfn.IFS(
    AC64="", "",
    AC64*86400 &lt; 30, "1. 0s - &lt;30s",
    AC64*86400 &lt; 60, "2. 30s - &lt;1m",
    AC64*86400 &lt; 300, "3. 1m - &lt;5m",
    AC64*86400 &lt; 1800, "4. 5m - &lt;30m",
    TRUE, "5. &gt;= 30m"
),"6. Invalid (Order rejected)")</f>
        <v>5. &gt;= 30m</v>
      </c>
    </row>
    <row r="65" spans="1:30" x14ac:dyDescent="0.3">
      <c r="A65" t="s">
        <v>425</v>
      </c>
      <c r="B65" t="s">
        <v>192</v>
      </c>
      <c r="C65">
        <v>42598944</v>
      </c>
      <c r="D65">
        <v>3401092</v>
      </c>
      <c r="E65" t="s">
        <v>25</v>
      </c>
      <c r="F65" t="s">
        <v>75</v>
      </c>
      <c r="G65" t="s">
        <v>360</v>
      </c>
      <c r="H65" t="s">
        <v>426</v>
      </c>
      <c r="I65" t="s">
        <v>427</v>
      </c>
      <c r="J65" t="s">
        <v>428</v>
      </c>
      <c r="K65" t="s">
        <v>429</v>
      </c>
      <c r="L65" t="s">
        <v>25</v>
      </c>
      <c r="M65" t="s">
        <v>25</v>
      </c>
      <c r="N65" t="s">
        <v>275</v>
      </c>
      <c r="O65" t="s">
        <v>276</v>
      </c>
      <c r="P65" t="s">
        <v>169</v>
      </c>
      <c r="Q65" t="s">
        <v>170</v>
      </c>
      <c r="R65">
        <v>228960</v>
      </c>
      <c r="S65">
        <v>177497</v>
      </c>
      <c r="T65">
        <v>51463</v>
      </c>
      <c r="U65" t="s">
        <v>35</v>
      </c>
      <c r="V65" t="s">
        <v>277</v>
      </c>
      <c r="W65" t="s">
        <v>171</v>
      </c>
      <c r="X65" s="4">
        <v>1</v>
      </c>
      <c r="Y65" s="4"/>
      <c r="Z65">
        <f t="shared" si="0"/>
        <v>7</v>
      </c>
      <c r="AA65">
        <f t="shared" si="1"/>
        <v>11</v>
      </c>
      <c r="AB65" s="5">
        <f t="shared" si="2"/>
        <v>0.31358796296262881</v>
      </c>
      <c r="AC65" s="3" t="str">
        <f t="shared" si="3"/>
        <v>Order rejected, no time available</v>
      </c>
      <c r="AD65" t="str" cm="1">
        <f t="array" ref="AD65">IFERROR(_xlfn.IFS(
    AC65="", "",
    AC65*86400 &lt; 30, "1. 0s - &lt;30s",
    AC65*86400 &lt; 60, "2. 30s - &lt;1m",
    AC65*86400 &lt; 300, "3. 1m - &lt;5m",
    AC65*86400 &lt; 1800, "4. 5m - &lt;30m",
    TRUE, "5. &gt;= 30m"
),"6. Invalid (Order rejected)")</f>
        <v>6. Invalid (Order rejected)</v>
      </c>
    </row>
    <row r="66" spans="1:30" hidden="1" x14ac:dyDescent="0.3">
      <c r="A66" t="s">
        <v>430</v>
      </c>
      <c r="B66" t="s">
        <v>192</v>
      </c>
      <c r="C66">
        <v>42598944</v>
      </c>
      <c r="D66">
        <v>0</v>
      </c>
      <c r="E66" t="s">
        <v>25</v>
      </c>
      <c r="F66" t="s">
        <v>26</v>
      </c>
      <c r="G66" t="s">
        <v>27</v>
      </c>
      <c r="H66" t="s">
        <v>431</v>
      </c>
      <c r="I66" t="s">
        <v>432</v>
      </c>
      <c r="J66" t="s">
        <v>26</v>
      </c>
      <c r="K66" t="s">
        <v>26</v>
      </c>
      <c r="L66" t="s">
        <v>433</v>
      </c>
      <c r="M66" t="s">
        <v>25</v>
      </c>
      <c r="N66" t="s">
        <v>349</v>
      </c>
      <c r="O66" t="s">
        <v>350</v>
      </c>
      <c r="P66" t="s">
        <v>434</v>
      </c>
      <c r="Q66" t="s">
        <v>435</v>
      </c>
      <c r="R66">
        <v>313524</v>
      </c>
      <c r="S66">
        <v>0</v>
      </c>
      <c r="T66">
        <v>313524</v>
      </c>
      <c r="U66" t="s">
        <v>35</v>
      </c>
      <c r="V66" t="s">
        <v>353</v>
      </c>
      <c r="W66" t="s">
        <v>436</v>
      </c>
      <c r="X66" s="4">
        <v>1</v>
      </c>
      <c r="Y66" s="4"/>
      <c r="Z66">
        <f t="shared" si="0"/>
        <v>7</v>
      </c>
      <c r="AA66">
        <f t="shared" si="1"/>
        <v>11</v>
      </c>
      <c r="AB66" s="5">
        <f t="shared" si="2"/>
        <v>0.31991898148407927</v>
      </c>
      <c r="AC66" s="3">
        <f t="shared" si="3"/>
        <v>9.0277777773735579E-2</v>
      </c>
      <c r="AD66" t="str" cm="1">
        <f t="array" ref="AD66">IFERROR(_xlfn.IFS(
    AC66="", "",
    AC66*86400 &lt; 30, "1. 0s - &lt;30s",
    AC66*86400 &lt; 60, "2. 30s - &lt;1m",
    AC66*86400 &lt; 300, "3. 1m - &lt;5m",
    AC66*86400 &lt; 1800, "4. 5m - &lt;30m",
    TRUE, "5. &gt;= 30m"
),"6. Invalid (Order rejected)")</f>
        <v>5. &gt;= 30m</v>
      </c>
    </row>
    <row r="67" spans="1:30" hidden="1" x14ac:dyDescent="0.3">
      <c r="A67" t="s">
        <v>437</v>
      </c>
      <c r="B67" t="s">
        <v>192</v>
      </c>
      <c r="C67">
        <v>42598944</v>
      </c>
      <c r="D67">
        <v>0</v>
      </c>
      <c r="E67" t="s">
        <v>25</v>
      </c>
      <c r="F67" t="s">
        <v>26</v>
      </c>
      <c r="G67" t="s">
        <v>27</v>
      </c>
      <c r="H67" t="s">
        <v>438</v>
      </c>
      <c r="I67" t="s">
        <v>439</v>
      </c>
      <c r="J67" t="s">
        <v>26</v>
      </c>
      <c r="K67" t="s">
        <v>26</v>
      </c>
      <c r="L67" t="s">
        <v>440</v>
      </c>
      <c r="M67" t="s">
        <v>25</v>
      </c>
      <c r="N67" t="s">
        <v>441</v>
      </c>
      <c r="O67" t="s">
        <v>442</v>
      </c>
      <c r="P67" t="s">
        <v>443</v>
      </c>
      <c r="Q67" t="s">
        <v>444</v>
      </c>
      <c r="R67">
        <v>236520</v>
      </c>
      <c r="S67">
        <v>0</v>
      </c>
      <c r="T67">
        <v>236520</v>
      </c>
      <c r="U67" t="s">
        <v>35</v>
      </c>
      <c r="V67" t="s">
        <v>445</v>
      </c>
      <c r="W67" t="s">
        <v>446</v>
      </c>
      <c r="X67" s="4">
        <v>1</v>
      </c>
      <c r="Y67" s="4"/>
      <c r="Z67">
        <f t="shared" ref="Z67:Z130" si="4">MONTH(H67)</f>
        <v>7</v>
      </c>
      <c r="AA67">
        <f t="shared" ref="AA67:AA130" si="5">DAY(H67)</f>
        <v>11</v>
      </c>
      <c r="AB67" s="5">
        <f t="shared" ref="AB67:AB130" si="6">MOD(H67, 1)</f>
        <v>0.32349537037225673</v>
      </c>
      <c r="AC67" s="3">
        <f t="shared" ref="AC67:AC130" si="7">IFERROR(IF(M67="",L67-H67,M67-H67),"Order rejected, no time available")</f>
        <v>9.0277777773735579E-2</v>
      </c>
      <c r="AD67" t="str" cm="1">
        <f t="array" ref="AD67">IFERROR(_xlfn.IFS(
    AC67="", "",
    AC67*86400 &lt; 30, "1. 0s - &lt;30s",
    AC67*86400 &lt; 60, "2. 30s - &lt;1m",
    AC67*86400 &lt; 300, "3. 1m - &lt;5m",
    AC67*86400 &lt; 1800, "4. 5m - &lt;30m",
    TRUE, "5. &gt;= 30m"
),"6. Invalid (Order rejected)")</f>
        <v>5. &gt;= 30m</v>
      </c>
    </row>
    <row r="68" spans="1:30" hidden="1" x14ac:dyDescent="0.3">
      <c r="A68" t="s">
        <v>447</v>
      </c>
      <c r="B68" t="s">
        <v>192</v>
      </c>
      <c r="C68">
        <v>42598944</v>
      </c>
      <c r="D68">
        <v>0</v>
      </c>
      <c r="E68" t="s">
        <v>25</v>
      </c>
      <c r="F68" t="s">
        <v>26</v>
      </c>
      <c r="G68" t="s">
        <v>27</v>
      </c>
      <c r="H68" t="s">
        <v>448</v>
      </c>
      <c r="I68" t="s">
        <v>449</v>
      </c>
      <c r="J68" t="s">
        <v>26</v>
      </c>
      <c r="K68" t="s">
        <v>26</v>
      </c>
      <c r="L68" t="s">
        <v>450</v>
      </c>
      <c r="M68" t="s">
        <v>25</v>
      </c>
      <c r="N68" t="s">
        <v>441</v>
      </c>
      <c r="O68" t="s">
        <v>442</v>
      </c>
      <c r="P68" t="s">
        <v>390</v>
      </c>
      <c r="Q68" t="s">
        <v>391</v>
      </c>
      <c r="R68">
        <v>253260</v>
      </c>
      <c r="S68">
        <v>0</v>
      </c>
      <c r="T68">
        <v>253260</v>
      </c>
      <c r="U68" t="s">
        <v>35</v>
      </c>
      <c r="V68" t="s">
        <v>445</v>
      </c>
      <c r="W68" t="s">
        <v>392</v>
      </c>
      <c r="X68" s="4">
        <v>1</v>
      </c>
      <c r="Y68" s="4"/>
      <c r="Z68">
        <f t="shared" si="4"/>
        <v>7</v>
      </c>
      <c r="AA68">
        <f t="shared" si="5"/>
        <v>11</v>
      </c>
      <c r="AB68" s="5">
        <f t="shared" si="6"/>
        <v>0.32464120370423188</v>
      </c>
      <c r="AC68" s="3">
        <f t="shared" si="7"/>
        <v>9.0266203704231884E-2</v>
      </c>
      <c r="AD68" t="str" cm="1">
        <f t="array" ref="AD68">IFERROR(_xlfn.IFS(
    AC68="", "",
    AC68*86400 &lt; 30, "1. 0s - &lt;30s",
    AC68*86400 &lt; 60, "2. 30s - &lt;1m",
    AC68*86400 &lt; 300, "3. 1m - &lt;5m",
    AC68*86400 &lt; 1800, "4. 5m - &lt;30m",
    TRUE, "5. &gt;= 30m"
),"6. Invalid (Order rejected)")</f>
        <v>5. &gt;= 30m</v>
      </c>
    </row>
    <row r="69" spans="1:30" hidden="1" x14ac:dyDescent="0.3">
      <c r="A69" t="s">
        <v>451</v>
      </c>
      <c r="B69" t="s">
        <v>192</v>
      </c>
      <c r="C69">
        <v>42598944</v>
      </c>
      <c r="D69">
        <v>0</v>
      </c>
      <c r="E69" t="s">
        <v>25</v>
      </c>
      <c r="F69" t="s">
        <v>26</v>
      </c>
      <c r="G69" t="s">
        <v>27</v>
      </c>
      <c r="H69" t="s">
        <v>452</v>
      </c>
      <c r="I69" t="s">
        <v>453</v>
      </c>
      <c r="J69" t="s">
        <v>26</v>
      </c>
      <c r="K69" t="s">
        <v>26</v>
      </c>
      <c r="L69" t="s">
        <v>454</v>
      </c>
      <c r="M69" t="s">
        <v>25</v>
      </c>
      <c r="N69" t="s">
        <v>349</v>
      </c>
      <c r="O69" t="s">
        <v>350</v>
      </c>
      <c r="P69" t="s">
        <v>390</v>
      </c>
      <c r="Q69" t="s">
        <v>391</v>
      </c>
      <c r="R69">
        <v>261576</v>
      </c>
      <c r="S69">
        <v>0</v>
      </c>
      <c r="T69">
        <v>261576</v>
      </c>
      <c r="U69" t="s">
        <v>35</v>
      </c>
      <c r="V69" t="s">
        <v>353</v>
      </c>
      <c r="W69" t="s">
        <v>392</v>
      </c>
      <c r="X69" s="4">
        <v>1</v>
      </c>
      <c r="Y69" s="4"/>
      <c r="Z69">
        <f t="shared" si="4"/>
        <v>7</v>
      </c>
      <c r="AA69">
        <f t="shared" si="5"/>
        <v>11</v>
      </c>
      <c r="AB69" s="5">
        <f t="shared" si="6"/>
        <v>0.32108796296233777</v>
      </c>
      <c r="AC69" s="3">
        <f t="shared" si="7"/>
        <v>9.0277777781011537E-2</v>
      </c>
      <c r="AD69" t="str" cm="1">
        <f t="array" ref="AD69">IFERROR(_xlfn.IFS(
    AC69="", "",
    AC69*86400 &lt; 30, "1. 0s - &lt;30s",
    AC69*86400 &lt; 60, "2. 30s - &lt;1m",
    AC69*86400 &lt; 300, "3. 1m - &lt;5m",
    AC69*86400 &lt; 1800, "4. 5m - &lt;30m",
    TRUE, "5. &gt;= 30m"
),"6. Invalid (Order rejected)")</f>
        <v>5. &gt;= 30m</v>
      </c>
    </row>
    <row r="70" spans="1:30" hidden="1" x14ac:dyDescent="0.3">
      <c r="A70" t="s">
        <v>455</v>
      </c>
      <c r="B70" t="s">
        <v>192</v>
      </c>
      <c r="C70">
        <v>42598944</v>
      </c>
      <c r="D70">
        <v>0</v>
      </c>
      <c r="E70" t="s">
        <v>25</v>
      </c>
      <c r="F70" t="s">
        <v>26</v>
      </c>
      <c r="G70" t="s">
        <v>27</v>
      </c>
      <c r="H70" t="s">
        <v>456</v>
      </c>
      <c r="I70" t="s">
        <v>457</v>
      </c>
      <c r="J70" t="s">
        <v>26</v>
      </c>
      <c r="K70" t="s">
        <v>26</v>
      </c>
      <c r="L70" t="s">
        <v>458</v>
      </c>
      <c r="M70" t="s">
        <v>25</v>
      </c>
      <c r="N70" t="s">
        <v>441</v>
      </c>
      <c r="O70" t="s">
        <v>442</v>
      </c>
      <c r="P70" t="s">
        <v>384</v>
      </c>
      <c r="Q70" t="s">
        <v>385</v>
      </c>
      <c r="R70">
        <v>259416</v>
      </c>
      <c r="S70">
        <v>0</v>
      </c>
      <c r="T70">
        <v>259416</v>
      </c>
      <c r="U70" t="s">
        <v>35</v>
      </c>
      <c r="V70" t="s">
        <v>445</v>
      </c>
      <c r="W70" t="s">
        <v>386</v>
      </c>
      <c r="X70" s="4">
        <v>1</v>
      </c>
      <c r="Y70" s="4"/>
      <c r="Z70">
        <f t="shared" si="4"/>
        <v>7</v>
      </c>
      <c r="AA70">
        <f t="shared" si="5"/>
        <v>11</v>
      </c>
      <c r="AB70" s="5">
        <f t="shared" si="6"/>
        <v>0.32329861111065838</v>
      </c>
      <c r="AC70" s="3">
        <f t="shared" si="7"/>
        <v>9.0266203704231884E-2</v>
      </c>
      <c r="AD70" t="str" cm="1">
        <f t="array" ref="AD70">IFERROR(_xlfn.IFS(
    AC70="", "",
    AC70*86400 &lt; 30, "1. 0s - &lt;30s",
    AC70*86400 &lt; 60, "2. 30s - &lt;1m",
    AC70*86400 &lt; 300, "3. 1m - &lt;5m",
    AC70*86400 &lt; 1800, "4. 5m - &lt;30m",
    TRUE, "5. &gt;= 30m"
),"6. Invalid (Order rejected)")</f>
        <v>5. &gt;= 30m</v>
      </c>
    </row>
    <row r="71" spans="1:30" hidden="1" x14ac:dyDescent="0.3">
      <c r="A71" t="s">
        <v>459</v>
      </c>
      <c r="B71" t="s">
        <v>192</v>
      </c>
      <c r="C71">
        <v>42598944</v>
      </c>
      <c r="D71">
        <v>0</v>
      </c>
      <c r="E71" t="s">
        <v>25</v>
      </c>
      <c r="F71" t="s">
        <v>26</v>
      </c>
      <c r="G71" t="s">
        <v>27</v>
      </c>
      <c r="H71" t="s">
        <v>460</v>
      </c>
      <c r="I71" t="s">
        <v>461</v>
      </c>
      <c r="J71" t="s">
        <v>26</v>
      </c>
      <c r="K71" t="s">
        <v>26</v>
      </c>
      <c r="L71" t="s">
        <v>462</v>
      </c>
      <c r="M71" t="s">
        <v>25</v>
      </c>
      <c r="N71" t="s">
        <v>349</v>
      </c>
      <c r="O71" t="s">
        <v>350</v>
      </c>
      <c r="P71" t="s">
        <v>463</v>
      </c>
      <c r="Q71" t="s">
        <v>464</v>
      </c>
      <c r="R71">
        <v>286740</v>
      </c>
      <c r="S71">
        <v>0</v>
      </c>
      <c r="T71">
        <v>286740</v>
      </c>
      <c r="U71" t="s">
        <v>35</v>
      </c>
      <c r="V71" t="s">
        <v>353</v>
      </c>
      <c r="W71" t="s">
        <v>465</v>
      </c>
      <c r="X71" s="4">
        <v>1</v>
      </c>
      <c r="Y71" s="4"/>
      <c r="Z71">
        <f t="shared" si="4"/>
        <v>7</v>
      </c>
      <c r="AA71">
        <f t="shared" si="5"/>
        <v>11</v>
      </c>
      <c r="AB71" s="5">
        <f t="shared" si="6"/>
        <v>0.32199074074014788</v>
      </c>
      <c r="AC71" s="3">
        <f t="shared" si="7"/>
        <v>9.0266203704231884E-2</v>
      </c>
      <c r="AD71" t="str" cm="1">
        <f t="array" ref="AD71">IFERROR(_xlfn.IFS(
    AC71="", "",
    AC71*86400 &lt; 30, "1. 0s - &lt;30s",
    AC71*86400 &lt; 60, "2. 30s - &lt;1m",
    AC71*86400 &lt; 300, "3. 1m - &lt;5m",
    AC71*86400 &lt; 1800, "4. 5m - &lt;30m",
    TRUE, "5. &gt;= 30m"
),"6. Invalid (Order rejected)")</f>
        <v>5. &gt;= 30m</v>
      </c>
    </row>
    <row r="72" spans="1:30" hidden="1" x14ac:dyDescent="0.3">
      <c r="A72" t="s">
        <v>466</v>
      </c>
      <c r="B72" t="s">
        <v>192</v>
      </c>
      <c r="C72">
        <v>42598944</v>
      </c>
      <c r="D72">
        <v>0</v>
      </c>
      <c r="E72" t="s">
        <v>25</v>
      </c>
      <c r="F72" t="s">
        <v>26</v>
      </c>
      <c r="G72" t="s">
        <v>27</v>
      </c>
      <c r="H72" t="s">
        <v>467</v>
      </c>
      <c r="I72" t="s">
        <v>468</v>
      </c>
      <c r="J72" t="s">
        <v>26</v>
      </c>
      <c r="K72" t="s">
        <v>26</v>
      </c>
      <c r="L72" t="s">
        <v>469</v>
      </c>
      <c r="M72" t="s">
        <v>25</v>
      </c>
      <c r="N72" t="s">
        <v>441</v>
      </c>
      <c r="O72" t="s">
        <v>442</v>
      </c>
      <c r="P72" t="s">
        <v>470</v>
      </c>
      <c r="Q72" t="s">
        <v>471</v>
      </c>
      <c r="R72">
        <v>165024</v>
      </c>
      <c r="S72">
        <v>0</v>
      </c>
      <c r="T72">
        <v>165024</v>
      </c>
      <c r="U72" t="s">
        <v>35</v>
      </c>
      <c r="V72" t="s">
        <v>445</v>
      </c>
      <c r="W72" t="s">
        <v>472</v>
      </c>
      <c r="X72" s="4">
        <v>1</v>
      </c>
      <c r="Y72" s="4"/>
      <c r="Z72">
        <f t="shared" si="4"/>
        <v>7</v>
      </c>
      <c r="AA72">
        <f t="shared" si="5"/>
        <v>11</v>
      </c>
      <c r="AB72" s="5">
        <f t="shared" si="6"/>
        <v>0.32369212962657912</v>
      </c>
      <c r="AC72" s="3">
        <f t="shared" si="7"/>
        <v>9.0266203704231884E-2</v>
      </c>
      <c r="AD72" t="str" cm="1">
        <f t="array" ref="AD72">IFERROR(_xlfn.IFS(
    AC72="", "",
    AC72*86400 &lt; 30, "1. 0s - &lt;30s",
    AC72*86400 &lt; 60, "2. 30s - &lt;1m",
    AC72*86400 &lt; 300, "3. 1m - &lt;5m",
    AC72*86400 &lt; 1800, "4. 5m - &lt;30m",
    TRUE, "5. &gt;= 30m"
),"6. Invalid (Order rejected)")</f>
        <v>5. &gt;= 30m</v>
      </c>
    </row>
    <row r="73" spans="1:30" hidden="1" x14ac:dyDescent="0.3">
      <c r="A73" t="s">
        <v>473</v>
      </c>
      <c r="B73" t="s">
        <v>192</v>
      </c>
      <c r="C73">
        <v>42598944</v>
      </c>
      <c r="D73">
        <v>0</v>
      </c>
      <c r="E73" t="s">
        <v>25</v>
      </c>
      <c r="F73" t="s">
        <v>26</v>
      </c>
      <c r="G73" t="s">
        <v>27</v>
      </c>
      <c r="H73" t="s">
        <v>474</v>
      </c>
      <c r="I73" t="s">
        <v>475</v>
      </c>
      <c r="J73" t="s">
        <v>26</v>
      </c>
      <c r="K73" t="s">
        <v>26</v>
      </c>
      <c r="L73" t="s">
        <v>476</v>
      </c>
      <c r="M73" t="s">
        <v>25</v>
      </c>
      <c r="N73" t="s">
        <v>441</v>
      </c>
      <c r="O73" t="s">
        <v>442</v>
      </c>
      <c r="P73" t="s">
        <v>418</v>
      </c>
      <c r="Q73" t="s">
        <v>419</v>
      </c>
      <c r="R73">
        <v>420444</v>
      </c>
      <c r="S73">
        <v>0</v>
      </c>
      <c r="T73">
        <v>420444</v>
      </c>
      <c r="U73" t="s">
        <v>35</v>
      </c>
      <c r="V73" t="s">
        <v>445</v>
      </c>
      <c r="W73" t="s">
        <v>420</v>
      </c>
      <c r="X73" s="4">
        <v>1</v>
      </c>
      <c r="Y73" s="4"/>
      <c r="Z73">
        <f t="shared" si="4"/>
        <v>7</v>
      </c>
      <c r="AA73">
        <f t="shared" si="5"/>
        <v>11</v>
      </c>
      <c r="AB73" s="5">
        <f t="shared" si="6"/>
        <v>0.32482638888905058</v>
      </c>
      <c r="AC73" s="3">
        <f t="shared" si="7"/>
        <v>9.0277777781011537E-2</v>
      </c>
      <c r="AD73" t="str" cm="1">
        <f t="array" ref="AD73">IFERROR(_xlfn.IFS(
    AC73="", "",
    AC73*86400 &lt; 30, "1. 0s - &lt;30s",
    AC73*86400 &lt; 60, "2. 30s - &lt;1m",
    AC73*86400 &lt; 300, "3. 1m - &lt;5m",
    AC73*86400 &lt; 1800, "4. 5m - &lt;30m",
    TRUE, "5. &gt;= 30m"
),"6. Invalid (Order rejected)")</f>
        <v>5. &gt;= 30m</v>
      </c>
    </row>
    <row r="74" spans="1:30" hidden="1" x14ac:dyDescent="0.3">
      <c r="A74" t="s">
        <v>477</v>
      </c>
      <c r="B74" t="s">
        <v>192</v>
      </c>
      <c r="C74">
        <v>42598944</v>
      </c>
      <c r="D74">
        <v>0</v>
      </c>
      <c r="E74" t="s">
        <v>25</v>
      </c>
      <c r="F74" t="s">
        <v>26</v>
      </c>
      <c r="G74" t="s">
        <v>27</v>
      </c>
      <c r="H74" t="s">
        <v>478</v>
      </c>
      <c r="I74" t="s">
        <v>479</v>
      </c>
      <c r="J74" t="s">
        <v>26</v>
      </c>
      <c r="K74" t="s">
        <v>26</v>
      </c>
      <c r="L74" t="s">
        <v>480</v>
      </c>
      <c r="M74" t="s">
        <v>25</v>
      </c>
      <c r="N74" t="s">
        <v>481</v>
      </c>
      <c r="O74" t="s">
        <v>482</v>
      </c>
      <c r="P74" t="s">
        <v>237</v>
      </c>
      <c r="Q74" t="s">
        <v>238</v>
      </c>
      <c r="R74">
        <v>275724</v>
      </c>
      <c r="S74">
        <v>0</v>
      </c>
      <c r="T74">
        <v>275724</v>
      </c>
      <c r="U74" t="s">
        <v>35</v>
      </c>
      <c r="V74" t="s">
        <v>483</v>
      </c>
      <c r="W74" t="s">
        <v>239</v>
      </c>
      <c r="X74" s="4">
        <v>1</v>
      </c>
      <c r="Y74" s="4"/>
      <c r="Z74">
        <f t="shared" si="4"/>
        <v>7</v>
      </c>
      <c r="AA74">
        <f t="shared" si="5"/>
        <v>11</v>
      </c>
      <c r="AB74" s="5">
        <f t="shared" si="6"/>
        <v>0.33010416666365927</v>
      </c>
      <c r="AC74" s="3">
        <f t="shared" si="7"/>
        <v>9.0266203704231884E-2</v>
      </c>
      <c r="AD74" t="str" cm="1">
        <f t="array" ref="AD74">IFERROR(_xlfn.IFS(
    AC74="", "",
    AC74*86400 &lt; 30, "1. 0s - &lt;30s",
    AC74*86400 &lt; 60, "2. 30s - &lt;1m",
    AC74*86400 &lt; 300, "3. 1m - &lt;5m",
    AC74*86400 &lt; 1800, "4. 5m - &lt;30m",
    TRUE, "5. &gt;= 30m"
),"6. Invalid (Order rejected)")</f>
        <v>5. &gt;= 30m</v>
      </c>
    </row>
    <row r="75" spans="1:30" hidden="1" x14ac:dyDescent="0.3">
      <c r="A75" t="s">
        <v>484</v>
      </c>
      <c r="B75" t="s">
        <v>192</v>
      </c>
      <c r="C75">
        <v>42598944</v>
      </c>
      <c r="D75">
        <v>0</v>
      </c>
      <c r="E75" t="s">
        <v>25</v>
      </c>
      <c r="F75" t="s">
        <v>26</v>
      </c>
      <c r="G75" t="s">
        <v>27</v>
      </c>
      <c r="H75" t="s">
        <v>439</v>
      </c>
      <c r="I75" t="s">
        <v>485</v>
      </c>
      <c r="J75" t="s">
        <v>26</v>
      </c>
      <c r="K75" t="s">
        <v>26</v>
      </c>
      <c r="L75" t="s">
        <v>486</v>
      </c>
      <c r="M75" t="s">
        <v>25</v>
      </c>
      <c r="N75" t="s">
        <v>481</v>
      </c>
      <c r="O75" t="s">
        <v>482</v>
      </c>
      <c r="P75" t="s">
        <v>487</v>
      </c>
      <c r="Q75" t="s">
        <v>488</v>
      </c>
      <c r="R75">
        <v>323676</v>
      </c>
      <c r="S75">
        <v>0</v>
      </c>
      <c r="T75">
        <v>323676</v>
      </c>
      <c r="U75" t="s">
        <v>35</v>
      </c>
      <c r="V75" t="s">
        <v>483</v>
      </c>
      <c r="W75" t="s">
        <v>489</v>
      </c>
      <c r="X75" s="4">
        <v>1</v>
      </c>
      <c r="Y75" s="4"/>
      <c r="Z75">
        <f t="shared" si="4"/>
        <v>7</v>
      </c>
      <c r="AA75">
        <f t="shared" si="5"/>
        <v>11</v>
      </c>
      <c r="AB75" s="5">
        <f t="shared" si="6"/>
        <v>0.33043981481750961</v>
      </c>
      <c r="AC75" s="3">
        <f t="shared" si="7"/>
        <v>9.0277777773735579E-2</v>
      </c>
      <c r="AD75" t="str" cm="1">
        <f t="array" ref="AD75">IFERROR(_xlfn.IFS(
    AC75="", "",
    AC75*86400 &lt; 30, "1. 0s - &lt;30s",
    AC75*86400 &lt; 60, "2. 30s - &lt;1m",
    AC75*86400 &lt; 300, "3. 1m - &lt;5m",
    AC75*86400 &lt; 1800, "4. 5m - &lt;30m",
    TRUE, "5. &gt;= 30m"
),"6. Invalid (Order rejected)")</f>
        <v>5. &gt;= 30m</v>
      </c>
    </row>
    <row r="76" spans="1:30" hidden="1" x14ac:dyDescent="0.3">
      <c r="A76" t="s">
        <v>490</v>
      </c>
      <c r="B76" t="s">
        <v>192</v>
      </c>
      <c r="C76">
        <v>42598944</v>
      </c>
      <c r="D76">
        <v>4300716</v>
      </c>
      <c r="E76" t="s">
        <v>25</v>
      </c>
      <c r="F76" t="s">
        <v>75</v>
      </c>
      <c r="G76" t="s">
        <v>491</v>
      </c>
      <c r="H76" t="s">
        <v>492</v>
      </c>
      <c r="I76" t="s">
        <v>493</v>
      </c>
      <c r="J76" t="s">
        <v>494</v>
      </c>
      <c r="K76" t="s">
        <v>26</v>
      </c>
      <c r="L76" t="s">
        <v>495</v>
      </c>
      <c r="M76" t="s">
        <v>25</v>
      </c>
      <c r="N76" t="s">
        <v>496</v>
      </c>
      <c r="O76" t="s">
        <v>497</v>
      </c>
      <c r="P76" t="s">
        <v>498</v>
      </c>
      <c r="Q76" t="s">
        <v>499</v>
      </c>
      <c r="R76">
        <v>421308</v>
      </c>
      <c r="S76">
        <v>326611</v>
      </c>
      <c r="T76">
        <v>94697</v>
      </c>
      <c r="U76" t="s">
        <v>35</v>
      </c>
      <c r="V76" t="s">
        <v>500</v>
      </c>
      <c r="W76" t="s">
        <v>501</v>
      </c>
      <c r="X76" s="4">
        <v>1</v>
      </c>
      <c r="Y76" s="4"/>
      <c r="Z76">
        <f t="shared" si="4"/>
        <v>7</v>
      </c>
      <c r="AA76">
        <f t="shared" si="5"/>
        <v>11</v>
      </c>
      <c r="AB76" s="5">
        <f t="shared" si="6"/>
        <v>0.32703703703737119</v>
      </c>
      <c r="AC76" s="3">
        <f t="shared" si="7"/>
        <v>10.007638888891961</v>
      </c>
      <c r="AD76" t="str" cm="1">
        <f t="array" ref="AD76">IFERROR(_xlfn.IFS(
    AC76="", "",
    AC76*86400 &lt; 30, "1. 0s - &lt;30s",
    AC76*86400 &lt; 60, "2. 30s - &lt;1m",
    AC76*86400 &lt; 300, "3. 1m - &lt;5m",
    AC76*86400 &lt; 1800, "4. 5m - &lt;30m",
    TRUE, "5. &gt;= 30m"
),"6. Invalid (Order rejected)")</f>
        <v>5. &gt;= 30m</v>
      </c>
    </row>
    <row r="77" spans="1:30" hidden="1" x14ac:dyDescent="0.3">
      <c r="A77" t="s">
        <v>502</v>
      </c>
      <c r="B77" t="s">
        <v>192</v>
      </c>
      <c r="C77">
        <v>42598944</v>
      </c>
      <c r="D77">
        <v>2234277</v>
      </c>
      <c r="E77" t="s">
        <v>25</v>
      </c>
      <c r="F77" t="s">
        <v>75</v>
      </c>
      <c r="G77" t="s">
        <v>76</v>
      </c>
      <c r="H77" t="s">
        <v>503</v>
      </c>
      <c r="I77" t="s">
        <v>504</v>
      </c>
      <c r="J77" t="s">
        <v>505</v>
      </c>
      <c r="K77" t="s">
        <v>26</v>
      </c>
      <c r="L77" t="s">
        <v>506</v>
      </c>
      <c r="M77" t="s">
        <v>25</v>
      </c>
      <c r="N77" t="s">
        <v>496</v>
      </c>
      <c r="O77" t="s">
        <v>497</v>
      </c>
      <c r="P77" t="s">
        <v>507</v>
      </c>
      <c r="Q77" t="s">
        <v>508</v>
      </c>
      <c r="R77">
        <v>386100</v>
      </c>
      <c r="S77">
        <v>299317</v>
      </c>
      <c r="T77">
        <v>86783</v>
      </c>
      <c r="U77" t="s">
        <v>35</v>
      </c>
      <c r="V77" t="s">
        <v>500</v>
      </c>
      <c r="W77" t="s">
        <v>509</v>
      </c>
      <c r="X77" s="4">
        <v>1</v>
      </c>
      <c r="Y77" s="4"/>
      <c r="Z77">
        <f t="shared" si="4"/>
        <v>7</v>
      </c>
      <c r="AA77">
        <f t="shared" si="5"/>
        <v>11</v>
      </c>
      <c r="AB77" s="5">
        <f t="shared" si="6"/>
        <v>0.32777777777664596</v>
      </c>
      <c r="AC77" s="3">
        <f t="shared" si="7"/>
        <v>8.3159722220443655E-2</v>
      </c>
      <c r="AD77" t="str" cm="1">
        <f t="array" ref="AD77">IFERROR(_xlfn.IFS(
    AC77="", "",
    AC77*86400 &lt; 30, "1. 0s - &lt;30s",
    AC77*86400 &lt; 60, "2. 30s - &lt;1m",
    AC77*86400 &lt; 300, "3. 1m - &lt;5m",
    AC77*86400 &lt; 1800, "4. 5m - &lt;30m",
    TRUE, "5. &gt;= 30m"
),"6. Invalid (Order rejected)")</f>
        <v>5. &gt;= 30m</v>
      </c>
    </row>
    <row r="78" spans="1:30" hidden="1" x14ac:dyDescent="0.3">
      <c r="A78" t="s">
        <v>510</v>
      </c>
      <c r="B78" t="s">
        <v>192</v>
      </c>
      <c r="C78">
        <v>42598944</v>
      </c>
      <c r="D78">
        <v>0</v>
      </c>
      <c r="E78" t="s">
        <v>25</v>
      </c>
      <c r="F78" t="s">
        <v>26</v>
      </c>
      <c r="G78" t="s">
        <v>27</v>
      </c>
      <c r="H78" t="s">
        <v>511</v>
      </c>
      <c r="I78" t="s">
        <v>512</v>
      </c>
      <c r="J78" t="s">
        <v>26</v>
      </c>
      <c r="K78" t="s">
        <v>26</v>
      </c>
      <c r="L78" t="s">
        <v>513</v>
      </c>
      <c r="M78" t="s">
        <v>25</v>
      </c>
      <c r="N78" t="s">
        <v>441</v>
      </c>
      <c r="O78" t="s">
        <v>442</v>
      </c>
      <c r="P78" t="s">
        <v>324</v>
      </c>
      <c r="Q78" t="s">
        <v>325</v>
      </c>
      <c r="R78">
        <v>280800</v>
      </c>
      <c r="S78">
        <v>0</v>
      </c>
      <c r="T78">
        <v>280800</v>
      </c>
      <c r="U78" t="s">
        <v>35</v>
      </c>
      <c r="V78" t="s">
        <v>445</v>
      </c>
      <c r="W78" t="s">
        <v>326</v>
      </c>
      <c r="X78" s="4">
        <v>1</v>
      </c>
      <c r="Y78" s="4"/>
      <c r="Z78">
        <f t="shared" si="4"/>
        <v>7</v>
      </c>
      <c r="AA78">
        <f t="shared" si="5"/>
        <v>11</v>
      </c>
      <c r="AB78" s="5">
        <f t="shared" si="6"/>
        <v>0.32312500000261934</v>
      </c>
      <c r="AC78" s="3">
        <f t="shared" si="7"/>
        <v>9.0277777773735579E-2</v>
      </c>
      <c r="AD78" t="str" cm="1">
        <f t="array" ref="AD78">IFERROR(_xlfn.IFS(
    AC78="", "",
    AC78*86400 &lt; 30, "1. 0s - &lt;30s",
    AC78*86400 &lt; 60, "2. 30s - &lt;1m",
    AC78*86400 &lt; 300, "3. 1m - &lt;5m",
    AC78*86400 &lt; 1800, "4. 5m - &lt;30m",
    TRUE, "5. &gt;= 30m"
),"6. Invalid (Order rejected)")</f>
        <v>5. &gt;= 30m</v>
      </c>
    </row>
    <row r="79" spans="1:30" hidden="1" x14ac:dyDescent="0.3">
      <c r="A79" t="s">
        <v>514</v>
      </c>
      <c r="B79" t="s">
        <v>192</v>
      </c>
      <c r="C79">
        <v>42598944</v>
      </c>
      <c r="D79">
        <v>0</v>
      </c>
      <c r="E79" t="s">
        <v>25</v>
      </c>
      <c r="F79" t="s">
        <v>26</v>
      </c>
      <c r="G79" t="s">
        <v>27</v>
      </c>
      <c r="H79" t="s">
        <v>515</v>
      </c>
      <c r="I79" t="s">
        <v>516</v>
      </c>
      <c r="J79" t="s">
        <v>26</v>
      </c>
      <c r="K79" t="s">
        <v>26</v>
      </c>
      <c r="L79" t="s">
        <v>517</v>
      </c>
      <c r="M79" t="s">
        <v>25</v>
      </c>
      <c r="N79" t="s">
        <v>481</v>
      </c>
      <c r="O79" t="s">
        <v>482</v>
      </c>
      <c r="P79" t="s">
        <v>518</v>
      </c>
      <c r="Q79" t="s">
        <v>519</v>
      </c>
      <c r="R79">
        <v>365472</v>
      </c>
      <c r="S79">
        <v>0</v>
      </c>
      <c r="T79">
        <v>365472</v>
      </c>
      <c r="U79" t="s">
        <v>35</v>
      </c>
      <c r="V79" t="s">
        <v>483</v>
      </c>
      <c r="W79" t="s">
        <v>520</v>
      </c>
      <c r="X79" s="4">
        <v>1</v>
      </c>
      <c r="Y79" s="4"/>
      <c r="Z79">
        <f t="shared" si="4"/>
        <v>7</v>
      </c>
      <c r="AA79">
        <f t="shared" si="5"/>
        <v>11</v>
      </c>
      <c r="AB79" s="5">
        <f t="shared" si="6"/>
        <v>0.33076388888730435</v>
      </c>
      <c r="AC79" s="3">
        <f t="shared" si="7"/>
        <v>9.0277777781011537E-2</v>
      </c>
      <c r="AD79" t="str" cm="1">
        <f t="array" ref="AD79">IFERROR(_xlfn.IFS(
    AC79="", "",
    AC79*86400 &lt; 30, "1. 0s - &lt;30s",
    AC79*86400 &lt; 60, "2. 30s - &lt;1m",
    AC79*86400 &lt; 300, "3. 1m - &lt;5m",
    AC79*86400 &lt; 1800, "4. 5m - &lt;30m",
    TRUE, "5. &gt;= 30m"
),"6. Invalid (Order rejected)")</f>
        <v>5. &gt;= 30m</v>
      </c>
    </row>
    <row r="80" spans="1:30" x14ac:dyDescent="0.3">
      <c r="A80" t="s">
        <v>521</v>
      </c>
      <c r="B80" t="s">
        <v>192</v>
      </c>
      <c r="C80">
        <v>42598944</v>
      </c>
      <c r="D80">
        <v>3049725</v>
      </c>
      <c r="E80" t="s">
        <v>25</v>
      </c>
      <c r="F80" t="s">
        <v>75</v>
      </c>
      <c r="G80" t="s">
        <v>360</v>
      </c>
      <c r="H80" t="s">
        <v>522</v>
      </c>
      <c r="I80" t="s">
        <v>523</v>
      </c>
      <c r="J80" t="s">
        <v>524</v>
      </c>
      <c r="K80" t="s">
        <v>26</v>
      </c>
      <c r="L80" t="s">
        <v>25</v>
      </c>
      <c r="M80" t="s">
        <v>25</v>
      </c>
      <c r="N80" t="s">
        <v>525</v>
      </c>
      <c r="O80" t="s">
        <v>526</v>
      </c>
      <c r="P80" t="s">
        <v>507</v>
      </c>
      <c r="Q80" t="s">
        <v>508</v>
      </c>
      <c r="R80">
        <v>273024</v>
      </c>
      <c r="S80">
        <v>211657</v>
      </c>
      <c r="T80">
        <v>61367</v>
      </c>
      <c r="U80" t="s">
        <v>35</v>
      </c>
      <c r="V80" t="s">
        <v>527</v>
      </c>
      <c r="W80" t="s">
        <v>509</v>
      </c>
      <c r="X80" s="4">
        <v>1</v>
      </c>
      <c r="Y80" s="4"/>
      <c r="Z80">
        <f t="shared" si="4"/>
        <v>7</v>
      </c>
      <c r="AA80">
        <f t="shared" si="5"/>
        <v>11</v>
      </c>
      <c r="AB80" s="5">
        <f t="shared" si="6"/>
        <v>0.33212962962716119</v>
      </c>
      <c r="AC80" s="3" t="str">
        <f t="shared" si="7"/>
        <v>Order rejected, no time available</v>
      </c>
      <c r="AD80" t="str" cm="1">
        <f t="array" ref="AD80">IFERROR(_xlfn.IFS(
    AC80="", "",
    AC80*86400 &lt; 30, "1. 0s - &lt;30s",
    AC80*86400 &lt; 60, "2. 30s - &lt;1m",
    AC80*86400 &lt; 300, "3. 1m - &lt;5m",
    AC80*86400 &lt; 1800, "4. 5m - &lt;30m",
    TRUE, "5. &gt;= 30m"
),"6. Invalid (Order rejected)")</f>
        <v>6. Invalid (Order rejected)</v>
      </c>
    </row>
    <row r="81" spans="1:30" x14ac:dyDescent="0.3">
      <c r="A81" t="s">
        <v>528</v>
      </c>
      <c r="B81" t="s">
        <v>192</v>
      </c>
      <c r="C81">
        <v>42598944</v>
      </c>
      <c r="D81">
        <v>4646703</v>
      </c>
      <c r="E81" t="s">
        <v>25</v>
      </c>
      <c r="F81" t="s">
        <v>75</v>
      </c>
      <c r="G81" t="s">
        <v>360</v>
      </c>
      <c r="H81" t="s">
        <v>529</v>
      </c>
      <c r="I81" t="s">
        <v>530</v>
      </c>
      <c r="J81" t="s">
        <v>531</v>
      </c>
      <c r="K81" t="s">
        <v>26</v>
      </c>
      <c r="L81" t="s">
        <v>25</v>
      </c>
      <c r="M81" t="s">
        <v>25</v>
      </c>
      <c r="N81" t="s">
        <v>525</v>
      </c>
      <c r="O81" t="s">
        <v>526</v>
      </c>
      <c r="P81" t="s">
        <v>324</v>
      </c>
      <c r="Q81" t="s">
        <v>325</v>
      </c>
      <c r="R81">
        <v>260388</v>
      </c>
      <c r="S81">
        <v>201861</v>
      </c>
      <c r="T81">
        <v>58527</v>
      </c>
      <c r="U81" t="s">
        <v>35</v>
      </c>
      <c r="V81" t="s">
        <v>527</v>
      </c>
      <c r="W81" t="s">
        <v>326</v>
      </c>
      <c r="X81" s="4">
        <v>1</v>
      </c>
      <c r="Y81" s="4"/>
      <c r="Z81">
        <f t="shared" si="4"/>
        <v>7</v>
      </c>
      <c r="AA81">
        <f t="shared" si="5"/>
        <v>11</v>
      </c>
      <c r="AB81" s="5">
        <f t="shared" si="6"/>
        <v>0.33229166666569654</v>
      </c>
      <c r="AC81" s="3" t="str">
        <f t="shared" si="7"/>
        <v>Order rejected, no time available</v>
      </c>
      <c r="AD81" t="str" cm="1">
        <f t="array" ref="AD81">IFERROR(_xlfn.IFS(
    AC81="", "",
    AC81*86400 &lt; 30, "1. 0s - &lt;30s",
    AC81*86400 &lt; 60, "2. 30s - &lt;1m",
    AC81*86400 &lt; 300, "3. 1m - &lt;5m",
    AC81*86400 &lt; 1800, "4. 5m - &lt;30m",
    TRUE, "5. &gt;= 30m"
),"6. Invalid (Order rejected)")</f>
        <v>6. Invalid (Order rejected)</v>
      </c>
    </row>
    <row r="82" spans="1:30" hidden="1" x14ac:dyDescent="0.3">
      <c r="A82" t="s">
        <v>532</v>
      </c>
      <c r="B82" t="s">
        <v>192</v>
      </c>
      <c r="C82">
        <v>42598944</v>
      </c>
      <c r="D82">
        <v>0</v>
      </c>
      <c r="E82" t="s">
        <v>25</v>
      </c>
      <c r="F82" t="s">
        <v>26</v>
      </c>
      <c r="G82" t="s">
        <v>27</v>
      </c>
      <c r="H82" t="s">
        <v>533</v>
      </c>
      <c r="I82" t="s">
        <v>534</v>
      </c>
      <c r="J82" t="s">
        <v>26</v>
      </c>
      <c r="K82" t="s">
        <v>26</v>
      </c>
      <c r="L82" t="s">
        <v>535</v>
      </c>
      <c r="M82" t="s">
        <v>25</v>
      </c>
      <c r="N82" t="s">
        <v>496</v>
      </c>
      <c r="O82" t="s">
        <v>497</v>
      </c>
      <c r="P82" t="s">
        <v>536</v>
      </c>
      <c r="Q82" t="s">
        <v>537</v>
      </c>
      <c r="R82">
        <v>263628</v>
      </c>
      <c r="S82">
        <v>0</v>
      </c>
      <c r="T82">
        <v>263628</v>
      </c>
      <c r="U82" t="s">
        <v>35</v>
      </c>
      <c r="V82" t="s">
        <v>500</v>
      </c>
      <c r="W82" t="s">
        <v>538</v>
      </c>
      <c r="X82" s="4">
        <v>1</v>
      </c>
      <c r="Y82" s="4"/>
      <c r="Z82">
        <f t="shared" si="4"/>
        <v>7</v>
      </c>
      <c r="AA82">
        <f t="shared" si="5"/>
        <v>11</v>
      </c>
      <c r="AB82" s="5">
        <f t="shared" si="6"/>
        <v>0.32848379629285773</v>
      </c>
      <c r="AC82" s="3">
        <f t="shared" si="7"/>
        <v>9.0266203704231884E-2</v>
      </c>
      <c r="AD82" t="str" cm="1">
        <f t="array" ref="AD82">IFERROR(_xlfn.IFS(
    AC82="", "",
    AC82*86400 &lt; 30, "1. 0s - &lt;30s",
    AC82*86400 &lt; 60, "2. 30s - &lt;1m",
    AC82*86400 &lt; 300, "3. 1m - &lt;5m",
    AC82*86400 &lt; 1800, "4. 5m - &lt;30m",
    TRUE, "5. &gt;= 30m"
),"6. Invalid (Order rejected)")</f>
        <v>5. &gt;= 30m</v>
      </c>
    </row>
    <row r="83" spans="1:30" hidden="1" x14ac:dyDescent="0.3">
      <c r="A83" t="s">
        <v>539</v>
      </c>
      <c r="B83" t="s">
        <v>192</v>
      </c>
      <c r="C83">
        <v>42598944</v>
      </c>
      <c r="D83">
        <v>0</v>
      </c>
      <c r="E83" t="s">
        <v>25</v>
      </c>
      <c r="F83" t="s">
        <v>26</v>
      </c>
      <c r="G83" t="s">
        <v>27</v>
      </c>
      <c r="H83" t="s">
        <v>540</v>
      </c>
      <c r="I83" t="s">
        <v>541</v>
      </c>
      <c r="J83" t="s">
        <v>26</v>
      </c>
      <c r="K83" t="s">
        <v>26</v>
      </c>
      <c r="L83" t="s">
        <v>542</v>
      </c>
      <c r="M83" t="s">
        <v>25</v>
      </c>
      <c r="N83" t="s">
        <v>481</v>
      </c>
      <c r="O83" t="s">
        <v>482</v>
      </c>
      <c r="P83" t="s">
        <v>487</v>
      </c>
      <c r="Q83" t="s">
        <v>488</v>
      </c>
      <c r="R83">
        <v>339876</v>
      </c>
      <c r="S83">
        <v>0</v>
      </c>
      <c r="T83">
        <v>339876</v>
      </c>
      <c r="U83" t="s">
        <v>35</v>
      </c>
      <c r="V83" t="s">
        <v>483</v>
      </c>
      <c r="W83" t="s">
        <v>489</v>
      </c>
      <c r="X83" s="4">
        <v>1</v>
      </c>
      <c r="Y83" s="4"/>
      <c r="Z83">
        <f t="shared" si="4"/>
        <v>7</v>
      </c>
      <c r="AA83">
        <f t="shared" si="5"/>
        <v>11</v>
      </c>
      <c r="AB83" s="5">
        <f t="shared" si="6"/>
        <v>0.33028935184847796</v>
      </c>
      <c r="AC83" s="3">
        <f t="shared" si="7"/>
        <v>9.0266203704231884E-2</v>
      </c>
      <c r="AD83" t="str" cm="1">
        <f t="array" ref="AD83">IFERROR(_xlfn.IFS(
    AC83="", "",
    AC83*86400 &lt; 30, "1. 0s - &lt;30s",
    AC83*86400 &lt; 60, "2. 30s - &lt;1m",
    AC83*86400 &lt; 300, "3. 1m - &lt;5m",
    AC83*86400 &lt; 1800, "4. 5m - &lt;30m",
    TRUE, "5. &gt;= 30m"
),"6. Invalid (Order rejected)")</f>
        <v>5. &gt;= 30m</v>
      </c>
    </row>
    <row r="84" spans="1:30" x14ac:dyDescent="0.3">
      <c r="A84" t="s">
        <v>543</v>
      </c>
      <c r="B84" t="s">
        <v>192</v>
      </c>
      <c r="C84">
        <v>42598944</v>
      </c>
      <c r="D84">
        <v>4354486</v>
      </c>
      <c r="E84" t="s">
        <v>25</v>
      </c>
      <c r="F84" t="s">
        <v>75</v>
      </c>
      <c r="G84" t="s">
        <v>360</v>
      </c>
      <c r="H84" t="s">
        <v>544</v>
      </c>
      <c r="I84" t="s">
        <v>545</v>
      </c>
      <c r="J84" t="s">
        <v>546</v>
      </c>
      <c r="K84" t="s">
        <v>26</v>
      </c>
      <c r="L84" t="s">
        <v>25</v>
      </c>
      <c r="M84" t="s">
        <v>25</v>
      </c>
      <c r="N84" t="s">
        <v>525</v>
      </c>
      <c r="O84" t="s">
        <v>526</v>
      </c>
      <c r="P84" t="s">
        <v>81</v>
      </c>
      <c r="Q84" t="s">
        <v>82</v>
      </c>
      <c r="R84">
        <v>227448</v>
      </c>
      <c r="S84">
        <v>176325</v>
      </c>
      <c r="T84">
        <v>51123</v>
      </c>
      <c r="U84" t="s">
        <v>35</v>
      </c>
      <c r="V84" t="s">
        <v>527</v>
      </c>
      <c r="W84" t="s">
        <v>83</v>
      </c>
      <c r="X84" s="4">
        <v>1</v>
      </c>
      <c r="Y84" s="4"/>
      <c r="Z84">
        <f t="shared" si="4"/>
        <v>7</v>
      </c>
      <c r="AA84">
        <f t="shared" si="5"/>
        <v>11</v>
      </c>
      <c r="AB84" s="5">
        <f t="shared" si="6"/>
        <v>0.333356481482042</v>
      </c>
      <c r="AC84" s="3" t="str">
        <f t="shared" si="7"/>
        <v>Order rejected, no time available</v>
      </c>
      <c r="AD84" t="str" cm="1">
        <f t="array" ref="AD84">IFERROR(_xlfn.IFS(
    AC84="", "",
    AC84*86400 &lt; 30, "1. 0s - &lt;30s",
    AC84*86400 &lt; 60, "2. 30s - &lt;1m",
    AC84*86400 &lt; 300, "3. 1m - &lt;5m",
    AC84*86400 &lt; 1800, "4. 5m - &lt;30m",
    TRUE, "5. &gt;= 30m"
),"6. Invalid (Order rejected)")</f>
        <v>6. Invalid (Order rejected)</v>
      </c>
    </row>
    <row r="85" spans="1:30" hidden="1" x14ac:dyDescent="0.3">
      <c r="A85" t="s">
        <v>547</v>
      </c>
      <c r="B85" t="s">
        <v>192</v>
      </c>
      <c r="C85">
        <v>42598944</v>
      </c>
      <c r="D85">
        <v>0</v>
      </c>
      <c r="E85" t="s">
        <v>25</v>
      </c>
      <c r="F85" t="s">
        <v>26</v>
      </c>
      <c r="G85" t="s">
        <v>27</v>
      </c>
      <c r="H85" t="s">
        <v>548</v>
      </c>
      <c r="I85" t="s">
        <v>549</v>
      </c>
      <c r="J85" t="s">
        <v>26</v>
      </c>
      <c r="K85" t="s">
        <v>26</v>
      </c>
      <c r="L85" t="s">
        <v>550</v>
      </c>
      <c r="M85" t="s">
        <v>25</v>
      </c>
      <c r="N85" t="s">
        <v>496</v>
      </c>
      <c r="O85" t="s">
        <v>497</v>
      </c>
      <c r="P85" t="s">
        <v>470</v>
      </c>
      <c r="Q85" t="s">
        <v>471</v>
      </c>
      <c r="R85">
        <v>183384</v>
      </c>
      <c r="S85">
        <v>0</v>
      </c>
      <c r="T85">
        <v>183384</v>
      </c>
      <c r="U85" t="s">
        <v>35</v>
      </c>
      <c r="V85" t="s">
        <v>500</v>
      </c>
      <c r="W85" t="s">
        <v>472</v>
      </c>
      <c r="X85" s="4">
        <v>1</v>
      </c>
      <c r="Y85" s="4"/>
      <c r="Z85">
        <f t="shared" si="4"/>
        <v>7</v>
      </c>
      <c r="AA85">
        <f t="shared" si="5"/>
        <v>11</v>
      </c>
      <c r="AB85" s="5">
        <f t="shared" si="6"/>
        <v>0.32916666667006211</v>
      </c>
      <c r="AC85" s="3">
        <f t="shared" si="7"/>
        <v>9.0277777773735579E-2</v>
      </c>
      <c r="AD85" t="str" cm="1">
        <f t="array" ref="AD85">IFERROR(_xlfn.IFS(
    AC85="", "",
    AC85*86400 &lt; 30, "1. 0s - &lt;30s",
    AC85*86400 &lt; 60, "2. 30s - &lt;1m",
    AC85*86400 &lt; 300, "3. 1m - &lt;5m",
    AC85*86400 &lt; 1800, "4. 5m - &lt;30m",
    TRUE, "5. &gt;= 30m"
),"6. Invalid (Order rejected)")</f>
        <v>5. &gt;= 30m</v>
      </c>
    </row>
    <row r="86" spans="1:30" hidden="1" x14ac:dyDescent="0.3">
      <c r="A86" t="s">
        <v>551</v>
      </c>
      <c r="B86" t="s">
        <v>192</v>
      </c>
      <c r="C86">
        <v>42598944</v>
      </c>
      <c r="D86">
        <v>0</v>
      </c>
      <c r="E86" t="s">
        <v>25</v>
      </c>
      <c r="F86" t="s">
        <v>26</v>
      </c>
      <c r="G86" t="s">
        <v>27</v>
      </c>
      <c r="H86" t="s">
        <v>552</v>
      </c>
      <c r="I86" t="s">
        <v>553</v>
      </c>
      <c r="J86" t="s">
        <v>26</v>
      </c>
      <c r="K86" t="s">
        <v>26</v>
      </c>
      <c r="L86" t="s">
        <v>554</v>
      </c>
      <c r="M86" t="s">
        <v>25</v>
      </c>
      <c r="N86" t="s">
        <v>496</v>
      </c>
      <c r="O86" t="s">
        <v>497</v>
      </c>
      <c r="P86" t="s">
        <v>246</v>
      </c>
      <c r="Q86" t="s">
        <v>247</v>
      </c>
      <c r="R86">
        <v>198180</v>
      </c>
      <c r="S86">
        <v>0</v>
      </c>
      <c r="T86">
        <v>198180</v>
      </c>
      <c r="U86" t="s">
        <v>35</v>
      </c>
      <c r="V86" t="s">
        <v>500</v>
      </c>
      <c r="W86" t="s">
        <v>249</v>
      </c>
      <c r="X86" s="4">
        <v>1</v>
      </c>
      <c r="Y86" s="4"/>
      <c r="Z86">
        <f t="shared" si="4"/>
        <v>7</v>
      </c>
      <c r="AA86">
        <f t="shared" si="5"/>
        <v>11</v>
      </c>
      <c r="AB86" s="5">
        <f t="shared" si="6"/>
        <v>0.32934027777810115</v>
      </c>
      <c r="AC86" s="3">
        <f t="shared" si="7"/>
        <v>9.0277777781011537E-2</v>
      </c>
      <c r="AD86" t="str" cm="1">
        <f t="array" ref="AD86">IFERROR(_xlfn.IFS(
    AC86="", "",
    AC86*86400 &lt; 30, "1. 0s - &lt;30s",
    AC86*86400 &lt; 60, "2. 30s - &lt;1m",
    AC86*86400 &lt; 300, "3. 1m - &lt;5m",
    AC86*86400 &lt; 1800, "4. 5m - &lt;30m",
    TRUE, "5. &gt;= 30m"
),"6. Invalid (Order rejected)")</f>
        <v>5. &gt;= 30m</v>
      </c>
    </row>
    <row r="87" spans="1:30" hidden="1" x14ac:dyDescent="0.3">
      <c r="A87" t="s">
        <v>555</v>
      </c>
      <c r="B87" t="s">
        <v>192</v>
      </c>
      <c r="C87">
        <v>42598944</v>
      </c>
      <c r="D87">
        <v>3746341</v>
      </c>
      <c r="E87" t="s">
        <v>25</v>
      </c>
      <c r="F87" t="s">
        <v>75</v>
      </c>
      <c r="G87" t="s">
        <v>76</v>
      </c>
      <c r="H87" t="s">
        <v>556</v>
      </c>
      <c r="I87" t="s">
        <v>557</v>
      </c>
      <c r="J87" t="s">
        <v>558</v>
      </c>
      <c r="K87" t="s">
        <v>26</v>
      </c>
      <c r="L87" t="s">
        <v>559</v>
      </c>
      <c r="M87" t="s">
        <v>25</v>
      </c>
      <c r="N87" t="s">
        <v>481</v>
      </c>
      <c r="O87" t="s">
        <v>482</v>
      </c>
      <c r="P87" t="s">
        <v>237</v>
      </c>
      <c r="Q87" t="s">
        <v>238</v>
      </c>
      <c r="R87">
        <v>291924</v>
      </c>
      <c r="S87">
        <v>239621</v>
      </c>
      <c r="T87">
        <v>52303</v>
      </c>
      <c r="U87" t="s">
        <v>35</v>
      </c>
      <c r="V87" t="s">
        <v>483</v>
      </c>
      <c r="W87" t="s">
        <v>239</v>
      </c>
      <c r="X87" s="4">
        <v>1</v>
      </c>
      <c r="Y87" s="4"/>
      <c r="Z87">
        <f t="shared" si="4"/>
        <v>7</v>
      </c>
      <c r="AA87">
        <f t="shared" si="5"/>
        <v>11</v>
      </c>
      <c r="AB87" s="5">
        <f t="shared" si="6"/>
        <v>0.32993055555562023</v>
      </c>
      <c r="AC87" s="3">
        <f t="shared" si="7"/>
        <v>1.8530092595028691E-2</v>
      </c>
      <c r="AD87" t="str" cm="1">
        <f t="array" ref="AD87">IFERROR(_xlfn.IFS(
    AC87="", "",
    AC87*86400 &lt; 30, "1. 0s - &lt;30s",
    AC87*86400 &lt; 60, "2. 30s - &lt;1m",
    AC87*86400 &lt; 300, "3. 1m - &lt;5m",
    AC87*86400 &lt; 1800, "4. 5m - &lt;30m",
    TRUE, "5. &gt;= 30m"
),"6. Invalid (Order rejected)")</f>
        <v>4. 5m - &lt;30m</v>
      </c>
    </row>
    <row r="88" spans="1:30" x14ac:dyDescent="0.3">
      <c r="A88" t="s">
        <v>560</v>
      </c>
      <c r="B88" t="s">
        <v>192</v>
      </c>
      <c r="C88">
        <v>42598944</v>
      </c>
      <c r="D88">
        <v>3213296</v>
      </c>
      <c r="E88" t="s">
        <v>25</v>
      </c>
      <c r="F88" t="s">
        <v>75</v>
      </c>
      <c r="G88" t="s">
        <v>360</v>
      </c>
      <c r="H88" t="s">
        <v>561</v>
      </c>
      <c r="I88" t="s">
        <v>562</v>
      </c>
      <c r="J88" t="s">
        <v>563</v>
      </c>
      <c r="K88" t="s">
        <v>26</v>
      </c>
      <c r="L88" t="s">
        <v>25</v>
      </c>
      <c r="M88" t="s">
        <v>25</v>
      </c>
      <c r="N88" t="s">
        <v>525</v>
      </c>
      <c r="O88" t="s">
        <v>526</v>
      </c>
      <c r="P88" t="s">
        <v>208</v>
      </c>
      <c r="Q88" t="s">
        <v>209</v>
      </c>
      <c r="R88">
        <v>344304</v>
      </c>
      <c r="S88">
        <v>266915</v>
      </c>
      <c r="T88">
        <v>77389</v>
      </c>
      <c r="U88" t="s">
        <v>35</v>
      </c>
      <c r="V88" t="s">
        <v>527</v>
      </c>
      <c r="W88" t="s">
        <v>210</v>
      </c>
      <c r="X88" s="4">
        <v>1</v>
      </c>
      <c r="Y88" s="4"/>
      <c r="Z88">
        <f t="shared" si="4"/>
        <v>7</v>
      </c>
      <c r="AA88">
        <f t="shared" si="5"/>
        <v>11</v>
      </c>
      <c r="AB88" s="5">
        <f t="shared" si="6"/>
        <v>0.3319791666654055</v>
      </c>
      <c r="AC88" s="3" t="str">
        <f t="shared" si="7"/>
        <v>Order rejected, no time available</v>
      </c>
      <c r="AD88" t="str" cm="1">
        <f t="array" ref="AD88">IFERROR(_xlfn.IFS(
    AC88="", "",
    AC88*86400 &lt; 30, "1. 0s - &lt;30s",
    AC88*86400 &lt; 60, "2. 30s - &lt;1m",
    AC88*86400 &lt; 300, "3. 1m - &lt;5m",
    AC88*86400 &lt; 1800, "4. 5m - &lt;30m",
    TRUE, "5. &gt;= 30m"
),"6. Invalid (Order rejected)")</f>
        <v>6. Invalid (Order rejected)</v>
      </c>
    </row>
    <row r="89" spans="1:30" hidden="1" x14ac:dyDescent="0.3">
      <c r="A89" t="s">
        <v>564</v>
      </c>
      <c r="B89" t="s">
        <v>192</v>
      </c>
      <c r="C89">
        <v>42598944</v>
      </c>
      <c r="D89">
        <v>3415189</v>
      </c>
      <c r="E89" t="s">
        <v>25</v>
      </c>
      <c r="F89" t="s">
        <v>75</v>
      </c>
      <c r="G89" t="s">
        <v>76</v>
      </c>
      <c r="H89" t="s">
        <v>565</v>
      </c>
      <c r="I89" t="s">
        <v>566</v>
      </c>
      <c r="J89" t="s">
        <v>567</v>
      </c>
      <c r="K89" t="s">
        <v>26</v>
      </c>
      <c r="L89" t="s">
        <v>568</v>
      </c>
      <c r="M89" t="s">
        <v>25</v>
      </c>
      <c r="N89" t="s">
        <v>525</v>
      </c>
      <c r="O89" t="s">
        <v>526</v>
      </c>
      <c r="P89" t="s">
        <v>246</v>
      </c>
      <c r="Q89" t="s">
        <v>247</v>
      </c>
      <c r="R89">
        <v>222696</v>
      </c>
      <c r="S89">
        <v>172641</v>
      </c>
      <c r="T89">
        <v>50055</v>
      </c>
      <c r="U89" t="s">
        <v>35</v>
      </c>
      <c r="V89" t="s">
        <v>527</v>
      </c>
      <c r="W89" t="s">
        <v>249</v>
      </c>
      <c r="X89" s="4">
        <v>1</v>
      </c>
      <c r="Y89" s="4"/>
      <c r="Z89">
        <f t="shared" si="4"/>
        <v>7</v>
      </c>
      <c r="AA89">
        <f t="shared" si="5"/>
        <v>11</v>
      </c>
      <c r="AB89" s="5">
        <f t="shared" si="6"/>
        <v>0.33280092592758592</v>
      </c>
      <c r="AC89" s="3">
        <f t="shared" si="7"/>
        <v>2.2534722222189885E-2</v>
      </c>
      <c r="AD89" t="str" cm="1">
        <f t="array" ref="AD89">IFERROR(_xlfn.IFS(
    AC89="", "",
    AC89*86400 &lt; 30, "1. 0s - &lt;30s",
    AC89*86400 &lt; 60, "2. 30s - &lt;1m",
    AC89*86400 &lt; 300, "3. 1m - &lt;5m",
    AC89*86400 &lt; 1800, "4. 5m - &lt;30m",
    TRUE, "5. &gt;= 30m"
),"6. Invalid (Order rejected)")</f>
        <v>5. &gt;= 30m</v>
      </c>
    </row>
    <row r="90" spans="1:30" x14ac:dyDescent="0.3">
      <c r="A90" t="s">
        <v>569</v>
      </c>
      <c r="B90" t="s">
        <v>192</v>
      </c>
      <c r="C90">
        <v>42598944</v>
      </c>
      <c r="D90">
        <v>3168954</v>
      </c>
      <c r="E90" t="s">
        <v>25</v>
      </c>
      <c r="F90" t="s">
        <v>75</v>
      </c>
      <c r="G90" t="s">
        <v>360</v>
      </c>
      <c r="H90" t="s">
        <v>570</v>
      </c>
      <c r="I90" t="s">
        <v>571</v>
      </c>
      <c r="J90" t="s">
        <v>572</v>
      </c>
      <c r="K90" t="s">
        <v>573</v>
      </c>
      <c r="L90" t="s">
        <v>25</v>
      </c>
      <c r="M90" t="s">
        <v>25</v>
      </c>
      <c r="N90" t="s">
        <v>525</v>
      </c>
      <c r="O90" t="s">
        <v>526</v>
      </c>
      <c r="P90" t="s">
        <v>574</v>
      </c>
      <c r="Q90" t="s">
        <v>575</v>
      </c>
      <c r="R90">
        <v>92340</v>
      </c>
      <c r="S90">
        <v>71585</v>
      </c>
      <c r="T90">
        <v>20755</v>
      </c>
      <c r="U90" t="s">
        <v>35</v>
      </c>
      <c r="V90" t="s">
        <v>527</v>
      </c>
      <c r="W90" t="s">
        <v>576</v>
      </c>
      <c r="X90" s="4">
        <v>1</v>
      </c>
      <c r="Y90" s="4"/>
      <c r="Z90">
        <f t="shared" si="4"/>
        <v>7</v>
      </c>
      <c r="AA90">
        <f t="shared" si="5"/>
        <v>11</v>
      </c>
      <c r="AB90" s="5">
        <f t="shared" si="6"/>
        <v>0.33318287037400296</v>
      </c>
      <c r="AC90" s="3" t="str">
        <f t="shared" si="7"/>
        <v>Order rejected, no time available</v>
      </c>
      <c r="AD90" t="str" cm="1">
        <f t="array" ref="AD90">IFERROR(_xlfn.IFS(
    AC90="", "",
    AC90*86400 &lt; 30, "1. 0s - &lt;30s",
    AC90*86400 &lt; 60, "2. 30s - &lt;1m",
    AC90*86400 &lt; 300, "3. 1m - &lt;5m",
    AC90*86400 &lt; 1800, "4. 5m - &lt;30m",
    TRUE, "5. &gt;= 30m"
),"6. Invalid (Order rejected)")</f>
        <v>6. Invalid (Order rejected)</v>
      </c>
    </row>
    <row r="91" spans="1:30" x14ac:dyDescent="0.3">
      <c r="A91" t="s">
        <v>577</v>
      </c>
      <c r="B91" t="s">
        <v>192</v>
      </c>
      <c r="C91">
        <v>42598944</v>
      </c>
      <c r="D91">
        <v>4241180</v>
      </c>
      <c r="E91" t="s">
        <v>25</v>
      </c>
      <c r="F91" t="s">
        <v>75</v>
      </c>
      <c r="G91" t="s">
        <v>360</v>
      </c>
      <c r="H91" t="s">
        <v>578</v>
      </c>
      <c r="I91" t="s">
        <v>579</v>
      </c>
      <c r="J91" t="s">
        <v>580</v>
      </c>
      <c r="K91" t="s">
        <v>26</v>
      </c>
      <c r="L91" t="s">
        <v>25</v>
      </c>
      <c r="M91" t="s">
        <v>25</v>
      </c>
      <c r="N91" t="s">
        <v>525</v>
      </c>
      <c r="O91" t="s">
        <v>526</v>
      </c>
      <c r="P91" t="s">
        <v>470</v>
      </c>
      <c r="Q91" t="s">
        <v>471</v>
      </c>
      <c r="R91">
        <v>197100</v>
      </c>
      <c r="S91">
        <v>161786</v>
      </c>
      <c r="T91">
        <v>35314</v>
      </c>
      <c r="U91" t="s">
        <v>35</v>
      </c>
      <c r="V91" t="s">
        <v>527</v>
      </c>
      <c r="W91" t="s">
        <v>472</v>
      </c>
      <c r="X91" s="4">
        <v>1</v>
      </c>
      <c r="Y91" s="4"/>
      <c r="Z91">
        <f t="shared" si="4"/>
        <v>7</v>
      </c>
      <c r="AA91">
        <f t="shared" si="5"/>
        <v>11</v>
      </c>
      <c r="AB91" s="5">
        <f t="shared" si="6"/>
        <v>0.33262731481227092</v>
      </c>
      <c r="AC91" s="3" t="str">
        <f t="shared" si="7"/>
        <v>Order rejected, no time available</v>
      </c>
      <c r="AD91" t="str" cm="1">
        <f t="array" ref="AD91">IFERROR(_xlfn.IFS(
    AC91="", "",
    AC91*86400 &lt; 30, "1. 0s - &lt;30s",
    AC91*86400 &lt; 60, "2. 30s - &lt;1m",
    AC91*86400 &lt; 300, "3. 1m - &lt;5m",
    AC91*86400 &lt; 1800, "4. 5m - &lt;30m",
    TRUE, "5. &gt;= 30m"
),"6. Invalid (Order rejected)")</f>
        <v>6. Invalid (Order rejected)</v>
      </c>
    </row>
    <row r="92" spans="1:30" hidden="1" x14ac:dyDescent="0.3">
      <c r="A92" t="s">
        <v>581</v>
      </c>
      <c r="B92" t="s">
        <v>192</v>
      </c>
      <c r="C92">
        <v>42598944</v>
      </c>
      <c r="D92">
        <v>0</v>
      </c>
      <c r="E92" t="s">
        <v>25</v>
      </c>
      <c r="F92" t="s">
        <v>26</v>
      </c>
      <c r="G92" t="s">
        <v>27</v>
      </c>
      <c r="H92" t="s">
        <v>582</v>
      </c>
      <c r="I92" t="s">
        <v>583</v>
      </c>
      <c r="J92" t="s">
        <v>26</v>
      </c>
      <c r="K92" t="s">
        <v>26</v>
      </c>
      <c r="L92" t="s">
        <v>584</v>
      </c>
      <c r="M92" t="s">
        <v>25</v>
      </c>
      <c r="N92" t="s">
        <v>525</v>
      </c>
      <c r="O92" t="s">
        <v>526</v>
      </c>
      <c r="P92" t="s">
        <v>237</v>
      </c>
      <c r="Q92" t="s">
        <v>238</v>
      </c>
      <c r="R92">
        <v>281232</v>
      </c>
      <c r="S92">
        <v>0</v>
      </c>
      <c r="T92">
        <v>281232</v>
      </c>
      <c r="U92" t="s">
        <v>35</v>
      </c>
      <c r="V92" t="s">
        <v>527</v>
      </c>
      <c r="W92" t="s">
        <v>239</v>
      </c>
      <c r="X92" s="4">
        <v>1</v>
      </c>
      <c r="Y92" s="4"/>
      <c r="Z92">
        <f t="shared" si="4"/>
        <v>7</v>
      </c>
      <c r="AA92">
        <f t="shared" si="5"/>
        <v>11</v>
      </c>
      <c r="AB92" s="5">
        <f t="shared" si="6"/>
        <v>0.33362268518249039</v>
      </c>
      <c r="AC92" s="3">
        <f t="shared" si="7"/>
        <v>0.11152777777897427</v>
      </c>
      <c r="AD92" t="str" cm="1">
        <f t="array" ref="AD92">IFERROR(_xlfn.IFS(
    AC92="", "",
    AC92*86400 &lt; 30, "1. 0s - &lt;30s",
    AC92*86400 &lt; 60, "2. 30s - &lt;1m",
    AC92*86400 &lt; 300, "3. 1m - &lt;5m",
    AC92*86400 &lt; 1800, "4. 5m - &lt;30m",
    TRUE, "5. &gt;= 30m"
),"6. Invalid (Order rejected)")</f>
        <v>5. &gt;= 30m</v>
      </c>
    </row>
    <row r="93" spans="1:30" hidden="1" x14ac:dyDescent="0.3">
      <c r="A93" t="s">
        <v>585</v>
      </c>
      <c r="B93" t="s">
        <v>25</v>
      </c>
      <c r="C93">
        <v>42758642</v>
      </c>
      <c r="D93">
        <v>0</v>
      </c>
      <c r="E93" t="s">
        <v>25</v>
      </c>
      <c r="F93" t="s">
        <v>26</v>
      </c>
      <c r="G93" t="s">
        <v>27</v>
      </c>
      <c r="H93" t="s">
        <v>586</v>
      </c>
      <c r="I93" t="s">
        <v>587</v>
      </c>
      <c r="J93" t="s">
        <v>26</v>
      </c>
      <c r="K93" t="s">
        <v>26</v>
      </c>
      <c r="L93" t="s">
        <v>588</v>
      </c>
      <c r="M93" t="s">
        <v>25</v>
      </c>
      <c r="N93" t="s">
        <v>589</v>
      </c>
      <c r="O93" t="s">
        <v>590</v>
      </c>
      <c r="P93" t="s">
        <v>591</v>
      </c>
      <c r="Q93" t="s">
        <v>592</v>
      </c>
      <c r="R93">
        <v>278424</v>
      </c>
      <c r="S93">
        <v>0</v>
      </c>
      <c r="T93">
        <v>278424</v>
      </c>
      <c r="U93" t="s">
        <v>35</v>
      </c>
      <c r="V93" t="s">
        <v>593</v>
      </c>
      <c r="W93" t="s">
        <v>594</v>
      </c>
      <c r="X93" s="4">
        <v>1</v>
      </c>
      <c r="Y93" s="4"/>
      <c r="Z93">
        <f t="shared" si="4"/>
        <v>7</v>
      </c>
      <c r="AA93">
        <f t="shared" si="5"/>
        <v>14</v>
      </c>
      <c r="AB93" s="5">
        <f t="shared" si="6"/>
        <v>0.89354166666453239</v>
      </c>
      <c r="AC93" s="3">
        <f t="shared" si="7"/>
        <v>0.562708333338378</v>
      </c>
      <c r="AD93" t="str" cm="1">
        <f t="array" ref="AD93">IFERROR(_xlfn.IFS(
    AC93="", "",
    AC93*86400 &lt; 30, "1. 0s - &lt;30s",
    AC93*86400 &lt; 60, "2. 30s - &lt;1m",
    AC93*86400 &lt; 300, "3. 1m - &lt;5m",
    AC93*86400 &lt; 1800, "4. 5m - &lt;30m",
    TRUE, "5. &gt;= 30m"
),"6. Invalid (Order rejected)")</f>
        <v>5. &gt;= 30m</v>
      </c>
    </row>
    <row r="94" spans="1:30" hidden="1" x14ac:dyDescent="0.3">
      <c r="A94" t="s">
        <v>595</v>
      </c>
      <c r="B94" t="s">
        <v>25</v>
      </c>
      <c r="C94">
        <v>42758642</v>
      </c>
      <c r="D94">
        <v>0</v>
      </c>
      <c r="E94" t="s">
        <v>25</v>
      </c>
      <c r="F94" t="s">
        <v>26</v>
      </c>
      <c r="G94" t="s">
        <v>27</v>
      </c>
      <c r="H94" t="s">
        <v>596</v>
      </c>
      <c r="I94" t="s">
        <v>597</v>
      </c>
      <c r="J94" t="s">
        <v>26</v>
      </c>
      <c r="K94" t="s">
        <v>26</v>
      </c>
      <c r="L94" t="s">
        <v>598</v>
      </c>
      <c r="M94" t="s">
        <v>25</v>
      </c>
      <c r="N94" t="s">
        <v>599</v>
      </c>
      <c r="O94" t="s">
        <v>600</v>
      </c>
      <c r="P94" t="s">
        <v>418</v>
      </c>
      <c r="Q94" t="s">
        <v>419</v>
      </c>
      <c r="R94">
        <v>313200</v>
      </c>
      <c r="S94">
        <v>0</v>
      </c>
      <c r="T94">
        <v>313200</v>
      </c>
      <c r="U94" t="s">
        <v>35</v>
      </c>
      <c r="V94" t="s">
        <v>601</v>
      </c>
      <c r="W94" t="s">
        <v>420</v>
      </c>
      <c r="X94" s="4">
        <v>1</v>
      </c>
      <c r="Y94" s="4"/>
      <c r="Z94">
        <f t="shared" si="4"/>
        <v>7</v>
      </c>
      <c r="AA94">
        <f t="shared" si="5"/>
        <v>14</v>
      </c>
      <c r="AB94" s="5">
        <f t="shared" si="6"/>
        <v>0.89649305555212777</v>
      </c>
      <c r="AC94" s="3">
        <f t="shared" si="7"/>
        <v>0.562534722223063</v>
      </c>
      <c r="AD94" t="str" cm="1">
        <f t="array" ref="AD94">IFERROR(_xlfn.IFS(
    AC94="", "",
    AC94*86400 &lt; 30, "1. 0s - &lt;30s",
    AC94*86400 &lt; 60, "2. 30s - &lt;1m",
    AC94*86400 &lt; 300, "3. 1m - &lt;5m",
    AC94*86400 &lt; 1800, "4. 5m - &lt;30m",
    TRUE, "5. &gt;= 30m"
),"6. Invalid (Order rejected)")</f>
        <v>5. &gt;= 30m</v>
      </c>
    </row>
    <row r="95" spans="1:30" hidden="1" x14ac:dyDescent="0.3">
      <c r="A95" t="s">
        <v>602</v>
      </c>
      <c r="B95" t="s">
        <v>25</v>
      </c>
      <c r="C95">
        <v>42758642</v>
      </c>
      <c r="D95">
        <v>0</v>
      </c>
      <c r="E95" t="s">
        <v>25</v>
      </c>
      <c r="F95" t="s">
        <v>26</v>
      </c>
      <c r="G95" t="s">
        <v>27</v>
      </c>
      <c r="H95" t="s">
        <v>603</v>
      </c>
      <c r="I95" t="s">
        <v>604</v>
      </c>
      <c r="J95" t="s">
        <v>26</v>
      </c>
      <c r="K95" t="s">
        <v>26</v>
      </c>
      <c r="L95" t="s">
        <v>605</v>
      </c>
      <c r="M95" t="s">
        <v>25</v>
      </c>
      <c r="N95" t="s">
        <v>599</v>
      </c>
      <c r="O95" t="s">
        <v>600</v>
      </c>
      <c r="P95" t="s">
        <v>418</v>
      </c>
      <c r="Q95" t="s">
        <v>419</v>
      </c>
      <c r="R95">
        <v>252720</v>
      </c>
      <c r="S95">
        <v>0</v>
      </c>
      <c r="T95">
        <v>252720</v>
      </c>
      <c r="U95" t="s">
        <v>35</v>
      </c>
      <c r="V95" t="s">
        <v>601</v>
      </c>
      <c r="W95" t="s">
        <v>420</v>
      </c>
      <c r="X95" s="4">
        <v>1</v>
      </c>
      <c r="Y95" s="4"/>
      <c r="Z95">
        <f t="shared" si="4"/>
        <v>7</v>
      </c>
      <c r="AA95">
        <f t="shared" si="5"/>
        <v>14</v>
      </c>
      <c r="AB95" s="5">
        <f t="shared" si="6"/>
        <v>0.89672453703678912</v>
      </c>
      <c r="AC95" s="3">
        <f t="shared" si="7"/>
        <v>0.56299768518510973</v>
      </c>
      <c r="AD95" t="str" cm="1">
        <f t="array" ref="AD95">IFERROR(_xlfn.IFS(
    AC95="", "",
    AC95*86400 &lt; 30, "1. 0s - &lt;30s",
    AC95*86400 &lt; 60, "2. 30s - &lt;1m",
    AC95*86400 &lt; 300, "3. 1m - &lt;5m",
    AC95*86400 &lt; 1800, "4. 5m - &lt;30m",
    TRUE, "5. &gt;= 30m"
),"6. Invalid (Order rejected)")</f>
        <v>5. &gt;= 30m</v>
      </c>
    </row>
    <row r="96" spans="1:30" hidden="1" x14ac:dyDescent="0.3">
      <c r="A96" t="s">
        <v>606</v>
      </c>
      <c r="B96" t="s">
        <v>25</v>
      </c>
      <c r="C96">
        <v>42758642</v>
      </c>
      <c r="D96">
        <v>0</v>
      </c>
      <c r="E96" t="s">
        <v>25</v>
      </c>
      <c r="F96" t="s">
        <v>26</v>
      </c>
      <c r="G96" t="s">
        <v>27</v>
      </c>
      <c r="H96" t="s">
        <v>607</v>
      </c>
      <c r="I96" t="s">
        <v>608</v>
      </c>
      <c r="J96" t="s">
        <v>26</v>
      </c>
      <c r="K96" t="s">
        <v>26</v>
      </c>
      <c r="L96" t="s">
        <v>609</v>
      </c>
      <c r="M96" t="s">
        <v>25</v>
      </c>
      <c r="N96" t="s">
        <v>599</v>
      </c>
      <c r="O96" t="s">
        <v>600</v>
      </c>
      <c r="P96" t="s">
        <v>208</v>
      </c>
      <c r="Q96" t="s">
        <v>209</v>
      </c>
      <c r="R96">
        <v>326808</v>
      </c>
      <c r="S96">
        <v>0</v>
      </c>
      <c r="T96">
        <v>326808</v>
      </c>
      <c r="U96" t="s">
        <v>35</v>
      </c>
      <c r="V96" t="s">
        <v>601</v>
      </c>
      <c r="W96" t="s">
        <v>210</v>
      </c>
      <c r="X96" s="4">
        <v>1</v>
      </c>
      <c r="Y96" s="4"/>
      <c r="Z96">
        <f t="shared" si="4"/>
        <v>7</v>
      </c>
      <c r="AA96">
        <f t="shared" si="5"/>
        <v>14</v>
      </c>
      <c r="AB96" s="5">
        <f t="shared" si="6"/>
        <v>0.89569444444350665</v>
      </c>
      <c r="AC96" s="3">
        <f t="shared" si="7"/>
        <v>0.55986111111269565</v>
      </c>
      <c r="AD96" t="str" cm="1">
        <f t="array" ref="AD96">IFERROR(_xlfn.IFS(
    AC96="", "",
    AC96*86400 &lt; 30, "1. 0s - &lt;30s",
    AC96*86400 &lt; 60, "2. 30s - &lt;1m",
    AC96*86400 &lt; 300, "3. 1m - &lt;5m",
    AC96*86400 &lt; 1800, "4. 5m - &lt;30m",
    TRUE, "5. &gt;= 30m"
),"6. Invalid (Order rejected)")</f>
        <v>5. &gt;= 30m</v>
      </c>
    </row>
    <row r="97" spans="1:30" hidden="1" x14ac:dyDescent="0.3">
      <c r="A97" t="s">
        <v>610</v>
      </c>
      <c r="B97" t="s">
        <v>25</v>
      </c>
      <c r="C97">
        <v>42758642</v>
      </c>
      <c r="D97">
        <v>0</v>
      </c>
      <c r="E97" t="s">
        <v>25</v>
      </c>
      <c r="F97" t="s">
        <v>26</v>
      </c>
      <c r="G97" t="s">
        <v>27</v>
      </c>
      <c r="H97" t="s">
        <v>611</v>
      </c>
      <c r="I97" t="s">
        <v>612</v>
      </c>
      <c r="J97" t="s">
        <v>26</v>
      </c>
      <c r="K97" t="s">
        <v>26</v>
      </c>
      <c r="L97" t="s">
        <v>613</v>
      </c>
      <c r="M97" t="s">
        <v>25</v>
      </c>
      <c r="N97" t="s">
        <v>614</v>
      </c>
      <c r="O97" t="s">
        <v>615</v>
      </c>
      <c r="P97" t="s">
        <v>616</v>
      </c>
      <c r="Q97" t="s">
        <v>617</v>
      </c>
      <c r="R97">
        <v>187272</v>
      </c>
      <c r="S97">
        <v>0</v>
      </c>
      <c r="T97">
        <v>187272</v>
      </c>
      <c r="U97" t="s">
        <v>35</v>
      </c>
      <c r="V97" t="s">
        <v>618</v>
      </c>
      <c r="W97" t="s">
        <v>619</v>
      </c>
      <c r="X97" s="4">
        <v>1</v>
      </c>
      <c r="Y97" s="4"/>
      <c r="Z97">
        <f t="shared" si="4"/>
        <v>7</v>
      </c>
      <c r="AA97">
        <f t="shared" si="5"/>
        <v>14</v>
      </c>
      <c r="AB97" s="5">
        <f t="shared" si="6"/>
        <v>0.89930555555474712</v>
      </c>
      <c r="AC97" s="3">
        <f t="shared" si="7"/>
        <v>0.5625</v>
      </c>
      <c r="AD97" t="str" cm="1">
        <f t="array" ref="AD97">IFERROR(_xlfn.IFS(
    AC97="", "",
    AC97*86400 &lt; 30, "1. 0s - &lt;30s",
    AC97*86400 &lt; 60, "2. 30s - &lt;1m",
    AC97*86400 &lt; 300, "3. 1m - &lt;5m",
    AC97*86400 &lt; 1800, "4. 5m - &lt;30m",
    TRUE, "5. &gt;= 30m"
),"6. Invalid (Order rejected)")</f>
        <v>5. &gt;= 30m</v>
      </c>
    </row>
    <row r="98" spans="1:30" hidden="1" x14ac:dyDescent="0.3">
      <c r="A98" t="s">
        <v>620</v>
      </c>
      <c r="B98" t="s">
        <v>25</v>
      </c>
      <c r="C98">
        <v>42758642</v>
      </c>
      <c r="D98">
        <v>0</v>
      </c>
      <c r="E98" t="s">
        <v>25</v>
      </c>
      <c r="F98" t="s">
        <v>26</v>
      </c>
      <c r="G98" t="s">
        <v>27</v>
      </c>
      <c r="H98" t="s">
        <v>621</v>
      </c>
      <c r="I98" t="s">
        <v>622</v>
      </c>
      <c r="J98" t="s">
        <v>26</v>
      </c>
      <c r="K98" t="s">
        <v>26</v>
      </c>
      <c r="L98" t="s">
        <v>623</v>
      </c>
      <c r="M98" t="s">
        <v>25</v>
      </c>
      <c r="N98" t="s">
        <v>624</v>
      </c>
      <c r="O98" t="s">
        <v>625</v>
      </c>
      <c r="P98" t="s">
        <v>616</v>
      </c>
      <c r="Q98" t="s">
        <v>617</v>
      </c>
      <c r="R98">
        <v>247320</v>
      </c>
      <c r="S98">
        <v>0</v>
      </c>
      <c r="T98">
        <v>247320</v>
      </c>
      <c r="U98" t="s">
        <v>35</v>
      </c>
      <c r="V98" t="s">
        <v>626</v>
      </c>
      <c r="W98" t="s">
        <v>619</v>
      </c>
      <c r="X98" s="4">
        <v>1</v>
      </c>
      <c r="Y98" s="4"/>
      <c r="Z98">
        <f t="shared" si="4"/>
        <v>7</v>
      </c>
      <c r="AA98">
        <f t="shared" si="5"/>
        <v>14</v>
      </c>
      <c r="AB98" s="5">
        <f t="shared" si="6"/>
        <v>0.90008101851708489</v>
      </c>
      <c r="AC98" s="3">
        <f t="shared" si="7"/>
        <v>0.60408564814861165</v>
      </c>
      <c r="AD98" t="str" cm="1">
        <f t="array" ref="AD98">IFERROR(_xlfn.IFS(
    AC98="", "",
    AC98*86400 &lt; 30, "1. 0s - &lt;30s",
    AC98*86400 &lt; 60, "2. 30s - &lt;1m",
    AC98*86400 &lt; 300, "3. 1m - &lt;5m",
    AC98*86400 &lt; 1800, "4. 5m - &lt;30m",
    TRUE, "5. &gt;= 30m"
),"6. Invalid (Order rejected)")</f>
        <v>5. &gt;= 30m</v>
      </c>
    </row>
    <row r="99" spans="1:30" hidden="1" x14ac:dyDescent="0.3">
      <c r="A99" t="s">
        <v>627</v>
      </c>
      <c r="B99" t="s">
        <v>25</v>
      </c>
      <c r="C99">
        <v>42758642</v>
      </c>
      <c r="D99">
        <v>2852976</v>
      </c>
      <c r="E99" t="s">
        <v>25</v>
      </c>
      <c r="F99" t="s">
        <v>75</v>
      </c>
      <c r="G99" t="s">
        <v>76</v>
      </c>
      <c r="H99" t="s">
        <v>628</v>
      </c>
      <c r="I99" t="s">
        <v>587</v>
      </c>
      <c r="J99" t="s">
        <v>629</v>
      </c>
      <c r="K99" t="s">
        <v>26</v>
      </c>
      <c r="L99" t="s">
        <v>630</v>
      </c>
      <c r="M99" t="s">
        <v>25</v>
      </c>
      <c r="N99" t="s">
        <v>589</v>
      </c>
      <c r="O99" t="s">
        <v>590</v>
      </c>
      <c r="P99" t="s">
        <v>591</v>
      </c>
      <c r="Q99" t="s">
        <v>592</v>
      </c>
      <c r="R99">
        <v>389772</v>
      </c>
      <c r="S99">
        <v>319938</v>
      </c>
      <c r="T99">
        <v>69834</v>
      </c>
      <c r="U99" t="s">
        <v>35</v>
      </c>
      <c r="V99" t="s">
        <v>593</v>
      </c>
      <c r="W99" t="s">
        <v>594</v>
      </c>
      <c r="X99" s="4">
        <v>1</v>
      </c>
      <c r="Y99" s="4"/>
      <c r="Z99">
        <f t="shared" si="4"/>
        <v>7</v>
      </c>
      <c r="AA99">
        <f t="shared" si="5"/>
        <v>14</v>
      </c>
      <c r="AB99" s="5">
        <f t="shared" si="6"/>
        <v>0.89378472221869742</v>
      </c>
      <c r="AC99" s="3">
        <f t="shared" si="7"/>
        <v>0.51288194445078261</v>
      </c>
      <c r="AD99" t="str" cm="1">
        <f t="array" ref="AD99">IFERROR(_xlfn.IFS(
    AC99="", "",
    AC99*86400 &lt; 30, "1. 0s - &lt;30s",
    AC99*86400 &lt; 60, "2. 30s - &lt;1m",
    AC99*86400 &lt; 300, "3. 1m - &lt;5m",
    AC99*86400 &lt; 1800, "4. 5m - &lt;30m",
    TRUE, "5. &gt;= 30m"
),"6. Invalid (Order rejected)")</f>
        <v>5. &gt;= 30m</v>
      </c>
    </row>
    <row r="100" spans="1:30" hidden="1" x14ac:dyDescent="0.3">
      <c r="A100" t="s">
        <v>631</v>
      </c>
      <c r="B100" t="s">
        <v>25</v>
      </c>
      <c r="C100">
        <v>42758642</v>
      </c>
      <c r="D100">
        <v>3270211</v>
      </c>
      <c r="E100" t="s">
        <v>25</v>
      </c>
      <c r="F100" t="s">
        <v>75</v>
      </c>
      <c r="G100" t="s">
        <v>491</v>
      </c>
      <c r="H100" t="s">
        <v>632</v>
      </c>
      <c r="I100" t="s">
        <v>633</v>
      </c>
      <c r="J100" t="s">
        <v>634</v>
      </c>
      <c r="K100" t="s">
        <v>26</v>
      </c>
      <c r="L100" t="s">
        <v>635</v>
      </c>
      <c r="M100" t="s">
        <v>25</v>
      </c>
      <c r="N100" t="s">
        <v>589</v>
      </c>
      <c r="O100" t="s">
        <v>590</v>
      </c>
      <c r="P100" t="s">
        <v>636</v>
      </c>
      <c r="Q100" t="s">
        <v>637</v>
      </c>
      <c r="R100">
        <v>322704</v>
      </c>
      <c r="S100">
        <v>250170</v>
      </c>
      <c r="T100">
        <v>72534</v>
      </c>
      <c r="U100" t="s">
        <v>35</v>
      </c>
      <c r="V100" t="s">
        <v>593</v>
      </c>
      <c r="W100" t="s">
        <v>638</v>
      </c>
      <c r="X100" s="4">
        <v>1</v>
      </c>
      <c r="Y100" s="4"/>
      <c r="Z100">
        <f t="shared" si="4"/>
        <v>7</v>
      </c>
      <c r="AA100">
        <f t="shared" si="5"/>
        <v>14</v>
      </c>
      <c r="AB100" s="5">
        <f t="shared" si="6"/>
        <v>0.89498842592729488</v>
      </c>
      <c r="AC100" s="3">
        <f t="shared" si="7"/>
        <v>10.504317129627452</v>
      </c>
      <c r="AD100" t="str" cm="1">
        <f t="array" ref="AD100">IFERROR(_xlfn.IFS(
    AC100="", "",
    AC100*86400 &lt; 30, "1. 0s - &lt;30s",
    AC100*86400 &lt; 60, "2. 30s - &lt;1m",
    AC100*86400 &lt; 300, "3. 1m - &lt;5m",
    AC100*86400 &lt; 1800, "4. 5m - &lt;30m",
    TRUE, "5. &gt;= 30m"
),"6. Invalid (Order rejected)")</f>
        <v>5. &gt;= 30m</v>
      </c>
    </row>
    <row r="101" spans="1:30" hidden="1" x14ac:dyDescent="0.3">
      <c r="A101" t="s">
        <v>639</v>
      </c>
      <c r="B101" t="s">
        <v>25</v>
      </c>
      <c r="C101">
        <v>42758642</v>
      </c>
      <c r="D101">
        <v>0</v>
      </c>
      <c r="E101" t="s">
        <v>25</v>
      </c>
      <c r="F101" t="s">
        <v>26</v>
      </c>
      <c r="G101" t="s">
        <v>27</v>
      </c>
      <c r="H101" t="s">
        <v>640</v>
      </c>
      <c r="I101" t="s">
        <v>641</v>
      </c>
      <c r="J101" t="s">
        <v>26</v>
      </c>
      <c r="K101" t="s">
        <v>26</v>
      </c>
      <c r="L101" t="s">
        <v>642</v>
      </c>
      <c r="M101" t="s">
        <v>25</v>
      </c>
      <c r="N101" t="s">
        <v>643</v>
      </c>
      <c r="O101" t="s">
        <v>644</v>
      </c>
      <c r="P101" t="s">
        <v>384</v>
      </c>
      <c r="Q101" t="s">
        <v>385</v>
      </c>
      <c r="R101">
        <v>218484</v>
      </c>
      <c r="S101">
        <v>0</v>
      </c>
      <c r="T101">
        <v>218484</v>
      </c>
      <c r="U101" t="s">
        <v>35</v>
      </c>
      <c r="V101" t="s">
        <v>645</v>
      </c>
      <c r="W101" t="s">
        <v>386</v>
      </c>
      <c r="X101" s="4">
        <v>1</v>
      </c>
      <c r="Y101" s="4"/>
      <c r="Z101">
        <f t="shared" si="4"/>
        <v>7</v>
      </c>
      <c r="AA101">
        <f t="shared" si="5"/>
        <v>14</v>
      </c>
      <c r="AB101" s="5">
        <f t="shared" si="6"/>
        <v>0.90126157407212304</v>
      </c>
      <c r="AC101" s="3">
        <f t="shared" si="7"/>
        <v>0.60429398148698965</v>
      </c>
      <c r="AD101" t="str" cm="1">
        <f t="array" ref="AD101">IFERROR(_xlfn.IFS(
    AC101="", "",
    AC101*86400 &lt; 30, "1. 0s - &lt;30s",
    AC101*86400 &lt; 60, "2. 30s - &lt;1m",
    AC101*86400 &lt; 300, "3. 1m - &lt;5m",
    AC101*86400 &lt; 1800, "4. 5m - &lt;30m",
    TRUE, "5. &gt;= 30m"
),"6. Invalid (Order rejected)")</f>
        <v>5. &gt;= 30m</v>
      </c>
    </row>
    <row r="102" spans="1:30" hidden="1" x14ac:dyDescent="0.3">
      <c r="A102" t="s">
        <v>646</v>
      </c>
      <c r="B102" t="s">
        <v>25</v>
      </c>
      <c r="C102">
        <v>42758642</v>
      </c>
      <c r="D102">
        <v>0</v>
      </c>
      <c r="E102" t="s">
        <v>25</v>
      </c>
      <c r="F102" t="s">
        <v>26</v>
      </c>
      <c r="G102" t="s">
        <v>27</v>
      </c>
      <c r="H102" t="s">
        <v>647</v>
      </c>
      <c r="I102" t="s">
        <v>648</v>
      </c>
      <c r="J102" t="s">
        <v>26</v>
      </c>
      <c r="K102" t="s">
        <v>26</v>
      </c>
      <c r="L102" t="s">
        <v>649</v>
      </c>
      <c r="M102" t="s">
        <v>25</v>
      </c>
      <c r="N102" t="s">
        <v>650</v>
      </c>
      <c r="O102" t="s">
        <v>651</v>
      </c>
      <c r="P102" t="s">
        <v>246</v>
      </c>
      <c r="Q102" t="s">
        <v>247</v>
      </c>
      <c r="R102">
        <v>172584</v>
      </c>
      <c r="S102">
        <v>0</v>
      </c>
      <c r="T102">
        <v>172584</v>
      </c>
      <c r="U102" t="s">
        <v>35</v>
      </c>
      <c r="V102" t="s">
        <v>652</v>
      </c>
      <c r="W102" t="s">
        <v>249</v>
      </c>
      <c r="X102" s="4">
        <v>1</v>
      </c>
      <c r="Y102" s="4"/>
      <c r="Z102">
        <f t="shared" si="4"/>
        <v>7</v>
      </c>
      <c r="AA102">
        <f t="shared" si="5"/>
        <v>14</v>
      </c>
      <c r="AB102" s="5">
        <f t="shared" si="6"/>
        <v>0.90408564815152204</v>
      </c>
      <c r="AC102" s="3">
        <f t="shared" si="7"/>
        <v>0.56258101851562969</v>
      </c>
      <c r="AD102" t="str" cm="1">
        <f t="array" ref="AD102">IFERROR(_xlfn.IFS(
    AC102="", "",
    AC102*86400 &lt; 30, "1. 0s - &lt;30s",
    AC102*86400 &lt; 60, "2. 30s - &lt;1m",
    AC102*86400 &lt; 300, "3. 1m - &lt;5m",
    AC102*86400 &lt; 1800, "4. 5m - &lt;30m",
    TRUE, "5. &gt;= 30m"
),"6. Invalid (Order rejected)")</f>
        <v>5. &gt;= 30m</v>
      </c>
    </row>
    <row r="103" spans="1:30" x14ac:dyDescent="0.3">
      <c r="A103" t="s">
        <v>653</v>
      </c>
      <c r="B103" t="s">
        <v>25</v>
      </c>
      <c r="C103">
        <v>42758642</v>
      </c>
      <c r="D103">
        <v>4626431</v>
      </c>
      <c r="E103" t="s">
        <v>25</v>
      </c>
      <c r="F103" t="s">
        <v>75</v>
      </c>
      <c r="G103" t="s">
        <v>360</v>
      </c>
      <c r="H103" t="s">
        <v>654</v>
      </c>
      <c r="I103" t="s">
        <v>655</v>
      </c>
      <c r="J103" t="s">
        <v>656</v>
      </c>
      <c r="K103" t="s">
        <v>26</v>
      </c>
      <c r="L103" t="s">
        <v>25</v>
      </c>
      <c r="M103" t="s">
        <v>25</v>
      </c>
      <c r="N103" t="s">
        <v>589</v>
      </c>
      <c r="O103" t="s">
        <v>590</v>
      </c>
      <c r="P103" t="s">
        <v>657</v>
      </c>
      <c r="Q103" t="s">
        <v>658</v>
      </c>
      <c r="R103">
        <v>288900</v>
      </c>
      <c r="S103">
        <v>223964</v>
      </c>
      <c r="T103">
        <v>64936</v>
      </c>
      <c r="U103" t="s">
        <v>35</v>
      </c>
      <c r="V103" t="s">
        <v>593</v>
      </c>
      <c r="W103" t="s">
        <v>594</v>
      </c>
      <c r="X103" s="4">
        <v>1</v>
      </c>
      <c r="Y103" s="4"/>
      <c r="Z103">
        <f t="shared" si="4"/>
        <v>7</v>
      </c>
      <c r="AA103">
        <f t="shared" si="5"/>
        <v>14</v>
      </c>
      <c r="AB103" s="5">
        <f t="shared" si="6"/>
        <v>0.89285879629460396</v>
      </c>
      <c r="AC103" s="3" t="str">
        <f t="shared" si="7"/>
        <v>Order rejected, no time available</v>
      </c>
      <c r="AD103" t="str" cm="1">
        <f t="array" ref="AD103">IFERROR(_xlfn.IFS(
    AC103="", "",
    AC103*86400 &lt; 30, "1. 0s - &lt;30s",
    AC103*86400 &lt; 60, "2. 30s - &lt;1m",
    AC103*86400 &lt; 300, "3. 1m - &lt;5m",
    AC103*86400 &lt; 1800, "4. 5m - &lt;30m",
    TRUE, "5. &gt;= 30m"
),"6. Invalid (Order rejected)")</f>
        <v>6. Invalid (Order rejected)</v>
      </c>
    </row>
    <row r="104" spans="1:30" hidden="1" x14ac:dyDescent="0.3">
      <c r="A104" t="s">
        <v>659</v>
      </c>
      <c r="B104" t="s">
        <v>25</v>
      </c>
      <c r="C104">
        <v>42758642</v>
      </c>
      <c r="D104">
        <v>0</v>
      </c>
      <c r="E104" t="s">
        <v>25</v>
      </c>
      <c r="F104" t="s">
        <v>26</v>
      </c>
      <c r="G104" t="s">
        <v>27</v>
      </c>
      <c r="H104" t="s">
        <v>660</v>
      </c>
      <c r="I104" t="s">
        <v>661</v>
      </c>
      <c r="J104" t="s">
        <v>26</v>
      </c>
      <c r="K104" t="s">
        <v>26</v>
      </c>
      <c r="L104" t="s">
        <v>662</v>
      </c>
      <c r="M104" t="s">
        <v>25</v>
      </c>
      <c r="N104" t="s">
        <v>663</v>
      </c>
      <c r="O104" t="s">
        <v>664</v>
      </c>
      <c r="P104" t="s">
        <v>507</v>
      </c>
      <c r="Q104" t="s">
        <v>508</v>
      </c>
      <c r="R104">
        <v>259308</v>
      </c>
      <c r="S104">
        <v>0</v>
      </c>
      <c r="T104">
        <v>259308</v>
      </c>
      <c r="U104" t="s">
        <v>35</v>
      </c>
      <c r="V104" t="s">
        <v>665</v>
      </c>
      <c r="W104" t="s">
        <v>509</v>
      </c>
      <c r="X104" s="4">
        <v>1</v>
      </c>
      <c r="Y104" s="4"/>
      <c r="Z104">
        <f t="shared" si="4"/>
        <v>7</v>
      </c>
      <c r="AA104">
        <f t="shared" si="5"/>
        <v>14</v>
      </c>
      <c r="AB104" s="5">
        <f t="shared" si="6"/>
        <v>0.89790509259182727</v>
      </c>
      <c r="AC104" s="3">
        <f t="shared" si="7"/>
        <v>0.56251157407677965</v>
      </c>
      <c r="AD104" t="str" cm="1">
        <f t="array" ref="AD104">IFERROR(_xlfn.IFS(
    AC104="", "",
    AC104*86400 &lt; 30, "1. 0s - &lt;30s",
    AC104*86400 &lt; 60, "2. 30s - &lt;1m",
    AC104*86400 &lt; 300, "3. 1m - &lt;5m",
    AC104*86400 &lt; 1800, "4. 5m - &lt;30m",
    TRUE, "5. &gt;= 30m"
),"6. Invalid (Order rejected)")</f>
        <v>5. &gt;= 30m</v>
      </c>
    </row>
    <row r="105" spans="1:30" hidden="1" x14ac:dyDescent="0.3">
      <c r="A105" t="s">
        <v>666</v>
      </c>
      <c r="B105" t="s">
        <v>25</v>
      </c>
      <c r="C105">
        <v>42758642</v>
      </c>
      <c r="D105">
        <v>0</v>
      </c>
      <c r="E105" t="s">
        <v>25</v>
      </c>
      <c r="F105" t="s">
        <v>26</v>
      </c>
      <c r="G105" t="s">
        <v>27</v>
      </c>
      <c r="H105" t="s">
        <v>667</v>
      </c>
      <c r="I105" t="s">
        <v>668</v>
      </c>
      <c r="J105" t="s">
        <v>26</v>
      </c>
      <c r="K105" t="s">
        <v>26</v>
      </c>
      <c r="L105" t="s">
        <v>669</v>
      </c>
      <c r="M105" t="s">
        <v>25</v>
      </c>
      <c r="N105" t="s">
        <v>614</v>
      </c>
      <c r="O105" t="s">
        <v>615</v>
      </c>
      <c r="P105" t="s">
        <v>616</v>
      </c>
      <c r="Q105" t="s">
        <v>617</v>
      </c>
      <c r="R105">
        <v>244944</v>
      </c>
      <c r="S105">
        <v>0</v>
      </c>
      <c r="T105">
        <v>244944</v>
      </c>
      <c r="U105" t="s">
        <v>35</v>
      </c>
      <c r="V105" t="s">
        <v>618</v>
      </c>
      <c r="W105" t="s">
        <v>619</v>
      </c>
      <c r="X105" s="4">
        <v>1</v>
      </c>
      <c r="Y105" s="4"/>
      <c r="Z105">
        <f t="shared" si="4"/>
        <v>7</v>
      </c>
      <c r="AA105">
        <f t="shared" si="5"/>
        <v>14</v>
      </c>
      <c r="AB105" s="5">
        <f t="shared" si="6"/>
        <v>0.89893518518510973</v>
      </c>
      <c r="AC105" s="3">
        <f t="shared" si="7"/>
        <v>0.60453703703387873</v>
      </c>
      <c r="AD105" t="str" cm="1">
        <f t="array" ref="AD105">IFERROR(_xlfn.IFS(
    AC105="", "",
    AC105*86400 &lt; 30, "1. 0s - &lt;30s",
    AC105*86400 &lt; 60, "2. 30s - &lt;1m",
    AC105*86400 &lt; 300, "3. 1m - &lt;5m",
    AC105*86400 &lt; 1800, "4. 5m - &lt;30m",
    TRUE, "5. &gt;= 30m"
),"6. Invalid (Order rejected)")</f>
        <v>5. &gt;= 30m</v>
      </c>
    </row>
    <row r="106" spans="1:30" x14ac:dyDescent="0.3">
      <c r="A106" t="s">
        <v>670</v>
      </c>
      <c r="B106" t="s">
        <v>25</v>
      </c>
      <c r="C106">
        <v>42758642</v>
      </c>
      <c r="D106">
        <v>3785706</v>
      </c>
      <c r="E106" t="s">
        <v>25</v>
      </c>
      <c r="F106" t="s">
        <v>75</v>
      </c>
      <c r="G106" t="s">
        <v>360</v>
      </c>
      <c r="H106" t="s">
        <v>671</v>
      </c>
      <c r="I106" t="s">
        <v>672</v>
      </c>
      <c r="J106" t="s">
        <v>673</v>
      </c>
      <c r="K106" t="s">
        <v>674</v>
      </c>
      <c r="L106" t="s">
        <v>25</v>
      </c>
      <c r="M106" t="s">
        <v>25</v>
      </c>
      <c r="N106" t="s">
        <v>643</v>
      </c>
      <c r="O106" t="s">
        <v>644</v>
      </c>
      <c r="P106" t="s">
        <v>384</v>
      </c>
      <c r="Q106" t="s">
        <v>385</v>
      </c>
      <c r="R106">
        <v>305856</v>
      </c>
      <c r="S106">
        <v>237109</v>
      </c>
      <c r="T106">
        <v>68747</v>
      </c>
      <c r="U106" t="s">
        <v>35</v>
      </c>
      <c r="V106" t="s">
        <v>645</v>
      </c>
      <c r="W106" t="s">
        <v>386</v>
      </c>
      <c r="X106" s="4">
        <v>1</v>
      </c>
      <c r="Y106" s="4"/>
      <c r="Z106">
        <f t="shared" si="4"/>
        <v>7</v>
      </c>
      <c r="AA106">
        <f t="shared" si="5"/>
        <v>14</v>
      </c>
      <c r="AB106" s="5">
        <f t="shared" si="6"/>
        <v>0.90148148148000473</v>
      </c>
      <c r="AC106" s="3" t="str">
        <f t="shared" si="7"/>
        <v>Order rejected, no time available</v>
      </c>
      <c r="AD106" t="str" cm="1">
        <f t="array" ref="AD106">IFERROR(_xlfn.IFS(
    AC106="", "",
    AC106*86400 &lt; 30, "1. 0s - &lt;30s",
    AC106*86400 &lt; 60, "2. 30s - &lt;1m",
    AC106*86400 &lt; 300, "3. 1m - &lt;5m",
    AC106*86400 &lt; 1800, "4. 5m - &lt;30m",
    TRUE, "5. &gt;= 30m"
),"6. Invalid (Order rejected)")</f>
        <v>6. Invalid (Order rejected)</v>
      </c>
    </row>
    <row r="107" spans="1:30" hidden="1" x14ac:dyDescent="0.3">
      <c r="A107" t="s">
        <v>675</v>
      </c>
      <c r="B107" t="s">
        <v>25</v>
      </c>
      <c r="C107">
        <v>42758642</v>
      </c>
      <c r="D107">
        <v>0</v>
      </c>
      <c r="E107" t="s">
        <v>25</v>
      </c>
      <c r="F107" t="s">
        <v>26</v>
      </c>
      <c r="G107" t="s">
        <v>27</v>
      </c>
      <c r="H107" t="s">
        <v>676</v>
      </c>
      <c r="I107" t="s">
        <v>677</v>
      </c>
      <c r="J107" t="s">
        <v>26</v>
      </c>
      <c r="K107" t="s">
        <v>26</v>
      </c>
      <c r="L107" t="s">
        <v>678</v>
      </c>
      <c r="M107" t="s">
        <v>25</v>
      </c>
      <c r="N107" t="s">
        <v>679</v>
      </c>
      <c r="O107" t="s">
        <v>680</v>
      </c>
      <c r="P107" t="s">
        <v>681</v>
      </c>
      <c r="Q107" t="s">
        <v>682</v>
      </c>
      <c r="R107">
        <v>164808</v>
      </c>
      <c r="S107">
        <v>0</v>
      </c>
      <c r="T107">
        <v>164808</v>
      </c>
      <c r="U107" t="s">
        <v>35</v>
      </c>
      <c r="V107" t="s">
        <v>683</v>
      </c>
      <c r="W107" t="s">
        <v>684</v>
      </c>
      <c r="X107" s="4">
        <v>1</v>
      </c>
      <c r="Y107" s="4"/>
      <c r="Z107">
        <f t="shared" si="4"/>
        <v>7</v>
      </c>
      <c r="AA107">
        <f t="shared" si="5"/>
        <v>14</v>
      </c>
      <c r="AB107" s="5">
        <f t="shared" si="6"/>
        <v>0.90689814814686542</v>
      </c>
      <c r="AC107" s="3">
        <f t="shared" si="7"/>
        <v>0.56254629629984265</v>
      </c>
      <c r="AD107" t="str" cm="1">
        <f t="array" ref="AD107">IFERROR(_xlfn.IFS(
    AC107="", "",
    AC107*86400 &lt; 30, "1. 0s - &lt;30s",
    AC107*86400 &lt; 60, "2. 30s - &lt;1m",
    AC107*86400 &lt; 300, "3. 1m - &lt;5m",
    AC107*86400 &lt; 1800, "4. 5m - &lt;30m",
    TRUE, "5. &gt;= 30m"
),"6. Invalid (Order rejected)")</f>
        <v>5. &gt;= 30m</v>
      </c>
    </row>
    <row r="108" spans="1:30" hidden="1" x14ac:dyDescent="0.3">
      <c r="A108" t="s">
        <v>685</v>
      </c>
      <c r="B108" t="s">
        <v>25</v>
      </c>
      <c r="C108">
        <v>42758642</v>
      </c>
      <c r="D108">
        <v>0</v>
      </c>
      <c r="E108" t="s">
        <v>25</v>
      </c>
      <c r="F108" t="s">
        <v>26</v>
      </c>
      <c r="G108" t="s">
        <v>27</v>
      </c>
      <c r="H108" t="s">
        <v>686</v>
      </c>
      <c r="I108" t="s">
        <v>687</v>
      </c>
      <c r="J108" t="s">
        <v>26</v>
      </c>
      <c r="K108" t="s">
        <v>26</v>
      </c>
      <c r="L108" t="s">
        <v>688</v>
      </c>
      <c r="M108" t="s">
        <v>25</v>
      </c>
      <c r="N108" t="s">
        <v>624</v>
      </c>
      <c r="O108" t="s">
        <v>625</v>
      </c>
      <c r="P108" t="s">
        <v>616</v>
      </c>
      <c r="Q108" t="s">
        <v>617</v>
      </c>
      <c r="R108">
        <v>236520</v>
      </c>
      <c r="S108">
        <v>0</v>
      </c>
      <c r="T108">
        <v>236520</v>
      </c>
      <c r="U108" t="s">
        <v>35</v>
      </c>
      <c r="V108" t="s">
        <v>626</v>
      </c>
      <c r="W108" t="s">
        <v>619</v>
      </c>
      <c r="X108" s="4">
        <v>1</v>
      </c>
      <c r="Y108" s="4"/>
      <c r="Z108">
        <f t="shared" si="4"/>
        <v>7</v>
      </c>
      <c r="AA108">
        <f t="shared" si="5"/>
        <v>14</v>
      </c>
      <c r="AB108" s="5">
        <f t="shared" si="6"/>
        <v>0.90046296296350192</v>
      </c>
      <c r="AC108" s="3">
        <f t="shared" si="7"/>
        <v>0.56273148147738539</v>
      </c>
      <c r="AD108" t="str" cm="1">
        <f t="array" ref="AD108">IFERROR(_xlfn.IFS(
    AC108="", "",
    AC108*86400 &lt; 30, "1. 0s - &lt;30s",
    AC108*86400 &lt; 60, "2. 30s - &lt;1m",
    AC108*86400 &lt; 300, "3. 1m - &lt;5m",
    AC108*86400 &lt; 1800, "4. 5m - &lt;30m",
    TRUE, "5. &gt;= 30m"
),"6. Invalid (Order rejected)")</f>
        <v>5. &gt;= 30m</v>
      </c>
    </row>
    <row r="109" spans="1:30" x14ac:dyDescent="0.3">
      <c r="A109" t="s">
        <v>689</v>
      </c>
      <c r="B109" t="s">
        <v>25</v>
      </c>
      <c r="C109">
        <v>42758642</v>
      </c>
      <c r="D109">
        <v>2325851</v>
      </c>
      <c r="E109" t="s">
        <v>25</v>
      </c>
      <c r="F109" t="s">
        <v>75</v>
      </c>
      <c r="G109" t="s">
        <v>360</v>
      </c>
      <c r="H109" t="s">
        <v>690</v>
      </c>
      <c r="I109" t="s">
        <v>687</v>
      </c>
      <c r="J109" t="s">
        <v>691</v>
      </c>
      <c r="K109" t="s">
        <v>692</v>
      </c>
      <c r="L109" t="s">
        <v>25</v>
      </c>
      <c r="M109" t="s">
        <v>25</v>
      </c>
      <c r="N109" t="s">
        <v>693</v>
      </c>
      <c r="O109" t="s">
        <v>694</v>
      </c>
      <c r="P109" t="s">
        <v>695</v>
      </c>
      <c r="Q109" t="s">
        <v>696</v>
      </c>
      <c r="R109">
        <v>221076</v>
      </c>
      <c r="S109">
        <v>171385</v>
      </c>
      <c r="T109">
        <v>49691</v>
      </c>
      <c r="U109" t="s">
        <v>35</v>
      </c>
      <c r="V109" t="s">
        <v>697</v>
      </c>
      <c r="W109" t="s">
        <v>698</v>
      </c>
      <c r="X109" s="4">
        <v>1</v>
      </c>
      <c r="Y109" s="4"/>
      <c r="Z109">
        <f t="shared" si="4"/>
        <v>7</v>
      </c>
      <c r="AA109">
        <f t="shared" si="5"/>
        <v>14</v>
      </c>
      <c r="AB109" s="5">
        <f t="shared" si="6"/>
        <v>0.90856481481750961</v>
      </c>
      <c r="AC109" s="3" t="str">
        <f t="shared" si="7"/>
        <v>Order rejected, no time available</v>
      </c>
      <c r="AD109" t="str" cm="1">
        <f t="array" ref="AD109">IFERROR(_xlfn.IFS(
    AC109="", "",
    AC109*86400 &lt; 30, "1. 0s - &lt;30s",
    AC109*86400 &lt; 60, "2. 30s - &lt;1m",
    AC109*86400 &lt; 300, "3. 1m - &lt;5m",
    AC109*86400 &lt; 1800, "4. 5m - &lt;30m",
    TRUE, "5. &gt;= 30m"
),"6. Invalid (Order rejected)")</f>
        <v>6. Invalid (Order rejected)</v>
      </c>
    </row>
    <row r="110" spans="1:30" hidden="1" x14ac:dyDescent="0.3">
      <c r="A110" t="s">
        <v>699</v>
      </c>
      <c r="B110" t="s">
        <v>25</v>
      </c>
      <c r="C110">
        <v>42758642</v>
      </c>
      <c r="D110">
        <v>0</v>
      </c>
      <c r="E110" t="s">
        <v>25</v>
      </c>
      <c r="F110" t="s">
        <v>26</v>
      </c>
      <c r="G110" t="s">
        <v>27</v>
      </c>
      <c r="H110" t="s">
        <v>700</v>
      </c>
      <c r="I110" t="s">
        <v>701</v>
      </c>
      <c r="J110" t="s">
        <v>26</v>
      </c>
      <c r="K110" t="s">
        <v>26</v>
      </c>
      <c r="L110" t="s">
        <v>702</v>
      </c>
      <c r="M110" t="s">
        <v>25</v>
      </c>
      <c r="N110" t="s">
        <v>703</v>
      </c>
      <c r="O110" t="s">
        <v>704</v>
      </c>
      <c r="P110" t="s">
        <v>103</v>
      </c>
      <c r="Q110" t="s">
        <v>104</v>
      </c>
      <c r="R110">
        <v>132624</v>
      </c>
      <c r="S110">
        <v>0</v>
      </c>
      <c r="T110">
        <v>132624</v>
      </c>
      <c r="U110" t="s">
        <v>35</v>
      </c>
      <c r="V110" t="s">
        <v>705</v>
      </c>
      <c r="W110" t="s">
        <v>105</v>
      </c>
      <c r="X110" s="4">
        <v>1</v>
      </c>
      <c r="Y110" s="4"/>
      <c r="Z110">
        <f t="shared" si="4"/>
        <v>7</v>
      </c>
      <c r="AA110">
        <f t="shared" si="5"/>
        <v>14</v>
      </c>
      <c r="AB110" s="5">
        <f t="shared" si="6"/>
        <v>0.91269675926014315</v>
      </c>
      <c r="AC110" s="3">
        <f t="shared" si="7"/>
        <v>0.52133101852086838</v>
      </c>
      <c r="AD110" t="str" cm="1">
        <f t="array" ref="AD110">IFERROR(_xlfn.IFS(
    AC110="", "",
    AC110*86400 &lt; 30, "1. 0s - &lt;30s",
    AC110*86400 &lt; 60, "2. 30s - &lt;1m",
    AC110*86400 &lt; 300, "3. 1m - &lt;5m",
    AC110*86400 &lt; 1800, "4. 5m - &lt;30m",
    TRUE, "5. &gt;= 30m"
),"6. Invalid (Order rejected)")</f>
        <v>5. &gt;= 30m</v>
      </c>
    </row>
    <row r="111" spans="1:30" hidden="1" x14ac:dyDescent="0.3">
      <c r="A111" t="s">
        <v>706</v>
      </c>
      <c r="B111" t="s">
        <v>25</v>
      </c>
      <c r="C111">
        <v>42758642</v>
      </c>
      <c r="D111">
        <v>0</v>
      </c>
      <c r="E111" t="s">
        <v>25</v>
      </c>
      <c r="F111" t="s">
        <v>26</v>
      </c>
      <c r="G111" t="s">
        <v>27</v>
      </c>
      <c r="H111" t="s">
        <v>707</v>
      </c>
      <c r="I111" t="s">
        <v>708</v>
      </c>
      <c r="J111" t="s">
        <v>26</v>
      </c>
      <c r="K111" t="s">
        <v>26</v>
      </c>
      <c r="L111" t="s">
        <v>709</v>
      </c>
      <c r="M111" t="s">
        <v>25</v>
      </c>
      <c r="N111" t="s">
        <v>663</v>
      </c>
      <c r="O111" t="s">
        <v>664</v>
      </c>
      <c r="P111" t="s">
        <v>507</v>
      </c>
      <c r="Q111" t="s">
        <v>508</v>
      </c>
      <c r="R111">
        <v>347868</v>
      </c>
      <c r="S111">
        <v>0</v>
      </c>
      <c r="T111">
        <v>347868</v>
      </c>
      <c r="U111" t="s">
        <v>35</v>
      </c>
      <c r="V111" t="s">
        <v>665</v>
      </c>
      <c r="W111" t="s">
        <v>509</v>
      </c>
      <c r="X111" s="4">
        <v>1</v>
      </c>
      <c r="Y111" s="4"/>
      <c r="Z111">
        <f t="shared" si="4"/>
        <v>7</v>
      </c>
      <c r="AA111">
        <f t="shared" si="5"/>
        <v>14</v>
      </c>
      <c r="AB111" s="5">
        <f t="shared" si="6"/>
        <v>0.89832175926130731</v>
      </c>
      <c r="AC111" s="3">
        <f t="shared" si="7"/>
        <v>0.56278935184673173</v>
      </c>
      <c r="AD111" t="str" cm="1">
        <f t="array" ref="AD111">IFERROR(_xlfn.IFS(
    AC111="", "",
    AC111*86400 &lt; 30, "1. 0s - &lt;30s",
    AC111*86400 &lt; 60, "2. 30s - &lt;1m",
    AC111*86400 &lt; 300, "3. 1m - &lt;5m",
    AC111*86400 &lt; 1800, "4. 5m - &lt;30m",
    TRUE, "5. &gt;= 30m"
),"6. Invalid (Order rejected)")</f>
        <v>5. &gt;= 30m</v>
      </c>
    </row>
    <row r="112" spans="1:30" hidden="1" x14ac:dyDescent="0.3">
      <c r="A112" t="s">
        <v>710</v>
      </c>
      <c r="B112" t="s">
        <v>25</v>
      </c>
      <c r="C112">
        <v>42758642</v>
      </c>
      <c r="D112">
        <v>0</v>
      </c>
      <c r="E112" t="s">
        <v>25</v>
      </c>
      <c r="F112" t="s">
        <v>26</v>
      </c>
      <c r="G112" t="s">
        <v>27</v>
      </c>
      <c r="H112" t="s">
        <v>711</v>
      </c>
      <c r="I112" t="s">
        <v>641</v>
      </c>
      <c r="J112" t="s">
        <v>26</v>
      </c>
      <c r="K112" t="s">
        <v>26</v>
      </c>
      <c r="L112" t="s">
        <v>642</v>
      </c>
      <c r="M112" t="s">
        <v>25</v>
      </c>
      <c r="N112" t="s">
        <v>643</v>
      </c>
      <c r="O112" t="s">
        <v>644</v>
      </c>
      <c r="P112" t="s">
        <v>384</v>
      </c>
      <c r="Q112" t="s">
        <v>385</v>
      </c>
      <c r="R112">
        <v>229284</v>
      </c>
      <c r="S112">
        <v>0</v>
      </c>
      <c r="T112">
        <v>229284</v>
      </c>
      <c r="U112" t="s">
        <v>35</v>
      </c>
      <c r="V112" t="s">
        <v>645</v>
      </c>
      <c r="W112" t="s">
        <v>386</v>
      </c>
      <c r="X112" s="4">
        <v>1</v>
      </c>
      <c r="Y112" s="4"/>
      <c r="Z112">
        <f t="shared" si="4"/>
        <v>7</v>
      </c>
      <c r="AA112">
        <f t="shared" si="5"/>
        <v>14</v>
      </c>
      <c r="AB112" s="5">
        <f t="shared" si="6"/>
        <v>0.90090277777926531</v>
      </c>
      <c r="AC112" s="3">
        <f t="shared" si="7"/>
        <v>0.60465277777984738</v>
      </c>
      <c r="AD112" t="str" cm="1">
        <f t="array" ref="AD112">IFERROR(_xlfn.IFS(
    AC112="", "",
    AC112*86400 &lt; 30, "1. 0s - &lt;30s",
    AC112*86400 &lt; 60, "2. 30s - &lt;1m",
    AC112*86400 &lt; 300, "3. 1m - &lt;5m",
    AC112*86400 &lt; 1800, "4. 5m - &lt;30m",
    TRUE, "5. &gt;= 30m"
),"6. Invalid (Order rejected)")</f>
        <v>5. &gt;= 30m</v>
      </c>
    </row>
    <row r="113" spans="1:30" hidden="1" x14ac:dyDescent="0.3">
      <c r="A113" t="s">
        <v>712</v>
      </c>
      <c r="B113" t="s">
        <v>25</v>
      </c>
      <c r="C113">
        <v>42758642</v>
      </c>
      <c r="D113">
        <v>0</v>
      </c>
      <c r="E113" t="s">
        <v>25</v>
      </c>
      <c r="F113" t="s">
        <v>26</v>
      </c>
      <c r="G113" t="s">
        <v>27</v>
      </c>
      <c r="H113" t="s">
        <v>713</v>
      </c>
      <c r="I113" t="s">
        <v>714</v>
      </c>
      <c r="J113" t="s">
        <v>26</v>
      </c>
      <c r="K113" t="s">
        <v>26</v>
      </c>
      <c r="L113" t="s">
        <v>715</v>
      </c>
      <c r="M113" t="s">
        <v>25</v>
      </c>
      <c r="N113" t="s">
        <v>650</v>
      </c>
      <c r="O113" t="s">
        <v>651</v>
      </c>
      <c r="P113" t="s">
        <v>716</v>
      </c>
      <c r="Q113" t="s">
        <v>717</v>
      </c>
      <c r="R113">
        <v>237060</v>
      </c>
      <c r="S113">
        <v>0</v>
      </c>
      <c r="T113">
        <v>237060</v>
      </c>
      <c r="U113" t="s">
        <v>35</v>
      </c>
      <c r="V113" t="s">
        <v>652</v>
      </c>
      <c r="W113" t="s">
        <v>718</v>
      </c>
      <c r="X113" s="4">
        <v>1</v>
      </c>
      <c r="Y113" s="4"/>
      <c r="Z113">
        <f t="shared" si="4"/>
        <v>7</v>
      </c>
      <c r="AA113">
        <f t="shared" si="5"/>
        <v>14</v>
      </c>
      <c r="AB113" s="5">
        <f t="shared" si="6"/>
        <v>0.90476851852145046</v>
      </c>
      <c r="AC113" s="3">
        <f t="shared" si="7"/>
        <v>0.56259259259240935</v>
      </c>
      <c r="AD113" t="str" cm="1">
        <f t="array" ref="AD113">IFERROR(_xlfn.IFS(
    AC113="", "",
    AC113*86400 &lt; 30, "1. 0s - &lt;30s",
    AC113*86400 &lt; 60, "2. 30s - &lt;1m",
    AC113*86400 &lt; 300, "3. 1m - &lt;5m",
    AC113*86400 &lt; 1800, "4. 5m - &lt;30m",
    TRUE, "5. &gt;= 30m"
),"6. Invalid (Order rejected)")</f>
        <v>5. &gt;= 30m</v>
      </c>
    </row>
    <row r="114" spans="1:30" hidden="1" x14ac:dyDescent="0.3">
      <c r="A114" t="s">
        <v>719</v>
      </c>
      <c r="B114" t="s">
        <v>25</v>
      </c>
      <c r="C114">
        <v>42758642</v>
      </c>
      <c r="D114">
        <v>0</v>
      </c>
      <c r="E114" t="s">
        <v>25</v>
      </c>
      <c r="F114" t="s">
        <v>26</v>
      </c>
      <c r="G114" t="s">
        <v>27</v>
      </c>
      <c r="H114" t="s">
        <v>720</v>
      </c>
      <c r="I114" t="s">
        <v>587</v>
      </c>
      <c r="J114" t="s">
        <v>26</v>
      </c>
      <c r="K114" t="s">
        <v>26</v>
      </c>
      <c r="L114" t="s">
        <v>588</v>
      </c>
      <c r="M114" t="s">
        <v>25</v>
      </c>
      <c r="N114" t="s">
        <v>721</v>
      </c>
      <c r="O114" t="s">
        <v>722</v>
      </c>
      <c r="P114" t="s">
        <v>723</v>
      </c>
      <c r="Q114" t="s">
        <v>724</v>
      </c>
      <c r="R114">
        <v>179820</v>
      </c>
      <c r="S114">
        <v>0</v>
      </c>
      <c r="T114">
        <v>179820</v>
      </c>
      <c r="U114" t="s">
        <v>35</v>
      </c>
      <c r="V114" t="s">
        <v>725</v>
      </c>
      <c r="W114" t="s">
        <v>726</v>
      </c>
      <c r="X114" s="4">
        <v>1</v>
      </c>
      <c r="Y114" s="4"/>
      <c r="Z114">
        <f t="shared" si="4"/>
        <v>7</v>
      </c>
      <c r="AA114">
        <f t="shared" si="5"/>
        <v>14</v>
      </c>
      <c r="AB114" s="5">
        <f t="shared" si="6"/>
        <v>0.90594907407648861</v>
      </c>
      <c r="AC114" s="3">
        <f t="shared" si="7"/>
        <v>0.55030092592642177</v>
      </c>
      <c r="AD114" t="str" cm="1">
        <f t="array" ref="AD114">IFERROR(_xlfn.IFS(
    AC114="", "",
    AC114*86400 &lt; 30, "1. 0s - &lt;30s",
    AC114*86400 &lt; 60, "2. 30s - &lt;1m",
    AC114*86400 &lt; 300, "3. 1m - &lt;5m",
    AC114*86400 &lt; 1800, "4. 5m - &lt;30m",
    TRUE, "5. &gt;= 30m"
),"6. Invalid (Order rejected)")</f>
        <v>5. &gt;= 30m</v>
      </c>
    </row>
    <row r="115" spans="1:30" hidden="1" x14ac:dyDescent="0.3">
      <c r="A115" t="s">
        <v>727</v>
      </c>
      <c r="B115" t="s">
        <v>25</v>
      </c>
      <c r="C115">
        <v>42758642</v>
      </c>
      <c r="D115">
        <v>2852976</v>
      </c>
      <c r="E115" t="s">
        <v>25</v>
      </c>
      <c r="F115" t="s">
        <v>75</v>
      </c>
      <c r="G115" t="s">
        <v>76</v>
      </c>
      <c r="H115" t="s">
        <v>728</v>
      </c>
      <c r="I115" t="s">
        <v>729</v>
      </c>
      <c r="J115" t="s">
        <v>730</v>
      </c>
      <c r="K115" t="s">
        <v>26</v>
      </c>
      <c r="L115" t="s">
        <v>731</v>
      </c>
      <c r="M115" t="s">
        <v>25</v>
      </c>
      <c r="N115" t="s">
        <v>732</v>
      </c>
      <c r="O115" t="s">
        <v>733</v>
      </c>
      <c r="P115" t="s">
        <v>734</v>
      </c>
      <c r="Q115" t="s">
        <v>735</v>
      </c>
      <c r="R115">
        <v>293652</v>
      </c>
      <c r="S115">
        <v>241039</v>
      </c>
      <c r="T115">
        <v>52613</v>
      </c>
      <c r="U115" t="s">
        <v>35</v>
      </c>
      <c r="V115" t="s">
        <v>736</v>
      </c>
      <c r="W115" t="s">
        <v>737</v>
      </c>
      <c r="X115" s="4">
        <v>1</v>
      </c>
      <c r="Y115" s="4"/>
      <c r="Z115">
        <f t="shared" si="4"/>
        <v>7</v>
      </c>
      <c r="AA115">
        <f t="shared" si="5"/>
        <v>14</v>
      </c>
      <c r="AB115" s="5">
        <f t="shared" si="6"/>
        <v>0.91087962962774327</v>
      </c>
      <c r="AC115" s="3">
        <f t="shared" si="7"/>
        <v>0.51391203703678912</v>
      </c>
      <c r="AD115" t="str" cm="1">
        <f t="array" ref="AD115">IFERROR(_xlfn.IFS(
    AC115="", "",
    AC115*86400 &lt; 30, "1. 0s - &lt;30s",
    AC115*86400 &lt; 60, "2. 30s - &lt;1m",
    AC115*86400 &lt; 300, "3. 1m - &lt;5m",
    AC115*86400 &lt; 1800, "4. 5m - &lt;30m",
    TRUE, "5. &gt;= 30m"
),"6. Invalid (Order rejected)")</f>
        <v>5. &gt;= 30m</v>
      </c>
    </row>
    <row r="116" spans="1:30" hidden="1" x14ac:dyDescent="0.3">
      <c r="A116" t="s">
        <v>738</v>
      </c>
      <c r="B116" t="s">
        <v>25</v>
      </c>
      <c r="C116">
        <v>42758642</v>
      </c>
      <c r="D116">
        <v>0</v>
      </c>
      <c r="E116" t="s">
        <v>25</v>
      </c>
      <c r="F116" t="s">
        <v>26</v>
      </c>
      <c r="G116" t="s">
        <v>27</v>
      </c>
      <c r="H116" t="s">
        <v>739</v>
      </c>
      <c r="I116" t="s">
        <v>740</v>
      </c>
      <c r="J116" t="s">
        <v>26</v>
      </c>
      <c r="K116" t="s">
        <v>26</v>
      </c>
      <c r="L116" t="s">
        <v>741</v>
      </c>
      <c r="M116" t="s">
        <v>25</v>
      </c>
      <c r="N116" t="s">
        <v>624</v>
      </c>
      <c r="O116" t="s">
        <v>625</v>
      </c>
      <c r="P116" t="s">
        <v>616</v>
      </c>
      <c r="Q116" t="s">
        <v>617</v>
      </c>
      <c r="R116">
        <v>200016</v>
      </c>
      <c r="S116">
        <v>0</v>
      </c>
      <c r="T116">
        <v>200016</v>
      </c>
      <c r="U116" t="s">
        <v>35</v>
      </c>
      <c r="V116" t="s">
        <v>626</v>
      </c>
      <c r="W116" t="s">
        <v>619</v>
      </c>
      <c r="X116" s="4">
        <v>1</v>
      </c>
      <c r="Y116" s="4"/>
      <c r="Z116">
        <f t="shared" si="4"/>
        <v>7</v>
      </c>
      <c r="AA116">
        <f t="shared" si="5"/>
        <v>14</v>
      </c>
      <c r="AB116" s="5">
        <f t="shared" si="6"/>
        <v>0.90026620370190358</v>
      </c>
      <c r="AC116" s="3">
        <f t="shared" si="7"/>
        <v>0.60459490741050104</v>
      </c>
      <c r="AD116" t="str" cm="1">
        <f t="array" ref="AD116">IFERROR(_xlfn.IFS(
    AC116="", "",
    AC116*86400 &lt; 30, "1. 0s - &lt;30s",
    AC116*86400 &lt; 60, "2. 30s - &lt;1m",
    AC116*86400 &lt; 300, "3. 1m - &lt;5m",
    AC116*86400 &lt; 1800, "4. 5m - &lt;30m",
    TRUE, "5. &gt;= 30m"
),"6. Invalid (Order rejected)")</f>
        <v>5. &gt;= 30m</v>
      </c>
    </row>
    <row r="117" spans="1:30" x14ac:dyDescent="0.3">
      <c r="A117" t="s">
        <v>742</v>
      </c>
      <c r="B117" t="s">
        <v>25</v>
      </c>
      <c r="C117">
        <v>42758642</v>
      </c>
      <c r="D117">
        <v>4129757</v>
      </c>
      <c r="E117" t="s">
        <v>25</v>
      </c>
      <c r="F117" t="s">
        <v>75</v>
      </c>
      <c r="G117" t="s">
        <v>360</v>
      </c>
      <c r="H117" t="s">
        <v>743</v>
      </c>
      <c r="I117" t="s">
        <v>744</v>
      </c>
      <c r="J117" t="s">
        <v>745</v>
      </c>
      <c r="K117" t="s">
        <v>26</v>
      </c>
      <c r="L117" t="s">
        <v>25</v>
      </c>
      <c r="M117" t="s">
        <v>25</v>
      </c>
      <c r="N117" t="s">
        <v>650</v>
      </c>
      <c r="O117" t="s">
        <v>651</v>
      </c>
      <c r="P117" t="s">
        <v>746</v>
      </c>
      <c r="Q117" t="s">
        <v>747</v>
      </c>
      <c r="R117">
        <v>166968</v>
      </c>
      <c r="S117">
        <v>129439</v>
      </c>
      <c r="T117">
        <v>37529</v>
      </c>
      <c r="U117" t="s">
        <v>35</v>
      </c>
      <c r="V117" t="s">
        <v>652</v>
      </c>
      <c r="W117" t="s">
        <v>748</v>
      </c>
      <c r="X117" s="4">
        <v>1</v>
      </c>
      <c r="Y117" s="4"/>
      <c r="Z117">
        <f t="shared" si="4"/>
        <v>7</v>
      </c>
      <c r="AA117">
        <f t="shared" si="5"/>
        <v>14</v>
      </c>
      <c r="AB117" s="5">
        <f t="shared" si="6"/>
        <v>0.90451388889050577</v>
      </c>
      <c r="AC117" s="3" t="str">
        <f t="shared" si="7"/>
        <v>Order rejected, no time available</v>
      </c>
      <c r="AD117" t="str" cm="1">
        <f t="array" ref="AD117">IFERROR(_xlfn.IFS(
    AC117="", "",
    AC117*86400 &lt; 30, "1. 0s - &lt;30s",
    AC117*86400 &lt; 60, "2. 30s - &lt;1m",
    AC117*86400 &lt; 300, "3. 1m - &lt;5m",
    AC117*86400 &lt; 1800, "4. 5m - &lt;30m",
    TRUE, "5. &gt;= 30m"
),"6. Invalid (Order rejected)")</f>
        <v>6. Invalid (Order rejected)</v>
      </c>
    </row>
    <row r="118" spans="1:30" hidden="1" x14ac:dyDescent="0.3">
      <c r="A118" t="s">
        <v>749</v>
      </c>
      <c r="B118" t="s">
        <v>25</v>
      </c>
      <c r="C118">
        <v>42758642</v>
      </c>
      <c r="D118">
        <v>3106185</v>
      </c>
      <c r="E118" t="s">
        <v>25</v>
      </c>
      <c r="F118" t="s">
        <v>75</v>
      </c>
      <c r="G118" t="s">
        <v>76</v>
      </c>
      <c r="H118" t="s">
        <v>750</v>
      </c>
      <c r="I118" t="s">
        <v>655</v>
      </c>
      <c r="J118" t="s">
        <v>751</v>
      </c>
      <c r="K118" t="s">
        <v>26</v>
      </c>
      <c r="L118" t="s">
        <v>752</v>
      </c>
      <c r="M118" t="s">
        <v>25</v>
      </c>
      <c r="N118" t="s">
        <v>753</v>
      </c>
      <c r="O118" t="s">
        <v>754</v>
      </c>
      <c r="P118" t="s">
        <v>208</v>
      </c>
      <c r="Q118" t="s">
        <v>209</v>
      </c>
      <c r="R118">
        <v>323244</v>
      </c>
      <c r="S118">
        <v>250589</v>
      </c>
      <c r="T118">
        <v>72655</v>
      </c>
      <c r="U118" t="s">
        <v>35</v>
      </c>
      <c r="V118" t="s">
        <v>755</v>
      </c>
      <c r="W118" t="s">
        <v>210</v>
      </c>
      <c r="X118" s="4">
        <v>1</v>
      </c>
      <c r="Y118" s="4"/>
      <c r="Z118">
        <f t="shared" si="4"/>
        <v>7</v>
      </c>
      <c r="AA118">
        <f t="shared" si="5"/>
        <v>14</v>
      </c>
      <c r="AB118" s="5">
        <f t="shared" si="6"/>
        <v>0.91663194444117835</v>
      </c>
      <c r="AC118" s="3">
        <f t="shared" si="7"/>
        <v>0.44732638889399823</v>
      </c>
      <c r="AD118" t="str" cm="1">
        <f t="array" ref="AD118">IFERROR(_xlfn.IFS(
    AC118="", "",
    AC118*86400 &lt; 30, "1. 0s - &lt;30s",
    AC118*86400 &lt; 60, "2. 30s - &lt;1m",
    AC118*86400 &lt; 300, "3. 1m - &lt;5m",
    AC118*86400 &lt; 1800, "4. 5m - &lt;30m",
    TRUE, "5. &gt;= 30m"
),"6. Invalid (Order rejected)")</f>
        <v>5. &gt;= 30m</v>
      </c>
    </row>
    <row r="119" spans="1:30" hidden="1" x14ac:dyDescent="0.3">
      <c r="A119" t="s">
        <v>756</v>
      </c>
      <c r="B119" t="s">
        <v>25</v>
      </c>
      <c r="C119">
        <v>42758642</v>
      </c>
      <c r="D119">
        <v>0</v>
      </c>
      <c r="E119" t="s">
        <v>25</v>
      </c>
      <c r="F119" t="s">
        <v>26</v>
      </c>
      <c r="G119" t="s">
        <v>27</v>
      </c>
      <c r="H119" t="s">
        <v>757</v>
      </c>
      <c r="I119" t="s">
        <v>758</v>
      </c>
      <c r="J119" t="s">
        <v>26</v>
      </c>
      <c r="K119" t="s">
        <v>26</v>
      </c>
      <c r="L119" t="s">
        <v>759</v>
      </c>
      <c r="M119" t="s">
        <v>25</v>
      </c>
      <c r="N119" t="s">
        <v>760</v>
      </c>
      <c r="O119" t="s">
        <v>761</v>
      </c>
      <c r="P119" t="s">
        <v>616</v>
      </c>
      <c r="Q119" t="s">
        <v>617</v>
      </c>
      <c r="R119">
        <v>246564</v>
      </c>
      <c r="S119">
        <v>0</v>
      </c>
      <c r="T119">
        <v>246564</v>
      </c>
      <c r="U119" t="s">
        <v>35</v>
      </c>
      <c r="V119" t="s">
        <v>762</v>
      </c>
      <c r="W119" t="s">
        <v>619</v>
      </c>
      <c r="X119" s="4">
        <v>1</v>
      </c>
      <c r="Y119" s="4"/>
      <c r="Z119">
        <f t="shared" si="4"/>
        <v>7</v>
      </c>
      <c r="AA119">
        <f t="shared" si="5"/>
        <v>14</v>
      </c>
      <c r="AB119" s="5">
        <f t="shared" si="6"/>
        <v>0.91843749999679858</v>
      </c>
      <c r="AC119" s="3">
        <f t="shared" si="7"/>
        <v>0.52114583333604969</v>
      </c>
      <c r="AD119" t="str" cm="1">
        <f t="array" ref="AD119">IFERROR(_xlfn.IFS(
    AC119="", "",
    AC119*86400 &lt; 30, "1. 0s - &lt;30s",
    AC119*86400 &lt; 60, "2. 30s - &lt;1m",
    AC119*86400 &lt; 300, "3. 1m - &lt;5m",
    AC119*86400 &lt; 1800, "4. 5m - &lt;30m",
    TRUE, "5. &gt;= 30m"
),"6. Invalid (Order rejected)")</f>
        <v>5. &gt;= 30m</v>
      </c>
    </row>
    <row r="120" spans="1:30" hidden="1" x14ac:dyDescent="0.3">
      <c r="A120" t="s">
        <v>763</v>
      </c>
      <c r="B120" t="s">
        <v>25</v>
      </c>
      <c r="C120">
        <v>42758642</v>
      </c>
      <c r="D120">
        <v>0</v>
      </c>
      <c r="E120" t="s">
        <v>25</v>
      </c>
      <c r="F120" t="s">
        <v>26</v>
      </c>
      <c r="G120" t="s">
        <v>27</v>
      </c>
      <c r="H120" t="s">
        <v>764</v>
      </c>
      <c r="I120" t="s">
        <v>633</v>
      </c>
      <c r="J120" t="s">
        <v>26</v>
      </c>
      <c r="K120" t="s">
        <v>26</v>
      </c>
      <c r="L120" t="s">
        <v>765</v>
      </c>
      <c r="M120" t="s">
        <v>25</v>
      </c>
      <c r="N120" t="s">
        <v>766</v>
      </c>
      <c r="O120" t="s">
        <v>767</v>
      </c>
      <c r="P120" t="s">
        <v>768</v>
      </c>
      <c r="Q120" t="s">
        <v>769</v>
      </c>
      <c r="R120">
        <v>232524</v>
      </c>
      <c r="S120">
        <v>0</v>
      </c>
      <c r="T120">
        <v>232524</v>
      </c>
      <c r="U120" t="s">
        <v>35</v>
      </c>
      <c r="V120" t="s">
        <v>770</v>
      </c>
      <c r="W120" t="s">
        <v>771</v>
      </c>
      <c r="X120" s="4">
        <v>1</v>
      </c>
      <c r="Y120" s="4"/>
      <c r="Z120">
        <f t="shared" si="4"/>
        <v>7</v>
      </c>
      <c r="AA120">
        <f t="shared" si="5"/>
        <v>14</v>
      </c>
      <c r="AB120" s="5">
        <f t="shared" si="6"/>
        <v>0.91950231481314404</v>
      </c>
      <c r="AC120" s="3">
        <f t="shared" si="7"/>
        <v>0.56244212963065365</v>
      </c>
      <c r="AD120" t="str" cm="1">
        <f t="array" ref="AD120">IFERROR(_xlfn.IFS(
    AC120="", "",
    AC120*86400 &lt; 30, "1. 0s - &lt;30s",
    AC120*86400 &lt; 60, "2. 30s - &lt;1m",
    AC120*86400 &lt; 300, "3. 1m - &lt;5m",
    AC120*86400 &lt; 1800, "4. 5m - &lt;30m",
    TRUE, "5. &gt;= 30m"
),"6. Invalid (Order rejected)")</f>
        <v>5. &gt;= 30m</v>
      </c>
    </row>
    <row r="121" spans="1:30" hidden="1" x14ac:dyDescent="0.3">
      <c r="A121" t="s">
        <v>772</v>
      </c>
      <c r="B121" t="s">
        <v>25</v>
      </c>
      <c r="C121">
        <v>42758642</v>
      </c>
      <c r="D121">
        <v>0</v>
      </c>
      <c r="E121" t="s">
        <v>25</v>
      </c>
      <c r="F121" t="s">
        <v>26</v>
      </c>
      <c r="G121" t="s">
        <v>27</v>
      </c>
      <c r="H121" t="s">
        <v>773</v>
      </c>
      <c r="I121" t="s">
        <v>774</v>
      </c>
      <c r="J121" t="s">
        <v>26</v>
      </c>
      <c r="K121" t="s">
        <v>26</v>
      </c>
      <c r="L121" t="s">
        <v>775</v>
      </c>
      <c r="M121" t="s">
        <v>25</v>
      </c>
      <c r="N121" t="s">
        <v>766</v>
      </c>
      <c r="O121" t="s">
        <v>767</v>
      </c>
      <c r="P121" t="s">
        <v>768</v>
      </c>
      <c r="Q121" t="s">
        <v>769</v>
      </c>
      <c r="R121">
        <v>221724</v>
      </c>
      <c r="S121">
        <v>0</v>
      </c>
      <c r="T121">
        <v>221724</v>
      </c>
      <c r="U121" t="s">
        <v>35</v>
      </c>
      <c r="V121" t="s">
        <v>770</v>
      </c>
      <c r="W121" t="s">
        <v>771</v>
      </c>
      <c r="X121" s="4">
        <v>1</v>
      </c>
      <c r="Y121" s="4"/>
      <c r="Z121">
        <f t="shared" si="4"/>
        <v>7</v>
      </c>
      <c r="AA121">
        <f t="shared" si="5"/>
        <v>14</v>
      </c>
      <c r="AB121" s="5">
        <f t="shared" si="6"/>
        <v>0.91966435185167938</v>
      </c>
      <c r="AC121" s="3">
        <f t="shared" si="7"/>
        <v>0.56297453703882638</v>
      </c>
      <c r="AD121" t="str" cm="1">
        <f t="array" ref="AD121">IFERROR(_xlfn.IFS(
    AC121="", "",
    AC121*86400 &lt; 30, "1. 0s - &lt;30s",
    AC121*86400 &lt; 60, "2. 30s - &lt;1m",
    AC121*86400 &lt; 300, "3. 1m - &lt;5m",
    AC121*86400 &lt; 1800, "4. 5m - &lt;30m",
    TRUE, "5. &gt;= 30m"
),"6. Invalid (Order rejected)")</f>
        <v>5. &gt;= 30m</v>
      </c>
    </row>
    <row r="122" spans="1:30" hidden="1" x14ac:dyDescent="0.3">
      <c r="A122" t="s">
        <v>776</v>
      </c>
      <c r="B122" t="s">
        <v>25</v>
      </c>
      <c r="C122">
        <v>42758642</v>
      </c>
      <c r="D122">
        <v>0</v>
      </c>
      <c r="E122" t="s">
        <v>25</v>
      </c>
      <c r="F122" t="s">
        <v>26</v>
      </c>
      <c r="G122" t="s">
        <v>27</v>
      </c>
      <c r="H122" t="s">
        <v>777</v>
      </c>
      <c r="I122" t="s">
        <v>778</v>
      </c>
      <c r="J122" t="s">
        <v>26</v>
      </c>
      <c r="K122" t="s">
        <v>26</v>
      </c>
      <c r="L122" t="s">
        <v>779</v>
      </c>
      <c r="M122" t="s">
        <v>25</v>
      </c>
      <c r="N122" t="s">
        <v>703</v>
      </c>
      <c r="O122" t="s">
        <v>704</v>
      </c>
      <c r="P122" t="s">
        <v>780</v>
      </c>
      <c r="Q122" t="s">
        <v>781</v>
      </c>
      <c r="R122">
        <v>275292</v>
      </c>
      <c r="S122">
        <v>0</v>
      </c>
      <c r="T122">
        <v>275292</v>
      </c>
      <c r="U122" t="s">
        <v>35</v>
      </c>
      <c r="V122" t="s">
        <v>705</v>
      </c>
      <c r="W122" t="s">
        <v>782</v>
      </c>
      <c r="X122" s="4">
        <v>1</v>
      </c>
      <c r="Y122" s="4"/>
      <c r="Z122">
        <f t="shared" si="4"/>
        <v>7</v>
      </c>
      <c r="AA122">
        <f t="shared" si="5"/>
        <v>14</v>
      </c>
      <c r="AB122" s="5">
        <f t="shared" si="6"/>
        <v>0.91182870370539604</v>
      </c>
      <c r="AC122" s="3">
        <f t="shared" si="7"/>
        <v>0.52674768518045312</v>
      </c>
      <c r="AD122" t="str" cm="1">
        <f t="array" ref="AD122">IFERROR(_xlfn.IFS(
    AC122="", "",
    AC122*86400 &lt; 30, "1. 0s - &lt;30s",
    AC122*86400 &lt; 60, "2. 30s - &lt;1m",
    AC122*86400 &lt; 300, "3. 1m - &lt;5m",
    AC122*86400 &lt; 1800, "4. 5m - &lt;30m",
    TRUE, "5. &gt;= 30m"
),"6. Invalid (Order rejected)")</f>
        <v>5. &gt;= 30m</v>
      </c>
    </row>
    <row r="123" spans="1:30" hidden="1" x14ac:dyDescent="0.3">
      <c r="A123" t="s">
        <v>783</v>
      </c>
      <c r="B123" t="s">
        <v>25</v>
      </c>
      <c r="C123">
        <v>42758642</v>
      </c>
      <c r="D123">
        <v>0</v>
      </c>
      <c r="E123" t="s">
        <v>25</v>
      </c>
      <c r="F123" t="s">
        <v>26</v>
      </c>
      <c r="G123" t="s">
        <v>27</v>
      </c>
      <c r="H123" t="s">
        <v>784</v>
      </c>
      <c r="I123" t="s">
        <v>785</v>
      </c>
      <c r="J123" t="s">
        <v>26</v>
      </c>
      <c r="K123" t="s">
        <v>26</v>
      </c>
      <c r="L123" t="s">
        <v>786</v>
      </c>
      <c r="M123" t="s">
        <v>25</v>
      </c>
      <c r="N123" t="s">
        <v>753</v>
      </c>
      <c r="O123" t="s">
        <v>754</v>
      </c>
      <c r="P123" t="s">
        <v>317</v>
      </c>
      <c r="Q123" t="s">
        <v>318</v>
      </c>
      <c r="R123">
        <v>196776</v>
      </c>
      <c r="S123">
        <v>0</v>
      </c>
      <c r="T123">
        <v>196776</v>
      </c>
      <c r="U123" t="s">
        <v>35</v>
      </c>
      <c r="V123" t="s">
        <v>755</v>
      </c>
      <c r="W123" t="s">
        <v>319</v>
      </c>
      <c r="X123" s="4">
        <v>1</v>
      </c>
      <c r="Y123" s="4"/>
      <c r="Z123">
        <f t="shared" si="4"/>
        <v>7</v>
      </c>
      <c r="AA123">
        <f t="shared" si="5"/>
        <v>14</v>
      </c>
      <c r="AB123" s="5">
        <f t="shared" si="6"/>
        <v>0.91774305555736646</v>
      </c>
      <c r="AC123" s="3">
        <f t="shared" si="7"/>
        <v>0.52114583332877373</v>
      </c>
      <c r="AD123" t="str" cm="1">
        <f t="array" ref="AD123">IFERROR(_xlfn.IFS(
    AC123="", "",
    AC123*86400 &lt; 30, "1. 0s - &lt;30s",
    AC123*86400 &lt; 60, "2. 30s - &lt;1m",
    AC123*86400 &lt; 300, "3. 1m - &lt;5m",
    AC123*86400 &lt; 1800, "4. 5m - &lt;30m",
    TRUE, "5. &gt;= 30m"
),"6. Invalid (Order rejected)")</f>
        <v>5. &gt;= 30m</v>
      </c>
    </row>
    <row r="124" spans="1:30" hidden="1" x14ac:dyDescent="0.3">
      <c r="A124" t="s">
        <v>787</v>
      </c>
      <c r="B124" t="s">
        <v>25</v>
      </c>
      <c r="C124">
        <v>42758642</v>
      </c>
      <c r="D124">
        <v>0</v>
      </c>
      <c r="E124" t="s">
        <v>25</v>
      </c>
      <c r="F124" t="s">
        <v>26</v>
      </c>
      <c r="G124" t="s">
        <v>27</v>
      </c>
      <c r="H124" t="s">
        <v>788</v>
      </c>
      <c r="I124" t="s">
        <v>789</v>
      </c>
      <c r="J124" t="s">
        <v>26</v>
      </c>
      <c r="K124" t="s">
        <v>26</v>
      </c>
      <c r="L124" t="s">
        <v>790</v>
      </c>
      <c r="M124" t="s">
        <v>25</v>
      </c>
      <c r="N124" t="s">
        <v>791</v>
      </c>
      <c r="O124" t="s">
        <v>792</v>
      </c>
      <c r="P124" t="s">
        <v>263</v>
      </c>
      <c r="Q124" t="s">
        <v>264</v>
      </c>
      <c r="R124">
        <v>111996</v>
      </c>
      <c r="S124">
        <v>0</v>
      </c>
      <c r="T124">
        <v>111996</v>
      </c>
      <c r="U124" t="s">
        <v>35</v>
      </c>
      <c r="V124" t="s">
        <v>793</v>
      </c>
      <c r="W124" t="s">
        <v>266</v>
      </c>
      <c r="X124" s="4">
        <v>1</v>
      </c>
      <c r="Y124" s="4"/>
      <c r="Z124">
        <f t="shared" si="4"/>
        <v>7</v>
      </c>
      <c r="AA124">
        <f t="shared" si="5"/>
        <v>14</v>
      </c>
      <c r="AB124" s="5">
        <f t="shared" si="6"/>
        <v>0.92270833333168412</v>
      </c>
      <c r="AC124" s="3">
        <f t="shared" si="7"/>
        <v>0.52104166666686069</v>
      </c>
      <c r="AD124" t="str" cm="1">
        <f t="array" ref="AD124">IFERROR(_xlfn.IFS(
    AC124="", "",
    AC124*86400 &lt; 30, "1. 0s - &lt;30s",
    AC124*86400 &lt; 60, "2. 30s - &lt;1m",
    AC124*86400 &lt; 300, "3. 1m - &lt;5m",
    AC124*86400 &lt; 1800, "4. 5m - &lt;30m",
    TRUE, "5. &gt;= 30m"
),"6. Invalid (Order rejected)")</f>
        <v>5. &gt;= 30m</v>
      </c>
    </row>
    <row r="125" spans="1:30" hidden="1" x14ac:dyDescent="0.3">
      <c r="A125" t="s">
        <v>794</v>
      </c>
      <c r="B125" t="s">
        <v>25</v>
      </c>
      <c r="C125">
        <v>42758642</v>
      </c>
      <c r="D125">
        <v>0</v>
      </c>
      <c r="E125" t="s">
        <v>25</v>
      </c>
      <c r="F125" t="s">
        <v>26</v>
      </c>
      <c r="G125" t="s">
        <v>27</v>
      </c>
      <c r="H125" t="s">
        <v>795</v>
      </c>
      <c r="I125" t="s">
        <v>796</v>
      </c>
      <c r="J125" t="s">
        <v>26</v>
      </c>
      <c r="K125" t="s">
        <v>26</v>
      </c>
      <c r="L125" t="s">
        <v>797</v>
      </c>
      <c r="M125" t="s">
        <v>25</v>
      </c>
      <c r="N125" t="s">
        <v>798</v>
      </c>
      <c r="O125" t="s">
        <v>799</v>
      </c>
      <c r="P125" t="s">
        <v>800</v>
      </c>
      <c r="Q125" t="s">
        <v>801</v>
      </c>
      <c r="R125">
        <v>248292</v>
      </c>
      <c r="S125">
        <v>0</v>
      </c>
      <c r="T125">
        <v>248292</v>
      </c>
      <c r="U125" t="s">
        <v>35</v>
      </c>
      <c r="V125" t="s">
        <v>802</v>
      </c>
      <c r="W125" t="s">
        <v>803</v>
      </c>
      <c r="X125" s="4">
        <v>1</v>
      </c>
      <c r="Y125" s="4"/>
      <c r="Z125">
        <f t="shared" si="4"/>
        <v>7</v>
      </c>
      <c r="AA125">
        <f t="shared" si="5"/>
        <v>14</v>
      </c>
      <c r="AB125" s="5">
        <f t="shared" si="6"/>
        <v>0.90295138888905058</v>
      </c>
      <c r="AC125" s="3">
        <f t="shared" si="7"/>
        <v>0.56302083333139308</v>
      </c>
      <c r="AD125" t="str" cm="1">
        <f t="array" ref="AD125">IFERROR(_xlfn.IFS(
    AC125="", "",
    AC125*86400 &lt; 30, "1. 0s - &lt;30s",
    AC125*86400 &lt; 60, "2. 30s - &lt;1m",
    AC125*86400 &lt; 300, "3. 1m - &lt;5m",
    AC125*86400 &lt; 1800, "4. 5m - &lt;30m",
    TRUE, "5. &gt;= 30m"
),"6. Invalid (Order rejected)")</f>
        <v>5. &gt;= 30m</v>
      </c>
    </row>
    <row r="126" spans="1:30" hidden="1" x14ac:dyDescent="0.3">
      <c r="A126" t="s">
        <v>804</v>
      </c>
      <c r="B126" t="s">
        <v>25</v>
      </c>
      <c r="C126">
        <v>42758642</v>
      </c>
      <c r="D126">
        <v>0</v>
      </c>
      <c r="E126" t="s">
        <v>25</v>
      </c>
      <c r="F126" t="s">
        <v>26</v>
      </c>
      <c r="G126" t="s">
        <v>27</v>
      </c>
      <c r="H126" t="s">
        <v>805</v>
      </c>
      <c r="I126" t="s">
        <v>714</v>
      </c>
      <c r="J126" t="s">
        <v>26</v>
      </c>
      <c r="K126" t="s">
        <v>26</v>
      </c>
      <c r="L126" t="s">
        <v>715</v>
      </c>
      <c r="M126" t="s">
        <v>25</v>
      </c>
      <c r="N126" t="s">
        <v>650</v>
      </c>
      <c r="O126" t="s">
        <v>651</v>
      </c>
      <c r="P126" t="s">
        <v>806</v>
      </c>
      <c r="Q126" t="s">
        <v>807</v>
      </c>
      <c r="R126">
        <v>244512</v>
      </c>
      <c r="S126">
        <v>0</v>
      </c>
      <c r="T126">
        <v>244512</v>
      </c>
      <c r="U126" t="s">
        <v>35</v>
      </c>
      <c r="V126" t="s">
        <v>652</v>
      </c>
      <c r="W126" t="s">
        <v>808</v>
      </c>
      <c r="X126" s="4">
        <v>1</v>
      </c>
      <c r="Y126" s="4"/>
      <c r="Z126">
        <f t="shared" si="4"/>
        <v>7</v>
      </c>
      <c r="AA126">
        <f t="shared" si="5"/>
        <v>14</v>
      </c>
      <c r="AB126" s="5">
        <f t="shared" si="6"/>
        <v>0.90429398148262408</v>
      </c>
      <c r="AC126" s="3">
        <f t="shared" si="7"/>
        <v>0.56306712963123573</v>
      </c>
      <c r="AD126" t="str" cm="1">
        <f t="array" ref="AD126">IFERROR(_xlfn.IFS(
    AC126="", "",
    AC126*86400 &lt; 30, "1. 0s - &lt;30s",
    AC126*86400 &lt; 60, "2. 30s - &lt;1m",
    AC126*86400 &lt; 300, "3. 1m - &lt;5m",
    AC126*86400 &lt; 1800, "4. 5m - &lt;30m",
    TRUE, "5. &gt;= 30m"
),"6. Invalid (Order rejected)")</f>
        <v>5. &gt;= 30m</v>
      </c>
    </row>
    <row r="127" spans="1:30" x14ac:dyDescent="0.3">
      <c r="A127" t="s">
        <v>809</v>
      </c>
      <c r="B127" t="s">
        <v>25</v>
      </c>
      <c r="C127">
        <v>42758642</v>
      </c>
      <c r="D127">
        <v>4442556</v>
      </c>
      <c r="E127" t="s">
        <v>25</v>
      </c>
      <c r="F127" t="s">
        <v>75</v>
      </c>
      <c r="G127" t="s">
        <v>360</v>
      </c>
      <c r="H127" t="s">
        <v>810</v>
      </c>
      <c r="I127" t="s">
        <v>811</v>
      </c>
      <c r="J127" t="s">
        <v>812</v>
      </c>
      <c r="K127" t="s">
        <v>26</v>
      </c>
      <c r="L127" t="s">
        <v>25</v>
      </c>
      <c r="M127" t="s">
        <v>25</v>
      </c>
      <c r="N127" t="s">
        <v>679</v>
      </c>
      <c r="O127" t="s">
        <v>680</v>
      </c>
      <c r="P127" t="s">
        <v>813</v>
      </c>
      <c r="Q127" t="s">
        <v>814</v>
      </c>
      <c r="R127">
        <v>211788</v>
      </c>
      <c r="S127">
        <v>164185</v>
      </c>
      <c r="T127">
        <v>47603</v>
      </c>
      <c r="U127" t="s">
        <v>35</v>
      </c>
      <c r="V127" t="s">
        <v>683</v>
      </c>
      <c r="W127" t="s">
        <v>815</v>
      </c>
      <c r="X127" s="4">
        <v>1</v>
      </c>
      <c r="Y127" s="4"/>
      <c r="Z127">
        <f t="shared" si="4"/>
        <v>7</v>
      </c>
      <c r="AA127">
        <f t="shared" si="5"/>
        <v>14</v>
      </c>
      <c r="AB127" s="5">
        <f t="shared" si="6"/>
        <v>0.90736111110891216</v>
      </c>
      <c r="AC127" s="3" t="str">
        <f t="shared" si="7"/>
        <v>Order rejected, no time available</v>
      </c>
      <c r="AD127" t="str" cm="1">
        <f t="array" ref="AD127">IFERROR(_xlfn.IFS(
    AC127="", "",
    AC127*86400 &lt; 30, "1. 0s - &lt;30s",
    AC127*86400 &lt; 60, "2. 30s - &lt;1m",
    AC127*86400 &lt; 300, "3. 1m - &lt;5m",
    AC127*86400 &lt; 1800, "4. 5m - &lt;30m",
    TRUE, "5. &gt;= 30m"
),"6. Invalid (Order rejected)")</f>
        <v>6. Invalid (Order rejected)</v>
      </c>
    </row>
    <row r="128" spans="1:30" hidden="1" x14ac:dyDescent="0.3">
      <c r="A128" t="s">
        <v>816</v>
      </c>
      <c r="B128" t="s">
        <v>25</v>
      </c>
      <c r="C128">
        <v>42758642</v>
      </c>
      <c r="D128">
        <v>0</v>
      </c>
      <c r="E128" t="s">
        <v>25</v>
      </c>
      <c r="F128" t="s">
        <v>26</v>
      </c>
      <c r="G128" t="s">
        <v>27</v>
      </c>
      <c r="H128" t="s">
        <v>817</v>
      </c>
      <c r="I128" t="s">
        <v>818</v>
      </c>
      <c r="J128" t="s">
        <v>26</v>
      </c>
      <c r="K128" t="s">
        <v>26</v>
      </c>
      <c r="L128" t="s">
        <v>819</v>
      </c>
      <c r="M128" t="s">
        <v>25</v>
      </c>
      <c r="N128" t="s">
        <v>732</v>
      </c>
      <c r="O128" t="s">
        <v>733</v>
      </c>
      <c r="P128" t="s">
        <v>820</v>
      </c>
      <c r="Q128" t="s">
        <v>821</v>
      </c>
      <c r="R128">
        <v>208980</v>
      </c>
      <c r="S128">
        <v>0</v>
      </c>
      <c r="T128">
        <v>208980</v>
      </c>
      <c r="U128" t="s">
        <v>35</v>
      </c>
      <c r="V128" t="s">
        <v>736</v>
      </c>
      <c r="W128" t="s">
        <v>822</v>
      </c>
      <c r="X128" s="4">
        <v>1</v>
      </c>
      <c r="Y128" s="4"/>
      <c r="Z128">
        <f t="shared" si="4"/>
        <v>7</v>
      </c>
      <c r="AA128">
        <f t="shared" si="5"/>
        <v>14</v>
      </c>
      <c r="AB128" s="5">
        <f t="shared" si="6"/>
        <v>0.91047453703504289</v>
      </c>
      <c r="AC128" s="3">
        <f t="shared" si="7"/>
        <v>0.56244212963065365</v>
      </c>
      <c r="AD128" t="str" cm="1">
        <f t="array" ref="AD128">IFERROR(_xlfn.IFS(
    AC128="", "",
    AC128*86400 &lt; 30, "1. 0s - &lt;30s",
    AC128*86400 &lt; 60, "2. 30s - &lt;1m",
    AC128*86400 &lt; 300, "3. 1m - &lt;5m",
    AC128*86400 &lt; 1800, "4. 5m - &lt;30m",
    TRUE, "5. &gt;= 30m"
),"6. Invalid (Order rejected)")</f>
        <v>5. &gt;= 30m</v>
      </c>
    </row>
    <row r="129" spans="1:30" x14ac:dyDescent="0.3">
      <c r="A129" t="s">
        <v>823</v>
      </c>
      <c r="B129" t="s">
        <v>25</v>
      </c>
      <c r="C129">
        <v>42758642</v>
      </c>
      <c r="D129">
        <v>3443850</v>
      </c>
      <c r="E129" t="s">
        <v>25</v>
      </c>
      <c r="F129" t="s">
        <v>75</v>
      </c>
      <c r="G129" t="s">
        <v>360</v>
      </c>
      <c r="H129" t="s">
        <v>824</v>
      </c>
      <c r="I129" t="s">
        <v>825</v>
      </c>
      <c r="J129" t="s">
        <v>826</v>
      </c>
      <c r="K129" t="s">
        <v>26</v>
      </c>
      <c r="L129" t="s">
        <v>25</v>
      </c>
      <c r="M129" t="s">
        <v>25</v>
      </c>
      <c r="N129" t="s">
        <v>827</v>
      </c>
      <c r="O129" t="s">
        <v>828</v>
      </c>
      <c r="P129" t="s">
        <v>237</v>
      </c>
      <c r="Q129" t="s">
        <v>238</v>
      </c>
      <c r="R129">
        <v>228096</v>
      </c>
      <c r="S129">
        <v>176827</v>
      </c>
      <c r="T129">
        <v>51269</v>
      </c>
      <c r="U129" t="s">
        <v>35</v>
      </c>
      <c r="V129" t="s">
        <v>829</v>
      </c>
      <c r="W129" t="s">
        <v>239</v>
      </c>
      <c r="X129" s="4">
        <v>1</v>
      </c>
      <c r="Y129" s="4"/>
      <c r="Z129">
        <f t="shared" si="4"/>
        <v>7</v>
      </c>
      <c r="AA129">
        <f t="shared" si="5"/>
        <v>14</v>
      </c>
      <c r="AB129" s="5">
        <f t="shared" si="6"/>
        <v>0.91592592592496658</v>
      </c>
      <c r="AC129" s="3" t="str">
        <f t="shared" si="7"/>
        <v>Order rejected, no time available</v>
      </c>
      <c r="AD129" t="str" cm="1">
        <f t="array" ref="AD129">IFERROR(_xlfn.IFS(
    AC129="", "",
    AC129*86400 &lt; 30, "1. 0s - &lt;30s",
    AC129*86400 &lt; 60, "2. 30s - &lt;1m",
    AC129*86400 &lt; 300, "3. 1m - &lt;5m",
    AC129*86400 &lt; 1800, "4. 5m - &lt;30m",
    TRUE, "5. &gt;= 30m"
),"6. Invalid (Order rejected)")</f>
        <v>6. Invalid (Order rejected)</v>
      </c>
    </row>
    <row r="130" spans="1:30" hidden="1" x14ac:dyDescent="0.3">
      <c r="A130" t="s">
        <v>830</v>
      </c>
      <c r="B130" t="s">
        <v>25</v>
      </c>
      <c r="C130">
        <v>42758642</v>
      </c>
      <c r="D130">
        <v>0</v>
      </c>
      <c r="E130" t="s">
        <v>25</v>
      </c>
      <c r="F130" t="s">
        <v>26</v>
      </c>
      <c r="G130" t="s">
        <v>27</v>
      </c>
      <c r="H130" t="s">
        <v>831</v>
      </c>
      <c r="I130" t="s">
        <v>597</v>
      </c>
      <c r="J130" t="s">
        <v>26</v>
      </c>
      <c r="K130" t="s">
        <v>26</v>
      </c>
      <c r="L130" t="s">
        <v>832</v>
      </c>
      <c r="M130" t="s">
        <v>25</v>
      </c>
      <c r="N130" t="s">
        <v>693</v>
      </c>
      <c r="O130" t="s">
        <v>694</v>
      </c>
      <c r="P130" t="s">
        <v>833</v>
      </c>
      <c r="Q130" t="s">
        <v>834</v>
      </c>
      <c r="R130">
        <v>172584</v>
      </c>
      <c r="S130">
        <v>0</v>
      </c>
      <c r="T130">
        <v>172584</v>
      </c>
      <c r="U130" t="s">
        <v>35</v>
      </c>
      <c r="V130" t="s">
        <v>697</v>
      </c>
      <c r="W130" t="s">
        <v>835</v>
      </c>
      <c r="X130" s="4">
        <v>1</v>
      </c>
      <c r="Y130" s="4"/>
      <c r="Z130">
        <f t="shared" si="4"/>
        <v>7</v>
      </c>
      <c r="AA130">
        <f t="shared" si="5"/>
        <v>14</v>
      </c>
      <c r="AB130" s="5">
        <f t="shared" si="6"/>
        <v>0.90795138888643123</v>
      </c>
      <c r="AC130" s="3">
        <f t="shared" si="7"/>
        <v>0.55108796296553919</v>
      </c>
      <c r="AD130" t="str" cm="1">
        <f t="array" ref="AD130">IFERROR(_xlfn.IFS(
    AC130="", "",
    AC130*86400 &lt; 30, "1. 0s - &lt;30s",
    AC130*86400 &lt; 60, "2. 30s - &lt;1m",
    AC130*86400 &lt; 300, "3. 1m - &lt;5m",
    AC130*86400 &lt; 1800, "4. 5m - &lt;30m",
    TRUE, "5. &gt;= 30m"
),"6. Invalid (Order rejected)")</f>
        <v>5. &gt;= 30m</v>
      </c>
    </row>
    <row r="131" spans="1:30" hidden="1" x14ac:dyDescent="0.3">
      <c r="A131" t="s">
        <v>836</v>
      </c>
      <c r="B131" t="s">
        <v>25</v>
      </c>
      <c r="C131">
        <v>42758642</v>
      </c>
      <c r="D131">
        <v>0</v>
      </c>
      <c r="E131" t="s">
        <v>25</v>
      </c>
      <c r="F131" t="s">
        <v>26</v>
      </c>
      <c r="G131" t="s">
        <v>27</v>
      </c>
      <c r="H131" t="s">
        <v>837</v>
      </c>
      <c r="I131" t="s">
        <v>612</v>
      </c>
      <c r="J131" t="s">
        <v>26</v>
      </c>
      <c r="K131" t="s">
        <v>26</v>
      </c>
      <c r="L131" t="s">
        <v>613</v>
      </c>
      <c r="M131" t="s">
        <v>25</v>
      </c>
      <c r="N131" t="s">
        <v>732</v>
      </c>
      <c r="O131" t="s">
        <v>733</v>
      </c>
      <c r="P131" t="s">
        <v>838</v>
      </c>
      <c r="Q131" t="s">
        <v>839</v>
      </c>
      <c r="R131">
        <v>195372</v>
      </c>
      <c r="S131">
        <v>0</v>
      </c>
      <c r="T131">
        <v>195372</v>
      </c>
      <c r="U131" t="s">
        <v>35</v>
      </c>
      <c r="V131" t="s">
        <v>736</v>
      </c>
      <c r="W131" t="s">
        <v>840</v>
      </c>
      <c r="X131" s="4">
        <v>1</v>
      </c>
      <c r="Y131" s="4"/>
      <c r="Z131">
        <f t="shared" ref="Z131:Z194" si="8">MONTH(H131)</f>
        <v>7</v>
      </c>
      <c r="AA131">
        <f t="shared" ref="AA131:AA194" si="9">DAY(H131)</f>
        <v>14</v>
      </c>
      <c r="AB131" s="5">
        <f t="shared" ref="AB131:AB194" si="10">MOD(H131, 1)</f>
        <v>0.90947916666482342</v>
      </c>
      <c r="AC131" s="3">
        <f t="shared" ref="AC131:AC194" si="11">IFERROR(IF(M131="",L131-H131,M131-H131),"Order rejected, no time available")</f>
        <v>0.55232638888992369</v>
      </c>
      <c r="AD131" t="str" cm="1">
        <f t="array" ref="AD131">IFERROR(_xlfn.IFS(
    AC131="", "",
    AC131*86400 &lt; 30, "1. 0s - &lt;30s",
    AC131*86400 &lt; 60, "2. 30s - &lt;1m",
    AC131*86400 &lt; 300, "3. 1m - &lt;5m",
    AC131*86400 &lt; 1800, "4. 5m - &lt;30m",
    TRUE, "5. &gt;= 30m"
),"6. Invalid (Order rejected)")</f>
        <v>5. &gt;= 30m</v>
      </c>
    </row>
    <row r="132" spans="1:30" hidden="1" x14ac:dyDescent="0.3">
      <c r="A132" t="s">
        <v>841</v>
      </c>
      <c r="B132" t="s">
        <v>25</v>
      </c>
      <c r="C132">
        <v>42758642</v>
      </c>
      <c r="D132">
        <v>0</v>
      </c>
      <c r="E132" t="s">
        <v>25</v>
      </c>
      <c r="F132" t="s">
        <v>26</v>
      </c>
      <c r="G132" t="s">
        <v>27</v>
      </c>
      <c r="H132" t="s">
        <v>842</v>
      </c>
      <c r="I132" t="s">
        <v>672</v>
      </c>
      <c r="J132" t="s">
        <v>26</v>
      </c>
      <c r="K132" t="s">
        <v>26</v>
      </c>
      <c r="L132" t="s">
        <v>843</v>
      </c>
      <c r="M132" t="s">
        <v>25</v>
      </c>
      <c r="N132" t="s">
        <v>827</v>
      </c>
      <c r="O132" t="s">
        <v>828</v>
      </c>
      <c r="P132" t="s">
        <v>351</v>
      </c>
      <c r="Q132" t="s">
        <v>352</v>
      </c>
      <c r="R132">
        <v>290844</v>
      </c>
      <c r="S132">
        <v>0</v>
      </c>
      <c r="T132">
        <v>290844</v>
      </c>
      <c r="U132" t="s">
        <v>35</v>
      </c>
      <c r="V132" t="s">
        <v>829</v>
      </c>
      <c r="W132" t="s">
        <v>354</v>
      </c>
      <c r="X132" s="4">
        <v>1</v>
      </c>
      <c r="Y132" s="4"/>
      <c r="Z132">
        <f t="shared" si="8"/>
        <v>7</v>
      </c>
      <c r="AA132">
        <f t="shared" si="9"/>
        <v>14</v>
      </c>
      <c r="AB132" s="5">
        <f t="shared" si="10"/>
        <v>0.91506944444699911</v>
      </c>
      <c r="AC132" s="3">
        <f t="shared" si="11"/>
        <v>0.54881944444059627</v>
      </c>
      <c r="AD132" t="str" cm="1">
        <f t="array" ref="AD132">IFERROR(_xlfn.IFS(
    AC132="", "",
    AC132*86400 &lt; 30, "1. 0s - &lt;30s",
    AC132*86400 &lt; 60, "2. 30s - &lt;1m",
    AC132*86400 &lt; 300, "3. 1m - &lt;5m",
    AC132*86400 &lt; 1800, "4. 5m - &lt;30m",
    TRUE, "5. &gt;= 30m"
),"6. Invalid (Order rejected)")</f>
        <v>5. &gt;= 30m</v>
      </c>
    </row>
    <row r="133" spans="1:30" hidden="1" x14ac:dyDescent="0.3">
      <c r="A133" t="s">
        <v>844</v>
      </c>
      <c r="B133" t="s">
        <v>25</v>
      </c>
      <c r="C133">
        <v>42758642</v>
      </c>
      <c r="D133">
        <v>0</v>
      </c>
      <c r="E133" t="s">
        <v>25</v>
      </c>
      <c r="F133" t="s">
        <v>26</v>
      </c>
      <c r="G133" t="s">
        <v>27</v>
      </c>
      <c r="H133" t="s">
        <v>845</v>
      </c>
      <c r="I133" t="s">
        <v>846</v>
      </c>
      <c r="J133" t="s">
        <v>26</v>
      </c>
      <c r="K133" t="s">
        <v>26</v>
      </c>
      <c r="L133" t="s">
        <v>847</v>
      </c>
      <c r="M133" t="s">
        <v>25</v>
      </c>
      <c r="N133" t="s">
        <v>753</v>
      </c>
      <c r="O133" t="s">
        <v>754</v>
      </c>
      <c r="P133" t="s">
        <v>317</v>
      </c>
      <c r="Q133" t="s">
        <v>318</v>
      </c>
      <c r="R133">
        <v>243324</v>
      </c>
      <c r="S133">
        <v>0</v>
      </c>
      <c r="T133">
        <v>243324</v>
      </c>
      <c r="U133" t="s">
        <v>35</v>
      </c>
      <c r="V133" t="s">
        <v>755</v>
      </c>
      <c r="W133" t="s">
        <v>319</v>
      </c>
      <c r="X133" s="4">
        <v>1</v>
      </c>
      <c r="Y133" s="4"/>
      <c r="Z133">
        <f t="shared" si="8"/>
        <v>7</v>
      </c>
      <c r="AA133">
        <f t="shared" si="9"/>
        <v>14</v>
      </c>
      <c r="AB133" s="5">
        <f t="shared" si="10"/>
        <v>0.91737268518772908</v>
      </c>
      <c r="AC133" s="3">
        <f t="shared" si="11"/>
        <v>0.520821759258979</v>
      </c>
      <c r="AD133" t="str" cm="1">
        <f t="array" ref="AD133">IFERROR(_xlfn.IFS(
    AC133="", "",
    AC133*86400 &lt; 30, "1. 0s - &lt;30s",
    AC133*86400 &lt; 60, "2. 30s - &lt;1m",
    AC133*86400 &lt; 300, "3. 1m - &lt;5m",
    AC133*86400 &lt; 1800, "4. 5m - &lt;30m",
    TRUE, "5. &gt;= 30m"
),"6. Invalid (Order rejected)")</f>
        <v>5. &gt;= 30m</v>
      </c>
    </row>
    <row r="134" spans="1:30" x14ac:dyDescent="0.3">
      <c r="A134" t="s">
        <v>848</v>
      </c>
      <c r="B134" t="s">
        <v>25</v>
      </c>
      <c r="C134">
        <v>42758642</v>
      </c>
      <c r="D134">
        <v>4629882</v>
      </c>
      <c r="E134" t="s">
        <v>25</v>
      </c>
      <c r="F134" t="s">
        <v>75</v>
      </c>
      <c r="G134" t="s">
        <v>360</v>
      </c>
      <c r="H134" t="s">
        <v>849</v>
      </c>
      <c r="I134" t="s">
        <v>789</v>
      </c>
      <c r="J134" t="s">
        <v>850</v>
      </c>
      <c r="K134" t="s">
        <v>26</v>
      </c>
      <c r="L134" t="s">
        <v>25</v>
      </c>
      <c r="M134" t="s">
        <v>25</v>
      </c>
      <c r="N134" t="s">
        <v>791</v>
      </c>
      <c r="O134" t="s">
        <v>792</v>
      </c>
      <c r="P134" t="s">
        <v>263</v>
      </c>
      <c r="Q134" t="s">
        <v>264</v>
      </c>
      <c r="R134">
        <v>141696</v>
      </c>
      <c r="S134">
        <v>109847</v>
      </c>
      <c r="T134">
        <v>31849</v>
      </c>
      <c r="U134" t="s">
        <v>35</v>
      </c>
      <c r="V134" t="s">
        <v>793</v>
      </c>
      <c r="W134" t="s">
        <v>266</v>
      </c>
      <c r="X134" s="4">
        <v>1</v>
      </c>
      <c r="Y134" s="4"/>
      <c r="Z134">
        <f t="shared" si="8"/>
        <v>7</v>
      </c>
      <c r="AA134">
        <f t="shared" si="9"/>
        <v>14</v>
      </c>
      <c r="AB134" s="5">
        <f t="shared" si="10"/>
        <v>0.92295138888584916</v>
      </c>
      <c r="AC134" s="3" t="str">
        <f t="shared" si="11"/>
        <v>Order rejected, no time available</v>
      </c>
      <c r="AD134" t="str" cm="1">
        <f t="array" ref="AD134">IFERROR(_xlfn.IFS(
    AC134="", "",
    AC134*86400 &lt; 30, "1. 0s - &lt;30s",
    AC134*86400 &lt; 60, "2. 30s - &lt;1m",
    AC134*86400 &lt; 300, "3. 1m - &lt;5m",
    AC134*86400 &lt; 1800, "4. 5m - &lt;30m",
    TRUE, "5. &gt;= 30m"
),"6. Invalid (Order rejected)")</f>
        <v>6. Invalid (Order rejected)</v>
      </c>
    </row>
    <row r="135" spans="1:30" hidden="1" x14ac:dyDescent="0.3">
      <c r="A135" t="s">
        <v>851</v>
      </c>
      <c r="B135" t="s">
        <v>25</v>
      </c>
      <c r="C135">
        <v>42758642</v>
      </c>
      <c r="D135">
        <v>0</v>
      </c>
      <c r="E135" t="s">
        <v>25</v>
      </c>
      <c r="F135" t="s">
        <v>26</v>
      </c>
      <c r="G135" t="s">
        <v>27</v>
      </c>
      <c r="H135" t="s">
        <v>852</v>
      </c>
      <c r="I135" t="s">
        <v>853</v>
      </c>
      <c r="J135" t="s">
        <v>26</v>
      </c>
      <c r="K135" t="s">
        <v>26</v>
      </c>
      <c r="L135" t="s">
        <v>854</v>
      </c>
      <c r="M135" t="s">
        <v>25</v>
      </c>
      <c r="N135" t="s">
        <v>855</v>
      </c>
      <c r="O135" t="s">
        <v>856</v>
      </c>
      <c r="P135" t="s">
        <v>857</v>
      </c>
      <c r="Q135" t="s">
        <v>858</v>
      </c>
      <c r="R135">
        <v>142452</v>
      </c>
      <c r="S135">
        <v>0</v>
      </c>
      <c r="T135">
        <v>142452</v>
      </c>
      <c r="U135" t="s">
        <v>35</v>
      </c>
      <c r="V135" t="s">
        <v>859</v>
      </c>
      <c r="W135" t="s">
        <v>860</v>
      </c>
      <c r="X135" s="4">
        <v>1</v>
      </c>
      <c r="Y135" s="4"/>
      <c r="Z135">
        <f t="shared" si="8"/>
        <v>7</v>
      </c>
      <c r="AA135">
        <f t="shared" si="9"/>
        <v>14</v>
      </c>
      <c r="AB135" s="5">
        <f t="shared" si="10"/>
        <v>0.924386574071832</v>
      </c>
      <c r="AC135" s="3">
        <f t="shared" si="11"/>
        <v>0.56241898148437031</v>
      </c>
      <c r="AD135" t="str" cm="1">
        <f t="array" ref="AD135">IFERROR(_xlfn.IFS(
    AC135="", "",
    AC135*86400 &lt; 30, "1. 0s - &lt;30s",
    AC135*86400 &lt; 60, "2. 30s - &lt;1m",
    AC135*86400 &lt; 300, "3. 1m - &lt;5m",
    AC135*86400 &lt; 1800, "4. 5m - &lt;30m",
    TRUE, "5. &gt;= 30m"
),"6. Invalid (Order rejected)")</f>
        <v>5. &gt;= 30m</v>
      </c>
    </row>
    <row r="136" spans="1:30" hidden="1" x14ac:dyDescent="0.3">
      <c r="A136" t="s">
        <v>861</v>
      </c>
      <c r="B136" t="s">
        <v>25</v>
      </c>
      <c r="C136">
        <v>42758642</v>
      </c>
      <c r="D136">
        <v>0</v>
      </c>
      <c r="E136" t="s">
        <v>25</v>
      </c>
      <c r="F136" t="s">
        <v>26</v>
      </c>
      <c r="G136" t="s">
        <v>27</v>
      </c>
      <c r="H136" t="s">
        <v>862</v>
      </c>
      <c r="I136" t="s">
        <v>863</v>
      </c>
      <c r="J136" t="s">
        <v>26</v>
      </c>
      <c r="K136" t="s">
        <v>26</v>
      </c>
      <c r="L136" t="s">
        <v>864</v>
      </c>
      <c r="M136" t="s">
        <v>25</v>
      </c>
      <c r="N136" t="s">
        <v>865</v>
      </c>
      <c r="O136" t="s">
        <v>866</v>
      </c>
      <c r="P136" t="s">
        <v>616</v>
      </c>
      <c r="Q136" t="s">
        <v>617</v>
      </c>
      <c r="R136">
        <v>228528</v>
      </c>
      <c r="S136">
        <v>0</v>
      </c>
      <c r="T136">
        <v>228528</v>
      </c>
      <c r="U136" t="s">
        <v>35</v>
      </c>
      <c r="V136" t="s">
        <v>867</v>
      </c>
      <c r="W136" t="s">
        <v>619</v>
      </c>
      <c r="X136" s="4">
        <v>1</v>
      </c>
      <c r="Y136" s="4"/>
      <c r="Z136">
        <f t="shared" si="8"/>
        <v>7</v>
      </c>
      <c r="AA136">
        <f t="shared" si="9"/>
        <v>14</v>
      </c>
      <c r="AB136" s="5">
        <f t="shared" si="10"/>
        <v>0.93052083333168412</v>
      </c>
      <c r="AC136" s="3">
        <f t="shared" si="11"/>
        <v>0.52086805555882165</v>
      </c>
      <c r="AD136" t="str" cm="1">
        <f t="array" ref="AD136">IFERROR(_xlfn.IFS(
    AC136="", "",
    AC136*86400 &lt; 30, "1. 0s - &lt;30s",
    AC136*86400 &lt; 60, "2. 30s - &lt;1m",
    AC136*86400 &lt; 300, "3. 1m - &lt;5m",
    AC136*86400 &lt; 1800, "4. 5m - &lt;30m",
    TRUE, "5. &gt;= 30m"
),"6. Invalid (Order rejected)")</f>
        <v>5. &gt;= 30m</v>
      </c>
    </row>
    <row r="137" spans="1:30" hidden="1" x14ac:dyDescent="0.3">
      <c r="A137" t="s">
        <v>868</v>
      </c>
      <c r="B137" t="s">
        <v>25</v>
      </c>
      <c r="C137">
        <v>42758642</v>
      </c>
      <c r="D137">
        <v>0</v>
      </c>
      <c r="E137" t="s">
        <v>25</v>
      </c>
      <c r="F137" t="s">
        <v>26</v>
      </c>
      <c r="G137" t="s">
        <v>27</v>
      </c>
      <c r="H137" t="s">
        <v>869</v>
      </c>
      <c r="I137" t="s">
        <v>870</v>
      </c>
      <c r="J137" t="s">
        <v>26</v>
      </c>
      <c r="K137" t="s">
        <v>26</v>
      </c>
      <c r="L137" t="s">
        <v>871</v>
      </c>
      <c r="M137" t="s">
        <v>25</v>
      </c>
      <c r="N137" t="s">
        <v>732</v>
      </c>
      <c r="O137" t="s">
        <v>733</v>
      </c>
      <c r="P137" t="s">
        <v>872</v>
      </c>
      <c r="Q137" t="s">
        <v>873</v>
      </c>
      <c r="R137">
        <v>177768</v>
      </c>
      <c r="S137">
        <v>0</v>
      </c>
      <c r="T137">
        <v>177768</v>
      </c>
      <c r="U137" t="s">
        <v>35</v>
      </c>
      <c r="V137" t="s">
        <v>736</v>
      </c>
      <c r="W137" t="s">
        <v>874</v>
      </c>
      <c r="X137" s="4">
        <v>1</v>
      </c>
      <c r="Y137" s="4"/>
      <c r="Z137">
        <f t="shared" si="8"/>
        <v>7</v>
      </c>
      <c r="AA137">
        <f t="shared" si="9"/>
        <v>14</v>
      </c>
      <c r="AB137" s="5">
        <f t="shared" si="10"/>
        <v>0.9100347222192795</v>
      </c>
      <c r="AC137" s="3">
        <f t="shared" si="11"/>
        <v>0.55454861111502396</v>
      </c>
      <c r="AD137" t="str" cm="1">
        <f t="array" ref="AD137">IFERROR(_xlfn.IFS(
    AC137="", "",
    AC137*86400 &lt; 30, "1. 0s - &lt;30s",
    AC137*86400 &lt; 60, "2. 30s - &lt;1m",
    AC137*86400 &lt; 300, "3. 1m - &lt;5m",
    AC137*86400 &lt; 1800, "4. 5m - &lt;30m",
    TRUE, "5. &gt;= 30m"
),"6. Invalid (Order rejected)")</f>
        <v>5. &gt;= 30m</v>
      </c>
    </row>
    <row r="138" spans="1:30" hidden="1" x14ac:dyDescent="0.3">
      <c r="A138" t="s">
        <v>875</v>
      </c>
      <c r="B138" t="s">
        <v>25</v>
      </c>
      <c r="C138">
        <v>42758642</v>
      </c>
      <c r="D138">
        <v>0</v>
      </c>
      <c r="E138" t="s">
        <v>25</v>
      </c>
      <c r="F138" t="s">
        <v>26</v>
      </c>
      <c r="G138" t="s">
        <v>27</v>
      </c>
      <c r="H138" t="s">
        <v>876</v>
      </c>
      <c r="I138" t="s">
        <v>877</v>
      </c>
      <c r="J138" t="s">
        <v>26</v>
      </c>
      <c r="K138" t="s">
        <v>26</v>
      </c>
      <c r="L138" t="s">
        <v>878</v>
      </c>
      <c r="M138" t="s">
        <v>25</v>
      </c>
      <c r="N138" t="s">
        <v>855</v>
      </c>
      <c r="O138" t="s">
        <v>856</v>
      </c>
      <c r="P138" t="s">
        <v>857</v>
      </c>
      <c r="Q138" t="s">
        <v>858</v>
      </c>
      <c r="R138">
        <v>184356</v>
      </c>
      <c r="S138">
        <v>0</v>
      </c>
      <c r="T138">
        <v>184356</v>
      </c>
      <c r="U138" t="s">
        <v>35</v>
      </c>
      <c r="V138" t="s">
        <v>859</v>
      </c>
      <c r="W138" t="s">
        <v>860</v>
      </c>
      <c r="X138" s="4">
        <v>1</v>
      </c>
      <c r="Y138" s="4"/>
      <c r="Z138">
        <f t="shared" si="8"/>
        <v>7</v>
      </c>
      <c r="AA138">
        <f t="shared" si="9"/>
        <v>14</v>
      </c>
      <c r="AB138" s="5">
        <f t="shared" si="10"/>
        <v>0.92459490741021</v>
      </c>
      <c r="AC138" s="3">
        <f t="shared" si="11"/>
        <v>0.52123842592118308</v>
      </c>
      <c r="AD138" t="str" cm="1">
        <f t="array" ref="AD138">IFERROR(_xlfn.IFS(
    AC138="", "",
    AC138*86400 &lt; 30, "1. 0s - &lt;30s",
    AC138*86400 &lt; 60, "2. 30s - &lt;1m",
    AC138*86400 &lt; 300, "3. 1m - &lt;5m",
    AC138*86400 &lt; 1800, "4. 5m - &lt;30m",
    TRUE, "5. &gt;= 30m"
),"6. Invalid (Order rejected)")</f>
        <v>5. &gt;= 30m</v>
      </c>
    </row>
    <row r="139" spans="1:30" hidden="1" x14ac:dyDescent="0.3">
      <c r="A139" t="s">
        <v>879</v>
      </c>
      <c r="B139" t="s">
        <v>25</v>
      </c>
      <c r="C139">
        <v>42758642</v>
      </c>
      <c r="D139">
        <v>0</v>
      </c>
      <c r="E139" t="s">
        <v>25</v>
      </c>
      <c r="F139" t="s">
        <v>26</v>
      </c>
      <c r="G139" t="s">
        <v>27</v>
      </c>
      <c r="H139" t="s">
        <v>880</v>
      </c>
      <c r="I139" t="s">
        <v>825</v>
      </c>
      <c r="J139" t="s">
        <v>26</v>
      </c>
      <c r="K139" t="s">
        <v>26</v>
      </c>
      <c r="L139" t="s">
        <v>881</v>
      </c>
      <c r="M139" t="s">
        <v>25</v>
      </c>
      <c r="N139" t="s">
        <v>827</v>
      </c>
      <c r="O139" t="s">
        <v>828</v>
      </c>
      <c r="P139" t="s">
        <v>237</v>
      </c>
      <c r="Q139" t="s">
        <v>238</v>
      </c>
      <c r="R139">
        <v>238896</v>
      </c>
      <c r="S139">
        <v>0</v>
      </c>
      <c r="T139">
        <v>238896</v>
      </c>
      <c r="U139" t="s">
        <v>35</v>
      </c>
      <c r="V139" t="s">
        <v>829</v>
      </c>
      <c r="W139" t="s">
        <v>239</v>
      </c>
      <c r="X139" s="4">
        <v>1</v>
      </c>
      <c r="Y139" s="4"/>
      <c r="Z139">
        <f t="shared" si="8"/>
        <v>7</v>
      </c>
      <c r="AA139">
        <f t="shared" si="9"/>
        <v>14</v>
      </c>
      <c r="AB139" s="5">
        <f t="shared" si="10"/>
        <v>0.91556712963210884</v>
      </c>
      <c r="AC139" s="3">
        <f t="shared" si="11"/>
        <v>0.56290509259270038</v>
      </c>
      <c r="AD139" t="str" cm="1">
        <f t="array" ref="AD139">IFERROR(_xlfn.IFS(
    AC139="", "",
    AC139*86400 &lt; 30, "1. 0s - &lt;30s",
    AC139*86400 &lt; 60, "2. 30s - &lt;1m",
    AC139*86400 &lt; 300, "3. 1m - &lt;5m",
    AC139*86400 &lt; 1800, "4. 5m - &lt;30m",
    TRUE, "5. &gt;= 30m"
),"6. Invalid (Order rejected)")</f>
        <v>5. &gt;= 30m</v>
      </c>
    </row>
    <row r="140" spans="1:30" hidden="1" x14ac:dyDescent="0.3">
      <c r="A140" t="s">
        <v>882</v>
      </c>
      <c r="B140" t="s">
        <v>25</v>
      </c>
      <c r="C140">
        <v>42758642</v>
      </c>
      <c r="D140">
        <v>0</v>
      </c>
      <c r="E140" t="s">
        <v>25</v>
      </c>
      <c r="F140" t="s">
        <v>26</v>
      </c>
      <c r="G140" t="s">
        <v>27</v>
      </c>
      <c r="H140" t="s">
        <v>883</v>
      </c>
      <c r="I140" t="s">
        <v>884</v>
      </c>
      <c r="J140" t="s">
        <v>26</v>
      </c>
      <c r="K140" t="s">
        <v>26</v>
      </c>
      <c r="L140" t="s">
        <v>885</v>
      </c>
      <c r="M140" t="s">
        <v>25</v>
      </c>
      <c r="N140" t="s">
        <v>766</v>
      </c>
      <c r="O140" t="s">
        <v>767</v>
      </c>
      <c r="P140" t="s">
        <v>246</v>
      </c>
      <c r="Q140" t="s">
        <v>247</v>
      </c>
      <c r="R140">
        <v>156492</v>
      </c>
      <c r="S140">
        <v>0</v>
      </c>
      <c r="T140">
        <v>156492</v>
      </c>
      <c r="U140" t="s">
        <v>35</v>
      </c>
      <c r="V140" t="s">
        <v>770</v>
      </c>
      <c r="W140" t="s">
        <v>249</v>
      </c>
      <c r="X140" s="4">
        <v>1</v>
      </c>
      <c r="Y140" s="4"/>
      <c r="Z140">
        <f t="shared" si="8"/>
        <v>7</v>
      </c>
      <c r="AA140">
        <f t="shared" si="9"/>
        <v>14</v>
      </c>
      <c r="AB140" s="5">
        <f t="shared" si="10"/>
        <v>0.92034722222160781</v>
      </c>
      <c r="AC140" s="3">
        <f t="shared" si="11"/>
        <v>0.52131944444408873</v>
      </c>
      <c r="AD140" t="str" cm="1">
        <f t="array" ref="AD140">IFERROR(_xlfn.IFS(
    AC140="", "",
    AC140*86400 &lt; 30, "1. 0s - &lt;30s",
    AC140*86400 &lt; 60, "2. 30s - &lt;1m",
    AC140*86400 &lt; 300, "3. 1m - &lt;5m",
    AC140*86400 &lt; 1800, "4. 5m - &lt;30m",
    TRUE, "5. &gt;= 30m"
),"6. Invalid (Order rejected)")</f>
        <v>5. &gt;= 30m</v>
      </c>
    </row>
    <row r="141" spans="1:30" hidden="1" x14ac:dyDescent="0.3">
      <c r="A141" t="s">
        <v>886</v>
      </c>
      <c r="B141" t="s">
        <v>25</v>
      </c>
      <c r="C141">
        <v>42758642</v>
      </c>
      <c r="D141">
        <v>0</v>
      </c>
      <c r="E141" t="s">
        <v>25</v>
      </c>
      <c r="F141" t="s">
        <v>26</v>
      </c>
      <c r="G141" t="s">
        <v>27</v>
      </c>
      <c r="H141" t="s">
        <v>887</v>
      </c>
      <c r="I141" t="s">
        <v>608</v>
      </c>
      <c r="J141" t="s">
        <v>26</v>
      </c>
      <c r="K141" t="s">
        <v>26</v>
      </c>
      <c r="L141" t="s">
        <v>609</v>
      </c>
      <c r="M141" t="s">
        <v>25</v>
      </c>
      <c r="N141" t="s">
        <v>766</v>
      </c>
      <c r="O141" t="s">
        <v>767</v>
      </c>
      <c r="P141" t="s">
        <v>246</v>
      </c>
      <c r="Q141" t="s">
        <v>247</v>
      </c>
      <c r="R141">
        <v>214812</v>
      </c>
      <c r="S141">
        <v>0</v>
      </c>
      <c r="T141">
        <v>214812</v>
      </c>
      <c r="U141" t="s">
        <v>35</v>
      </c>
      <c r="V141" t="s">
        <v>770</v>
      </c>
      <c r="W141" t="s">
        <v>249</v>
      </c>
      <c r="X141" s="4">
        <v>1</v>
      </c>
      <c r="Y141" s="4"/>
      <c r="Z141">
        <f t="shared" si="8"/>
        <v>7</v>
      </c>
      <c r="AA141">
        <f t="shared" si="9"/>
        <v>14</v>
      </c>
      <c r="AB141" s="5">
        <f t="shared" si="10"/>
        <v>0.92072916666802485</v>
      </c>
      <c r="AC141" s="3">
        <f t="shared" si="11"/>
        <v>0.53482638888817746</v>
      </c>
      <c r="AD141" t="str" cm="1">
        <f t="array" ref="AD141">IFERROR(_xlfn.IFS(
    AC141="", "",
    AC141*86400 &lt; 30, "1. 0s - &lt;30s",
    AC141*86400 &lt; 60, "2. 30s - &lt;1m",
    AC141*86400 &lt; 300, "3. 1m - &lt;5m",
    AC141*86400 &lt; 1800, "4. 5m - &lt;30m",
    TRUE, "5. &gt;= 30m"
),"6. Invalid (Order rejected)")</f>
        <v>5. &gt;= 30m</v>
      </c>
    </row>
    <row r="142" spans="1:30" x14ac:dyDescent="0.3">
      <c r="A142" t="s">
        <v>888</v>
      </c>
      <c r="B142" t="s">
        <v>25</v>
      </c>
      <c r="C142">
        <v>42758642</v>
      </c>
      <c r="D142">
        <v>4613954</v>
      </c>
      <c r="E142" t="s">
        <v>25</v>
      </c>
      <c r="F142" t="s">
        <v>75</v>
      </c>
      <c r="G142" t="s">
        <v>360</v>
      </c>
      <c r="H142" t="s">
        <v>889</v>
      </c>
      <c r="I142" t="s">
        <v>890</v>
      </c>
      <c r="J142" t="s">
        <v>891</v>
      </c>
      <c r="K142" t="s">
        <v>26</v>
      </c>
      <c r="L142" t="s">
        <v>25</v>
      </c>
      <c r="M142" t="s">
        <v>25</v>
      </c>
      <c r="N142" t="s">
        <v>892</v>
      </c>
      <c r="O142" t="s">
        <v>893</v>
      </c>
      <c r="P142" t="s">
        <v>289</v>
      </c>
      <c r="Q142" t="s">
        <v>290</v>
      </c>
      <c r="R142">
        <v>169452</v>
      </c>
      <c r="S142">
        <v>131365</v>
      </c>
      <c r="T142">
        <v>38087</v>
      </c>
      <c r="U142" t="s">
        <v>35</v>
      </c>
      <c r="V142" t="s">
        <v>894</v>
      </c>
      <c r="W142" t="s">
        <v>291</v>
      </c>
      <c r="X142" s="4">
        <v>1</v>
      </c>
      <c r="Y142" s="4"/>
      <c r="Z142">
        <f t="shared" si="8"/>
        <v>7</v>
      </c>
      <c r="AA142">
        <f t="shared" si="9"/>
        <v>14</v>
      </c>
      <c r="AB142" s="5">
        <f t="shared" si="10"/>
        <v>0.9258680555576575</v>
      </c>
      <c r="AC142" s="3" t="str">
        <f t="shared" si="11"/>
        <v>Order rejected, no time available</v>
      </c>
      <c r="AD142" t="str" cm="1">
        <f t="array" ref="AD142">IFERROR(_xlfn.IFS(
    AC142="", "",
    AC142*86400 &lt; 30, "1. 0s - &lt;30s",
    AC142*86400 &lt; 60, "2. 30s - &lt;1m",
    AC142*86400 &lt; 300, "3. 1m - &lt;5m",
    AC142*86400 &lt; 1800, "4. 5m - &lt;30m",
    TRUE, "5. &gt;= 30m"
),"6. Invalid (Order rejected)")</f>
        <v>6. Invalid (Order rejected)</v>
      </c>
    </row>
    <row r="143" spans="1:30" hidden="1" x14ac:dyDescent="0.3">
      <c r="A143" t="s">
        <v>895</v>
      </c>
      <c r="B143" t="s">
        <v>25</v>
      </c>
      <c r="C143">
        <v>42758642</v>
      </c>
      <c r="D143">
        <v>0</v>
      </c>
      <c r="E143" t="s">
        <v>25</v>
      </c>
      <c r="F143" t="s">
        <v>26</v>
      </c>
      <c r="G143" t="s">
        <v>27</v>
      </c>
      <c r="H143" t="s">
        <v>896</v>
      </c>
      <c r="I143" t="s">
        <v>897</v>
      </c>
      <c r="J143" t="s">
        <v>26</v>
      </c>
      <c r="K143" t="s">
        <v>26</v>
      </c>
      <c r="L143" t="s">
        <v>898</v>
      </c>
      <c r="M143" t="s">
        <v>25</v>
      </c>
      <c r="N143" t="s">
        <v>899</v>
      </c>
      <c r="O143" t="s">
        <v>900</v>
      </c>
      <c r="P143" t="s">
        <v>616</v>
      </c>
      <c r="Q143" t="s">
        <v>617</v>
      </c>
      <c r="R143">
        <v>221724</v>
      </c>
      <c r="S143">
        <v>0</v>
      </c>
      <c r="T143">
        <v>221724</v>
      </c>
      <c r="U143" t="s">
        <v>35</v>
      </c>
      <c r="V143" t="s">
        <v>901</v>
      </c>
      <c r="W143" t="s">
        <v>619</v>
      </c>
      <c r="X143" s="4">
        <v>1</v>
      </c>
      <c r="Y143" s="4"/>
      <c r="Z143">
        <f t="shared" si="8"/>
        <v>7</v>
      </c>
      <c r="AA143">
        <f t="shared" si="9"/>
        <v>14</v>
      </c>
      <c r="AB143" s="5">
        <f t="shared" si="10"/>
        <v>0.92731481481314404</v>
      </c>
      <c r="AC143" s="3">
        <f t="shared" si="11"/>
        <v>0.52129629629780538</v>
      </c>
      <c r="AD143" t="str" cm="1">
        <f t="array" ref="AD143">IFERROR(_xlfn.IFS(
    AC143="", "",
    AC143*86400 &lt; 30, "1. 0s - &lt;30s",
    AC143*86400 &lt; 60, "2. 30s - &lt;1m",
    AC143*86400 &lt; 300, "3. 1m - &lt;5m",
    AC143*86400 &lt; 1800, "4. 5m - &lt;30m",
    TRUE, "5. &gt;= 30m"
),"6. Invalid (Order rejected)")</f>
        <v>5. &gt;= 30m</v>
      </c>
    </row>
    <row r="144" spans="1:30" hidden="1" x14ac:dyDescent="0.3">
      <c r="A144" t="s">
        <v>902</v>
      </c>
      <c r="B144" t="s">
        <v>25</v>
      </c>
      <c r="C144">
        <v>42758642</v>
      </c>
      <c r="D144">
        <v>0</v>
      </c>
      <c r="E144" t="s">
        <v>25</v>
      </c>
      <c r="F144" t="s">
        <v>26</v>
      </c>
      <c r="G144" t="s">
        <v>27</v>
      </c>
      <c r="H144" t="s">
        <v>903</v>
      </c>
      <c r="I144" t="s">
        <v>904</v>
      </c>
      <c r="J144" t="s">
        <v>26</v>
      </c>
      <c r="K144" t="s">
        <v>26</v>
      </c>
      <c r="L144" t="s">
        <v>905</v>
      </c>
      <c r="M144" t="s">
        <v>25</v>
      </c>
      <c r="N144" t="s">
        <v>906</v>
      </c>
      <c r="O144" t="s">
        <v>907</v>
      </c>
      <c r="P144" t="s">
        <v>857</v>
      </c>
      <c r="Q144" t="s">
        <v>858</v>
      </c>
      <c r="R144">
        <v>135864</v>
      </c>
      <c r="S144">
        <v>0</v>
      </c>
      <c r="T144">
        <v>135864</v>
      </c>
      <c r="U144" t="s">
        <v>35</v>
      </c>
      <c r="V144" t="s">
        <v>908</v>
      </c>
      <c r="W144" t="s">
        <v>860</v>
      </c>
      <c r="X144" s="4">
        <v>1</v>
      </c>
      <c r="Y144" s="4"/>
      <c r="Z144">
        <f t="shared" si="8"/>
        <v>7</v>
      </c>
      <c r="AA144">
        <f t="shared" si="9"/>
        <v>14</v>
      </c>
      <c r="AB144" s="5">
        <f t="shared" si="10"/>
        <v>0.92989583333110204</v>
      </c>
      <c r="AC144" s="3">
        <f t="shared" si="11"/>
        <v>0.52079861111269565</v>
      </c>
      <c r="AD144" t="str" cm="1">
        <f t="array" ref="AD144">IFERROR(_xlfn.IFS(
    AC144="", "",
    AC144*86400 &lt; 30, "1. 0s - &lt;30s",
    AC144*86400 &lt; 60, "2. 30s - &lt;1m",
    AC144*86400 &lt; 300, "3. 1m - &lt;5m",
    AC144*86400 &lt; 1800, "4. 5m - &lt;30m",
    TRUE, "5. &gt;= 30m"
),"6. Invalid (Order rejected)")</f>
        <v>5. &gt;= 30m</v>
      </c>
    </row>
    <row r="145" spans="1:30" hidden="1" x14ac:dyDescent="0.3">
      <c r="A145" t="s">
        <v>909</v>
      </c>
      <c r="B145" t="s">
        <v>25</v>
      </c>
      <c r="C145">
        <v>42758642</v>
      </c>
      <c r="D145">
        <v>0</v>
      </c>
      <c r="E145" t="s">
        <v>25</v>
      </c>
      <c r="F145" t="s">
        <v>26</v>
      </c>
      <c r="G145" t="s">
        <v>27</v>
      </c>
      <c r="H145" t="s">
        <v>910</v>
      </c>
      <c r="I145" t="s">
        <v>890</v>
      </c>
      <c r="J145" t="s">
        <v>26</v>
      </c>
      <c r="K145" t="s">
        <v>26</v>
      </c>
      <c r="L145" t="s">
        <v>911</v>
      </c>
      <c r="M145" t="s">
        <v>25</v>
      </c>
      <c r="N145" t="s">
        <v>892</v>
      </c>
      <c r="O145" t="s">
        <v>893</v>
      </c>
      <c r="P145" t="s">
        <v>289</v>
      </c>
      <c r="Q145" t="s">
        <v>290</v>
      </c>
      <c r="R145">
        <v>131868</v>
      </c>
      <c r="S145">
        <v>0</v>
      </c>
      <c r="T145">
        <v>131868</v>
      </c>
      <c r="U145" t="s">
        <v>35</v>
      </c>
      <c r="V145" t="s">
        <v>894</v>
      </c>
      <c r="W145" t="s">
        <v>291</v>
      </c>
      <c r="X145" s="4">
        <v>1</v>
      </c>
      <c r="Y145" s="4"/>
      <c r="Z145">
        <f t="shared" si="8"/>
        <v>7</v>
      </c>
      <c r="AA145">
        <f t="shared" si="9"/>
        <v>14</v>
      </c>
      <c r="AB145" s="5">
        <f t="shared" si="10"/>
        <v>0.92539351851883112</v>
      </c>
      <c r="AC145" s="3">
        <f t="shared" si="11"/>
        <v>0.52113425925927004</v>
      </c>
      <c r="AD145" t="str" cm="1">
        <f t="array" ref="AD145">IFERROR(_xlfn.IFS(
    AC145="", "",
    AC145*86400 &lt; 30, "1. 0s - &lt;30s",
    AC145*86400 &lt; 60, "2. 30s - &lt;1m",
    AC145*86400 &lt; 300, "3. 1m - &lt;5m",
    AC145*86400 &lt; 1800, "4. 5m - &lt;30m",
    TRUE, "5. &gt;= 30m"
),"6. Invalid (Order rejected)")</f>
        <v>5. &gt;= 30m</v>
      </c>
    </row>
    <row r="146" spans="1:30" hidden="1" x14ac:dyDescent="0.3">
      <c r="A146" t="s">
        <v>912</v>
      </c>
      <c r="B146" t="s">
        <v>25</v>
      </c>
      <c r="C146">
        <v>42758642</v>
      </c>
      <c r="D146">
        <v>4179701</v>
      </c>
      <c r="E146" t="s">
        <v>25</v>
      </c>
      <c r="F146" t="s">
        <v>75</v>
      </c>
      <c r="G146" t="s">
        <v>76</v>
      </c>
      <c r="H146" t="s">
        <v>913</v>
      </c>
      <c r="I146" t="s">
        <v>914</v>
      </c>
      <c r="J146" t="s">
        <v>915</v>
      </c>
      <c r="K146" t="s">
        <v>26</v>
      </c>
      <c r="L146" t="s">
        <v>916</v>
      </c>
      <c r="M146" t="s">
        <v>25</v>
      </c>
      <c r="N146" t="s">
        <v>827</v>
      </c>
      <c r="O146" t="s">
        <v>828</v>
      </c>
      <c r="P146" t="s">
        <v>917</v>
      </c>
      <c r="Q146" t="s">
        <v>918</v>
      </c>
      <c r="R146">
        <v>267300</v>
      </c>
      <c r="S146">
        <v>219409</v>
      </c>
      <c r="T146">
        <v>47891</v>
      </c>
      <c r="U146" t="s">
        <v>35</v>
      </c>
      <c r="V146" t="s">
        <v>829</v>
      </c>
      <c r="W146" t="s">
        <v>202</v>
      </c>
      <c r="X146" s="4">
        <v>1</v>
      </c>
      <c r="Y146" s="4"/>
      <c r="Z146">
        <f t="shared" si="8"/>
        <v>7</v>
      </c>
      <c r="AA146">
        <f t="shared" si="9"/>
        <v>14</v>
      </c>
      <c r="AB146" s="5">
        <f t="shared" si="10"/>
        <v>0.91527777777810115</v>
      </c>
      <c r="AC146" s="3">
        <f t="shared" si="11"/>
        <v>0.46531249999679858</v>
      </c>
      <c r="AD146" t="str" cm="1">
        <f t="array" ref="AD146">IFERROR(_xlfn.IFS(
    AC146="", "",
    AC146*86400 &lt; 30, "1. 0s - &lt;30s",
    AC146*86400 &lt; 60, "2. 30s - &lt;1m",
    AC146*86400 &lt; 300, "3. 1m - &lt;5m",
    AC146*86400 &lt; 1800, "4. 5m - &lt;30m",
    TRUE, "5. &gt;= 30m"
),"6. Invalid (Order rejected)")</f>
        <v>5. &gt;= 30m</v>
      </c>
    </row>
    <row r="147" spans="1:30" hidden="1" x14ac:dyDescent="0.3">
      <c r="A147" t="s">
        <v>919</v>
      </c>
      <c r="B147" t="s">
        <v>25</v>
      </c>
      <c r="C147">
        <v>42758642</v>
      </c>
      <c r="D147">
        <v>0</v>
      </c>
      <c r="E147" t="s">
        <v>25</v>
      </c>
      <c r="F147" t="s">
        <v>26</v>
      </c>
      <c r="G147" t="s">
        <v>27</v>
      </c>
      <c r="H147" t="s">
        <v>920</v>
      </c>
      <c r="I147" t="s">
        <v>921</v>
      </c>
      <c r="J147" t="s">
        <v>26</v>
      </c>
      <c r="K147" t="s">
        <v>26</v>
      </c>
      <c r="L147" t="s">
        <v>922</v>
      </c>
      <c r="M147" t="s">
        <v>25</v>
      </c>
      <c r="N147" t="s">
        <v>766</v>
      </c>
      <c r="O147" t="s">
        <v>767</v>
      </c>
      <c r="P147" t="s">
        <v>342</v>
      </c>
      <c r="Q147" t="s">
        <v>343</v>
      </c>
      <c r="R147">
        <v>130032</v>
      </c>
      <c r="S147">
        <v>0</v>
      </c>
      <c r="T147">
        <v>130032</v>
      </c>
      <c r="U147" t="s">
        <v>35</v>
      </c>
      <c r="V147" t="s">
        <v>770</v>
      </c>
      <c r="W147" t="s">
        <v>344</v>
      </c>
      <c r="X147" s="4">
        <v>1</v>
      </c>
      <c r="Y147" s="4"/>
      <c r="Z147">
        <f t="shared" si="8"/>
        <v>7</v>
      </c>
      <c r="AA147">
        <f t="shared" si="9"/>
        <v>14</v>
      </c>
      <c r="AB147" s="5">
        <f t="shared" si="10"/>
        <v>0.92093749999912689</v>
      </c>
      <c r="AC147" s="3">
        <f t="shared" si="11"/>
        <v>0.52142361111327773</v>
      </c>
      <c r="AD147" t="str" cm="1">
        <f t="array" ref="AD147">IFERROR(_xlfn.IFS(
    AC147="", "",
    AC147*86400 &lt; 30, "1. 0s - &lt;30s",
    AC147*86400 &lt; 60, "2. 30s - &lt;1m",
    AC147*86400 &lt; 300, "3. 1m - &lt;5m",
    AC147*86400 &lt; 1800, "4. 5m - &lt;30m",
    TRUE, "5. &gt;= 30m"
),"6. Invalid (Order rejected)")</f>
        <v>5. &gt;= 30m</v>
      </c>
    </row>
    <row r="148" spans="1:30" hidden="1" x14ac:dyDescent="0.3">
      <c r="A148" t="s">
        <v>923</v>
      </c>
      <c r="B148" t="s">
        <v>25</v>
      </c>
      <c r="C148">
        <v>42758642</v>
      </c>
      <c r="D148">
        <v>0</v>
      </c>
      <c r="E148" t="s">
        <v>25</v>
      </c>
      <c r="F148" t="s">
        <v>26</v>
      </c>
      <c r="G148" t="s">
        <v>27</v>
      </c>
      <c r="H148" t="s">
        <v>924</v>
      </c>
      <c r="I148" t="s">
        <v>925</v>
      </c>
      <c r="J148" t="s">
        <v>26</v>
      </c>
      <c r="K148" t="s">
        <v>26</v>
      </c>
      <c r="L148" t="s">
        <v>926</v>
      </c>
      <c r="M148" t="s">
        <v>25</v>
      </c>
      <c r="N148" t="s">
        <v>927</v>
      </c>
      <c r="O148" t="s">
        <v>928</v>
      </c>
      <c r="P148" t="s">
        <v>857</v>
      </c>
      <c r="Q148" t="s">
        <v>858</v>
      </c>
      <c r="R148">
        <v>183384</v>
      </c>
      <c r="S148">
        <v>0</v>
      </c>
      <c r="T148">
        <v>183384</v>
      </c>
      <c r="U148" t="s">
        <v>35</v>
      </c>
      <c r="V148" t="s">
        <v>929</v>
      </c>
      <c r="W148" t="s">
        <v>860</v>
      </c>
      <c r="X148" s="4">
        <v>1</v>
      </c>
      <c r="Y148" s="4"/>
      <c r="Z148">
        <f t="shared" si="8"/>
        <v>7</v>
      </c>
      <c r="AA148">
        <f t="shared" si="9"/>
        <v>14</v>
      </c>
      <c r="AB148" s="5">
        <f t="shared" si="10"/>
        <v>0.93349537037283881</v>
      </c>
      <c r="AC148" s="3">
        <f t="shared" si="11"/>
        <v>0.52136574073665543</v>
      </c>
      <c r="AD148" t="str" cm="1">
        <f t="array" ref="AD148">IFERROR(_xlfn.IFS(
    AC148="", "",
    AC148*86400 &lt; 30, "1. 0s - &lt;30s",
    AC148*86400 &lt; 60, "2. 30s - &lt;1m",
    AC148*86400 &lt; 300, "3. 1m - &lt;5m",
    AC148*86400 &lt; 1800, "4. 5m - &lt;30m",
    TRUE, "5. &gt;= 30m"
),"6. Invalid (Order rejected)")</f>
        <v>5. &gt;= 30m</v>
      </c>
    </row>
    <row r="149" spans="1:30" hidden="1" x14ac:dyDescent="0.3">
      <c r="A149" t="s">
        <v>930</v>
      </c>
      <c r="B149" t="s">
        <v>25</v>
      </c>
      <c r="C149">
        <v>42758642</v>
      </c>
      <c r="D149">
        <v>3241501</v>
      </c>
      <c r="E149" t="s">
        <v>25</v>
      </c>
      <c r="F149" t="s">
        <v>75</v>
      </c>
      <c r="G149" t="s">
        <v>409</v>
      </c>
      <c r="H149" t="s">
        <v>931</v>
      </c>
      <c r="I149" t="s">
        <v>729</v>
      </c>
      <c r="J149" t="s">
        <v>932</v>
      </c>
      <c r="K149" t="s">
        <v>26</v>
      </c>
      <c r="L149" t="s">
        <v>25</v>
      </c>
      <c r="M149" t="s">
        <v>933</v>
      </c>
      <c r="N149" t="s">
        <v>791</v>
      </c>
      <c r="O149" t="s">
        <v>792</v>
      </c>
      <c r="P149" t="s">
        <v>934</v>
      </c>
      <c r="Q149" t="s">
        <v>935</v>
      </c>
      <c r="R149">
        <v>272916</v>
      </c>
      <c r="S149">
        <v>211573</v>
      </c>
      <c r="T149">
        <v>61343</v>
      </c>
      <c r="U149" t="s">
        <v>35</v>
      </c>
      <c r="V149" t="s">
        <v>793</v>
      </c>
      <c r="W149" t="s">
        <v>936</v>
      </c>
      <c r="X149" s="4">
        <v>1</v>
      </c>
      <c r="Y149" s="4"/>
      <c r="Z149">
        <f t="shared" si="8"/>
        <v>7</v>
      </c>
      <c r="AA149">
        <f t="shared" si="9"/>
        <v>14</v>
      </c>
      <c r="AB149" s="5">
        <f t="shared" si="10"/>
        <v>0.92341435185517184</v>
      </c>
      <c r="AC149" s="3">
        <f t="shared" si="11"/>
        <v>0.45016203703562496</v>
      </c>
      <c r="AD149" t="str" cm="1">
        <f t="array" ref="AD149">IFERROR(_xlfn.IFS(
    AC149="", "",
    AC149*86400 &lt; 30, "1. 0s - &lt;30s",
    AC149*86400 &lt; 60, "2. 30s - &lt;1m",
    AC149*86400 &lt; 300, "3. 1m - &lt;5m",
    AC149*86400 &lt; 1800, "4. 5m - &lt;30m",
    TRUE, "5. &gt;= 30m"
),"6. Invalid (Order rejected)")</f>
        <v>5. &gt;= 30m</v>
      </c>
    </row>
    <row r="150" spans="1:30" x14ac:dyDescent="0.3">
      <c r="A150" t="s">
        <v>937</v>
      </c>
      <c r="B150" t="s">
        <v>25</v>
      </c>
      <c r="C150">
        <v>42758642</v>
      </c>
      <c r="D150">
        <v>3439533</v>
      </c>
      <c r="E150" t="s">
        <v>25</v>
      </c>
      <c r="F150" t="s">
        <v>75</v>
      </c>
      <c r="G150" t="s">
        <v>360</v>
      </c>
      <c r="H150" t="s">
        <v>938</v>
      </c>
      <c r="I150" t="s">
        <v>853</v>
      </c>
      <c r="J150" t="s">
        <v>939</v>
      </c>
      <c r="K150" t="s">
        <v>940</v>
      </c>
      <c r="L150" t="s">
        <v>25</v>
      </c>
      <c r="M150" t="s">
        <v>25</v>
      </c>
      <c r="N150" t="s">
        <v>791</v>
      </c>
      <c r="O150" t="s">
        <v>792</v>
      </c>
      <c r="P150" t="s">
        <v>289</v>
      </c>
      <c r="Q150" t="s">
        <v>290</v>
      </c>
      <c r="R150">
        <v>186840</v>
      </c>
      <c r="S150">
        <v>144844</v>
      </c>
      <c r="T150">
        <v>41996</v>
      </c>
      <c r="U150" t="s">
        <v>35</v>
      </c>
      <c r="V150" t="s">
        <v>793</v>
      </c>
      <c r="W150" t="s">
        <v>291</v>
      </c>
      <c r="X150" s="4">
        <v>1</v>
      </c>
      <c r="Y150" s="4"/>
      <c r="Z150">
        <f t="shared" si="8"/>
        <v>7</v>
      </c>
      <c r="AA150">
        <f t="shared" si="9"/>
        <v>14</v>
      </c>
      <c r="AB150" s="5">
        <f t="shared" si="10"/>
        <v>0.92398148147913162</v>
      </c>
      <c r="AC150" s="3" t="str">
        <f t="shared" si="11"/>
        <v>Order rejected, no time available</v>
      </c>
      <c r="AD150" t="str" cm="1">
        <f t="array" ref="AD150">IFERROR(_xlfn.IFS(
    AC150="", "",
    AC150*86400 &lt; 30, "1. 0s - &lt;30s",
    AC150*86400 &lt; 60, "2. 30s - &lt;1m",
    AC150*86400 &lt; 300, "3. 1m - &lt;5m",
    AC150*86400 &lt; 1800, "4. 5m - &lt;30m",
    TRUE, "5. &gt;= 30m"
),"6. Invalid (Order rejected)")</f>
        <v>6. Invalid (Order rejected)</v>
      </c>
    </row>
    <row r="151" spans="1:30" hidden="1" x14ac:dyDescent="0.3">
      <c r="A151" t="s">
        <v>941</v>
      </c>
      <c r="B151" t="s">
        <v>25</v>
      </c>
      <c r="C151">
        <v>42758642</v>
      </c>
      <c r="D151">
        <v>0</v>
      </c>
      <c r="E151" t="s">
        <v>25</v>
      </c>
      <c r="F151" t="s">
        <v>26</v>
      </c>
      <c r="G151" t="s">
        <v>27</v>
      </c>
      <c r="H151" t="s">
        <v>942</v>
      </c>
      <c r="I151" t="s">
        <v>943</v>
      </c>
      <c r="J151" t="s">
        <v>26</v>
      </c>
      <c r="K151" t="s">
        <v>26</v>
      </c>
      <c r="L151" t="s">
        <v>944</v>
      </c>
      <c r="M151" t="s">
        <v>25</v>
      </c>
      <c r="N151" t="s">
        <v>892</v>
      </c>
      <c r="O151" t="s">
        <v>893</v>
      </c>
      <c r="P151" t="s">
        <v>934</v>
      </c>
      <c r="Q151" t="s">
        <v>935</v>
      </c>
      <c r="R151">
        <v>195804</v>
      </c>
      <c r="S151">
        <v>0</v>
      </c>
      <c r="T151">
        <v>195804</v>
      </c>
      <c r="U151" t="s">
        <v>35</v>
      </c>
      <c r="V151" t="s">
        <v>894</v>
      </c>
      <c r="W151" t="s">
        <v>936</v>
      </c>
      <c r="X151" s="4">
        <v>1</v>
      </c>
      <c r="Y151" s="4"/>
      <c r="Z151">
        <f t="shared" si="8"/>
        <v>7</v>
      </c>
      <c r="AA151">
        <f t="shared" si="9"/>
        <v>14</v>
      </c>
      <c r="AB151" s="5">
        <f t="shared" si="10"/>
        <v>0.92637731481227092</v>
      </c>
      <c r="AC151" s="3">
        <f t="shared" si="11"/>
        <v>0.5208449074125383</v>
      </c>
      <c r="AD151" t="str" cm="1">
        <f t="array" ref="AD151">IFERROR(_xlfn.IFS(
    AC151="", "",
    AC151*86400 &lt; 30, "1. 0s - &lt;30s",
    AC151*86400 &lt; 60, "2. 30s - &lt;1m",
    AC151*86400 &lt; 300, "3. 1m - &lt;5m",
    AC151*86400 &lt; 1800, "4. 5m - &lt;30m",
    TRUE, "5. &gt;= 30m"
),"6. Invalid (Order rejected)")</f>
        <v>5. &gt;= 30m</v>
      </c>
    </row>
    <row r="152" spans="1:30" hidden="1" x14ac:dyDescent="0.3">
      <c r="A152" t="s">
        <v>945</v>
      </c>
      <c r="B152" t="s">
        <v>25</v>
      </c>
      <c r="C152">
        <v>42758642</v>
      </c>
      <c r="D152">
        <v>0</v>
      </c>
      <c r="E152" t="s">
        <v>25</v>
      </c>
      <c r="F152" t="s">
        <v>26</v>
      </c>
      <c r="G152" t="s">
        <v>27</v>
      </c>
      <c r="H152" t="s">
        <v>946</v>
      </c>
      <c r="I152" t="s">
        <v>947</v>
      </c>
      <c r="J152" t="s">
        <v>26</v>
      </c>
      <c r="K152" t="s">
        <v>26</v>
      </c>
      <c r="L152" t="s">
        <v>948</v>
      </c>
      <c r="M152" t="s">
        <v>25</v>
      </c>
      <c r="N152" t="s">
        <v>892</v>
      </c>
      <c r="O152" t="s">
        <v>893</v>
      </c>
      <c r="P152" t="s">
        <v>934</v>
      </c>
      <c r="Q152" t="s">
        <v>935</v>
      </c>
      <c r="R152">
        <v>185004</v>
      </c>
      <c r="S152">
        <v>0</v>
      </c>
      <c r="T152">
        <v>185004</v>
      </c>
      <c r="U152" t="s">
        <v>35</v>
      </c>
      <c r="V152" t="s">
        <v>894</v>
      </c>
      <c r="W152" t="s">
        <v>936</v>
      </c>
      <c r="X152" s="4">
        <v>1</v>
      </c>
      <c r="Y152" s="4"/>
      <c r="Z152">
        <f t="shared" si="8"/>
        <v>7</v>
      </c>
      <c r="AA152">
        <f t="shared" si="9"/>
        <v>14</v>
      </c>
      <c r="AB152" s="5">
        <f t="shared" si="10"/>
        <v>0.92677083333546761</v>
      </c>
      <c r="AC152" s="3">
        <f t="shared" si="11"/>
        <v>0.52114583332877373</v>
      </c>
      <c r="AD152" t="str" cm="1">
        <f t="array" ref="AD152">IFERROR(_xlfn.IFS(
    AC152="", "",
    AC152*86400 &lt; 30, "1. 0s - &lt;30s",
    AC152*86400 &lt; 60, "2. 30s - &lt;1m",
    AC152*86400 &lt; 300, "3. 1m - &lt;5m",
    AC152*86400 &lt; 1800, "4. 5m - &lt;30m",
    TRUE, "5. &gt;= 30m"
),"6. Invalid (Order rejected)")</f>
        <v>5. &gt;= 30m</v>
      </c>
    </row>
    <row r="153" spans="1:30" hidden="1" x14ac:dyDescent="0.3">
      <c r="A153" t="s">
        <v>949</v>
      </c>
      <c r="B153" t="s">
        <v>25</v>
      </c>
      <c r="C153">
        <v>42758642</v>
      </c>
      <c r="D153">
        <v>3974295</v>
      </c>
      <c r="E153" t="s">
        <v>25</v>
      </c>
      <c r="F153" t="s">
        <v>75</v>
      </c>
      <c r="G153" t="s">
        <v>76</v>
      </c>
      <c r="H153" t="s">
        <v>950</v>
      </c>
      <c r="I153" t="s">
        <v>897</v>
      </c>
      <c r="J153" t="s">
        <v>951</v>
      </c>
      <c r="K153" t="s">
        <v>26</v>
      </c>
      <c r="L153" t="s">
        <v>952</v>
      </c>
      <c r="M153" t="s">
        <v>25</v>
      </c>
      <c r="N153" t="s">
        <v>899</v>
      </c>
      <c r="O153" t="s">
        <v>900</v>
      </c>
      <c r="P153" t="s">
        <v>384</v>
      </c>
      <c r="Q153" t="s">
        <v>385</v>
      </c>
      <c r="R153">
        <v>190512</v>
      </c>
      <c r="S153">
        <v>147691</v>
      </c>
      <c r="T153">
        <v>42821</v>
      </c>
      <c r="U153" t="s">
        <v>35</v>
      </c>
      <c r="V153" t="s">
        <v>901</v>
      </c>
      <c r="W153" t="s">
        <v>386</v>
      </c>
      <c r="X153" s="4">
        <v>1</v>
      </c>
      <c r="Y153" s="4"/>
      <c r="Z153">
        <f t="shared" si="8"/>
        <v>7</v>
      </c>
      <c r="AA153">
        <f t="shared" si="9"/>
        <v>14</v>
      </c>
      <c r="AB153" s="5">
        <f t="shared" si="10"/>
        <v>0.92755787036730908</v>
      </c>
      <c r="AC153" s="3">
        <f t="shared" si="11"/>
        <v>0.46964120370830642</v>
      </c>
      <c r="AD153" t="str" cm="1">
        <f t="array" ref="AD153">IFERROR(_xlfn.IFS(
    AC153="", "",
    AC153*86400 &lt; 30, "1. 0s - &lt;30s",
    AC153*86400 &lt; 60, "2. 30s - &lt;1m",
    AC153*86400 &lt; 300, "3. 1m - &lt;5m",
    AC153*86400 &lt; 1800, "4. 5m - &lt;30m",
    TRUE, "5. &gt;= 30m"
),"6. Invalid (Order rejected)")</f>
        <v>5. &gt;= 30m</v>
      </c>
    </row>
    <row r="154" spans="1:30" hidden="1" x14ac:dyDescent="0.3">
      <c r="A154" t="s">
        <v>953</v>
      </c>
      <c r="B154" t="s">
        <v>25</v>
      </c>
      <c r="C154">
        <v>42758642</v>
      </c>
      <c r="D154">
        <v>0</v>
      </c>
      <c r="E154" t="s">
        <v>25</v>
      </c>
      <c r="F154" t="s">
        <v>26</v>
      </c>
      <c r="G154" t="s">
        <v>27</v>
      </c>
      <c r="H154" t="s">
        <v>954</v>
      </c>
      <c r="I154" t="s">
        <v>955</v>
      </c>
      <c r="J154" t="s">
        <v>26</v>
      </c>
      <c r="K154" t="s">
        <v>26</v>
      </c>
      <c r="L154" t="s">
        <v>956</v>
      </c>
      <c r="M154" t="s">
        <v>25</v>
      </c>
      <c r="N154" t="s">
        <v>865</v>
      </c>
      <c r="O154" t="s">
        <v>866</v>
      </c>
      <c r="P154" t="s">
        <v>351</v>
      </c>
      <c r="Q154" t="s">
        <v>352</v>
      </c>
      <c r="R154">
        <v>268056</v>
      </c>
      <c r="S154">
        <v>0</v>
      </c>
      <c r="T154">
        <v>268056</v>
      </c>
      <c r="U154" t="s">
        <v>35</v>
      </c>
      <c r="V154" t="s">
        <v>867</v>
      </c>
      <c r="W154" t="s">
        <v>354</v>
      </c>
      <c r="X154" s="4">
        <v>1</v>
      </c>
      <c r="Y154" s="4"/>
      <c r="Z154">
        <f t="shared" si="8"/>
        <v>7</v>
      </c>
      <c r="AA154">
        <f t="shared" si="9"/>
        <v>14</v>
      </c>
      <c r="AB154" s="5">
        <f t="shared" si="10"/>
        <v>0.9310648148166365</v>
      </c>
      <c r="AC154" s="3">
        <f t="shared" si="11"/>
        <v>0.52103009259008104</v>
      </c>
      <c r="AD154" t="str" cm="1">
        <f t="array" ref="AD154">IFERROR(_xlfn.IFS(
    AC154="", "",
    AC154*86400 &lt; 30, "1. 0s - &lt;30s",
    AC154*86400 &lt; 60, "2. 30s - &lt;1m",
    AC154*86400 &lt; 300, "3. 1m - &lt;5m",
    AC154*86400 &lt; 1800, "4. 5m - &lt;30m",
    TRUE, "5. &gt;= 30m"
),"6. Invalid (Order rejected)")</f>
        <v>5. &gt;= 30m</v>
      </c>
    </row>
    <row r="155" spans="1:30" hidden="1" x14ac:dyDescent="0.3">
      <c r="A155" t="s">
        <v>957</v>
      </c>
      <c r="B155" t="s">
        <v>25</v>
      </c>
      <c r="C155">
        <v>42758642</v>
      </c>
      <c r="D155">
        <v>0</v>
      </c>
      <c r="E155" t="s">
        <v>25</v>
      </c>
      <c r="F155" t="s">
        <v>26</v>
      </c>
      <c r="G155" t="s">
        <v>27</v>
      </c>
      <c r="H155" t="s">
        <v>958</v>
      </c>
      <c r="I155" t="s">
        <v>959</v>
      </c>
      <c r="J155" t="s">
        <v>26</v>
      </c>
      <c r="K155" t="s">
        <v>26</v>
      </c>
      <c r="L155" t="s">
        <v>960</v>
      </c>
      <c r="M155" t="s">
        <v>25</v>
      </c>
      <c r="N155" t="s">
        <v>906</v>
      </c>
      <c r="O155" t="s">
        <v>907</v>
      </c>
      <c r="P155" t="s">
        <v>124</v>
      </c>
      <c r="Q155" t="s">
        <v>125</v>
      </c>
      <c r="R155">
        <v>191592</v>
      </c>
      <c r="S155">
        <v>0</v>
      </c>
      <c r="T155">
        <v>191592</v>
      </c>
      <c r="U155" t="s">
        <v>35</v>
      </c>
      <c r="V155" t="s">
        <v>908</v>
      </c>
      <c r="W155" t="s">
        <v>126</v>
      </c>
      <c r="X155" s="4">
        <v>1</v>
      </c>
      <c r="Y155" s="4"/>
      <c r="Z155">
        <f t="shared" si="8"/>
        <v>7</v>
      </c>
      <c r="AA155">
        <f t="shared" si="9"/>
        <v>14</v>
      </c>
      <c r="AB155" s="5">
        <f t="shared" si="10"/>
        <v>0.92903935185313458</v>
      </c>
      <c r="AC155" s="3">
        <f t="shared" si="11"/>
        <v>0.52096064814395504</v>
      </c>
      <c r="AD155" t="str" cm="1">
        <f t="array" ref="AD155">IFERROR(_xlfn.IFS(
    AC155="", "",
    AC155*86400 &lt; 30, "1. 0s - &lt;30s",
    AC155*86400 &lt; 60, "2. 30s - &lt;1m",
    AC155*86400 &lt; 300, "3. 1m - &lt;5m",
    AC155*86400 &lt; 1800, "4. 5m - &lt;30m",
    TRUE, "5. &gt;= 30m"
),"6. Invalid (Order rejected)")</f>
        <v>5. &gt;= 30m</v>
      </c>
    </row>
    <row r="156" spans="1:30" hidden="1" x14ac:dyDescent="0.3">
      <c r="A156" t="s">
        <v>961</v>
      </c>
      <c r="B156" t="s">
        <v>25</v>
      </c>
      <c r="C156">
        <v>42758642</v>
      </c>
      <c r="D156">
        <v>0</v>
      </c>
      <c r="E156" t="s">
        <v>25</v>
      </c>
      <c r="F156" t="s">
        <v>26</v>
      </c>
      <c r="G156" t="s">
        <v>27</v>
      </c>
      <c r="H156" t="s">
        <v>962</v>
      </c>
      <c r="I156" t="s">
        <v>904</v>
      </c>
      <c r="J156" t="s">
        <v>26</v>
      </c>
      <c r="K156" t="s">
        <v>26</v>
      </c>
      <c r="L156" t="s">
        <v>905</v>
      </c>
      <c r="M156" t="s">
        <v>25</v>
      </c>
      <c r="N156" t="s">
        <v>906</v>
      </c>
      <c r="O156" t="s">
        <v>907</v>
      </c>
      <c r="P156" t="s">
        <v>418</v>
      </c>
      <c r="Q156" t="s">
        <v>419</v>
      </c>
      <c r="R156">
        <v>286092</v>
      </c>
      <c r="S156">
        <v>0</v>
      </c>
      <c r="T156">
        <v>286092</v>
      </c>
      <c r="U156" t="s">
        <v>35</v>
      </c>
      <c r="V156" t="s">
        <v>908</v>
      </c>
      <c r="W156" t="s">
        <v>420</v>
      </c>
      <c r="X156" s="4">
        <v>1</v>
      </c>
      <c r="Y156" s="4"/>
      <c r="Z156">
        <f t="shared" si="8"/>
        <v>7</v>
      </c>
      <c r="AA156">
        <f t="shared" si="9"/>
        <v>14</v>
      </c>
      <c r="AB156" s="5">
        <f t="shared" si="10"/>
        <v>0.92959490740759065</v>
      </c>
      <c r="AC156" s="3">
        <f t="shared" si="11"/>
        <v>0.52109953703620704</v>
      </c>
      <c r="AD156" t="str" cm="1">
        <f t="array" ref="AD156">IFERROR(_xlfn.IFS(
    AC156="", "",
    AC156*86400 &lt; 30, "1. 0s - &lt;30s",
    AC156*86400 &lt; 60, "2. 30s - &lt;1m",
    AC156*86400 &lt; 300, "3. 1m - &lt;5m",
    AC156*86400 &lt; 1800, "4. 5m - &lt;30m",
    TRUE, "5. &gt;= 30m"
),"6. Invalid (Order rejected)")</f>
        <v>5. &gt;= 30m</v>
      </c>
    </row>
    <row r="157" spans="1:30" hidden="1" x14ac:dyDescent="0.3">
      <c r="A157" t="s">
        <v>963</v>
      </c>
      <c r="B157" t="s">
        <v>25</v>
      </c>
      <c r="C157">
        <v>42758642</v>
      </c>
      <c r="D157">
        <v>0</v>
      </c>
      <c r="E157" t="s">
        <v>25</v>
      </c>
      <c r="F157" t="s">
        <v>26</v>
      </c>
      <c r="G157" t="s">
        <v>27</v>
      </c>
      <c r="H157" t="s">
        <v>964</v>
      </c>
      <c r="I157" t="s">
        <v>965</v>
      </c>
      <c r="J157" t="s">
        <v>26</v>
      </c>
      <c r="K157" t="s">
        <v>26</v>
      </c>
      <c r="L157" t="s">
        <v>966</v>
      </c>
      <c r="M157" t="s">
        <v>25</v>
      </c>
      <c r="N157" t="s">
        <v>927</v>
      </c>
      <c r="O157" t="s">
        <v>928</v>
      </c>
      <c r="P157" t="s">
        <v>967</v>
      </c>
      <c r="Q157" t="s">
        <v>968</v>
      </c>
      <c r="R157">
        <v>258984</v>
      </c>
      <c r="S157">
        <v>0</v>
      </c>
      <c r="T157">
        <v>258984</v>
      </c>
      <c r="U157" t="s">
        <v>35</v>
      </c>
      <c r="V157" t="s">
        <v>929</v>
      </c>
      <c r="W157" t="s">
        <v>969</v>
      </c>
      <c r="X157" s="4">
        <v>1</v>
      </c>
      <c r="Y157" s="4"/>
      <c r="Z157">
        <f t="shared" si="8"/>
        <v>7</v>
      </c>
      <c r="AA157">
        <f t="shared" si="9"/>
        <v>14</v>
      </c>
      <c r="AB157" s="5">
        <f t="shared" si="10"/>
        <v>0.93321759259561077</v>
      </c>
      <c r="AC157" s="3">
        <f t="shared" si="11"/>
        <v>0.52094907407445135</v>
      </c>
      <c r="AD157" t="str" cm="1">
        <f t="array" ref="AD157">IFERROR(_xlfn.IFS(
    AC157="", "",
    AC157*86400 &lt; 30, "1. 0s - &lt;30s",
    AC157*86400 &lt; 60, "2. 30s - &lt;1m",
    AC157*86400 &lt; 300, "3. 1m - &lt;5m",
    AC157*86400 &lt; 1800, "4. 5m - &lt;30m",
    TRUE, "5. &gt;= 30m"
),"6. Invalid (Order rejected)")</f>
        <v>5. &gt;= 30m</v>
      </c>
    </row>
    <row r="158" spans="1:30" x14ac:dyDescent="0.3">
      <c r="A158" t="s">
        <v>970</v>
      </c>
      <c r="B158" t="s">
        <v>25</v>
      </c>
      <c r="C158">
        <v>42758642</v>
      </c>
      <c r="D158">
        <v>4446339</v>
      </c>
      <c r="E158" t="s">
        <v>25</v>
      </c>
      <c r="F158" t="s">
        <v>75</v>
      </c>
      <c r="G158" t="s">
        <v>360</v>
      </c>
      <c r="H158" t="s">
        <v>971</v>
      </c>
      <c r="I158" t="s">
        <v>972</v>
      </c>
      <c r="J158" t="s">
        <v>973</v>
      </c>
      <c r="K158" t="s">
        <v>26</v>
      </c>
      <c r="L158" t="s">
        <v>25</v>
      </c>
      <c r="M158" t="s">
        <v>25</v>
      </c>
      <c r="N158" t="s">
        <v>974</v>
      </c>
      <c r="O158" t="s">
        <v>975</v>
      </c>
      <c r="P158" t="s">
        <v>237</v>
      </c>
      <c r="Q158" t="s">
        <v>238</v>
      </c>
      <c r="R158">
        <v>222588</v>
      </c>
      <c r="S158">
        <v>172557</v>
      </c>
      <c r="T158">
        <v>50031</v>
      </c>
      <c r="U158" t="s">
        <v>35</v>
      </c>
      <c r="V158" t="s">
        <v>976</v>
      </c>
      <c r="W158" t="s">
        <v>239</v>
      </c>
      <c r="X158" s="4">
        <v>1</v>
      </c>
      <c r="Y158" s="4"/>
      <c r="Z158">
        <f t="shared" si="8"/>
        <v>7</v>
      </c>
      <c r="AA158">
        <f t="shared" si="9"/>
        <v>15</v>
      </c>
      <c r="AB158" s="5">
        <f t="shared" si="10"/>
        <v>0.23657407407154096</v>
      </c>
      <c r="AC158" s="3" t="str">
        <f t="shared" si="11"/>
        <v>Order rejected, no time available</v>
      </c>
      <c r="AD158" t="str" cm="1">
        <f t="array" ref="AD158">IFERROR(_xlfn.IFS(
    AC158="", "",
    AC158*86400 &lt; 30, "1. 0s - &lt;30s",
    AC158*86400 &lt; 60, "2. 30s - &lt;1m",
    AC158*86400 &lt; 300, "3. 1m - &lt;5m",
    AC158*86400 &lt; 1800, "4. 5m - &lt;30m",
    TRUE, "5. &gt;= 30m"
),"6. Invalid (Order rejected)")</f>
        <v>6. Invalid (Order rejected)</v>
      </c>
    </row>
    <row r="159" spans="1:30" x14ac:dyDescent="0.3">
      <c r="A159" t="s">
        <v>977</v>
      </c>
      <c r="B159" t="s">
        <v>25</v>
      </c>
      <c r="C159">
        <v>42758642</v>
      </c>
      <c r="D159">
        <v>2099731</v>
      </c>
      <c r="E159" t="s">
        <v>25</v>
      </c>
      <c r="F159" t="s">
        <v>75</v>
      </c>
      <c r="G159" t="s">
        <v>360</v>
      </c>
      <c r="H159" t="s">
        <v>978</v>
      </c>
      <c r="I159" t="s">
        <v>811</v>
      </c>
      <c r="J159" t="s">
        <v>979</v>
      </c>
      <c r="K159" t="s">
        <v>26</v>
      </c>
      <c r="L159" t="s">
        <v>25</v>
      </c>
      <c r="M159" t="s">
        <v>25</v>
      </c>
      <c r="N159" t="s">
        <v>980</v>
      </c>
      <c r="O159" t="s">
        <v>981</v>
      </c>
      <c r="P159" t="s">
        <v>351</v>
      </c>
      <c r="Q159" t="s">
        <v>352</v>
      </c>
      <c r="R159">
        <v>247320</v>
      </c>
      <c r="S159">
        <v>191730</v>
      </c>
      <c r="T159">
        <v>55590</v>
      </c>
      <c r="U159" t="s">
        <v>35</v>
      </c>
      <c r="V159" t="s">
        <v>982</v>
      </c>
      <c r="W159" t="s">
        <v>354</v>
      </c>
      <c r="X159" s="4">
        <v>1</v>
      </c>
      <c r="Y159" s="4"/>
      <c r="Z159">
        <f t="shared" si="8"/>
        <v>7</v>
      </c>
      <c r="AA159">
        <f t="shared" si="9"/>
        <v>15</v>
      </c>
      <c r="AB159" s="5">
        <f t="shared" si="10"/>
        <v>0.24245370370044839</v>
      </c>
      <c r="AC159" s="3" t="str">
        <f t="shared" si="11"/>
        <v>Order rejected, no time available</v>
      </c>
      <c r="AD159" t="str" cm="1">
        <f t="array" ref="AD159">IFERROR(_xlfn.IFS(
    AC159="", "",
    AC159*86400 &lt; 30, "1. 0s - &lt;30s",
    AC159*86400 &lt; 60, "2. 30s - &lt;1m",
    AC159*86400 &lt; 300, "3. 1m - &lt;5m",
    AC159*86400 &lt; 1800, "4. 5m - &lt;30m",
    TRUE, "5. &gt;= 30m"
),"6. Invalid (Order rejected)")</f>
        <v>6. Invalid (Order rejected)</v>
      </c>
    </row>
    <row r="160" spans="1:30" hidden="1" x14ac:dyDescent="0.3">
      <c r="A160" t="s">
        <v>983</v>
      </c>
      <c r="B160" t="s">
        <v>25</v>
      </c>
      <c r="C160">
        <v>42758642</v>
      </c>
      <c r="D160">
        <v>0</v>
      </c>
      <c r="E160" t="s">
        <v>25</v>
      </c>
      <c r="F160" t="s">
        <v>26</v>
      </c>
      <c r="G160" t="s">
        <v>27</v>
      </c>
      <c r="H160" t="s">
        <v>984</v>
      </c>
      <c r="I160" t="s">
        <v>985</v>
      </c>
      <c r="J160" t="s">
        <v>26</v>
      </c>
      <c r="K160" t="s">
        <v>26</v>
      </c>
      <c r="L160" t="s">
        <v>986</v>
      </c>
      <c r="M160" t="s">
        <v>25</v>
      </c>
      <c r="N160" t="s">
        <v>987</v>
      </c>
      <c r="O160" t="s">
        <v>988</v>
      </c>
      <c r="P160" t="s">
        <v>989</v>
      </c>
      <c r="Q160" t="s">
        <v>990</v>
      </c>
      <c r="R160">
        <v>142452</v>
      </c>
      <c r="S160">
        <v>0</v>
      </c>
      <c r="T160">
        <v>142452</v>
      </c>
      <c r="U160" t="s">
        <v>35</v>
      </c>
      <c r="V160" t="s">
        <v>991</v>
      </c>
      <c r="W160" t="s">
        <v>291</v>
      </c>
      <c r="X160" s="4">
        <v>1</v>
      </c>
      <c r="Y160" s="4"/>
      <c r="Z160">
        <f t="shared" si="8"/>
        <v>7</v>
      </c>
      <c r="AA160">
        <f t="shared" si="9"/>
        <v>15</v>
      </c>
      <c r="AB160" s="5">
        <f t="shared" si="10"/>
        <v>0.23374999999941792</v>
      </c>
      <c r="AC160" s="3">
        <f t="shared" si="11"/>
        <v>0.26486111111444188</v>
      </c>
      <c r="AD160" t="str" cm="1">
        <f t="array" ref="AD160">IFERROR(_xlfn.IFS(
    AC160="", "",
    AC160*86400 &lt; 30, "1. 0s - &lt;30s",
    AC160*86400 &lt; 60, "2. 30s - &lt;1m",
    AC160*86400 &lt; 300, "3. 1m - &lt;5m",
    AC160*86400 &lt; 1800, "4. 5m - &lt;30m",
    TRUE, "5. &gt;= 30m"
),"6. Invalid (Order rejected)")</f>
        <v>5. &gt;= 30m</v>
      </c>
    </row>
    <row r="161" spans="1:30" x14ac:dyDescent="0.3">
      <c r="A161" t="s">
        <v>992</v>
      </c>
      <c r="B161" t="s">
        <v>25</v>
      </c>
      <c r="C161">
        <v>42758642</v>
      </c>
      <c r="D161">
        <v>4107547</v>
      </c>
      <c r="E161" t="s">
        <v>25</v>
      </c>
      <c r="F161" t="s">
        <v>75</v>
      </c>
      <c r="G161" t="s">
        <v>360</v>
      </c>
      <c r="H161" t="s">
        <v>993</v>
      </c>
      <c r="I161" t="s">
        <v>811</v>
      </c>
      <c r="J161" t="s">
        <v>994</v>
      </c>
      <c r="K161" t="s">
        <v>26</v>
      </c>
      <c r="L161" t="s">
        <v>25</v>
      </c>
      <c r="M161" t="s">
        <v>25</v>
      </c>
      <c r="N161" t="s">
        <v>974</v>
      </c>
      <c r="O161" t="s">
        <v>975</v>
      </c>
      <c r="P161" t="s">
        <v>81</v>
      </c>
      <c r="Q161" t="s">
        <v>82</v>
      </c>
      <c r="R161">
        <v>181008</v>
      </c>
      <c r="S161">
        <v>140323</v>
      </c>
      <c r="T161">
        <v>40685</v>
      </c>
      <c r="U161" t="s">
        <v>35</v>
      </c>
      <c r="V161" t="s">
        <v>976</v>
      </c>
      <c r="W161" t="s">
        <v>83</v>
      </c>
      <c r="X161" s="4">
        <v>1</v>
      </c>
      <c r="Y161" s="4"/>
      <c r="Z161">
        <f t="shared" si="8"/>
        <v>7</v>
      </c>
      <c r="AA161">
        <f t="shared" si="9"/>
        <v>15</v>
      </c>
      <c r="AB161" s="5">
        <f t="shared" si="10"/>
        <v>0.23548611110891216</v>
      </c>
      <c r="AC161" s="3" t="str">
        <f t="shared" si="11"/>
        <v>Order rejected, no time available</v>
      </c>
      <c r="AD161" t="str" cm="1">
        <f t="array" ref="AD161">IFERROR(_xlfn.IFS(
    AC161="", "",
    AC161*86400 &lt; 30, "1. 0s - &lt;30s",
    AC161*86400 &lt; 60, "2. 30s - &lt;1m",
    AC161*86400 &lt; 300, "3. 1m - &lt;5m",
    AC161*86400 &lt; 1800, "4. 5m - &lt;30m",
    TRUE, "5. &gt;= 30m"
),"6. Invalid (Order rejected)")</f>
        <v>6. Invalid (Order rejected)</v>
      </c>
    </row>
    <row r="162" spans="1:30" hidden="1" x14ac:dyDescent="0.3">
      <c r="A162" t="s">
        <v>995</v>
      </c>
      <c r="B162" t="s">
        <v>25</v>
      </c>
      <c r="C162">
        <v>42758642</v>
      </c>
      <c r="D162">
        <v>0</v>
      </c>
      <c r="E162" t="s">
        <v>25</v>
      </c>
      <c r="F162" t="s">
        <v>26</v>
      </c>
      <c r="G162" t="s">
        <v>27</v>
      </c>
      <c r="H162" t="s">
        <v>996</v>
      </c>
      <c r="I162" t="s">
        <v>811</v>
      </c>
      <c r="J162" t="s">
        <v>26</v>
      </c>
      <c r="K162" t="s">
        <v>26</v>
      </c>
      <c r="L162" t="s">
        <v>997</v>
      </c>
      <c r="M162" t="s">
        <v>25</v>
      </c>
      <c r="N162" t="s">
        <v>974</v>
      </c>
      <c r="O162" t="s">
        <v>975</v>
      </c>
      <c r="P162" t="s">
        <v>418</v>
      </c>
      <c r="Q162" t="s">
        <v>419</v>
      </c>
      <c r="R162">
        <v>280044</v>
      </c>
      <c r="S162">
        <v>0</v>
      </c>
      <c r="T162">
        <v>280044</v>
      </c>
      <c r="U162" t="s">
        <v>35</v>
      </c>
      <c r="V162" t="s">
        <v>976</v>
      </c>
      <c r="W162" t="s">
        <v>420</v>
      </c>
      <c r="X162" s="4">
        <v>1</v>
      </c>
      <c r="Y162" s="4"/>
      <c r="Z162">
        <f t="shared" si="8"/>
        <v>7</v>
      </c>
      <c r="AA162">
        <f t="shared" si="9"/>
        <v>15</v>
      </c>
      <c r="AB162" s="5">
        <f t="shared" si="10"/>
        <v>0.23733796296437504</v>
      </c>
      <c r="AC162" s="3">
        <f t="shared" si="11"/>
        <v>0.22100694444088731</v>
      </c>
      <c r="AD162" t="str" cm="1">
        <f t="array" ref="AD162">IFERROR(_xlfn.IFS(
    AC162="", "",
    AC162*86400 &lt; 30, "1. 0s - &lt;30s",
    AC162*86400 &lt; 60, "2. 30s - &lt;1m",
    AC162*86400 &lt; 300, "3. 1m - &lt;5m",
    AC162*86400 &lt; 1800, "4. 5m - &lt;30m",
    TRUE, "5. &gt;= 30m"
),"6. Invalid (Order rejected)")</f>
        <v>5. &gt;= 30m</v>
      </c>
    </row>
    <row r="163" spans="1:30" hidden="1" x14ac:dyDescent="0.3">
      <c r="A163" t="s">
        <v>998</v>
      </c>
      <c r="B163" t="s">
        <v>25</v>
      </c>
      <c r="C163">
        <v>42758642</v>
      </c>
      <c r="D163">
        <v>4522767</v>
      </c>
      <c r="E163" t="s">
        <v>25</v>
      </c>
      <c r="F163" t="s">
        <v>75</v>
      </c>
      <c r="G163" t="s">
        <v>76</v>
      </c>
      <c r="H163" t="s">
        <v>999</v>
      </c>
      <c r="I163" t="s">
        <v>811</v>
      </c>
      <c r="J163" t="s">
        <v>1000</v>
      </c>
      <c r="K163" t="s">
        <v>26</v>
      </c>
      <c r="L163" t="s">
        <v>1001</v>
      </c>
      <c r="M163" t="s">
        <v>25</v>
      </c>
      <c r="N163" t="s">
        <v>1002</v>
      </c>
      <c r="O163" t="s">
        <v>1003</v>
      </c>
      <c r="P163" t="s">
        <v>246</v>
      </c>
      <c r="Q163" t="s">
        <v>247</v>
      </c>
      <c r="R163">
        <v>111132</v>
      </c>
      <c r="S163">
        <v>86153</v>
      </c>
      <c r="T163">
        <v>24979</v>
      </c>
      <c r="U163" t="s">
        <v>35</v>
      </c>
      <c r="V163" t="s">
        <v>1004</v>
      </c>
      <c r="W163" t="s">
        <v>249</v>
      </c>
      <c r="X163" s="4">
        <v>1</v>
      </c>
      <c r="Y163" s="4"/>
      <c r="Z163">
        <f t="shared" si="8"/>
        <v>7</v>
      </c>
      <c r="AA163">
        <f t="shared" si="9"/>
        <v>15</v>
      </c>
      <c r="AB163" s="5">
        <f t="shared" si="10"/>
        <v>0.24599537037283881</v>
      </c>
      <c r="AC163" s="3">
        <f t="shared" si="11"/>
        <v>5.6192129624832887E-2</v>
      </c>
      <c r="AD163" t="str" cm="1">
        <f t="array" ref="AD163">IFERROR(_xlfn.IFS(
    AC163="", "",
    AC163*86400 &lt; 30, "1. 0s - &lt;30s",
    AC163*86400 &lt; 60, "2. 30s - &lt;1m",
    AC163*86400 &lt; 300, "3. 1m - &lt;5m",
    AC163*86400 &lt; 1800, "4. 5m - &lt;30m",
    TRUE, "5. &gt;= 30m"
),"6. Invalid (Order rejected)")</f>
        <v>5. &gt;= 30m</v>
      </c>
    </row>
    <row r="164" spans="1:30" hidden="1" x14ac:dyDescent="0.3">
      <c r="A164" t="s">
        <v>1005</v>
      </c>
      <c r="B164" t="s">
        <v>25</v>
      </c>
      <c r="C164">
        <v>42758642</v>
      </c>
      <c r="D164">
        <v>0</v>
      </c>
      <c r="E164" t="s">
        <v>25</v>
      </c>
      <c r="F164" t="s">
        <v>26</v>
      </c>
      <c r="G164" t="s">
        <v>27</v>
      </c>
      <c r="H164" t="s">
        <v>1006</v>
      </c>
      <c r="I164" t="s">
        <v>955</v>
      </c>
      <c r="J164" t="s">
        <v>26</v>
      </c>
      <c r="K164" t="s">
        <v>26</v>
      </c>
      <c r="L164" t="s">
        <v>1007</v>
      </c>
      <c r="M164" t="s">
        <v>25</v>
      </c>
      <c r="N164" t="s">
        <v>987</v>
      </c>
      <c r="O164" t="s">
        <v>988</v>
      </c>
      <c r="P164" t="s">
        <v>1008</v>
      </c>
      <c r="Q164" t="s">
        <v>1009</v>
      </c>
      <c r="R164">
        <v>185004</v>
      </c>
      <c r="S164">
        <v>0</v>
      </c>
      <c r="T164">
        <v>185004</v>
      </c>
      <c r="U164" t="s">
        <v>35</v>
      </c>
      <c r="V164" t="s">
        <v>991</v>
      </c>
      <c r="W164" t="s">
        <v>392</v>
      </c>
      <c r="X164" s="4">
        <v>1</v>
      </c>
      <c r="Y164" s="4"/>
      <c r="Z164">
        <f t="shared" si="8"/>
        <v>7</v>
      </c>
      <c r="AA164">
        <f t="shared" si="9"/>
        <v>15</v>
      </c>
      <c r="AB164" s="5">
        <f t="shared" si="10"/>
        <v>0.23453703703853535</v>
      </c>
      <c r="AC164" s="3">
        <f t="shared" si="11"/>
        <v>0.21754629629140254</v>
      </c>
      <c r="AD164" t="str" cm="1">
        <f t="array" ref="AD164">IFERROR(_xlfn.IFS(
    AC164="", "",
    AC164*86400 &lt; 30, "1. 0s - &lt;30s",
    AC164*86400 &lt; 60, "2. 30s - &lt;1m",
    AC164*86400 &lt; 300, "3. 1m - &lt;5m",
    AC164*86400 &lt; 1800, "4. 5m - &lt;30m",
    TRUE, "5. &gt;= 30m"
),"6. Invalid (Order rejected)")</f>
        <v>5. &gt;= 30m</v>
      </c>
    </row>
    <row r="165" spans="1:30" x14ac:dyDescent="0.3">
      <c r="A165" t="s">
        <v>1010</v>
      </c>
      <c r="B165" t="s">
        <v>25</v>
      </c>
      <c r="C165">
        <v>42758642</v>
      </c>
      <c r="D165">
        <v>4190254</v>
      </c>
      <c r="E165" t="s">
        <v>25</v>
      </c>
      <c r="F165" t="s">
        <v>75</v>
      </c>
      <c r="G165" t="s">
        <v>360</v>
      </c>
      <c r="H165" t="s">
        <v>1011</v>
      </c>
      <c r="I165" t="s">
        <v>985</v>
      </c>
      <c r="J165" t="s">
        <v>1012</v>
      </c>
      <c r="K165" t="s">
        <v>26</v>
      </c>
      <c r="L165" t="s">
        <v>25</v>
      </c>
      <c r="M165" t="s">
        <v>25</v>
      </c>
      <c r="N165" t="s">
        <v>1013</v>
      </c>
      <c r="O165" t="s">
        <v>1014</v>
      </c>
      <c r="P165" t="s">
        <v>418</v>
      </c>
      <c r="Q165" t="s">
        <v>419</v>
      </c>
      <c r="R165">
        <v>272052</v>
      </c>
      <c r="S165">
        <v>210903</v>
      </c>
      <c r="T165">
        <v>61149</v>
      </c>
      <c r="U165" t="s">
        <v>35</v>
      </c>
      <c r="V165" t="s">
        <v>1015</v>
      </c>
      <c r="W165" t="s">
        <v>420</v>
      </c>
      <c r="X165" s="4">
        <v>1</v>
      </c>
      <c r="Y165" s="4"/>
      <c r="Z165">
        <f t="shared" si="8"/>
        <v>7</v>
      </c>
      <c r="AA165">
        <f t="shared" si="9"/>
        <v>15</v>
      </c>
      <c r="AB165" s="5">
        <f t="shared" si="10"/>
        <v>0.23908564815064892</v>
      </c>
      <c r="AC165" s="3" t="str">
        <f t="shared" si="11"/>
        <v>Order rejected, no time available</v>
      </c>
      <c r="AD165" t="str" cm="1">
        <f t="array" ref="AD165">IFERROR(_xlfn.IFS(
    AC165="", "",
    AC165*86400 &lt; 30, "1. 0s - &lt;30s",
    AC165*86400 &lt; 60, "2. 30s - &lt;1m",
    AC165*86400 &lt; 300, "3. 1m - &lt;5m",
    AC165*86400 &lt; 1800, "4. 5m - &lt;30m",
    TRUE, "5. &gt;= 30m"
),"6. Invalid (Order rejected)")</f>
        <v>6. Invalid (Order rejected)</v>
      </c>
    </row>
    <row r="166" spans="1:30" hidden="1" x14ac:dyDescent="0.3">
      <c r="A166" t="s">
        <v>1016</v>
      </c>
      <c r="B166" t="s">
        <v>25</v>
      </c>
      <c r="C166">
        <v>42758642</v>
      </c>
      <c r="D166">
        <v>3106185</v>
      </c>
      <c r="E166" t="s">
        <v>25</v>
      </c>
      <c r="F166" t="s">
        <v>75</v>
      </c>
      <c r="G166" t="s">
        <v>76</v>
      </c>
      <c r="H166" t="s">
        <v>1017</v>
      </c>
      <c r="I166" t="s">
        <v>1018</v>
      </c>
      <c r="J166" t="s">
        <v>1019</v>
      </c>
      <c r="K166" t="s">
        <v>26</v>
      </c>
      <c r="L166" t="s">
        <v>1020</v>
      </c>
      <c r="M166" t="s">
        <v>25</v>
      </c>
      <c r="N166" t="s">
        <v>1013</v>
      </c>
      <c r="O166" t="s">
        <v>1014</v>
      </c>
      <c r="P166" t="s">
        <v>390</v>
      </c>
      <c r="Q166" t="s">
        <v>391</v>
      </c>
      <c r="R166">
        <v>147312</v>
      </c>
      <c r="S166">
        <v>114201</v>
      </c>
      <c r="T166">
        <v>33111</v>
      </c>
      <c r="U166" t="s">
        <v>35</v>
      </c>
      <c r="V166" t="s">
        <v>1015</v>
      </c>
      <c r="W166" t="s">
        <v>392</v>
      </c>
      <c r="X166" s="4">
        <v>1</v>
      </c>
      <c r="Y166" s="4"/>
      <c r="Z166">
        <f t="shared" si="8"/>
        <v>7</v>
      </c>
      <c r="AA166">
        <f t="shared" si="9"/>
        <v>15</v>
      </c>
      <c r="AB166" s="5">
        <f t="shared" si="10"/>
        <v>0.23951388888963265</v>
      </c>
      <c r="AC166" s="3">
        <f t="shared" si="11"/>
        <v>0.16909722222044365</v>
      </c>
      <c r="AD166" t="str" cm="1">
        <f t="array" ref="AD166">IFERROR(_xlfn.IFS(
    AC166="", "",
    AC166*86400 &lt; 30, "1. 0s - &lt;30s",
    AC166*86400 &lt; 60, "2. 30s - &lt;1m",
    AC166*86400 &lt; 300, "3. 1m - &lt;5m",
    AC166*86400 &lt; 1800, "4. 5m - &lt;30m",
    TRUE, "5. &gt;= 30m"
),"6. Invalid (Order rejected)")</f>
        <v>5. &gt;= 30m</v>
      </c>
    </row>
    <row r="167" spans="1:30" x14ac:dyDescent="0.3">
      <c r="A167" t="s">
        <v>1021</v>
      </c>
      <c r="B167" t="s">
        <v>25</v>
      </c>
      <c r="C167">
        <v>42758642</v>
      </c>
      <c r="D167">
        <v>2338269</v>
      </c>
      <c r="E167" t="s">
        <v>25</v>
      </c>
      <c r="F167" t="s">
        <v>75</v>
      </c>
      <c r="G167" t="s">
        <v>360</v>
      </c>
      <c r="H167" t="s">
        <v>1022</v>
      </c>
      <c r="I167" t="s">
        <v>714</v>
      </c>
      <c r="J167" t="s">
        <v>1023</v>
      </c>
      <c r="K167" t="s">
        <v>1024</v>
      </c>
      <c r="L167" t="s">
        <v>25</v>
      </c>
      <c r="M167" t="s">
        <v>25</v>
      </c>
      <c r="N167" t="s">
        <v>1002</v>
      </c>
      <c r="O167" t="s">
        <v>1003</v>
      </c>
      <c r="P167" t="s">
        <v>1025</v>
      </c>
      <c r="Q167" t="s">
        <v>1026</v>
      </c>
      <c r="R167">
        <v>118152</v>
      </c>
      <c r="S167">
        <v>91595</v>
      </c>
      <c r="T167">
        <v>26557</v>
      </c>
      <c r="U167" t="s">
        <v>35</v>
      </c>
      <c r="V167" t="s">
        <v>1004</v>
      </c>
      <c r="W167" t="s">
        <v>1027</v>
      </c>
      <c r="X167" s="4">
        <v>1</v>
      </c>
      <c r="Y167" s="4"/>
      <c r="Z167">
        <f t="shared" si="8"/>
        <v>7</v>
      </c>
      <c r="AA167">
        <f t="shared" si="9"/>
        <v>15</v>
      </c>
      <c r="AB167" s="5">
        <f t="shared" si="10"/>
        <v>0.24552083333401242</v>
      </c>
      <c r="AC167" s="3" t="str">
        <f t="shared" si="11"/>
        <v>Order rejected, no time available</v>
      </c>
      <c r="AD167" t="str" cm="1">
        <f t="array" ref="AD167">IFERROR(_xlfn.IFS(
    AC167="", "",
    AC167*86400 &lt; 30, "1. 0s - &lt;30s",
    AC167*86400 &lt; 60, "2. 30s - &lt;1m",
    AC167*86400 &lt; 300, "3. 1m - &lt;5m",
    AC167*86400 &lt; 1800, "4. 5m - &lt;30m",
    TRUE, "5. &gt;= 30m"
),"6. Invalid (Order rejected)")</f>
        <v>6. Invalid (Order rejected)</v>
      </c>
    </row>
    <row r="168" spans="1:30" x14ac:dyDescent="0.3">
      <c r="A168" t="s">
        <v>1028</v>
      </c>
      <c r="B168" t="s">
        <v>25</v>
      </c>
      <c r="C168">
        <v>42758642</v>
      </c>
      <c r="D168">
        <v>1841005</v>
      </c>
      <c r="E168" t="s">
        <v>25</v>
      </c>
      <c r="F168" t="s">
        <v>75</v>
      </c>
      <c r="G168" t="s">
        <v>360</v>
      </c>
      <c r="H168" t="s">
        <v>1029</v>
      </c>
      <c r="I168" t="s">
        <v>1018</v>
      </c>
      <c r="J168" t="s">
        <v>1030</v>
      </c>
      <c r="K168" t="s">
        <v>26</v>
      </c>
      <c r="L168" t="s">
        <v>25</v>
      </c>
      <c r="M168" t="s">
        <v>25</v>
      </c>
      <c r="N168" t="s">
        <v>1013</v>
      </c>
      <c r="O168" t="s">
        <v>1014</v>
      </c>
      <c r="P168" t="s">
        <v>81</v>
      </c>
      <c r="Q168" t="s">
        <v>82</v>
      </c>
      <c r="R168">
        <v>150012</v>
      </c>
      <c r="S168">
        <v>116294</v>
      </c>
      <c r="T168">
        <v>33718</v>
      </c>
      <c r="U168" t="s">
        <v>35</v>
      </c>
      <c r="V168" t="s">
        <v>1015</v>
      </c>
      <c r="W168" t="s">
        <v>83</v>
      </c>
      <c r="X168" s="4">
        <v>1</v>
      </c>
      <c r="Y168" s="4"/>
      <c r="Z168">
        <f t="shared" si="8"/>
        <v>7</v>
      </c>
      <c r="AA168">
        <f t="shared" si="9"/>
        <v>15</v>
      </c>
      <c r="AB168" s="5">
        <f t="shared" si="10"/>
        <v>0.23989583333604969</v>
      </c>
      <c r="AC168" s="3" t="str">
        <f t="shared" si="11"/>
        <v>Order rejected, no time available</v>
      </c>
      <c r="AD168" t="str" cm="1">
        <f t="array" ref="AD168">IFERROR(_xlfn.IFS(
    AC168="", "",
    AC168*86400 &lt; 30, "1. 0s - &lt;30s",
    AC168*86400 &lt; 60, "2. 30s - &lt;1m",
    AC168*86400 &lt; 300, "3. 1m - &lt;5m",
    AC168*86400 &lt; 1800, "4. 5m - &lt;30m",
    TRUE, "5. &gt;= 30m"
),"6. Invalid (Order rejected)")</f>
        <v>6. Invalid (Order rejected)</v>
      </c>
    </row>
    <row r="169" spans="1:30" hidden="1" x14ac:dyDescent="0.3">
      <c r="A169" t="s">
        <v>1031</v>
      </c>
      <c r="B169" t="s">
        <v>25</v>
      </c>
      <c r="C169">
        <v>42758642</v>
      </c>
      <c r="D169">
        <v>0</v>
      </c>
      <c r="E169" t="s">
        <v>25</v>
      </c>
      <c r="F169" t="s">
        <v>26</v>
      </c>
      <c r="G169" t="s">
        <v>27</v>
      </c>
      <c r="H169" t="s">
        <v>1032</v>
      </c>
      <c r="I169" t="s">
        <v>1033</v>
      </c>
      <c r="J169" t="s">
        <v>26</v>
      </c>
      <c r="K169" t="s">
        <v>26</v>
      </c>
      <c r="L169" t="s">
        <v>1034</v>
      </c>
      <c r="M169" t="s">
        <v>25</v>
      </c>
      <c r="N169" t="s">
        <v>987</v>
      </c>
      <c r="O169" t="s">
        <v>988</v>
      </c>
      <c r="P169" t="s">
        <v>857</v>
      </c>
      <c r="Q169" t="s">
        <v>858</v>
      </c>
      <c r="R169">
        <v>132840</v>
      </c>
      <c r="S169">
        <v>0</v>
      </c>
      <c r="T169">
        <v>132840</v>
      </c>
      <c r="U169" t="s">
        <v>35</v>
      </c>
      <c r="V169" t="s">
        <v>991</v>
      </c>
      <c r="W169" t="s">
        <v>860</v>
      </c>
      <c r="X169" s="4">
        <v>1</v>
      </c>
      <c r="Y169" s="4"/>
      <c r="Z169">
        <f t="shared" si="8"/>
        <v>7</v>
      </c>
      <c r="AA169">
        <f t="shared" si="9"/>
        <v>15</v>
      </c>
      <c r="AB169" s="5">
        <f t="shared" si="10"/>
        <v>0.23410879629955161</v>
      </c>
      <c r="AC169" s="3">
        <f t="shared" si="11"/>
        <v>0.26590277777722804</v>
      </c>
      <c r="AD169" t="str" cm="1">
        <f t="array" ref="AD169">IFERROR(_xlfn.IFS(
    AC169="", "",
    AC169*86400 &lt; 30, "1. 0s - &lt;30s",
    AC169*86400 &lt; 60, "2. 30s - &lt;1m",
    AC169*86400 &lt; 300, "3. 1m - &lt;5m",
    AC169*86400 &lt; 1800, "4. 5m - &lt;30m",
    TRUE, "5. &gt;= 30m"
),"6. Invalid (Order rejected)")</f>
        <v>5. &gt;= 30m</v>
      </c>
    </row>
    <row r="170" spans="1:30" x14ac:dyDescent="0.3">
      <c r="A170" t="s">
        <v>1035</v>
      </c>
      <c r="B170" t="s">
        <v>25</v>
      </c>
      <c r="C170">
        <v>42758642</v>
      </c>
      <c r="D170">
        <v>2935586</v>
      </c>
      <c r="E170" t="s">
        <v>25</v>
      </c>
      <c r="F170" t="s">
        <v>75</v>
      </c>
      <c r="G170" t="s">
        <v>360</v>
      </c>
      <c r="H170" t="s">
        <v>1036</v>
      </c>
      <c r="I170" t="s">
        <v>1037</v>
      </c>
      <c r="J170" t="s">
        <v>1038</v>
      </c>
      <c r="K170" t="s">
        <v>26</v>
      </c>
      <c r="L170" t="s">
        <v>25</v>
      </c>
      <c r="M170" t="s">
        <v>25</v>
      </c>
      <c r="N170" t="s">
        <v>1013</v>
      </c>
      <c r="O170" t="s">
        <v>1014</v>
      </c>
      <c r="P170" t="s">
        <v>857</v>
      </c>
      <c r="Q170" t="s">
        <v>858</v>
      </c>
      <c r="R170">
        <v>111888</v>
      </c>
      <c r="S170">
        <v>86739</v>
      </c>
      <c r="T170">
        <v>25149</v>
      </c>
      <c r="U170" t="s">
        <v>35</v>
      </c>
      <c r="V170" t="s">
        <v>1015</v>
      </c>
      <c r="W170" t="s">
        <v>860</v>
      </c>
      <c r="X170" s="4">
        <v>1</v>
      </c>
      <c r="Y170" s="4"/>
      <c r="Z170">
        <f t="shared" si="8"/>
        <v>7</v>
      </c>
      <c r="AA170">
        <f t="shared" si="9"/>
        <v>15</v>
      </c>
      <c r="AB170" s="5">
        <f t="shared" si="10"/>
        <v>0.24072916666773381</v>
      </c>
      <c r="AC170" s="3" t="str">
        <f t="shared" si="11"/>
        <v>Order rejected, no time available</v>
      </c>
      <c r="AD170" t="str" cm="1">
        <f t="array" ref="AD170">IFERROR(_xlfn.IFS(
    AC170="", "",
    AC170*86400 &lt; 30, "1. 0s - &lt;30s",
    AC170*86400 &lt; 60, "2. 30s - &lt;1m",
    AC170*86400 &lt; 300, "3. 1m - &lt;5m",
    AC170*86400 &lt; 1800, "4. 5m - &lt;30m",
    TRUE, "5. &gt;= 30m"
),"6. Invalid (Order rejected)")</f>
        <v>6. Invalid (Order rejected)</v>
      </c>
    </row>
    <row r="171" spans="1:30" hidden="1" x14ac:dyDescent="0.3">
      <c r="A171" t="s">
        <v>1039</v>
      </c>
      <c r="B171" t="s">
        <v>25</v>
      </c>
      <c r="C171">
        <v>42758642</v>
      </c>
      <c r="D171">
        <v>4522767</v>
      </c>
      <c r="E171" t="s">
        <v>25</v>
      </c>
      <c r="F171" t="s">
        <v>75</v>
      </c>
      <c r="G171" t="s">
        <v>76</v>
      </c>
      <c r="H171" t="s">
        <v>1040</v>
      </c>
      <c r="I171" t="s">
        <v>661</v>
      </c>
      <c r="J171" t="s">
        <v>1041</v>
      </c>
      <c r="K171" t="s">
        <v>26</v>
      </c>
      <c r="L171" t="s">
        <v>1042</v>
      </c>
      <c r="M171" t="s">
        <v>25</v>
      </c>
      <c r="N171" t="s">
        <v>1002</v>
      </c>
      <c r="O171" t="s">
        <v>1003</v>
      </c>
      <c r="P171" t="s">
        <v>1043</v>
      </c>
      <c r="Q171" t="s">
        <v>1044</v>
      </c>
      <c r="R171">
        <v>78408</v>
      </c>
      <c r="S171">
        <v>60784</v>
      </c>
      <c r="T171">
        <v>17624</v>
      </c>
      <c r="U171" t="s">
        <v>35</v>
      </c>
      <c r="V171" t="s">
        <v>1004</v>
      </c>
      <c r="W171" t="s">
        <v>266</v>
      </c>
      <c r="X171" s="4">
        <v>1</v>
      </c>
      <c r="Y171" s="4"/>
      <c r="Z171">
        <f t="shared" si="8"/>
        <v>7</v>
      </c>
      <c r="AA171">
        <f t="shared" si="9"/>
        <v>15</v>
      </c>
      <c r="AB171" s="5">
        <f t="shared" si="10"/>
        <v>0.24674768518161727</v>
      </c>
      <c r="AC171" s="3">
        <f t="shared" si="11"/>
        <v>5.4155092599103227E-2</v>
      </c>
      <c r="AD171" t="str" cm="1">
        <f t="array" ref="AD171">IFERROR(_xlfn.IFS(
    AC171="", "",
    AC171*86400 &lt; 30, "1. 0s - &lt;30s",
    AC171*86400 &lt; 60, "2. 30s - &lt;1m",
    AC171*86400 &lt; 300, "3. 1m - &lt;5m",
    AC171*86400 &lt; 1800, "4. 5m - &lt;30m",
    TRUE, "5. &gt;= 30m"
),"6. Invalid (Order rejected)")</f>
        <v>5. &gt;= 30m</v>
      </c>
    </row>
    <row r="172" spans="1:30" hidden="1" x14ac:dyDescent="0.3">
      <c r="A172" t="s">
        <v>1045</v>
      </c>
      <c r="B172" t="s">
        <v>25</v>
      </c>
      <c r="C172">
        <v>42758642</v>
      </c>
      <c r="D172">
        <v>0</v>
      </c>
      <c r="E172" t="s">
        <v>25</v>
      </c>
      <c r="F172" t="s">
        <v>26</v>
      </c>
      <c r="G172" t="s">
        <v>27</v>
      </c>
      <c r="H172" t="s">
        <v>1046</v>
      </c>
      <c r="I172" t="s">
        <v>1047</v>
      </c>
      <c r="J172" t="s">
        <v>26</v>
      </c>
      <c r="K172" t="s">
        <v>26</v>
      </c>
      <c r="L172" t="s">
        <v>1048</v>
      </c>
      <c r="M172" t="s">
        <v>25</v>
      </c>
      <c r="N172" t="s">
        <v>1049</v>
      </c>
      <c r="O172" t="s">
        <v>1050</v>
      </c>
      <c r="P172" t="s">
        <v>342</v>
      </c>
      <c r="Q172" t="s">
        <v>343</v>
      </c>
      <c r="R172">
        <v>96768</v>
      </c>
      <c r="S172">
        <v>0</v>
      </c>
      <c r="T172">
        <v>96768</v>
      </c>
      <c r="U172" t="s">
        <v>35</v>
      </c>
      <c r="V172" t="s">
        <v>1051</v>
      </c>
      <c r="W172" t="s">
        <v>344</v>
      </c>
      <c r="X172" s="4">
        <v>1</v>
      </c>
      <c r="Y172" s="4"/>
      <c r="Z172">
        <f t="shared" si="8"/>
        <v>7</v>
      </c>
      <c r="AA172">
        <f t="shared" si="9"/>
        <v>15</v>
      </c>
      <c r="AB172" s="5">
        <f t="shared" si="10"/>
        <v>0.23181712962832535</v>
      </c>
      <c r="AC172" s="3">
        <f t="shared" si="11"/>
        <v>0.270960648151231</v>
      </c>
      <c r="AD172" t="str" cm="1">
        <f t="array" ref="AD172">IFERROR(_xlfn.IFS(
    AC172="", "",
    AC172*86400 &lt; 30, "1. 0s - &lt;30s",
    AC172*86400 &lt; 60, "2. 30s - &lt;1m",
    AC172*86400 &lt; 300, "3. 1m - &lt;5m",
    AC172*86400 &lt; 1800, "4. 5m - &lt;30m",
    TRUE, "5. &gt;= 30m"
),"6. Invalid (Order rejected)")</f>
        <v>5. &gt;= 30m</v>
      </c>
    </row>
    <row r="173" spans="1:30" x14ac:dyDescent="0.3">
      <c r="A173" t="s">
        <v>1052</v>
      </c>
      <c r="B173" t="s">
        <v>25</v>
      </c>
      <c r="C173">
        <v>42758642</v>
      </c>
      <c r="D173">
        <v>4605696</v>
      </c>
      <c r="E173" t="s">
        <v>25</v>
      </c>
      <c r="F173" t="s">
        <v>75</v>
      </c>
      <c r="G173" t="s">
        <v>360</v>
      </c>
      <c r="H173" t="s">
        <v>1053</v>
      </c>
      <c r="I173" t="s">
        <v>1054</v>
      </c>
      <c r="J173" t="s">
        <v>1055</v>
      </c>
      <c r="K173" t="s">
        <v>26</v>
      </c>
      <c r="L173" t="s">
        <v>25</v>
      </c>
      <c r="M173" t="s">
        <v>25</v>
      </c>
      <c r="N173" t="s">
        <v>1049</v>
      </c>
      <c r="O173" t="s">
        <v>1050</v>
      </c>
      <c r="P173" t="s">
        <v>616</v>
      </c>
      <c r="Q173" t="s">
        <v>617</v>
      </c>
      <c r="R173">
        <v>208116</v>
      </c>
      <c r="S173">
        <v>161338</v>
      </c>
      <c r="T173">
        <v>46778</v>
      </c>
      <c r="U173" t="s">
        <v>35</v>
      </c>
      <c r="V173" t="s">
        <v>1051</v>
      </c>
      <c r="W173" t="s">
        <v>619</v>
      </c>
      <c r="X173" s="4">
        <v>1</v>
      </c>
      <c r="Y173" s="4"/>
      <c r="Z173">
        <f t="shared" si="8"/>
        <v>7</v>
      </c>
      <c r="AA173">
        <f t="shared" si="9"/>
        <v>15</v>
      </c>
      <c r="AB173" s="5">
        <f t="shared" si="10"/>
        <v>0.22899305555620231</v>
      </c>
      <c r="AC173" s="3" t="str">
        <f t="shared" si="11"/>
        <v>Order rejected, no time available</v>
      </c>
      <c r="AD173" t="str" cm="1">
        <f t="array" ref="AD173">IFERROR(_xlfn.IFS(
    AC173="", "",
    AC173*86400 &lt; 30, "1. 0s - &lt;30s",
    AC173*86400 &lt; 60, "2. 30s - &lt;1m",
    AC173*86400 &lt; 300, "3. 1m - &lt;5m",
    AC173*86400 &lt; 1800, "4. 5m - &lt;30m",
    TRUE, "5. &gt;= 30m"
),"6. Invalid (Order rejected)")</f>
        <v>6. Invalid (Order rejected)</v>
      </c>
    </row>
    <row r="174" spans="1:30" x14ac:dyDescent="0.3">
      <c r="A174" t="s">
        <v>1056</v>
      </c>
      <c r="B174" t="s">
        <v>25</v>
      </c>
      <c r="C174">
        <v>42758642</v>
      </c>
      <c r="D174">
        <v>4629882</v>
      </c>
      <c r="E174" t="s">
        <v>25</v>
      </c>
      <c r="F174" t="s">
        <v>75</v>
      </c>
      <c r="G174" t="s">
        <v>360</v>
      </c>
      <c r="H174" t="s">
        <v>1057</v>
      </c>
      <c r="I174" t="s">
        <v>604</v>
      </c>
      <c r="J174" t="s">
        <v>1058</v>
      </c>
      <c r="K174" t="s">
        <v>26</v>
      </c>
      <c r="L174" t="s">
        <v>25</v>
      </c>
      <c r="M174" t="s">
        <v>25</v>
      </c>
      <c r="N174" t="s">
        <v>1049</v>
      </c>
      <c r="O174" t="s">
        <v>1050</v>
      </c>
      <c r="P174" t="s">
        <v>317</v>
      </c>
      <c r="Q174" t="s">
        <v>318</v>
      </c>
      <c r="R174">
        <v>208980</v>
      </c>
      <c r="S174">
        <v>162008</v>
      </c>
      <c r="T174">
        <v>46972</v>
      </c>
      <c r="U174" t="s">
        <v>35</v>
      </c>
      <c r="V174" t="s">
        <v>1051</v>
      </c>
      <c r="W174" t="s">
        <v>319</v>
      </c>
      <c r="X174" s="4">
        <v>1</v>
      </c>
      <c r="Y174" s="4"/>
      <c r="Z174">
        <f t="shared" si="8"/>
        <v>7</v>
      </c>
      <c r="AA174">
        <f t="shared" si="9"/>
        <v>15</v>
      </c>
      <c r="AB174" s="5">
        <f t="shared" si="10"/>
        <v>0.23016203703446081</v>
      </c>
      <c r="AC174" s="3" t="str">
        <f t="shared" si="11"/>
        <v>Order rejected, no time available</v>
      </c>
      <c r="AD174" t="str" cm="1">
        <f t="array" ref="AD174">IFERROR(_xlfn.IFS(
    AC174="", "",
    AC174*86400 &lt; 30, "1. 0s - &lt;30s",
    AC174*86400 &lt; 60, "2. 30s - &lt;1m",
    AC174*86400 &lt; 300, "3. 1m - &lt;5m",
    AC174*86400 &lt; 1800, "4. 5m - &lt;30m",
    TRUE, "5. &gt;= 30m"
),"6. Invalid (Order rejected)")</f>
        <v>6. Invalid (Order rejected)</v>
      </c>
    </row>
    <row r="175" spans="1:30" x14ac:dyDescent="0.3">
      <c r="A175" t="s">
        <v>1059</v>
      </c>
      <c r="B175" t="s">
        <v>25</v>
      </c>
      <c r="C175">
        <v>42758642</v>
      </c>
      <c r="D175">
        <v>4241180</v>
      </c>
      <c r="E175" t="s">
        <v>25</v>
      </c>
      <c r="F175" t="s">
        <v>75</v>
      </c>
      <c r="G175" t="s">
        <v>360</v>
      </c>
      <c r="H175" t="s">
        <v>1060</v>
      </c>
      <c r="I175" t="s">
        <v>818</v>
      </c>
      <c r="J175" t="s">
        <v>1061</v>
      </c>
      <c r="K175" t="s">
        <v>26</v>
      </c>
      <c r="L175" t="s">
        <v>25</v>
      </c>
      <c r="M175" t="s">
        <v>25</v>
      </c>
      <c r="N175" t="s">
        <v>980</v>
      </c>
      <c r="O175" t="s">
        <v>981</v>
      </c>
      <c r="P175" t="s">
        <v>616</v>
      </c>
      <c r="Q175" t="s">
        <v>617</v>
      </c>
      <c r="R175">
        <v>197316</v>
      </c>
      <c r="S175">
        <v>161964</v>
      </c>
      <c r="T175">
        <v>35352</v>
      </c>
      <c r="U175" t="s">
        <v>35</v>
      </c>
      <c r="V175" t="s">
        <v>982</v>
      </c>
      <c r="W175" t="s">
        <v>619</v>
      </c>
      <c r="X175" s="4">
        <v>1</v>
      </c>
      <c r="Y175" s="4"/>
      <c r="Z175">
        <f t="shared" si="8"/>
        <v>7</v>
      </c>
      <c r="AA175">
        <f t="shared" si="9"/>
        <v>15</v>
      </c>
      <c r="AB175" s="5">
        <f t="shared" si="10"/>
        <v>0.2434259259243845</v>
      </c>
      <c r="AC175" s="3" t="str">
        <f t="shared" si="11"/>
        <v>Order rejected, no time available</v>
      </c>
      <c r="AD175" t="str" cm="1">
        <f t="array" ref="AD175">IFERROR(_xlfn.IFS(
    AC175="", "",
    AC175*86400 &lt; 30, "1. 0s - &lt;30s",
    AC175*86400 &lt; 60, "2. 30s - &lt;1m",
    AC175*86400 &lt; 300, "3. 1m - &lt;5m",
    AC175*86400 &lt; 1800, "4. 5m - &lt;30m",
    TRUE, "5. &gt;= 30m"
),"6. Invalid (Order rejected)")</f>
        <v>6. Invalid (Order rejected)</v>
      </c>
    </row>
    <row r="176" spans="1:30" hidden="1" x14ac:dyDescent="0.3">
      <c r="A176" t="s">
        <v>1062</v>
      </c>
      <c r="B176" t="s">
        <v>25</v>
      </c>
      <c r="C176">
        <v>42758642</v>
      </c>
      <c r="D176">
        <v>3746341</v>
      </c>
      <c r="E176" t="s">
        <v>25</v>
      </c>
      <c r="F176" t="s">
        <v>75</v>
      </c>
      <c r="G176" t="s">
        <v>76</v>
      </c>
      <c r="H176" t="s">
        <v>1063</v>
      </c>
      <c r="I176" t="s">
        <v>1064</v>
      </c>
      <c r="J176" t="s">
        <v>1065</v>
      </c>
      <c r="K176" t="s">
        <v>26</v>
      </c>
      <c r="L176" t="s">
        <v>1066</v>
      </c>
      <c r="M176" t="s">
        <v>25</v>
      </c>
      <c r="N176" t="s">
        <v>1067</v>
      </c>
      <c r="O176" t="s">
        <v>1068</v>
      </c>
      <c r="P176" t="s">
        <v>351</v>
      </c>
      <c r="Q176" t="s">
        <v>352</v>
      </c>
      <c r="R176">
        <v>284472</v>
      </c>
      <c r="S176">
        <v>233504</v>
      </c>
      <c r="T176">
        <v>50968</v>
      </c>
      <c r="U176" t="s">
        <v>35</v>
      </c>
      <c r="V176" t="s">
        <v>1069</v>
      </c>
      <c r="W176" t="s">
        <v>354</v>
      </c>
      <c r="X176" s="4">
        <v>1</v>
      </c>
      <c r="Y176" s="4"/>
      <c r="Z176">
        <f t="shared" si="8"/>
        <v>7</v>
      </c>
      <c r="AA176">
        <f t="shared" si="9"/>
        <v>15</v>
      </c>
      <c r="AB176" s="5">
        <f t="shared" si="10"/>
        <v>0.2929513888884685</v>
      </c>
      <c r="AC176" s="3">
        <f t="shared" si="11"/>
        <v>6.1342592598521151E-3</v>
      </c>
      <c r="AD176" t="str" cm="1">
        <f t="array" ref="AD176">IFERROR(_xlfn.IFS(
    AC176="", "",
    AC176*86400 &lt; 30, "1. 0s - &lt;30s",
    AC176*86400 &lt; 60, "2. 30s - &lt;1m",
    AC176*86400 &lt; 300, "3. 1m - &lt;5m",
    AC176*86400 &lt; 1800, "4. 5m - &lt;30m",
    TRUE, "5. &gt;= 30m"
),"6. Invalid (Order rejected)")</f>
        <v>4. 5m - &lt;30m</v>
      </c>
    </row>
    <row r="177" spans="1:30" hidden="1" x14ac:dyDescent="0.3">
      <c r="A177" t="s">
        <v>1070</v>
      </c>
      <c r="B177" t="s">
        <v>25</v>
      </c>
      <c r="C177">
        <v>42758642</v>
      </c>
      <c r="D177">
        <v>0</v>
      </c>
      <c r="E177" t="s">
        <v>25</v>
      </c>
      <c r="F177" t="s">
        <v>26</v>
      </c>
      <c r="G177" t="s">
        <v>27</v>
      </c>
      <c r="H177" t="s">
        <v>1071</v>
      </c>
      <c r="I177" t="s">
        <v>1072</v>
      </c>
      <c r="J177" t="s">
        <v>26</v>
      </c>
      <c r="K177" t="s">
        <v>26</v>
      </c>
      <c r="L177" t="s">
        <v>1073</v>
      </c>
      <c r="M177" t="s">
        <v>25</v>
      </c>
      <c r="N177" t="s">
        <v>1067</v>
      </c>
      <c r="O177" t="s">
        <v>1068</v>
      </c>
      <c r="P177" t="s">
        <v>384</v>
      </c>
      <c r="Q177" t="s">
        <v>385</v>
      </c>
      <c r="R177">
        <v>208116</v>
      </c>
      <c r="S177">
        <v>0</v>
      </c>
      <c r="T177">
        <v>208116</v>
      </c>
      <c r="U177" t="s">
        <v>35</v>
      </c>
      <c r="V177" t="s">
        <v>1069</v>
      </c>
      <c r="W177" t="s">
        <v>386</v>
      </c>
      <c r="X177" s="4">
        <v>1</v>
      </c>
      <c r="Y177" s="4"/>
      <c r="Z177">
        <f t="shared" si="8"/>
        <v>7</v>
      </c>
      <c r="AA177">
        <f t="shared" si="9"/>
        <v>15</v>
      </c>
      <c r="AB177" s="5">
        <f t="shared" si="10"/>
        <v>0.29403935185109731</v>
      </c>
      <c r="AC177" s="3">
        <f t="shared" si="11"/>
        <v>9.0266203704231884E-2</v>
      </c>
      <c r="AD177" t="str" cm="1">
        <f t="array" ref="AD177">IFERROR(_xlfn.IFS(
    AC177="", "",
    AC177*86400 &lt; 30, "1. 0s - &lt;30s",
    AC177*86400 &lt; 60, "2. 30s - &lt;1m",
    AC177*86400 &lt; 300, "3. 1m - &lt;5m",
    AC177*86400 &lt; 1800, "4. 5m - &lt;30m",
    TRUE, "5. &gt;= 30m"
),"6. Invalid (Order rejected)")</f>
        <v>5. &gt;= 30m</v>
      </c>
    </row>
    <row r="178" spans="1:30" hidden="1" x14ac:dyDescent="0.3">
      <c r="A178" t="s">
        <v>1074</v>
      </c>
      <c r="B178" t="s">
        <v>25</v>
      </c>
      <c r="C178">
        <v>42758642</v>
      </c>
      <c r="D178">
        <v>0</v>
      </c>
      <c r="E178" t="s">
        <v>25</v>
      </c>
      <c r="F178" t="s">
        <v>26</v>
      </c>
      <c r="G178" t="s">
        <v>27</v>
      </c>
      <c r="H178" t="s">
        <v>1075</v>
      </c>
      <c r="I178" t="s">
        <v>1076</v>
      </c>
      <c r="J178" t="s">
        <v>26</v>
      </c>
      <c r="K178" t="s">
        <v>26</v>
      </c>
      <c r="L178" t="s">
        <v>1077</v>
      </c>
      <c r="M178" t="s">
        <v>25</v>
      </c>
      <c r="N178" t="s">
        <v>1078</v>
      </c>
      <c r="O178" t="s">
        <v>1079</v>
      </c>
      <c r="P178" t="s">
        <v>418</v>
      </c>
      <c r="Q178" t="s">
        <v>419</v>
      </c>
      <c r="R178">
        <v>295704</v>
      </c>
      <c r="S178">
        <v>0</v>
      </c>
      <c r="T178">
        <v>295704</v>
      </c>
      <c r="U178" t="s">
        <v>35</v>
      </c>
      <c r="V178" t="s">
        <v>1080</v>
      </c>
      <c r="W178" t="s">
        <v>420</v>
      </c>
      <c r="X178" s="4">
        <v>1</v>
      </c>
      <c r="Y178" s="4"/>
      <c r="Z178">
        <f t="shared" si="8"/>
        <v>7</v>
      </c>
      <c r="AA178">
        <f t="shared" si="9"/>
        <v>15</v>
      </c>
      <c r="AB178" s="5">
        <f t="shared" si="10"/>
        <v>0.29578703703737119</v>
      </c>
      <c r="AC178" s="3">
        <f t="shared" si="11"/>
        <v>9.0266203704231884E-2</v>
      </c>
      <c r="AD178" t="str" cm="1">
        <f t="array" ref="AD178">IFERROR(_xlfn.IFS(
    AC178="", "",
    AC178*86400 &lt; 30, "1. 0s - &lt;30s",
    AC178*86400 &lt; 60, "2. 30s - &lt;1m",
    AC178*86400 &lt; 300, "3. 1m - &lt;5m",
    AC178*86400 &lt; 1800, "4. 5m - &lt;30m",
    TRUE, "5. &gt;= 30m"
),"6. Invalid (Order rejected)")</f>
        <v>5. &gt;= 30m</v>
      </c>
    </row>
    <row r="179" spans="1:30" hidden="1" x14ac:dyDescent="0.3">
      <c r="A179" t="s">
        <v>1081</v>
      </c>
      <c r="B179" t="s">
        <v>25</v>
      </c>
      <c r="C179">
        <v>42758642</v>
      </c>
      <c r="D179">
        <v>0</v>
      </c>
      <c r="E179" t="s">
        <v>25</v>
      </c>
      <c r="F179" t="s">
        <v>26</v>
      </c>
      <c r="G179" t="s">
        <v>27</v>
      </c>
      <c r="H179" t="s">
        <v>1082</v>
      </c>
      <c r="I179" t="s">
        <v>1083</v>
      </c>
      <c r="J179" t="s">
        <v>26</v>
      </c>
      <c r="K179" t="s">
        <v>26</v>
      </c>
      <c r="L179" t="s">
        <v>1084</v>
      </c>
      <c r="M179" t="s">
        <v>25</v>
      </c>
      <c r="N179" t="s">
        <v>1078</v>
      </c>
      <c r="O179" t="s">
        <v>1079</v>
      </c>
      <c r="P179" t="s">
        <v>208</v>
      </c>
      <c r="Q179" t="s">
        <v>209</v>
      </c>
      <c r="R179">
        <v>289656</v>
      </c>
      <c r="S179">
        <v>0</v>
      </c>
      <c r="T179">
        <v>289656</v>
      </c>
      <c r="U179" t="s">
        <v>35</v>
      </c>
      <c r="V179" t="s">
        <v>1080</v>
      </c>
      <c r="W179" t="s">
        <v>210</v>
      </c>
      <c r="X179" s="4">
        <v>1</v>
      </c>
      <c r="Y179" s="4"/>
      <c r="Z179">
        <f t="shared" si="8"/>
        <v>7</v>
      </c>
      <c r="AA179">
        <f t="shared" si="9"/>
        <v>15</v>
      </c>
      <c r="AB179" s="5">
        <f t="shared" si="10"/>
        <v>0.29456018518249039</v>
      </c>
      <c r="AC179" s="3">
        <f t="shared" si="11"/>
        <v>9.0266203704231884E-2</v>
      </c>
      <c r="AD179" t="str" cm="1">
        <f t="array" ref="AD179">IFERROR(_xlfn.IFS(
    AC179="", "",
    AC179*86400 &lt; 30, "1. 0s - &lt;30s",
    AC179*86400 &lt; 60, "2. 30s - &lt;1m",
    AC179*86400 &lt; 300, "3. 1m - &lt;5m",
    AC179*86400 &lt; 1800, "4. 5m - &lt;30m",
    TRUE, "5. &gt;= 30m"
),"6. Invalid (Order rejected)")</f>
        <v>5. &gt;= 30m</v>
      </c>
    </row>
    <row r="180" spans="1:30" hidden="1" x14ac:dyDescent="0.3">
      <c r="A180" t="s">
        <v>1085</v>
      </c>
      <c r="B180" t="s">
        <v>25</v>
      </c>
      <c r="C180">
        <v>42758642</v>
      </c>
      <c r="D180">
        <v>0</v>
      </c>
      <c r="E180" t="s">
        <v>25</v>
      </c>
      <c r="F180" t="s">
        <v>26</v>
      </c>
      <c r="G180" t="s">
        <v>27</v>
      </c>
      <c r="H180" t="s">
        <v>1086</v>
      </c>
      <c r="I180" t="s">
        <v>1087</v>
      </c>
      <c r="J180" t="s">
        <v>26</v>
      </c>
      <c r="K180" t="s">
        <v>26</v>
      </c>
      <c r="L180" t="s">
        <v>1088</v>
      </c>
      <c r="M180" t="s">
        <v>25</v>
      </c>
      <c r="N180" t="s">
        <v>1078</v>
      </c>
      <c r="O180" t="s">
        <v>1079</v>
      </c>
      <c r="P180" t="s">
        <v>317</v>
      </c>
      <c r="Q180" t="s">
        <v>318</v>
      </c>
      <c r="R180">
        <v>229716</v>
      </c>
      <c r="S180">
        <v>0</v>
      </c>
      <c r="T180">
        <v>229716</v>
      </c>
      <c r="U180" t="s">
        <v>35</v>
      </c>
      <c r="V180" t="s">
        <v>1080</v>
      </c>
      <c r="W180" t="s">
        <v>319</v>
      </c>
      <c r="X180" s="4">
        <v>1</v>
      </c>
      <c r="Y180" s="4"/>
      <c r="Z180">
        <f t="shared" si="8"/>
        <v>7</v>
      </c>
      <c r="AA180">
        <f t="shared" si="9"/>
        <v>15</v>
      </c>
      <c r="AB180" s="5">
        <f t="shared" si="10"/>
        <v>0.29490740740584442</v>
      </c>
      <c r="AC180" s="3">
        <f t="shared" si="11"/>
        <v>9.0266203704231884E-2</v>
      </c>
      <c r="AD180" t="str" cm="1">
        <f t="array" ref="AD180">IFERROR(_xlfn.IFS(
    AC180="", "",
    AC180*86400 &lt; 30, "1. 0s - &lt;30s",
    AC180*86400 &lt; 60, "2. 30s - &lt;1m",
    AC180*86400 &lt; 300, "3. 1m - &lt;5m",
    AC180*86400 &lt; 1800, "4. 5m - &lt;30m",
    TRUE, "5. &gt;= 30m"
),"6. Invalid (Order rejected)")</f>
        <v>5. &gt;= 30m</v>
      </c>
    </row>
    <row r="181" spans="1:30" x14ac:dyDescent="0.3">
      <c r="A181" t="s">
        <v>1089</v>
      </c>
      <c r="B181" t="s">
        <v>25</v>
      </c>
      <c r="C181">
        <v>42758642</v>
      </c>
      <c r="D181">
        <v>4455168</v>
      </c>
      <c r="E181" t="s">
        <v>25</v>
      </c>
      <c r="F181" t="s">
        <v>75</v>
      </c>
      <c r="G181" t="s">
        <v>360</v>
      </c>
      <c r="H181" t="s">
        <v>1090</v>
      </c>
      <c r="I181" t="s">
        <v>1091</v>
      </c>
      <c r="J181" t="s">
        <v>1092</v>
      </c>
      <c r="K181" t="s">
        <v>26</v>
      </c>
      <c r="L181" t="s">
        <v>25</v>
      </c>
      <c r="M181" t="s">
        <v>25</v>
      </c>
      <c r="N181" t="s">
        <v>1078</v>
      </c>
      <c r="O181" t="s">
        <v>1079</v>
      </c>
      <c r="P181" t="s">
        <v>317</v>
      </c>
      <c r="Q181" t="s">
        <v>318</v>
      </c>
      <c r="R181">
        <v>306504</v>
      </c>
      <c r="S181">
        <v>237612</v>
      </c>
      <c r="T181">
        <v>68892</v>
      </c>
      <c r="U181" t="s">
        <v>35</v>
      </c>
      <c r="V181" t="s">
        <v>1080</v>
      </c>
      <c r="W181" t="s">
        <v>319</v>
      </c>
      <c r="X181" s="4">
        <v>1</v>
      </c>
      <c r="Y181" s="4"/>
      <c r="Z181">
        <f t="shared" si="8"/>
        <v>7</v>
      </c>
      <c r="AA181">
        <f t="shared" si="9"/>
        <v>15</v>
      </c>
      <c r="AB181" s="5">
        <f t="shared" si="10"/>
        <v>0.29505787036760012</v>
      </c>
      <c r="AC181" s="3" t="str">
        <f t="shared" si="11"/>
        <v>Order rejected, no time available</v>
      </c>
      <c r="AD181" t="str" cm="1">
        <f t="array" ref="AD181">IFERROR(_xlfn.IFS(
    AC181="", "",
    AC181*86400 &lt; 30, "1. 0s - &lt;30s",
    AC181*86400 &lt; 60, "2. 30s - &lt;1m",
    AC181*86400 &lt; 300, "3. 1m - &lt;5m",
    AC181*86400 &lt; 1800, "4. 5m - &lt;30m",
    TRUE, "5. &gt;= 30m"
),"6. Invalid (Order rejected)")</f>
        <v>6. Invalid (Order rejected)</v>
      </c>
    </row>
    <row r="182" spans="1:30" x14ac:dyDescent="0.3">
      <c r="A182" t="s">
        <v>1093</v>
      </c>
      <c r="B182" t="s">
        <v>25</v>
      </c>
      <c r="C182">
        <v>42758642</v>
      </c>
      <c r="D182">
        <v>2625118</v>
      </c>
      <c r="E182" t="s">
        <v>25</v>
      </c>
      <c r="F182" t="s">
        <v>75</v>
      </c>
      <c r="G182" t="s">
        <v>360</v>
      </c>
      <c r="H182" t="s">
        <v>1094</v>
      </c>
      <c r="I182" t="s">
        <v>1095</v>
      </c>
      <c r="J182" t="s">
        <v>1096</v>
      </c>
      <c r="K182" t="s">
        <v>26</v>
      </c>
      <c r="L182" t="s">
        <v>25</v>
      </c>
      <c r="M182" t="s">
        <v>25</v>
      </c>
      <c r="N182" t="s">
        <v>1078</v>
      </c>
      <c r="O182" t="s">
        <v>1079</v>
      </c>
      <c r="P182" t="s">
        <v>237</v>
      </c>
      <c r="Q182" t="s">
        <v>238</v>
      </c>
      <c r="R182">
        <v>327780</v>
      </c>
      <c r="S182">
        <v>254105</v>
      </c>
      <c r="T182">
        <v>73675</v>
      </c>
      <c r="U182" t="s">
        <v>35</v>
      </c>
      <c r="V182" t="s">
        <v>1080</v>
      </c>
      <c r="W182" t="s">
        <v>239</v>
      </c>
      <c r="X182" s="4">
        <v>1</v>
      </c>
      <c r="Y182" s="4"/>
      <c r="Z182">
        <f t="shared" si="8"/>
        <v>7</v>
      </c>
      <c r="AA182">
        <f t="shared" si="9"/>
        <v>15</v>
      </c>
      <c r="AB182" s="5">
        <f t="shared" si="10"/>
        <v>0.29561342592933215</v>
      </c>
      <c r="AC182" s="3" t="str">
        <f t="shared" si="11"/>
        <v>Order rejected, no time available</v>
      </c>
      <c r="AD182" t="str" cm="1">
        <f t="array" ref="AD182">IFERROR(_xlfn.IFS(
    AC182="", "",
    AC182*86400 &lt; 30, "1. 0s - &lt;30s",
    AC182*86400 &lt; 60, "2. 30s - &lt;1m",
    AC182*86400 &lt; 300, "3. 1m - &lt;5m",
    AC182*86400 &lt; 1800, "4. 5m - &lt;30m",
    TRUE, "5. &gt;= 30m"
),"6. Invalid (Order rejected)")</f>
        <v>6. Invalid (Order rejected)</v>
      </c>
    </row>
    <row r="183" spans="1:30" hidden="1" x14ac:dyDescent="0.3">
      <c r="A183" t="s">
        <v>1097</v>
      </c>
      <c r="B183" t="s">
        <v>25</v>
      </c>
      <c r="C183">
        <v>42758642</v>
      </c>
      <c r="D183">
        <v>0</v>
      </c>
      <c r="E183" t="s">
        <v>25</v>
      </c>
      <c r="F183" t="s">
        <v>26</v>
      </c>
      <c r="G183" t="s">
        <v>27</v>
      </c>
      <c r="H183" t="s">
        <v>1098</v>
      </c>
      <c r="I183" t="s">
        <v>1099</v>
      </c>
      <c r="J183" t="s">
        <v>26</v>
      </c>
      <c r="K183" t="s">
        <v>26</v>
      </c>
      <c r="L183" t="s">
        <v>1100</v>
      </c>
      <c r="M183" t="s">
        <v>25</v>
      </c>
      <c r="N183" t="s">
        <v>1067</v>
      </c>
      <c r="O183" t="s">
        <v>1068</v>
      </c>
      <c r="P183" t="s">
        <v>616</v>
      </c>
      <c r="Q183" t="s">
        <v>617</v>
      </c>
      <c r="R183">
        <v>240948</v>
      </c>
      <c r="S183">
        <v>0</v>
      </c>
      <c r="T183">
        <v>240948</v>
      </c>
      <c r="U183" t="s">
        <v>35</v>
      </c>
      <c r="V183" t="s">
        <v>1069</v>
      </c>
      <c r="W183" t="s">
        <v>619</v>
      </c>
      <c r="X183" s="4">
        <v>1</v>
      </c>
      <c r="Y183" s="4"/>
      <c r="Z183">
        <f t="shared" si="8"/>
        <v>7</v>
      </c>
      <c r="AA183">
        <f t="shared" si="9"/>
        <v>15</v>
      </c>
      <c r="AB183" s="5">
        <f t="shared" si="10"/>
        <v>0.29371527778130258</v>
      </c>
      <c r="AC183" s="3">
        <f t="shared" si="11"/>
        <v>9.0266203696955927E-2</v>
      </c>
      <c r="AD183" t="str" cm="1">
        <f t="array" ref="AD183">IFERROR(_xlfn.IFS(
    AC183="", "",
    AC183*86400 &lt; 30, "1. 0s - &lt;30s",
    AC183*86400 &lt; 60, "2. 30s - &lt;1m",
    AC183*86400 &lt; 300, "3. 1m - &lt;5m",
    AC183*86400 &lt; 1800, "4. 5m - &lt;30m",
    TRUE, "5. &gt;= 30m"
),"6. Invalid (Order rejected)")</f>
        <v>5. &gt;= 30m</v>
      </c>
    </row>
    <row r="184" spans="1:30" x14ac:dyDescent="0.3">
      <c r="A184" t="s">
        <v>1101</v>
      </c>
      <c r="B184" t="s">
        <v>25</v>
      </c>
      <c r="C184">
        <v>42758642</v>
      </c>
      <c r="D184">
        <v>4652091</v>
      </c>
      <c r="E184" t="s">
        <v>25</v>
      </c>
      <c r="F184" t="s">
        <v>75</v>
      </c>
      <c r="G184" t="s">
        <v>360</v>
      </c>
      <c r="H184" t="s">
        <v>1102</v>
      </c>
      <c r="I184" t="s">
        <v>1103</v>
      </c>
      <c r="J184" t="s">
        <v>1104</v>
      </c>
      <c r="K184" t="s">
        <v>26</v>
      </c>
      <c r="L184" t="s">
        <v>25</v>
      </c>
      <c r="M184" t="s">
        <v>25</v>
      </c>
      <c r="N184" t="s">
        <v>1105</v>
      </c>
      <c r="O184" t="s">
        <v>1106</v>
      </c>
      <c r="P184" t="s">
        <v>507</v>
      </c>
      <c r="Q184" t="s">
        <v>508</v>
      </c>
      <c r="R184">
        <v>314928</v>
      </c>
      <c r="S184">
        <v>244142</v>
      </c>
      <c r="T184">
        <v>70786</v>
      </c>
      <c r="U184" t="s">
        <v>35</v>
      </c>
      <c r="V184" t="s">
        <v>1107</v>
      </c>
      <c r="W184" t="s">
        <v>509</v>
      </c>
      <c r="X184" s="4">
        <v>1</v>
      </c>
      <c r="Y184" s="4"/>
      <c r="Z184">
        <f t="shared" si="8"/>
        <v>7</v>
      </c>
      <c r="AA184">
        <f t="shared" si="9"/>
        <v>15</v>
      </c>
      <c r="AB184" s="5">
        <f t="shared" si="10"/>
        <v>0.30273148148262408</v>
      </c>
      <c r="AC184" s="3" t="str">
        <f t="shared" si="11"/>
        <v>Order rejected, no time available</v>
      </c>
      <c r="AD184" t="str" cm="1">
        <f t="array" ref="AD184">IFERROR(_xlfn.IFS(
    AC184="", "",
    AC184*86400 &lt; 30, "1. 0s - &lt;30s",
    AC184*86400 &lt; 60, "2. 30s - &lt;1m",
    AC184*86400 &lt; 300, "3. 1m - &lt;5m",
    AC184*86400 &lt; 1800, "4. 5m - &lt;30m",
    TRUE, "5. &gt;= 30m"
),"6. Invalid (Order rejected)")</f>
        <v>6. Invalid (Order rejected)</v>
      </c>
    </row>
    <row r="185" spans="1:30" hidden="1" x14ac:dyDescent="0.3">
      <c r="A185" t="s">
        <v>1108</v>
      </c>
      <c r="B185" t="s">
        <v>25</v>
      </c>
      <c r="C185">
        <v>42758642</v>
      </c>
      <c r="D185">
        <v>3746341</v>
      </c>
      <c r="E185" t="s">
        <v>25</v>
      </c>
      <c r="F185" t="s">
        <v>75</v>
      </c>
      <c r="G185" t="s">
        <v>76</v>
      </c>
      <c r="H185" t="s">
        <v>1109</v>
      </c>
      <c r="I185" t="s">
        <v>1110</v>
      </c>
      <c r="J185" t="s">
        <v>1111</v>
      </c>
      <c r="K185" t="s">
        <v>26</v>
      </c>
      <c r="L185" t="s">
        <v>1112</v>
      </c>
      <c r="M185" t="s">
        <v>25</v>
      </c>
      <c r="N185" t="s">
        <v>1113</v>
      </c>
      <c r="O185" t="s">
        <v>1114</v>
      </c>
      <c r="P185" t="s">
        <v>208</v>
      </c>
      <c r="Q185" t="s">
        <v>209</v>
      </c>
      <c r="R185">
        <v>293652</v>
      </c>
      <c r="S185">
        <v>241039</v>
      </c>
      <c r="T185">
        <v>52613</v>
      </c>
      <c r="U185" t="s">
        <v>35</v>
      </c>
      <c r="V185" t="s">
        <v>1115</v>
      </c>
      <c r="W185" t="s">
        <v>210</v>
      </c>
      <c r="X185" s="4">
        <v>1</v>
      </c>
      <c r="Y185" s="4"/>
      <c r="Z185">
        <f t="shared" si="8"/>
        <v>7</v>
      </c>
      <c r="AA185">
        <f t="shared" si="9"/>
        <v>15</v>
      </c>
      <c r="AB185" s="5">
        <f t="shared" si="10"/>
        <v>0.3032407407372375</v>
      </c>
      <c r="AC185" s="3">
        <f t="shared" si="11"/>
        <v>6.809027778217569E-2</v>
      </c>
      <c r="AD185" t="str" cm="1">
        <f t="array" ref="AD185">IFERROR(_xlfn.IFS(
    AC185="", "",
    AC185*86400 &lt; 30, "1. 0s - &lt;30s",
    AC185*86400 &lt; 60, "2. 30s - &lt;1m",
    AC185*86400 &lt; 300, "3. 1m - &lt;5m",
    AC185*86400 &lt; 1800, "4. 5m - &lt;30m",
    TRUE, "5. &gt;= 30m"
),"6. Invalid (Order rejected)")</f>
        <v>5. &gt;= 30m</v>
      </c>
    </row>
    <row r="186" spans="1:30" hidden="1" x14ac:dyDescent="0.3">
      <c r="A186" t="s">
        <v>1116</v>
      </c>
      <c r="B186" t="s">
        <v>25</v>
      </c>
      <c r="C186">
        <v>42758642</v>
      </c>
      <c r="D186">
        <v>0</v>
      </c>
      <c r="E186" t="s">
        <v>25</v>
      </c>
      <c r="F186" t="s">
        <v>26</v>
      </c>
      <c r="G186" t="s">
        <v>27</v>
      </c>
      <c r="H186" t="s">
        <v>1117</v>
      </c>
      <c r="I186" t="s">
        <v>1118</v>
      </c>
      <c r="J186" t="s">
        <v>26</v>
      </c>
      <c r="K186" t="s">
        <v>26</v>
      </c>
      <c r="L186" t="s">
        <v>1119</v>
      </c>
      <c r="M186" t="s">
        <v>25</v>
      </c>
      <c r="N186" t="s">
        <v>1078</v>
      </c>
      <c r="O186" t="s">
        <v>1079</v>
      </c>
      <c r="P186" t="s">
        <v>208</v>
      </c>
      <c r="Q186" t="s">
        <v>209</v>
      </c>
      <c r="R186">
        <v>278856</v>
      </c>
      <c r="S186">
        <v>0</v>
      </c>
      <c r="T186">
        <v>278856</v>
      </c>
      <c r="U186" t="s">
        <v>35</v>
      </c>
      <c r="V186" t="s">
        <v>1080</v>
      </c>
      <c r="W186" t="s">
        <v>210</v>
      </c>
      <c r="X186" s="4">
        <v>1</v>
      </c>
      <c r="Y186" s="4"/>
      <c r="Z186">
        <f t="shared" si="8"/>
        <v>7</v>
      </c>
      <c r="AA186">
        <f t="shared" si="9"/>
        <v>15</v>
      </c>
      <c r="AB186" s="5">
        <f t="shared" si="10"/>
        <v>0.29474537036730908</v>
      </c>
      <c r="AC186" s="3">
        <f t="shared" si="11"/>
        <v>0.16273148148320615</v>
      </c>
      <c r="AD186" t="str" cm="1">
        <f t="array" ref="AD186">IFERROR(_xlfn.IFS(
    AC186="", "",
    AC186*86400 &lt; 30, "1. 0s - &lt;30s",
    AC186*86400 &lt; 60, "2. 30s - &lt;1m",
    AC186*86400 &lt; 300, "3. 1m - &lt;5m",
    AC186*86400 &lt; 1800, "4. 5m - &lt;30m",
    TRUE, "5. &gt;= 30m"
),"6. Invalid (Order rejected)")</f>
        <v>5. &gt;= 30m</v>
      </c>
    </row>
    <row r="187" spans="1:30" hidden="1" x14ac:dyDescent="0.3">
      <c r="A187" t="s">
        <v>1120</v>
      </c>
      <c r="B187" t="s">
        <v>25</v>
      </c>
      <c r="C187">
        <v>42758642</v>
      </c>
      <c r="D187">
        <v>0</v>
      </c>
      <c r="E187" t="s">
        <v>25</v>
      </c>
      <c r="F187" t="s">
        <v>26</v>
      </c>
      <c r="G187" t="s">
        <v>27</v>
      </c>
      <c r="H187" t="s">
        <v>1121</v>
      </c>
      <c r="I187" t="s">
        <v>1122</v>
      </c>
      <c r="J187" t="s">
        <v>26</v>
      </c>
      <c r="K187" t="s">
        <v>26</v>
      </c>
      <c r="L187" t="s">
        <v>1123</v>
      </c>
      <c r="M187" t="s">
        <v>25</v>
      </c>
      <c r="N187" t="s">
        <v>1078</v>
      </c>
      <c r="O187" t="s">
        <v>1079</v>
      </c>
      <c r="P187" t="s">
        <v>237</v>
      </c>
      <c r="Q187" t="s">
        <v>238</v>
      </c>
      <c r="R187">
        <v>244944</v>
      </c>
      <c r="S187">
        <v>0</v>
      </c>
      <c r="T187">
        <v>244944</v>
      </c>
      <c r="U187" t="s">
        <v>35</v>
      </c>
      <c r="V187" t="s">
        <v>1080</v>
      </c>
      <c r="W187" t="s">
        <v>239</v>
      </c>
      <c r="X187" s="4">
        <v>1</v>
      </c>
      <c r="Y187" s="4"/>
      <c r="Z187">
        <f t="shared" si="8"/>
        <v>7</v>
      </c>
      <c r="AA187">
        <f t="shared" si="9"/>
        <v>15</v>
      </c>
      <c r="AB187" s="5">
        <f t="shared" si="10"/>
        <v>0.29535879629838746</v>
      </c>
      <c r="AC187" s="3">
        <f t="shared" si="11"/>
        <v>9.0266203704231884E-2</v>
      </c>
      <c r="AD187" t="str" cm="1">
        <f t="array" ref="AD187">IFERROR(_xlfn.IFS(
    AC187="", "",
    AC187*86400 &lt; 30, "1. 0s - &lt;30s",
    AC187*86400 &lt; 60, "2. 30s - &lt;1m",
    AC187*86400 &lt; 300, "3. 1m - &lt;5m",
    AC187*86400 &lt; 1800, "4. 5m - &lt;30m",
    TRUE, "5. &gt;= 30m"
),"6. Invalid (Order rejected)")</f>
        <v>5. &gt;= 30m</v>
      </c>
    </row>
    <row r="188" spans="1:30" hidden="1" x14ac:dyDescent="0.3">
      <c r="A188" t="s">
        <v>1124</v>
      </c>
      <c r="B188" t="s">
        <v>25</v>
      </c>
      <c r="C188">
        <v>42758642</v>
      </c>
      <c r="D188">
        <v>0</v>
      </c>
      <c r="E188" t="s">
        <v>25</v>
      </c>
      <c r="F188" t="s">
        <v>26</v>
      </c>
      <c r="G188" t="s">
        <v>27</v>
      </c>
      <c r="H188" t="s">
        <v>1125</v>
      </c>
      <c r="I188" t="s">
        <v>1126</v>
      </c>
      <c r="J188" t="s">
        <v>26</v>
      </c>
      <c r="K188" t="s">
        <v>26</v>
      </c>
      <c r="L188" t="s">
        <v>1127</v>
      </c>
      <c r="M188" t="s">
        <v>25</v>
      </c>
      <c r="N188" t="s">
        <v>1128</v>
      </c>
      <c r="O188" t="s">
        <v>1129</v>
      </c>
      <c r="P188" t="s">
        <v>289</v>
      </c>
      <c r="Q188" t="s">
        <v>290</v>
      </c>
      <c r="R188">
        <v>134244</v>
      </c>
      <c r="S188">
        <v>0</v>
      </c>
      <c r="T188">
        <v>134244</v>
      </c>
      <c r="U188" t="s">
        <v>35</v>
      </c>
      <c r="V188" t="s">
        <v>1130</v>
      </c>
      <c r="W188" t="s">
        <v>291</v>
      </c>
      <c r="X188" s="4">
        <v>1</v>
      </c>
      <c r="Y188" s="4"/>
      <c r="Z188">
        <f t="shared" si="8"/>
        <v>7</v>
      </c>
      <c r="AA188">
        <f t="shared" si="9"/>
        <v>15</v>
      </c>
      <c r="AB188" s="5">
        <f t="shared" si="10"/>
        <v>0.29969907407212304</v>
      </c>
      <c r="AC188" s="3">
        <f t="shared" si="11"/>
        <v>9.0266203704231884E-2</v>
      </c>
      <c r="AD188" t="str" cm="1">
        <f t="array" ref="AD188">IFERROR(_xlfn.IFS(
    AC188="", "",
    AC188*86400 &lt; 30, "1. 0s - &lt;30s",
    AC188*86400 &lt; 60, "2. 30s - &lt;1m",
    AC188*86400 &lt; 300, "3. 1m - &lt;5m",
    AC188*86400 &lt; 1800, "4. 5m - &lt;30m",
    TRUE, "5. &gt;= 30m"
),"6. Invalid (Order rejected)")</f>
        <v>5. &gt;= 30m</v>
      </c>
    </row>
    <row r="189" spans="1:30" hidden="1" x14ac:dyDescent="0.3">
      <c r="A189" t="s">
        <v>1131</v>
      </c>
      <c r="B189" t="s">
        <v>25</v>
      </c>
      <c r="C189">
        <v>42758642</v>
      </c>
      <c r="D189">
        <v>0</v>
      </c>
      <c r="E189" t="s">
        <v>25</v>
      </c>
      <c r="F189" t="s">
        <v>26</v>
      </c>
      <c r="G189" t="s">
        <v>27</v>
      </c>
      <c r="H189" t="s">
        <v>1132</v>
      </c>
      <c r="I189" t="s">
        <v>1133</v>
      </c>
      <c r="J189" t="s">
        <v>26</v>
      </c>
      <c r="K189" t="s">
        <v>26</v>
      </c>
      <c r="L189" t="s">
        <v>1134</v>
      </c>
      <c r="M189" t="s">
        <v>25</v>
      </c>
      <c r="N189" t="s">
        <v>1135</v>
      </c>
      <c r="O189" t="s">
        <v>1136</v>
      </c>
      <c r="P189" t="s">
        <v>857</v>
      </c>
      <c r="Q189" t="s">
        <v>858</v>
      </c>
      <c r="R189">
        <v>193644</v>
      </c>
      <c r="S189">
        <v>0</v>
      </c>
      <c r="T189">
        <v>193644</v>
      </c>
      <c r="U189" t="s">
        <v>35</v>
      </c>
      <c r="V189" t="s">
        <v>1137</v>
      </c>
      <c r="W189" t="s">
        <v>860</v>
      </c>
      <c r="X189" s="4">
        <v>1</v>
      </c>
      <c r="Y189" s="4"/>
      <c r="Z189">
        <f t="shared" si="8"/>
        <v>7</v>
      </c>
      <c r="AA189">
        <f t="shared" si="9"/>
        <v>15</v>
      </c>
      <c r="AB189" s="5">
        <f t="shared" si="10"/>
        <v>0.30054398148058681</v>
      </c>
      <c r="AC189" s="3">
        <f t="shared" si="11"/>
        <v>9.0266203704231884E-2</v>
      </c>
      <c r="AD189" t="str" cm="1">
        <f t="array" ref="AD189">IFERROR(_xlfn.IFS(
    AC189="", "",
    AC189*86400 &lt; 30, "1. 0s - &lt;30s",
    AC189*86400 &lt; 60, "2. 30s - &lt;1m",
    AC189*86400 &lt; 300, "3. 1m - &lt;5m",
    AC189*86400 &lt; 1800, "4. 5m - &lt;30m",
    TRUE, "5. &gt;= 30m"
),"6. Invalid (Order rejected)")</f>
        <v>5. &gt;= 30m</v>
      </c>
    </row>
    <row r="190" spans="1:30" hidden="1" x14ac:dyDescent="0.3">
      <c r="A190" t="s">
        <v>1138</v>
      </c>
      <c r="B190" t="s">
        <v>25</v>
      </c>
      <c r="C190">
        <v>42758642</v>
      </c>
      <c r="D190">
        <v>0</v>
      </c>
      <c r="E190" t="s">
        <v>25</v>
      </c>
      <c r="F190" t="s">
        <v>26</v>
      </c>
      <c r="G190" t="s">
        <v>27</v>
      </c>
      <c r="H190" t="s">
        <v>1139</v>
      </c>
      <c r="I190" t="s">
        <v>1140</v>
      </c>
      <c r="J190" t="s">
        <v>26</v>
      </c>
      <c r="K190" t="s">
        <v>26</v>
      </c>
      <c r="L190" t="s">
        <v>1141</v>
      </c>
      <c r="M190" t="s">
        <v>25</v>
      </c>
      <c r="N190" t="s">
        <v>1142</v>
      </c>
      <c r="O190" t="s">
        <v>1143</v>
      </c>
      <c r="P190" t="s">
        <v>351</v>
      </c>
      <c r="Q190" t="s">
        <v>352</v>
      </c>
      <c r="R190">
        <v>274104</v>
      </c>
      <c r="S190">
        <v>0</v>
      </c>
      <c r="T190">
        <v>274104</v>
      </c>
      <c r="U190" t="s">
        <v>35</v>
      </c>
      <c r="V190" t="s">
        <v>1144</v>
      </c>
      <c r="W190" t="s">
        <v>354</v>
      </c>
      <c r="X190" s="4">
        <v>1</v>
      </c>
      <c r="Y190" s="4"/>
      <c r="Z190">
        <f t="shared" si="8"/>
        <v>7</v>
      </c>
      <c r="AA190">
        <f t="shared" si="9"/>
        <v>15</v>
      </c>
      <c r="AB190" s="5">
        <f t="shared" si="10"/>
        <v>0.30145833333517658</v>
      </c>
      <c r="AC190" s="3">
        <f t="shared" si="11"/>
        <v>9.0266203704231884E-2</v>
      </c>
      <c r="AD190" t="str" cm="1">
        <f t="array" ref="AD190">IFERROR(_xlfn.IFS(
    AC190="", "",
    AC190*86400 &lt; 30, "1. 0s - &lt;30s",
    AC190*86400 &lt; 60, "2. 30s - &lt;1m",
    AC190*86400 &lt; 300, "3. 1m - &lt;5m",
    AC190*86400 &lt; 1800, "4. 5m - &lt;30m",
    TRUE, "5. &gt;= 30m"
),"6. Invalid (Order rejected)")</f>
        <v>5. &gt;= 30m</v>
      </c>
    </row>
    <row r="191" spans="1:30" hidden="1" x14ac:dyDescent="0.3">
      <c r="A191" t="s">
        <v>1145</v>
      </c>
      <c r="B191" t="s">
        <v>25</v>
      </c>
      <c r="C191">
        <v>42758642</v>
      </c>
      <c r="D191">
        <v>0</v>
      </c>
      <c r="E191" t="s">
        <v>25</v>
      </c>
      <c r="F191" t="s">
        <v>26</v>
      </c>
      <c r="G191" t="s">
        <v>27</v>
      </c>
      <c r="H191" t="s">
        <v>1146</v>
      </c>
      <c r="I191" t="s">
        <v>1147</v>
      </c>
      <c r="J191" t="s">
        <v>26</v>
      </c>
      <c r="K191" t="s">
        <v>26</v>
      </c>
      <c r="L191" t="s">
        <v>1148</v>
      </c>
      <c r="M191" t="s">
        <v>25</v>
      </c>
      <c r="N191" t="s">
        <v>1149</v>
      </c>
      <c r="O191" t="s">
        <v>1150</v>
      </c>
      <c r="P191" t="s">
        <v>1151</v>
      </c>
      <c r="Q191" t="s">
        <v>1152</v>
      </c>
      <c r="R191">
        <v>215460</v>
      </c>
      <c r="S191">
        <v>0</v>
      </c>
      <c r="T191">
        <v>215460</v>
      </c>
      <c r="U191" t="s">
        <v>35</v>
      </c>
      <c r="V191" t="s">
        <v>1153</v>
      </c>
      <c r="W191" t="s">
        <v>1154</v>
      </c>
      <c r="X191" s="4">
        <v>1</v>
      </c>
      <c r="Y191" s="4"/>
      <c r="Z191">
        <f t="shared" si="8"/>
        <v>7</v>
      </c>
      <c r="AA191">
        <f t="shared" si="9"/>
        <v>15</v>
      </c>
      <c r="AB191" s="5">
        <f t="shared" si="10"/>
        <v>0.29717592592351139</v>
      </c>
      <c r="AC191" s="3">
        <f t="shared" si="11"/>
        <v>9.0266203704231884E-2</v>
      </c>
      <c r="AD191" t="str" cm="1">
        <f t="array" ref="AD191">IFERROR(_xlfn.IFS(
    AC191="", "",
    AC191*86400 &lt; 30, "1. 0s - &lt;30s",
    AC191*86400 &lt; 60, "2. 30s - &lt;1m",
    AC191*86400 &lt; 300, "3. 1m - &lt;5m",
    AC191*86400 &lt; 1800, "4. 5m - &lt;30m",
    TRUE, "5. &gt;= 30m"
),"6. Invalid (Order rejected)")</f>
        <v>5. &gt;= 30m</v>
      </c>
    </row>
    <row r="192" spans="1:30" hidden="1" x14ac:dyDescent="0.3">
      <c r="A192" t="s">
        <v>1155</v>
      </c>
      <c r="B192" t="s">
        <v>25</v>
      </c>
      <c r="C192">
        <v>42758642</v>
      </c>
      <c r="D192">
        <v>0</v>
      </c>
      <c r="E192" t="s">
        <v>25</v>
      </c>
      <c r="F192" t="s">
        <v>26</v>
      </c>
      <c r="G192" t="s">
        <v>27</v>
      </c>
      <c r="H192" t="s">
        <v>1156</v>
      </c>
      <c r="I192" t="s">
        <v>1157</v>
      </c>
      <c r="J192" t="s">
        <v>26</v>
      </c>
      <c r="K192" t="s">
        <v>26</v>
      </c>
      <c r="L192" t="s">
        <v>1158</v>
      </c>
      <c r="M192" t="s">
        <v>25</v>
      </c>
      <c r="N192" t="s">
        <v>1149</v>
      </c>
      <c r="O192" t="s">
        <v>1150</v>
      </c>
      <c r="P192" t="s">
        <v>81</v>
      </c>
      <c r="Q192" t="s">
        <v>82</v>
      </c>
      <c r="R192">
        <v>184140</v>
      </c>
      <c r="S192">
        <v>0</v>
      </c>
      <c r="T192">
        <v>184140</v>
      </c>
      <c r="U192" t="s">
        <v>35</v>
      </c>
      <c r="V192" t="s">
        <v>1153</v>
      </c>
      <c r="W192" t="s">
        <v>83</v>
      </c>
      <c r="X192" s="4">
        <v>1</v>
      </c>
      <c r="Y192" s="4"/>
      <c r="Z192">
        <f t="shared" si="8"/>
        <v>7</v>
      </c>
      <c r="AA192">
        <f t="shared" si="9"/>
        <v>15</v>
      </c>
      <c r="AB192" s="5">
        <f t="shared" si="10"/>
        <v>0.29747685185429873</v>
      </c>
      <c r="AC192" s="3">
        <f t="shared" si="11"/>
        <v>9.0844907404971309E-2</v>
      </c>
      <c r="AD192" t="str" cm="1">
        <f t="array" ref="AD192">IFERROR(_xlfn.IFS(
    AC192="", "",
    AC192*86400 &lt; 30, "1. 0s - &lt;30s",
    AC192*86400 &lt; 60, "2. 30s - &lt;1m",
    AC192*86400 &lt; 300, "3. 1m - &lt;5m",
    AC192*86400 &lt; 1800, "4. 5m - &lt;30m",
    TRUE, "5. &gt;= 30m"
),"6. Invalid (Order rejected)")</f>
        <v>5. &gt;= 30m</v>
      </c>
    </row>
    <row r="193" spans="1:30" hidden="1" x14ac:dyDescent="0.3">
      <c r="A193" t="s">
        <v>1159</v>
      </c>
      <c r="B193" t="s">
        <v>25</v>
      </c>
      <c r="C193">
        <v>42758642</v>
      </c>
      <c r="D193">
        <v>0</v>
      </c>
      <c r="E193" t="s">
        <v>25</v>
      </c>
      <c r="F193" t="s">
        <v>26</v>
      </c>
      <c r="G193" t="s">
        <v>27</v>
      </c>
      <c r="H193" t="s">
        <v>1160</v>
      </c>
      <c r="I193" t="s">
        <v>1161</v>
      </c>
      <c r="J193" t="s">
        <v>26</v>
      </c>
      <c r="K193" t="s">
        <v>26</v>
      </c>
      <c r="L193" t="s">
        <v>1162</v>
      </c>
      <c r="M193" t="s">
        <v>25</v>
      </c>
      <c r="N193" t="s">
        <v>1149</v>
      </c>
      <c r="O193" t="s">
        <v>1150</v>
      </c>
      <c r="P193" t="s">
        <v>81</v>
      </c>
      <c r="Q193" t="s">
        <v>82</v>
      </c>
      <c r="R193">
        <v>257796</v>
      </c>
      <c r="S193">
        <v>0</v>
      </c>
      <c r="T193">
        <v>257796</v>
      </c>
      <c r="U193" t="s">
        <v>35</v>
      </c>
      <c r="V193" t="s">
        <v>1153</v>
      </c>
      <c r="W193" t="s">
        <v>83</v>
      </c>
      <c r="X193" s="4">
        <v>1</v>
      </c>
      <c r="Y193" s="4"/>
      <c r="Z193">
        <f t="shared" si="8"/>
        <v>7</v>
      </c>
      <c r="AA193">
        <f t="shared" si="9"/>
        <v>15</v>
      </c>
      <c r="AB193" s="5">
        <f t="shared" si="10"/>
        <v>0.29761574073927477</v>
      </c>
      <c r="AC193" s="3">
        <f t="shared" si="11"/>
        <v>9.0266203704231884E-2</v>
      </c>
      <c r="AD193" t="str" cm="1">
        <f t="array" ref="AD193">IFERROR(_xlfn.IFS(
    AC193="", "",
    AC193*86400 &lt; 30, "1. 0s - &lt;30s",
    AC193*86400 &lt; 60, "2. 30s - &lt;1m",
    AC193*86400 &lt; 300, "3. 1m - &lt;5m",
    AC193*86400 &lt; 1800, "4. 5m - &lt;30m",
    TRUE, "5. &gt;= 30m"
),"6. Invalid (Order rejected)")</f>
        <v>5. &gt;= 30m</v>
      </c>
    </row>
    <row r="194" spans="1:30" hidden="1" x14ac:dyDescent="0.3">
      <c r="A194" t="s">
        <v>1163</v>
      </c>
      <c r="B194" t="s">
        <v>25</v>
      </c>
      <c r="C194">
        <v>42758642</v>
      </c>
      <c r="D194">
        <v>0</v>
      </c>
      <c r="E194" t="s">
        <v>25</v>
      </c>
      <c r="F194" t="s">
        <v>26</v>
      </c>
      <c r="G194" t="s">
        <v>27</v>
      </c>
      <c r="H194" t="s">
        <v>1164</v>
      </c>
      <c r="I194" t="s">
        <v>1165</v>
      </c>
      <c r="J194" t="s">
        <v>26</v>
      </c>
      <c r="K194" t="s">
        <v>26</v>
      </c>
      <c r="L194" t="s">
        <v>1166</v>
      </c>
      <c r="M194" t="s">
        <v>25</v>
      </c>
      <c r="N194" t="s">
        <v>987</v>
      </c>
      <c r="O194" t="s">
        <v>988</v>
      </c>
      <c r="P194" t="s">
        <v>317</v>
      </c>
      <c r="Q194" t="s">
        <v>318</v>
      </c>
      <c r="R194">
        <v>228960</v>
      </c>
      <c r="S194">
        <v>0</v>
      </c>
      <c r="T194">
        <v>228960</v>
      </c>
      <c r="U194" t="s">
        <v>35</v>
      </c>
      <c r="V194" t="s">
        <v>991</v>
      </c>
      <c r="W194" t="s">
        <v>319</v>
      </c>
      <c r="X194" s="4">
        <v>1</v>
      </c>
      <c r="Y194" s="4"/>
      <c r="Z194">
        <f t="shared" si="8"/>
        <v>7</v>
      </c>
      <c r="AA194">
        <f t="shared" si="9"/>
        <v>15</v>
      </c>
      <c r="AB194" s="5">
        <f t="shared" si="10"/>
        <v>0.30416666666860692</v>
      </c>
      <c r="AC194" s="3">
        <f t="shared" si="11"/>
        <v>0.16146990740526235</v>
      </c>
      <c r="AD194" t="str" cm="1">
        <f t="array" ref="AD194">IFERROR(_xlfn.IFS(
    AC194="", "",
    AC194*86400 &lt; 30, "1. 0s - &lt;30s",
    AC194*86400 &lt; 60, "2. 30s - &lt;1m",
    AC194*86400 &lt; 300, "3. 1m - &lt;5m",
    AC194*86400 &lt; 1800, "4. 5m - &lt;30m",
    TRUE, "5. &gt;= 30m"
),"6. Invalid (Order rejected)")</f>
        <v>5. &gt;= 30m</v>
      </c>
    </row>
    <row r="195" spans="1:30" hidden="1" x14ac:dyDescent="0.3">
      <c r="A195" t="s">
        <v>1167</v>
      </c>
      <c r="B195" t="s">
        <v>25</v>
      </c>
      <c r="C195">
        <v>42758642</v>
      </c>
      <c r="D195">
        <v>0</v>
      </c>
      <c r="E195" t="s">
        <v>25</v>
      </c>
      <c r="F195" t="s">
        <v>26</v>
      </c>
      <c r="G195" t="s">
        <v>27</v>
      </c>
      <c r="H195" t="s">
        <v>1168</v>
      </c>
      <c r="I195" t="s">
        <v>1169</v>
      </c>
      <c r="J195" t="s">
        <v>26</v>
      </c>
      <c r="K195" t="s">
        <v>26</v>
      </c>
      <c r="L195" t="s">
        <v>1170</v>
      </c>
      <c r="M195" t="s">
        <v>25</v>
      </c>
      <c r="N195" t="s">
        <v>1171</v>
      </c>
      <c r="O195" t="s">
        <v>1172</v>
      </c>
      <c r="P195" t="s">
        <v>857</v>
      </c>
      <c r="Q195" t="s">
        <v>858</v>
      </c>
      <c r="R195">
        <v>128412</v>
      </c>
      <c r="S195">
        <v>0</v>
      </c>
      <c r="T195">
        <v>128412</v>
      </c>
      <c r="U195" t="s">
        <v>35</v>
      </c>
      <c r="V195" t="s">
        <v>1173</v>
      </c>
      <c r="W195" t="s">
        <v>860</v>
      </c>
      <c r="X195" s="4">
        <v>1</v>
      </c>
      <c r="Y195" s="4"/>
      <c r="Z195">
        <f t="shared" ref="Z195:Z258" si="12">MONTH(H195)</f>
        <v>7</v>
      </c>
      <c r="AA195">
        <f t="shared" ref="AA195:AA258" si="13">DAY(H195)</f>
        <v>15</v>
      </c>
      <c r="AB195" s="5">
        <f t="shared" ref="AB195:AB258" si="14">MOD(H195, 1)</f>
        <v>0.30732638888730435</v>
      </c>
      <c r="AC195" s="3">
        <f t="shared" ref="AC195:AC258" si="15">IFERROR(IF(M195="",L195-H195,M195-H195),"Order rejected, no time available")</f>
        <v>9.0266203704231884E-2</v>
      </c>
      <c r="AD195" t="str" cm="1">
        <f t="array" ref="AD195">IFERROR(_xlfn.IFS(
    AC195="", "",
    AC195*86400 &lt; 30, "1. 0s - &lt;30s",
    AC195*86400 &lt; 60, "2. 30s - &lt;1m",
    AC195*86400 &lt; 300, "3. 1m - &lt;5m",
    AC195*86400 &lt; 1800, "4. 5m - &lt;30m",
    TRUE, "5. &gt;= 30m"
),"6. Invalid (Order rejected)")</f>
        <v>5. &gt;= 30m</v>
      </c>
    </row>
    <row r="196" spans="1:30" hidden="1" x14ac:dyDescent="0.3">
      <c r="A196" t="s">
        <v>1174</v>
      </c>
      <c r="B196" t="s">
        <v>25</v>
      </c>
      <c r="C196">
        <v>42758642</v>
      </c>
      <c r="D196">
        <v>0</v>
      </c>
      <c r="E196" t="s">
        <v>25</v>
      </c>
      <c r="F196" t="s">
        <v>26</v>
      </c>
      <c r="G196" t="s">
        <v>27</v>
      </c>
      <c r="H196" t="s">
        <v>1175</v>
      </c>
      <c r="I196" t="s">
        <v>1176</v>
      </c>
      <c r="J196" t="s">
        <v>26</v>
      </c>
      <c r="K196" t="s">
        <v>26</v>
      </c>
      <c r="L196" t="s">
        <v>1177</v>
      </c>
      <c r="M196" t="s">
        <v>25</v>
      </c>
      <c r="N196" t="s">
        <v>1078</v>
      </c>
      <c r="O196" t="s">
        <v>1079</v>
      </c>
      <c r="P196" t="s">
        <v>418</v>
      </c>
      <c r="Q196" t="s">
        <v>419</v>
      </c>
      <c r="R196">
        <v>284904</v>
      </c>
      <c r="S196">
        <v>0</v>
      </c>
      <c r="T196">
        <v>284904</v>
      </c>
      <c r="U196" t="s">
        <v>35</v>
      </c>
      <c r="V196" t="s">
        <v>1080</v>
      </c>
      <c r="W196" t="s">
        <v>420</v>
      </c>
      <c r="X196" s="4">
        <v>1</v>
      </c>
      <c r="Y196" s="4"/>
      <c r="Z196">
        <f t="shared" si="12"/>
        <v>7</v>
      </c>
      <c r="AA196">
        <f t="shared" si="13"/>
        <v>15</v>
      </c>
      <c r="AB196" s="5">
        <f t="shared" si="14"/>
        <v>0.29605324073781958</v>
      </c>
      <c r="AC196" s="3">
        <f t="shared" si="15"/>
        <v>9.0277777781011537E-2</v>
      </c>
      <c r="AD196" t="str" cm="1">
        <f t="array" ref="AD196">IFERROR(_xlfn.IFS(
    AC196="", "",
    AC196*86400 &lt; 30, "1. 0s - &lt;30s",
    AC196*86400 &lt; 60, "2. 30s - &lt;1m",
    AC196*86400 &lt; 300, "3. 1m - &lt;5m",
    AC196*86400 &lt; 1800, "4. 5m - &lt;30m",
    TRUE, "5. &gt;= 30m"
),"6. Invalid (Order rejected)")</f>
        <v>5. &gt;= 30m</v>
      </c>
    </row>
    <row r="197" spans="1:30" hidden="1" x14ac:dyDescent="0.3">
      <c r="A197" t="s">
        <v>1178</v>
      </c>
      <c r="B197" t="s">
        <v>25</v>
      </c>
      <c r="C197">
        <v>42758642</v>
      </c>
      <c r="D197">
        <v>4729280</v>
      </c>
      <c r="E197" t="s">
        <v>25</v>
      </c>
      <c r="F197" t="s">
        <v>75</v>
      </c>
      <c r="G197" t="s">
        <v>76</v>
      </c>
      <c r="H197" t="s">
        <v>1179</v>
      </c>
      <c r="I197" t="s">
        <v>1180</v>
      </c>
      <c r="J197" t="s">
        <v>1181</v>
      </c>
      <c r="K197" t="s">
        <v>26</v>
      </c>
      <c r="L197" t="s">
        <v>1182</v>
      </c>
      <c r="M197" t="s">
        <v>25</v>
      </c>
      <c r="N197" t="s">
        <v>1142</v>
      </c>
      <c r="O197" t="s">
        <v>1143</v>
      </c>
      <c r="P197" t="s">
        <v>351</v>
      </c>
      <c r="Q197" t="s">
        <v>352</v>
      </c>
      <c r="R197">
        <v>379404</v>
      </c>
      <c r="S197">
        <v>294126</v>
      </c>
      <c r="T197">
        <v>85278</v>
      </c>
      <c r="U197" t="s">
        <v>35</v>
      </c>
      <c r="V197" t="s">
        <v>1144</v>
      </c>
      <c r="W197" t="s">
        <v>354</v>
      </c>
      <c r="X197" s="4">
        <v>1</v>
      </c>
      <c r="Y197" s="4"/>
      <c r="Z197">
        <f t="shared" si="12"/>
        <v>7</v>
      </c>
      <c r="AA197">
        <f t="shared" si="13"/>
        <v>15</v>
      </c>
      <c r="AB197" s="5">
        <f t="shared" si="14"/>
        <v>0.30159722222015262</v>
      </c>
      <c r="AC197" s="3">
        <f t="shared" si="15"/>
        <v>6.547453704115469E-2</v>
      </c>
      <c r="AD197" t="str" cm="1">
        <f t="array" ref="AD197">IFERROR(_xlfn.IFS(
    AC197="", "",
    AC197*86400 &lt; 30, "1. 0s - &lt;30s",
    AC197*86400 &lt; 60, "2. 30s - &lt;1m",
    AC197*86400 &lt; 300, "3. 1m - &lt;5m",
    AC197*86400 &lt; 1800, "4. 5m - &lt;30m",
    TRUE, "5. &gt;= 30m"
),"6. Invalid (Order rejected)")</f>
        <v>5. &gt;= 30m</v>
      </c>
    </row>
    <row r="198" spans="1:30" hidden="1" x14ac:dyDescent="0.3">
      <c r="A198" t="s">
        <v>1183</v>
      </c>
      <c r="B198" t="s">
        <v>25</v>
      </c>
      <c r="C198">
        <v>42758642</v>
      </c>
      <c r="D198">
        <v>3106185</v>
      </c>
      <c r="E198" t="s">
        <v>25</v>
      </c>
      <c r="F198" t="s">
        <v>75</v>
      </c>
      <c r="G198" t="s">
        <v>76</v>
      </c>
      <c r="H198" t="s">
        <v>1184</v>
      </c>
      <c r="I198" t="s">
        <v>1185</v>
      </c>
      <c r="J198" t="s">
        <v>1186</v>
      </c>
      <c r="K198" t="s">
        <v>26</v>
      </c>
      <c r="L198" t="s">
        <v>1187</v>
      </c>
      <c r="M198" t="s">
        <v>25</v>
      </c>
      <c r="N198" t="s">
        <v>1149</v>
      </c>
      <c r="O198" t="s">
        <v>1150</v>
      </c>
      <c r="P198" t="s">
        <v>1188</v>
      </c>
      <c r="Q198" t="s">
        <v>1189</v>
      </c>
      <c r="R198">
        <v>215244</v>
      </c>
      <c r="S198">
        <v>166864</v>
      </c>
      <c r="T198">
        <v>48380</v>
      </c>
      <c r="U198" t="s">
        <v>35</v>
      </c>
      <c r="V198" t="s">
        <v>1153</v>
      </c>
      <c r="W198" t="s">
        <v>1190</v>
      </c>
      <c r="X198" s="4">
        <v>1</v>
      </c>
      <c r="Y198" s="4"/>
      <c r="Z198">
        <f t="shared" si="12"/>
        <v>7</v>
      </c>
      <c r="AA198">
        <f t="shared" si="13"/>
        <v>15</v>
      </c>
      <c r="AB198" s="5">
        <f t="shared" si="14"/>
        <v>0.296805555553874</v>
      </c>
      <c r="AC198" s="3">
        <f t="shared" si="15"/>
        <v>4.3946759258687962E-2</v>
      </c>
      <c r="AD198" t="str" cm="1">
        <f t="array" ref="AD198">IFERROR(_xlfn.IFS(
    AC198="", "",
    AC198*86400 &lt; 30, "1. 0s - &lt;30s",
    AC198*86400 &lt; 60, "2. 30s - &lt;1m",
    AC198*86400 &lt; 300, "3. 1m - &lt;5m",
    AC198*86400 &lt; 1800, "4. 5m - &lt;30m",
    TRUE, "5. &gt;= 30m"
),"6. Invalid (Order rejected)")</f>
        <v>5. &gt;= 30m</v>
      </c>
    </row>
    <row r="199" spans="1:30" hidden="1" x14ac:dyDescent="0.3">
      <c r="A199" t="s">
        <v>1191</v>
      </c>
      <c r="B199" t="s">
        <v>25</v>
      </c>
      <c r="C199">
        <v>42758642</v>
      </c>
      <c r="D199">
        <v>0</v>
      </c>
      <c r="E199" t="s">
        <v>25</v>
      </c>
      <c r="F199" t="s">
        <v>26</v>
      </c>
      <c r="G199" t="s">
        <v>27</v>
      </c>
      <c r="H199" t="s">
        <v>1192</v>
      </c>
      <c r="I199" t="s">
        <v>1193</v>
      </c>
      <c r="J199" t="s">
        <v>26</v>
      </c>
      <c r="K199" t="s">
        <v>26</v>
      </c>
      <c r="L199" t="s">
        <v>1194</v>
      </c>
      <c r="M199" t="s">
        <v>25</v>
      </c>
      <c r="N199" t="s">
        <v>1128</v>
      </c>
      <c r="O199" t="s">
        <v>1129</v>
      </c>
      <c r="P199" t="s">
        <v>289</v>
      </c>
      <c r="Q199" t="s">
        <v>290</v>
      </c>
      <c r="R199">
        <v>187920</v>
      </c>
      <c r="S199">
        <v>0</v>
      </c>
      <c r="T199">
        <v>187920</v>
      </c>
      <c r="U199" t="s">
        <v>35</v>
      </c>
      <c r="V199" t="s">
        <v>1130</v>
      </c>
      <c r="W199" t="s">
        <v>291</v>
      </c>
      <c r="X199" s="4">
        <v>1</v>
      </c>
      <c r="Y199" s="4"/>
      <c r="Z199">
        <f t="shared" si="12"/>
        <v>7</v>
      </c>
      <c r="AA199">
        <f t="shared" si="13"/>
        <v>15</v>
      </c>
      <c r="AB199" s="5">
        <f t="shared" si="14"/>
        <v>0.29984953703387873</v>
      </c>
      <c r="AC199" s="3">
        <f t="shared" si="15"/>
        <v>9.0266203704231884E-2</v>
      </c>
      <c r="AD199" t="str" cm="1">
        <f t="array" ref="AD199">IFERROR(_xlfn.IFS(
    AC199="", "",
    AC199*86400 &lt; 30, "1. 0s - &lt;30s",
    AC199*86400 &lt; 60, "2. 30s - &lt;1m",
    AC199*86400 &lt; 300, "3. 1m - &lt;5m",
    AC199*86400 &lt; 1800, "4. 5m - &lt;30m",
    TRUE, "5. &gt;= 30m"
),"6. Invalid (Order rejected)")</f>
        <v>5. &gt;= 30m</v>
      </c>
    </row>
    <row r="200" spans="1:30" hidden="1" x14ac:dyDescent="0.3">
      <c r="A200" t="s">
        <v>1195</v>
      </c>
      <c r="B200" t="s">
        <v>25</v>
      </c>
      <c r="C200">
        <v>42758642</v>
      </c>
      <c r="D200">
        <v>0</v>
      </c>
      <c r="E200" t="s">
        <v>25</v>
      </c>
      <c r="F200" t="s">
        <v>26</v>
      </c>
      <c r="G200" t="s">
        <v>27</v>
      </c>
      <c r="H200" t="s">
        <v>1196</v>
      </c>
      <c r="I200" t="s">
        <v>1197</v>
      </c>
      <c r="J200" t="s">
        <v>26</v>
      </c>
      <c r="K200" t="s">
        <v>26</v>
      </c>
      <c r="L200" t="s">
        <v>1198</v>
      </c>
      <c r="M200" t="s">
        <v>25</v>
      </c>
      <c r="N200" t="s">
        <v>1135</v>
      </c>
      <c r="O200" t="s">
        <v>1136</v>
      </c>
      <c r="P200" t="s">
        <v>1199</v>
      </c>
      <c r="Q200" t="s">
        <v>1200</v>
      </c>
      <c r="R200">
        <v>182844</v>
      </c>
      <c r="S200">
        <v>0</v>
      </c>
      <c r="T200">
        <v>182844</v>
      </c>
      <c r="U200" t="s">
        <v>35</v>
      </c>
      <c r="V200" t="s">
        <v>1137</v>
      </c>
      <c r="W200" t="s">
        <v>1201</v>
      </c>
      <c r="X200" s="4">
        <v>1</v>
      </c>
      <c r="Y200" s="4"/>
      <c r="Z200">
        <f t="shared" si="12"/>
        <v>7</v>
      </c>
      <c r="AA200">
        <f t="shared" si="13"/>
        <v>15</v>
      </c>
      <c r="AB200" s="5">
        <f t="shared" si="14"/>
        <v>0.3008333333345945</v>
      </c>
      <c r="AC200" s="3">
        <f t="shared" si="15"/>
        <v>9.0266203704231884E-2</v>
      </c>
      <c r="AD200" t="str" cm="1">
        <f t="array" ref="AD200">IFERROR(_xlfn.IFS(
    AC200="", "",
    AC200*86400 &lt; 30, "1. 0s - &lt;30s",
    AC200*86400 &lt; 60, "2. 30s - &lt;1m",
    AC200*86400 &lt; 300, "3. 1m - &lt;5m",
    AC200*86400 &lt; 1800, "4. 5m - &lt;30m",
    TRUE, "5. &gt;= 30m"
),"6. Invalid (Order rejected)")</f>
        <v>5. &gt;= 30m</v>
      </c>
    </row>
    <row r="201" spans="1:30" hidden="1" x14ac:dyDescent="0.3">
      <c r="A201" t="s">
        <v>1202</v>
      </c>
      <c r="B201" t="s">
        <v>25</v>
      </c>
      <c r="C201">
        <v>42758642</v>
      </c>
      <c r="D201">
        <v>4179701</v>
      </c>
      <c r="E201" t="s">
        <v>25</v>
      </c>
      <c r="F201" t="s">
        <v>75</v>
      </c>
      <c r="G201" t="s">
        <v>76</v>
      </c>
      <c r="H201" t="s">
        <v>1203</v>
      </c>
      <c r="I201" t="s">
        <v>1204</v>
      </c>
      <c r="J201" t="s">
        <v>1205</v>
      </c>
      <c r="K201" t="s">
        <v>26</v>
      </c>
      <c r="L201" t="s">
        <v>1206</v>
      </c>
      <c r="M201" t="s">
        <v>25</v>
      </c>
      <c r="N201" t="s">
        <v>1142</v>
      </c>
      <c r="O201" t="s">
        <v>1143</v>
      </c>
      <c r="P201" t="s">
        <v>351</v>
      </c>
      <c r="Q201" t="s">
        <v>352</v>
      </c>
      <c r="R201">
        <v>368604</v>
      </c>
      <c r="S201">
        <v>302562</v>
      </c>
      <c r="T201">
        <v>66042</v>
      </c>
      <c r="U201" t="s">
        <v>35</v>
      </c>
      <c r="V201" t="s">
        <v>1144</v>
      </c>
      <c r="W201" t="s">
        <v>354</v>
      </c>
      <c r="X201" s="4">
        <v>1</v>
      </c>
      <c r="Y201" s="4"/>
      <c r="Z201">
        <f t="shared" si="12"/>
        <v>7</v>
      </c>
      <c r="AA201">
        <f t="shared" si="13"/>
        <v>15</v>
      </c>
      <c r="AB201" s="5">
        <f t="shared" si="14"/>
        <v>0.30187499999738066</v>
      </c>
      <c r="AC201" s="3">
        <f t="shared" si="15"/>
        <v>7.2743055556202307E-2</v>
      </c>
      <c r="AD201" t="str" cm="1">
        <f t="array" ref="AD201">IFERROR(_xlfn.IFS(
    AC201="", "",
    AC201*86400 &lt; 30, "1. 0s - &lt;30s",
    AC201*86400 &lt; 60, "2. 30s - &lt;1m",
    AC201*86400 &lt; 300, "3. 1m - &lt;5m",
    AC201*86400 &lt; 1800, "4. 5m - &lt;30m",
    TRUE, "5. &gt;= 30m"
),"6. Invalid (Order rejected)")</f>
        <v>5. &gt;= 30m</v>
      </c>
    </row>
    <row r="202" spans="1:30" x14ac:dyDescent="0.3">
      <c r="A202" t="s">
        <v>1207</v>
      </c>
      <c r="B202" t="s">
        <v>25</v>
      </c>
      <c r="C202">
        <v>42758642</v>
      </c>
      <c r="D202">
        <v>4424389</v>
      </c>
      <c r="E202" t="s">
        <v>25</v>
      </c>
      <c r="F202" t="s">
        <v>75</v>
      </c>
      <c r="G202" t="s">
        <v>360</v>
      </c>
      <c r="H202" t="s">
        <v>1208</v>
      </c>
      <c r="I202" t="s">
        <v>1209</v>
      </c>
      <c r="J202" t="s">
        <v>1210</v>
      </c>
      <c r="K202" t="s">
        <v>26</v>
      </c>
      <c r="L202" t="s">
        <v>25</v>
      </c>
      <c r="M202" t="s">
        <v>25</v>
      </c>
      <c r="N202" t="s">
        <v>1105</v>
      </c>
      <c r="O202" t="s">
        <v>1106</v>
      </c>
      <c r="P202" t="s">
        <v>507</v>
      </c>
      <c r="Q202" t="s">
        <v>508</v>
      </c>
      <c r="R202">
        <v>325728</v>
      </c>
      <c r="S202">
        <v>252515</v>
      </c>
      <c r="T202">
        <v>73213</v>
      </c>
      <c r="U202" t="s">
        <v>35</v>
      </c>
      <c r="V202" t="s">
        <v>1107</v>
      </c>
      <c r="W202" t="s">
        <v>509</v>
      </c>
      <c r="X202" s="4">
        <v>1</v>
      </c>
      <c r="Y202" s="4"/>
      <c r="Z202">
        <f t="shared" si="12"/>
        <v>7</v>
      </c>
      <c r="AA202">
        <f t="shared" si="13"/>
        <v>15</v>
      </c>
      <c r="AB202" s="5">
        <f t="shared" si="14"/>
        <v>0.30247685185167938</v>
      </c>
      <c r="AC202" s="3" t="str">
        <f t="shared" si="15"/>
        <v>Order rejected, no time available</v>
      </c>
      <c r="AD202" t="str" cm="1">
        <f t="array" ref="AD202">IFERROR(_xlfn.IFS(
    AC202="", "",
    AC202*86400 &lt; 30, "1. 0s - &lt;30s",
    AC202*86400 &lt; 60, "2. 30s - &lt;1m",
    AC202*86400 &lt; 300, "3. 1m - &lt;5m",
    AC202*86400 &lt; 1800, "4. 5m - &lt;30m",
    TRUE, "5. &gt;= 30m"
),"6. Invalid (Order rejected)")</f>
        <v>6. Invalid (Order rejected)</v>
      </c>
    </row>
    <row r="203" spans="1:30" x14ac:dyDescent="0.3">
      <c r="A203" t="s">
        <v>1211</v>
      </c>
      <c r="B203" t="s">
        <v>25</v>
      </c>
      <c r="C203">
        <v>42758642</v>
      </c>
      <c r="D203">
        <v>1724020</v>
      </c>
      <c r="E203" t="s">
        <v>25</v>
      </c>
      <c r="F203" t="s">
        <v>75</v>
      </c>
      <c r="G203" t="s">
        <v>360</v>
      </c>
      <c r="H203" t="s">
        <v>1212</v>
      </c>
      <c r="I203" t="s">
        <v>1213</v>
      </c>
      <c r="J203" t="s">
        <v>1214</v>
      </c>
      <c r="K203" t="s">
        <v>1215</v>
      </c>
      <c r="L203" t="s">
        <v>25</v>
      </c>
      <c r="M203" t="s">
        <v>25</v>
      </c>
      <c r="N203" t="s">
        <v>987</v>
      </c>
      <c r="O203" t="s">
        <v>988</v>
      </c>
      <c r="P203" t="s">
        <v>317</v>
      </c>
      <c r="Q203" t="s">
        <v>318</v>
      </c>
      <c r="R203">
        <v>218160</v>
      </c>
      <c r="S203">
        <v>169124</v>
      </c>
      <c r="T203">
        <v>49036</v>
      </c>
      <c r="U203" t="s">
        <v>35</v>
      </c>
      <c r="V203" t="s">
        <v>991</v>
      </c>
      <c r="W203" t="s">
        <v>319</v>
      </c>
      <c r="X203" s="4">
        <v>1</v>
      </c>
      <c r="Y203" s="4"/>
      <c r="Z203">
        <f t="shared" si="12"/>
        <v>7</v>
      </c>
      <c r="AA203">
        <f t="shared" si="13"/>
        <v>15</v>
      </c>
      <c r="AB203" s="5">
        <f t="shared" si="14"/>
        <v>0.30443287036905531</v>
      </c>
      <c r="AC203" s="3" t="str">
        <f t="shared" si="15"/>
        <v>Order rejected, no time available</v>
      </c>
      <c r="AD203" t="str" cm="1">
        <f t="array" ref="AD203">IFERROR(_xlfn.IFS(
    AC203="", "",
    AC203*86400 &lt; 30, "1. 0s - &lt;30s",
    AC203*86400 &lt; 60, "2. 30s - &lt;1m",
    AC203*86400 &lt; 300, "3. 1m - &lt;5m",
    AC203*86400 &lt; 1800, "4. 5m - &lt;30m",
    TRUE, "5. &gt;= 30m"
),"6. Invalid (Order rejected)")</f>
        <v>6. Invalid (Order rejected)</v>
      </c>
    </row>
    <row r="204" spans="1:30" hidden="1" x14ac:dyDescent="0.3">
      <c r="A204" t="s">
        <v>1216</v>
      </c>
      <c r="B204" t="s">
        <v>25</v>
      </c>
      <c r="C204">
        <v>42758642</v>
      </c>
      <c r="D204">
        <v>0</v>
      </c>
      <c r="E204" t="s">
        <v>25</v>
      </c>
      <c r="F204" t="s">
        <v>26</v>
      </c>
      <c r="G204" t="s">
        <v>27</v>
      </c>
      <c r="H204" t="s">
        <v>1217</v>
      </c>
      <c r="I204" t="s">
        <v>1218</v>
      </c>
      <c r="J204" t="s">
        <v>26</v>
      </c>
      <c r="K204" t="s">
        <v>26</v>
      </c>
      <c r="L204" t="s">
        <v>1219</v>
      </c>
      <c r="M204" t="s">
        <v>25</v>
      </c>
      <c r="N204" t="s">
        <v>1171</v>
      </c>
      <c r="O204" t="s">
        <v>1172</v>
      </c>
      <c r="P204" t="s">
        <v>418</v>
      </c>
      <c r="Q204" t="s">
        <v>419</v>
      </c>
      <c r="R204">
        <v>280044</v>
      </c>
      <c r="S204">
        <v>0</v>
      </c>
      <c r="T204">
        <v>280044</v>
      </c>
      <c r="U204" t="s">
        <v>35</v>
      </c>
      <c r="V204" t="s">
        <v>1173</v>
      </c>
      <c r="W204" t="s">
        <v>420</v>
      </c>
      <c r="X204" s="4">
        <v>1</v>
      </c>
      <c r="Y204" s="4"/>
      <c r="Z204">
        <f t="shared" si="12"/>
        <v>7</v>
      </c>
      <c r="AA204">
        <f t="shared" si="13"/>
        <v>15</v>
      </c>
      <c r="AB204" s="5">
        <f t="shared" si="14"/>
        <v>0.30671296296350192</v>
      </c>
      <c r="AC204" s="3">
        <f t="shared" si="15"/>
        <v>9.0266203704231884E-2</v>
      </c>
      <c r="AD204" t="str" cm="1">
        <f t="array" ref="AD204">IFERROR(_xlfn.IFS(
    AC204="", "",
    AC204*86400 &lt; 30, "1. 0s - &lt;30s",
    AC204*86400 &lt; 60, "2. 30s - &lt;1m",
    AC204*86400 &lt; 300, "3. 1m - &lt;5m",
    AC204*86400 &lt; 1800, "4. 5m - &lt;30m",
    TRUE, "5. &gt;= 30m"
),"6. Invalid (Order rejected)")</f>
        <v>5. &gt;= 30m</v>
      </c>
    </row>
    <row r="205" spans="1:30" hidden="1" x14ac:dyDescent="0.3">
      <c r="A205" t="s">
        <v>1220</v>
      </c>
      <c r="B205" t="s">
        <v>25</v>
      </c>
      <c r="C205">
        <v>42758642</v>
      </c>
      <c r="D205">
        <v>0</v>
      </c>
      <c r="E205" t="s">
        <v>25</v>
      </c>
      <c r="F205" t="s">
        <v>26</v>
      </c>
      <c r="G205" t="s">
        <v>27</v>
      </c>
      <c r="H205" t="s">
        <v>1221</v>
      </c>
      <c r="I205" t="s">
        <v>1222</v>
      </c>
      <c r="J205" t="s">
        <v>26</v>
      </c>
      <c r="K205" t="s">
        <v>26</v>
      </c>
      <c r="L205" t="s">
        <v>1223</v>
      </c>
      <c r="M205" t="s">
        <v>25</v>
      </c>
      <c r="N205" t="s">
        <v>1105</v>
      </c>
      <c r="O205" t="s">
        <v>1106</v>
      </c>
      <c r="P205" t="s">
        <v>507</v>
      </c>
      <c r="Q205" t="s">
        <v>508</v>
      </c>
      <c r="R205">
        <v>235764</v>
      </c>
      <c r="S205">
        <v>0</v>
      </c>
      <c r="T205">
        <v>235764</v>
      </c>
      <c r="U205" t="s">
        <v>35</v>
      </c>
      <c r="V205" t="s">
        <v>1107</v>
      </c>
      <c r="W205" t="s">
        <v>509</v>
      </c>
      <c r="X205" s="4">
        <v>1</v>
      </c>
      <c r="Y205" s="4"/>
      <c r="Z205">
        <f t="shared" si="12"/>
        <v>7</v>
      </c>
      <c r="AA205">
        <f t="shared" si="13"/>
        <v>15</v>
      </c>
      <c r="AB205" s="5">
        <f t="shared" si="14"/>
        <v>0.30234953703620704</v>
      </c>
      <c r="AC205" s="3">
        <f t="shared" si="15"/>
        <v>9.0277777781011537E-2</v>
      </c>
      <c r="AD205" t="str" cm="1">
        <f t="array" ref="AD205">IFERROR(_xlfn.IFS(
    AC205="", "",
    AC205*86400 &lt; 30, "1. 0s - &lt;30s",
    AC205*86400 &lt; 60, "2. 30s - &lt;1m",
    AC205*86400 &lt; 300, "3. 1m - &lt;5m",
    AC205*86400 &lt; 1800, "4. 5m - &lt;30m",
    TRUE, "5. &gt;= 30m"
),"6. Invalid (Order rejected)")</f>
        <v>5. &gt;= 30m</v>
      </c>
    </row>
    <row r="206" spans="1:30" hidden="1" x14ac:dyDescent="0.3">
      <c r="A206" t="s">
        <v>1224</v>
      </c>
      <c r="B206" t="s">
        <v>25</v>
      </c>
      <c r="C206">
        <v>42758642</v>
      </c>
      <c r="D206">
        <v>0</v>
      </c>
      <c r="E206" t="s">
        <v>25</v>
      </c>
      <c r="F206" t="s">
        <v>26</v>
      </c>
      <c r="G206" t="s">
        <v>27</v>
      </c>
      <c r="H206" t="s">
        <v>1225</v>
      </c>
      <c r="I206" t="s">
        <v>1226</v>
      </c>
      <c r="J206" t="s">
        <v>26</v>
      </c>
      <c r="K206" t="s">
        <v>26</v>
      </c>
      <c r="L206" t="s">
        <v>1227</v>
      </c>
      <c r="M206" t="s">
        <v>25</v>
      </c>
      <c r="N206" t="s">
        <v>1113</v>
      </c>
      <c r="O206" t="s">
        <v>1114</v>
      </c>
      <c r="P206" t="s">
        <v>208</v>
      </c>
      <c r="Q206" t="s">
        <v>209</v>
      </c>
      <c r="R206">
        <v>282852</v>
      </c>
      <c r="S206">
        <v>0</v>
      </c>
      <c r="T206">
        <v>282852</v>
      </c>
      <c r="U206" t="s">
        <v>35</v>
      </c>
      <c r="V206" t="s">
        <v>1115</v>
      </c>
      <c r="W206" t="s">
        <v>210</v>
      </c>
      <c r="X206" s="4">
        <v>1</v>
      </c>
      <c r="Y206" s="4"/>
      <c r="Z206">
        <f t="shared" si="12"/>
        <v>7</v>
      </c>
      <c r="AA206">
        <f t="shared" si="13"/>
        <v>15</v>
      </c>
      <c r="AB206" s="5">
        <f t="shared" si="14"/>
        <v>0.30336805555270985</v>
      </c>
      <c r="AC206" s="3">
        <f t="shared" si="15"/>
        <v>9.0266203704231884E-2</v>
      </c>
      <c r="AD206" t="str" cm="1">
        <f t="array" ref="AD206">IFERROR(_xlfn.IFS(
    AC206="", "",
    AC206*86400 &lt; 30, "1. 0s - &lt;30s",
    AC206*86400 &lt; 60, "2. 30s - &lt;1m",
    AC206*86400 &lt; 300, "3. 1m - &lt;5m",
    AC206*86400 &lt; 1800, "4. 5m - &lt;30m",
    TRUE, "5. &gt;= 30m"
),"6. Invalid (Order rejected)")</f>
        <v>5. &gt;= 30m</v>
      </c>
    </row>
    <row r="207" spans="1:30" hidden="1" x14ac:dyDescent="0.3">
      <c r="A207" t="s">
        <v>1228</v>
      </c>
      <c r="B207" t="s">
        <v>25</v>
      </c>
      <c r="C207">
        <v>42758642</v>
      </c>
      <c r="D207">
        <v>0</v>
      </c>
      <c r="E207" t="s">
        <v>25</v>
      </c>
      <c r="F207" t="s">
        <v>26</v>
      </c>
      <c r="G207" t="s">
        <v>27</v>
      </c>
      <c r="H207" t="s">
        <v>1229</v>
      </c>
      <c r="I207" t="s">
        <v>1230</v>
      </c>
      <c r="J207" t="s">
        <v>26</v>
      </c>
      <c r="K207" t="s">
        <v>26</v>
      </c>
      <c r="L207" t="s">
        <v>1231</v>
      </c>
      <c r="M207" t="s">
        <v>25</v>
      </c>
      <c r="N207" t="s">
        <v>1232</v>
      </c>
      <c r="O207" t="s">
        <v>1233</v>
      </c>
      <c r="P207" t="s">
        <v>616</v>
      </c>
      <c r="Q207" t="s">
        <v>617</v>
      </c>
      <c r="R207">
        <v>210924</v>
      </c>
      <c r="S207">
        <v>0</v>
      </c>
      <c r="T207">
        <v>210924</v>
      </c>
      <c r="U207" t="s">
        <v>35</v>
      </c>
      <c r="V207" t="s">
        <v>1234</v>
      </c>
      <c r="W207" t="s">
        <v>619</v>
      </c>
      <c r="X207" s="4">
        <v>1</v>
      </c>
      <c r="Y207" s="4"/>
      <c r="Z207">
        <f t="shared" si="12"/>
        <v>7</v>
      </c>
      <c r="AA207">
        <f t="shared" si="13"/>
        <v>15</v>
      </c>
      <c r="AB207" s="5">
        <f t="shared" si="14"/>
        <v>0.30493055555416504</v>
      </c>
      <c r="AC207" s="3">
        <f t="shared" si="15"/>
        <v>0.11305555555736646</v>
      </c>
      <c r="AD207" t="str" cm="1">
        <f t="array" ref="AD207">IFERROR(_xlfn.IFS(
    AC207="", "",
    AC207*86400 &lt; 30, "1. 0s - &lt;30s",
    AC207*86400 &lt; 60, "2. 30s - &lt;1m",
    AC207*86400 &lt; 300, "3. 1m - &lt;5m",
    AC207*86400 &lt; 1800, "4. 5m - &lt;30m",
    TRUE, "5. &gt;= 30m"
),"6. Invalid (Order rejected)")</f>
        <v>5. &gt;= 30m</v>
      </c>
    </row>
    <row r="208" spans="1:30" hidden="1" x14ac:dyDescent="0.3">
      <c r="A208" t="s">
        <v>1235</v>
      </c>
      <c r="B208" t="s">
        <v>25</v>
      </c>
      <c r="C208">
        <v>42758642</v>
      </c>
      <c r="D208">
        <v>0</v>
      </c>
      <c r="E208" t="s">
        <v>25</v>
      </c>
      <c r="F208" t="s">
        <v>26</v>
      </c>
      <c r="G208" t="s">
        <v>27</v>
      </c>
      <c r="H208" t="s">
        <v>1236</v>
      </c>
      <c r="I208" t="s">
        <v>1237</v>
      </c>
      <c r="J208" t="s">
        <v>26</v>
      </c>
      <c r="K208" t="s">
        <v>26</v>
      </c>
      <c r="L208" t="s">
        <v>1238</v>
      </c>
      <c r="M208" t="s">
        <v>25</v>
      </c>
      <c r="N208" t="s">
        <v>1171</v>
      </c>
      <c r="O208" t="s">
        <v>1172</v>
      </c>
      <c r="P208" t="s">
        <v>418</v>
      </c>
      <c r="Q208" t="s">
        <v>419</v>
      </c>
      <c r="R208">
        <v>290844</v>
      </c>
      <c r="S208">
        <v>0</v>
      </c>
      <c r="T208">
        <v>290844</v>
      </c>
      <c r="U208" t="s">
        <v>35</v>
      </c>
      <c r="V208" t="s">
        <v>1173</v>
      </c>
      <c r="W208" t="s">
        <v>420</v>
      </c>
      <c r="X208" s="4">
        <v>1</v>
      </c>
      <c r="Y208" s="4"/>
      <c r="Z208">
        <f t="shared" si="12"/>
        <v>7</v>
      </c>
      <c r="AA208">
        <f t="shared" si="13"/>
        <v>15</v>
      </c>
      <c r="AB208" s="5">
        <f t="shared" si="14"/>
        <v>0.30657407407124992</v>
      </c>
      <c r="AC208" s="3">
        <f t="shared" si="15"/>
        <v>9.0266203704231884E-2</v>
      </c>
      <c r="AD208" t="str" cm="1">
        <f t="array" ref="AD208">IFERROR(_xlfn.IFS(
    AC208="", "",
    AC208*86400 &lt; 30, "1. 0s - &lt;30s",
    AC208*86400 &lt; 60, "2. 30s - &lt;1m",
    AC208*86400 &lt; 300, "3. 1m - &lt;5m",
    AC208*86400 &lt; 1800, "4. 5m - &lt;30m",
    TRUE, "5. &gt;= 30m"
),"6. Invalid (Order rejected)")</f>
        <v>5. &gt;= 30m</v>
      </c>
    </row>
    <row r="209" spans="1:30" hidden="1" x14ac:dyDescent="0.3">
      <c r="A209" t="s">
        <v>1239</v>
      </c>
      <c r="B209" t="s">
        <v>25</v>
      </c>
      <c r="C209">
        <v>42758642</v>
      </c>
      <c r="D209">
        <v>0</v>
      </c>
      <c r="E209" t="s">
        <v>25</v>
      </c>
      <c r="F209" t="s">
        <v>26</v>
      </c>
      <c r="G209" t="s">
        <v>27</v>
      </c>
      <c r="H209" t="s">
        <v>1240</v>
      </c>
      <c r="I209" t="s">
        <v>1241</v>
      </c>
      <c r="J209" t="s">
        <v>26</v>
      </c>
      <c r="K209" t="s">
        <v>26</v>
      </c>
      <c r="L209" t="s">
        <v>1242</v>
      </c>
      <c r="M209" t="s">
        <v>25</v>
      </c>
      <c r="N209" t="s">
        <v>1135</v>
      </c>
      <c r="O209" t="s">
        <v>1136</v>
      </c>
      <c r="P209" t="s">
        <v>1243</v>
      </c>
      <c r="Q209" t="s">
        <v>1244</v>
      </c>
      <c r="R209">
        <v>131004</v>
      </c>
      <c r="S209">
        <v>0</v>
      </c>
      <c r="T209">
        <v>131004</v>
      </c>
      <c r="U209" t="s">
        <v>35</v>
      </c>
      <c r="V209" t="s">
        <v>1137</v>
      </c>
      <c r="W209" t="s">
        <v>1201</v>
      </c>
      <c r="X209" s="4">
        <v>1</v>
      </c>
      <c r="Y209" s="4"/>
      <c r="Z209">
        <f t="shared" si="12"/>
        <v>7</v>
      </c>
      <c r="AA209">
        <f t="shared" si="13"/>
        <v>15</v>
      </c>
      <c r="AB209" s="5">
        <f t="shared" si="14"/>
        <v>0.3006944444423425</v>
      </c>
      <c r="AC209" s="3">
        <f t="shared" si="15"/>
        <v>9.0266203704231884E-2</v>
      </c>
      <c r="AD209" t="str" cm="1">
        <f t="array" ref="AD209">IFERROR(_xlfn.IFS(
    AC209="", "",
    AC209*86400 &lt; 30, "1. 0s - &lt;30s",
    AC209*86400 &lt; 60, "2. 30s - &lt;1m",
    AC209*86400 &lt; 300, "3. 1m - &lt;5m",
    AC209*86400 &lt; 1800, "4. 5m - &lt;30m",
    TRUE, "5. &gt;= 30m"
),"6. Invalid (Order rejected)")</f>
        <v>5. &gt;= 30m</v>
      </c>
    </row>
    <row r="210" spans="1:30" x14ac:dyDescent="0.3">
      <c r="A210" t="s">
        <v>1245</v>
      </c>
      <c r="B210" t="s">
        <v>25</v>
      </c>
      <c r="C210">
        <v>42758642</v>
      </c>
      <c r="D210">
        <v>4620372</v>
      </c>
      <c r="E210" t="s">
        <v>25</v>
      </c>
      <c r="F210" t="s">
        <v>75</v>
      </c>
      <c r="G210" t="s">
        <v>360</v>
      </c>
      <c r="H210" t="s">
        <v>1246</v>
      </c>
      <c r="I210" t="s">
        <v>1247</v>
      </c>
      <c r="J210" t="s">
        <v>1248</v>
      </c>
      <c r="K210" t="s">
        <v>1249</v>
      </c>
      <c r="L210" t="s">
        <v>25</v>
      </c>
      <c r="M210" t="s">
        <v>25</v>
      </c>
      <c r="N210" t="s">
        <v>1105</v>
      </c>
      <c r="O210" t="s">
        <v>1106</v>
      </c>
      <c r="P210" t="s">
        <v>507</v>
      </c>
      <c r="Q210" t="s">
        <v>508</v>
      </c>
      <c r="R210">
        <v>224964</v>
      </c>
      <c r="S210">
        <v>174399</v>
      </c>
      <c r="T210">
        <v>50565</v>
      </c>
      <c r="U210" t="s">
        <v>35</v>
      </c>
      <c r="V210" t="s">
        <v>1107</v>
      </c>
      <c r="W210" t="s">
        <v>509</v>
      </c>
      <c r="X210" s="4">
        <v>1</v>
      </c>
      <c r="Y210" s="4"/>
      <c r="Z210">
        <f t="shared" si="12"/>
        <v>7</v>
      </c>
      <c r="AA210">
        <f t="shared" si="13"/>
        <v>15</v>
      </c>
      <c r="AB210" s="5">
        <f t="shared" si="14"/>
        <v>0.30260416666715173</v>
      </c>
      <c r="AC210" s="3" t="str">
        <f t="shared" si="15"/>
        <v>Order rejected, no time available</v>
      </c>
      <c r="AD210" t="str" cm="1">
        <f t="array" ref="AD210">IFERROR(_xlfn.IFS(
    AC210="", "",
    AC210*86400 &lt; 30, "1. 0s - &lt;30s",
    AC210*86400 &lt; 60, "2. 30s - &lt;1m",
    AC210*86400 &lt; 300, "3. 1m - &lt;5m",
    AC210*86400 &lt; 1800, "4. 5m - &lt;30m",
    TRUE, "5. &gt;= 30m"
),"6. Invalid (Order rejected)")</f>
        <v>6. Invalid (Order rejected)</v>
      </c>
    </row>
    <row r="211" spans="1:30" hidden="1" x14ac:dyDescent="0.3">
      <c r="A211" t="s">
        <v>1250</v>
      </c>
      <c r="B211" t="s">
        <v>25</v>
      </c>
      <c r="C211">
        <v>42758642</v>
      </c>
      <c r="D211">
        <v>0</v>
      </c>
      <c r="E211" t="s">
        <v>25</v>
      </c>
      <c r="F211" t="s">
        <v>26</v>
      </c>
      <c r="G211" t="s">
        <v>27</v>
      </c>
      <c r="H211" t="s">
        <v>1251</v>
      </c>
      <c r="I211" t="s">
        <v>1252</v>
      </c>
      <c r="J211" t="s">
        <v>26</v>
      </c>
      <c r="K211" t="s">
        <v>26</v>
      </c>
      <c r="L211" t="s">
        <v>1253</v>
      </c>
      <c r="M211" t="s">
        <v>25</v>
      </c>
      <c r="N211" t="s">
        <v>1171</v>
      </c>
      <c r="O211" t="s">
        <v>1172</v>
      </c>
      <c r="P211" t="s">
        <v>390</v>
      </c>
      <c r="Q211" t="s">
        <v>391</v>
      </c>
      <c r="R211">
        <v>181008</v>
      </c>
      <c r="S211">
        <v>0</v>
      </c>
      <c r="T211">
        <v>181008</v>
      </c>
      <c r="U211" t="s">
        <v>35</v>
      </c>
      <c r="V211" t="s">
        <v>1173</v>
      </c>
      <c r="W211" t="s">
        <v>392</v>
      </c>
      <c r="X211" s="4">
        <v>1</v>
      </c>
      <c r="Y211" s="4"/>
      <c r="Z211">
        <f t="shared" si="12"/>
        <v>7</v>
      </c>
      <c r="AA211">
        <f t="shared" si="13"/>
        <v>15</v>
      </c>
      <c r="AB211" s="5">
        <f t="shared" si="14"/>
        <v>0.30703703704057261</v>
      </c>
      <c r="AC211" s="3">
        <f t="shared" si="15"/>
        <v>9.0266203696955927E-2</v>
      </c>
      <c r="AD211" t="str" cm="1">
        <f t="array" ref="AD211">IFERROR(_xlfn.IFS(
    AC211="", "",
    AC211*86400 &lt; 30, "1. 0s - &lt;30s",
    AC211*86400 &lt; 60, "2. 30s - &lt;1m",
    AC211*86400 &lt; 300, "3. 1m - &lt;5m",
    AC211*86400 &lt; 1800, "4. 5m - &lt;30m",
    TRUE, "5. &gt;= 30m"
),"6. Invalid (Order rejected)")</f>
        <v>5. &gt;= 30m</v>
      </c>
    </row>
    <row r="212" spans="1:30" hidden="1" x14ac:dyDescent="0.3">
      <c r="A212" t="s">
        <v>1254</v>
      </c>
      <c r="B212" t="s">
        <v>25</v>
      </c>
      <c r="C212">
        <v>42459206</v>
      </c>
      <c r="D212">
        <v>0</v>
      </c>
      <c r="E212" t="s">
        <v>25</v>
      </c>
      <c r="F212" t="s">
        <v>26</v>
      </c>
      <c r="G212" t="s">
        <v>27</v>
      </c>
      <c r="H212" t="s">
        <v>1255</v>
      </c>
      <c r="I212" t="s">
        <v>1256</v>
      </c>
      <c r="J212" t="s">
        <v>26</v>
      </c>
      <c r="K212" t="s">
        <v>26</v>
      </c>
      <c r="L212" t="s">
        <v>1257</v>
      </c>
      <c r="M212" t="s">
        <v>25</v>
      </c>
      <c r="N212" t="s">
        <v>1258</v>
      </c>
      <c r="O212" t="s">
        <v>1259</v>
      </c>
      <c r="P212" t="s">
        <v>124</v>
      </c>
      <c r="Q212" t="s">
        <v>125</v>
      </c>
      <c r="R212">
        <v>197748</v>
      </c>
      <c r="S212">
        <v>0</v>
      </c>
      <c r="T212">
        <v>197748</v>
      </c>
      <c r="U212" t="s">
        <v>35</v>
      </c>
      <c r="V212" t="s">
        <v>1260</v>
      </c>
      <c r="W212" t="s">
        <v>126</v>
      </c>
      <c r="X212" s="4">
        <v>1</v>
      </c>
      <c r="Y212" s="4"/>
      <c r="Z212">
        <f t="shared" si="12"/>
        <v>7</v>
      </c>
      <c r="AA212">
        <f t="shared" si="13"/>
        <v>15</v>
      </c>
      <c r="AB212" s="5">
        <f t="shared" si="14"/>
        <v>0.31033564815152204</v>
      </c>
      <c r="AC212" s="3">
        <f t="shared" si="15"/>
        <v>9.3553240738401655E-2</v>
      </c>
      <c r="AD212" t="str" cm="1">
        <f t="array" ref="AD212">IFERROR(_xlfn.IFS(
    AC212="", "",
    AC212*86400 &lt; 30, "1. 0s - &lt;30s",
    AC212*86400 &lt; 60, "2. 30s - &lt;1m",
    AC212*86400 &lt; 300, "3. 1m - &lt;5m",
    AC212*86400 &lt; 1800, "4. 5m - &lt;30m",
    TRUE, "5. &gt;= 30m"
),"6. Invalid (Order rejected)")</f>
        <v>5. &gt;= 30m</v>
      </c>
    </row>
    <row r="213" spans="1:30" hidden="1" x14ac:dyDescent="0.3">
      <c r="A213" t="s">
        <v>1261</v>
      </c>
      <c r="B213" t="s">
        <v>25</v>
      </c>
      <c r="C213">
        <v>42459206</v>
      </c>
      <c r="D213">
        <v>0</v>
      </c>
      <c r="E213" t="s">
        <v>25</v>
      </c>
      <c r="F213" t="s">
        <v>26</v>
      </c>
      <c r="G213" t="s">
        <v>27</v>
      </c>
      <c r="H213" t="s">
        <v>1262</v>
      </c>
      <c r="I213" t="s">
        <v>1263</v>
      </c>
      <c r="J213" t="s">
        <v>26</v>
      </c>
      <c r="K213" t="s">
        <v>26</v>
      </c>
      <c r="L213" t="s">
        <v>1264</v>
      </c>
      <c r="M213" t="s">
        <v>25</v>
      </c>
      <c r="N213" t="s">
        <v>1258</v>
      </c>
      <c r="O213" t="s">
        <v>1259</v>
      </c>
      <c r="P213" t="s">
        <v>147</v>
      </c>
      <c r="Q213" t="s">
        <v>148</v>
      </c>
      <c r="R213">
        <v>134460</v>
      </c>
      <c r="S213">
        <v>0</v>
      </c>
      <c r="T213">
        <v>134460</v>
      </c>
      <c r="U213" t="s">
        <v>35</v>
      </c>
      <c r="V213" t="s">
        <v>1260</v>
      </c>
      <c r="W213" t="s">
        <v>149</v>
      </c>
      <c r="X213" s="4">
        <v>1</v>
      </c>
      <c r="Y213" s="4"/>
      <c r="Z213">
        <f t="shared" si="12"/>
        <v>7</v>
      </c>
      <c r="AA213">
        <f t="shared" si="13"/>
        <v>15</v>
      </c>
      <c r="AB213" s="5">
        <f t="shared" si="14"/>
        <v>0.3110532407372375</v>
      </c>
      <c r="AC213" s="3">
        <f t="shared" si="15"/>
        <v>0.10306712963210884</v>
      </c>
      <c r="AD213" t="str" cm="1">
        <f t="array" ref="AD213">IFERROR(_xlfn.IFS(
    AC213="", "",
    AC213*86400 &lt; 30, "1. 0s - &lt;30s",
    AC213*86400 &lt; 60, "2. 30s - &lt;1m",
    AC213*86400 &lt; 300, "3. 1m - &lt;5m",
    AC213*86400 &lt; 1800, "4. 5m - &lt;30m",
    TRUE, "5. &gt;= 30m"
),"6. Invalid (Order rejected)")</f>
        <v>5. &gt;= 30m</v>
      </c>
    </row>
    <row r="214" spans="1:30" hidden="1" x14ac:dyDescent="0.3">
      <c r="A214" t="s">
        <v>1265</v>
      </c>
      <c r="B214" t="s">
        <v>25</v>
      </c>
      <c r="C214">
        <v>42758642</v>
      </c>
      <c r="D214">
        <v>0</v>
      </c>
      <c r="E214" t="s">
        <v>25</v>
      </c>
      <c r="F214" t="s">
        <v>26</v>
      </c>
      <c r="G214" t="s">
        <v>27</v>
      </c>
      <c r="H214" t="s">
        <v>1266</v>
      </c>
      <c r="I214" t="s">
        <v>1267</v>
      </c>
      <c r="J214" t="s">
        <v>26</v>
      </c>
      <c r="K214" t="s">
        <v>26</v>
      </c>
      <c r="L214" t="s">
        <v>1268</v>
      </c>
      <c r="M214" t="s">
        <v>25</v>
      </c>
      <c r="N214" t="s">
        <v>1269</v>
      </c>
      <c r="O214" t="s">
        <v>1270</v>
      </c>
      <c r="P214" t="s">
        <v>1025</v>
      </c>
      <c r="Q214" t="s">
        <v>1026</v>
      </c>
      <c r="R214">
        <v>139968</v>
      </c>
      <c r="S214">
        <v>0</v>
      </c>
      <c r="T214">
        <v>139968</v>
      </c>
      <c r="U214" t="s">
        <v>35</v>
      </c>
      <c r="V214" t="s">
        <v>1271</v>
      </c>
      <c r="W214" t="s">
        <v>1027</v>
      </c>
      <c r="X214" s="4">
        <v>1</v>
      </c>
      <c r="Y214" s="4"/>
      <c r="Z214">
        <f t="shared" si="12"/>
        <v>7</v>
      </c>
      <c r="AA214">
        <f t="shared" si="13"/>
        <v>15</v>
      </c>
      <c r="AB214" s="5">
        <f t="shared" si="14"/>
        <v>0.30825231481139781</v>
      </c>
      <c r="AC214" s="3">
        <f t="shared" si="15"/>
        <v>9.0266203704231884E-2</v>
      </c>
      <c r="AD214" t="str" cm="1">
        <f t="array" ref="AD214">IFERROR(_xlfn.IFS(
    AC214="", "",
    AC214*86400 &lt; 30, "1. 0s - &lt;30s",
    AC214*86400 &lt; 60, "2. 30s - &lt;1m",
    AC214*86400 &lt; 300, "3. 1m - &lt;5m",
    AC214*86400 &lt; 1800, "4. 5m - &lt;30m",
    TRUE, "5. &gt;= 30m"
),"6. Invalid (Order rejected)")</f>
        <v>5. &gt;= 30m</v>
      </c>
    </row>
    <row r="215" spans="1:30" hidden="1" x14ac:dyDescent="0.3">
      <c r="A215" t="s">
        <v>1272</v>
      </c>
      <c r="B215" t="s">
        <v>25</v>
      </c>
      <c r="C215">
        <v>42459206</v>
      </c>
      <c r="D215">
        <v>0</v>
      </c>
      <c r="E215" t="s">
        <v>25</v>
      </c>
      <c r="F215" t="s">
        <v>26</v>
      </c>
      <c r="G215" t="s">
        <v>27</v>
      </c>
      <c r="H215" t="s">
        <v>1273</v>
      </c>
      <c r="I215" t="s">
        <v>1274</v>
      </c>
      <c r="J215" t="s">
        <v>26</v>
      </c>
      <c r="K215" t="s">
        <v>26</v>
      </c>
      <c r="L215" t="s">
        <v>1275</v>
      </c>
      <c r="M215" t="s">
        <v>25</v>
      </c>
      <c r="N215" t="s">
        <v>31</v>
      </c>
      <c r="O215" t="s">
        <v>32</v>
      </c>
      <c r="P215" t="s">
        <v>208</v>
      </c>
      <c r="Q215" t="s">
        <v>209</v>
      </c>
      <c r="R215">
        <v>286524</v>
      </c>
      <c r="S215">
        <v>0</v>
      </c>
      <c r="T215">
        <v>286524</v>
      </c>
      <c r="U215" t="s">
        <v>35</v>
      </c>
      <c r="V215" t="s">
        <v>36</v>
      </c>
      <c r="W215" t="s">
        <v>210</v>
      </c>
      <c r="X215" s="4">
        <v>1</v>
      </c>
      <c r="Y215" s="4"/>
      <c r="Z215">
        <f t="shared" si="12"/>
        <v>7</v>
      </c>
      <c r="AA215">
        <f t="shared" si="13"/>
        <v>15</v>
      </c>
      <c r="AB215" s="5">
        <f t="shared" si="14"/>
        <v>0.30907407407357823</v>
      </c>
      <c r="AC215" s="3">
        <f t="shared" si="15"/>
        <v>9.0289351850515231E-2</v>
      </c>
      <c r="AD215" t="str" cm="1">
        <f t="array" ref="AD215">IFERROR(_xlfn.IFS(
    AC215="", "",
    AC215*86400 &lt; 30, "1. 0s - &lt;30s",
    AC215*86400 &lt; 60, "2. 30s - &lt;1m",
    AC215*86400 &lt; 300, "3. 1m - &lt;5m",
    AC215*86400 &lt; 1800, "4. 5m - &lt;30m",
    TRUE, "5. &gt;= 30m"
),"6. Invalid (Order rejected)")</f>
        <v>5. &gt;= 30m</v>
      </c>
    </row>
    <row r="216" spans="1:30" x14ac:dyDescent="0.3">
      <c r="A216" t="s">
        <v>1276</v>
      </c>
      <c r="B216" t="s">
        <v>25</v>
      </c>
      <c r="C216">
        <v>42459206</v>
      </c>
      <c r="D216">
        <v>3428843</v>
      </c>
      <c r="E216" t="s">
        <v>25</v>
      </c>
      <c r="F216" t="s">
        <v>75</v>
      </c>
      <c r="G216" t="s">
        <v>360</v>
      </c>
      <c r="H216" t="s">
        <v>1277</v>
      </c>
      <c r="I216" t="s">
        <v>1278</v>
      </c>
      <c r="J216" t="s">
        <v>1279</v>
      </c>
      <c r="K216" t="s">
        <v>26</v>
      </c>
      <c r="L216" t="s">
        <v>25</v>
      </c>
      <c r="M216" t="s">
        <v>25</v>
      </c>
      <c r="N216" t="s">
        <v>1280</v>
      </c>
      <c r="O216" t="s">
        <v>1281</v>
      </c>
      <c r="P216" t="s">
        <v>89</v>
      </c>
      <c r="Q216" t="s">
        <v>90</v>
      </c>
      <c r="R216">
        <v>166644</v>
      </c>
      <c r="S216">
        <v>129188</v>
      </c>
      <c r="T216">
        <v>37456</v>
      </c>
      <c r="U216" t="s">
        <v>35</v>
      </c>
      <c r="V216" t="s">
        <v>1282</v>
      </c>
      <c r="W216" t="s">
        <v>91</v>
      </c>
      <c r="X216" s="4">
        <v>1</v>
      </c>
      <c r="Y216" s="4"/>
      <c r="Z216">
        <f t="shared" si="12"/>
        <v>7</v>
      </c>
      <c r="AA216">
        <f t="shared" si="13"/>
        <v>15</v>
      </c>
      <c r="AB216" s="5">
        <f t="shared" si="14"/>
        <v>0.31484953704057261</v>
      </c>
      <c r="AC216" s="3" t="str">
        <f t="shared" si="15"/>
        <v>Order rejected, no time available</v>
      </c>
      <c r="AD216" t="str" cm="1">
        <f t="array" ref="AD216">IFERROR(_xlfn.IFS(
    AC216="", "",
    AC216*86400 &lt; 30, "1. 0s - &lt;30s",
    AC216*86400 &lt; 60, "2. 30s - &lt;1m",
    AC216*86400 &lt; 300, "3. 1m - &lt;5m",
    AC216*86400 &lt; 1800, "4. 5m - &lt;30m",
    TRUE, "5. &gt;= 30m"
),"6. Invalid (Order rejected)")</f>
        <v>6. Invalid (Order rejected)</v>
      </c>
    </row>
    <row r="217" spans="1:30" hidden="1" x14ac:dyDescent="0.3">
      <c r="A217" t="s">
        <v>1283</v>
      </c>
      <c r="B217" t="s">
        <v>25</v>
      </c>
      <c r="C217">
        <v>42758642</v>
      </c>
      <c r="D217">
        <v>0</v>
      </c>
      <c r="E217" t="s">
        <v>25</v>
      </c>
      <c r="F217" t="s">
        <v>26</v>
      </c>
      <c r="G217" t="s">
        <v>27</v>
      </c>
      <c r="H217" t="s">
        <v>1284</v>
      </c>
      <c r="I217" t="s">
        <v>1285</v>
      </c>
      <c r="J217" t="s">
        <v>26</v>
      </c>
      <c r="K217" t="s">
        <v>26</v>
      </c>
      <c r="L217" t="s">
        <v>1286</v>
      </c>
      <c r="M217" t="s">
        <v>25</v>
      </c>
      <c r="N217" t="s">
        <v>1171</v>
      </c>
      <c r="O217" t="s">
        <v>1172</v>
      </c>
      <c r="P217" t="s">
        <v>81</v>
      </c>
      <c r="Q217" t="s">
        <v>82</v>
      </c>
      <c r="R217">
        <v>191808</v>
      </c>
      <c r="S217">
        <v>0</v>
      </c>
      <c r="T217">
        <v>191808</v>
      </c>
      <c r="U217" t="s">
        <v>35</v>
      </c>
      <c r="V217" t="s">
        <v>1173</v>
      </c>
      <c r="W217" t="s">
        <v>83</v>
      </c>
      <c r="X217" s="4">
        <v>1</v>
      </c>
      <c r="Y217" s="4"/>
      <c r="Z217">
        <f t="shared" si="12"/>
        <v>7</v>
      </c>
      <c r="AA217">
        <f t="shared" si="13"/>
        <v>15</v>
      </c>
      <c r="AB217" s="5">
        <f t="shared" si="14"/>
        <v>0.30685185184847796</v>
      </c>
      <c r="AC217" s="3">
        <f t="shared" si="15"/>
        <v>9.0266203704231884E-2</v>
      </c>
      <c r="AD217" t="str" cm="1">
        <f t="array" ref="AD217">IFERROR(_xlfn.IFS(
    AC217="", "",
    AC217*86400 &lt; 30, "1. 0s - &lt;30s",
    AC217*86400 &lt; 60, "2. 30s - &lt;1m",
    AC217*86400 &lt; 300, "3. 1m - &lt;5m",
    AC217*86400 &lt; 1800, "4. 5m - &lt;30m",
    TRUE, "5. &gt;= 30m"
),"6. Invalid (Order rejected)")</f>
        <v>5. &gt;= 30m</v>
      </c>
    </row>
    <row r="218" spans="1:30" hidden="1" x14ac:dyDescent="0.3">
      <c r="A218" t="s">
        <v>1287</v>
      </c>
      <c r="B218" t="s">
        <v>25</v>
      </c>
      <c r="C218">
        <v>42459206</v>
      </c>
      <c r="D218">
        <v>0</v>
      </c>
      <c r="E218" t="s">
        <v>25</v>
      </c>
      <c r="F218" t="s">
        <v>26</v>
      </c>
      <c r="G218" t="s">
        <v>27</v>
      </c>
      <c r="H218" t="s">
        <v>1288</v>
      </c>
      <c r="I218" t="s">
        <v>1289</v>
      </c>
      <c r="J218" t="s">
        <v>26</v>
      </c>
      <c r="K218" t="s">
        <v>26</v>
      </c>
      <c r="L218" t="s">
        <v>1290</v>
      </c>
      <c r="M218" t="s">
        <v>25</v>
      </c>
      <c r="N218" t="s">
        <v>1258</v>
      </c>
      <c r="O218" t="s">
        <v>1259</v>
      </c>
      <c r="P218" t="s">
        <v>470</v>
      </c>
      <c r="Q218" t="s">
        <v>471</v>
      </c>
      <c r="R218">
        <v>197748</v>
      </c>
      <c r="S218">
        <v>0</v>
      </c>
      <c r="T218">
        <v>197748</v>
      </c>
      <c r="U218" t="s">
        <v>35</v>
      </c>
      <c r="V218" t="s">
        <v>1260</v>
      </c>
      <c r="W218" t="s">
        <v>472</v>
      </c>
      <c r="X218" s="4">
        <v>1</v>
      </c>
      <c r="Y218" s="4"/>
      <c r="Z218">
        <f t="shared" si="12"/>
        <v>7</v>
      </c>
      <c r="AA218">
        <f t="shared" si="13"/>
        <v>15</v>
      </c>
      <c r="AB218" s="5">
        <f t="shared" si="14"/>
        <v>0.31010416666686069</v>
      </c>
      <c r="AC218" s="3">
        <f t="shared" si="15"/>
        <v>0.10741898148262408</v>
      </c>
      <c r="AD218" t="str" cm="1">
        <f t="array" ref="AD218">IFERROR(_xlfn.IFS(
    AC218="", "",
    AC218*86400 &lt; 30, "1. 0s - &lt;30s",
    AC218*86400 &lt; 60, "2. 30s - &lt;1m",
    AC218*86400 &lt; 300, "3. 1m - &lt;5m",
    AC218*86400 &lt; 1800, "4. 5m - &lt;30m",
    TRUE, "5. &gt;= 30m"
),"6. Invalid (Order rejected)")</f>
        <v>5. &gt;= 30m</v>
      </c>
    </row>
    <row r="219" spans="1:30" hidden="1" x14ac:dyDescent="0.3">
      <c r="A219" t="s">
        <v>1291</v>
      </c>
      <c r="B219" t="s">
        <v>25</v>
      </c>
      <c r="C219">
        <v>42459206</v>
      </c>
      <c r="D219">
        <v>4522767</v>
      </c>
      <c r="E219" t="s">
        <v>25</v>
      </c>
      <c r="F219" t="s">
        <v>75</v>
      </c>
      <c r="G219" t="s">
        <v>76</v>
      </c>
      <c r="H219" t="s">
        <v>1292</v>
      </c>
      <c r="I219" t="s">
        <v>1293</v>
      </c>
      <c r="J219" t="s">
        <v>1294</v>
      </c>
      <c r="K219" t="s">
        <v>26</v>
      </c>
      <c r="L219" t="s">
        <v>1295</v>
      </c>
      <c r="M219" t="s">
        <v>25</v>
      </c>
      <c r="N219" t="s">
        <v>1280</v>
      </c>
      <c r="O219" t="s">
        <v>1281</v>
      </c>
      <c r="P219" t="s">
        <v>169</v>
      </c>
      <c r="Q219" t="s">
        <v>170</v>
      </c>
      <c r="R219">
        <v>177660</v>
      </c>
      <c r="S219">
        <v>137728</v>
      </c>
      <c r="T219">
        <v>39932</v>
      </c>
      <c r="U219" t="s">
        <v>35</v>
      </c>
      <c r="V219" t="s">
        <v>1282</v>
      </c>
      <c r="W219" t="s">
        <v>171</v>
      </c>
      <c r="X219" s="4">
        <v>1</v>
      </c>
      <c r="Y219" s="4"/>
      <c r="Z219">
        <f t="shared" si="12"/>
        <v>7</v>
      </c>
      <c r="AA219">
        <f t="shared" si="13"/>
        <v>15</v>
      </c>
      <c r="AB219" s="5">
        <f t="shared" si="14"/>
        <v>0.315115740741021</v>
      </c>
      <c r="AC219" s="3">
        <f t="shared" si="15"/>
        <v>9.6412037019035779E-3</v>
      </c>
      <c r="AD219" t="str" cm="1">
        <f t="array" ref="AD219">IFERROR(_xlfn.IFS(
    AC219="", "",
    AC219*86400 &lt; 30, "1. 0s - &lt;30s",
    AC219*86400 &lt; 60, "2. 30s - &lt;1m",
    AC219*86400 &lt; 300, "3. 1m - &lt;5m",
    AC219*86400 &lt; 1800, "4. 5m - &lt;30m",
    TRUE, "5. &gt;= 30m"
),"6. Invalid (Order rejected)")</f>
        <v>4. 5m - &lt;30m</v>
      </c>
    </row>
    <row r="220" spans="1:30" x14ac:dyDescent="0.3">
      <c r="A220" t="s">
        <v>1296</v>
      </c>
      <c r="B220" t="s">
        <v>25</v>
      </c>
      <c r="C220">
        <v>42459206</v>
      </c>
      <c r="D220">
        <v>3548399</v>
      </c>
      <c r="E220" t="s">
        <v>25</v>
      </c>
      <c r="F220" t="s">
        <v>75</v>
      </c>
      <c r="G220" t="s">
        <v>360</v>
      </c>
      <c r="H220" t="s">
        <v>1297</v>
      </c>
      <c r="I220" t="s">
        <v>1298</v>
      </c>
      <c r="J220" t="s">
        <v>1299</v>
      </c>
      <c r="K220" t="s">
        <v>26</v>
      </c>
      <c r="L220" t="s">
        <v>25</v>
      </c>
      <c r="M220" t="s">
        <v>25</v>
      </c>
      <c r="N220" t="s">
        <v>1300</v>
      </c>
      <c r="O220" t="s">
        <v>1301</v>
      </c>
      <c r="P220" t="s">
        <v>147</v>
      </c>
      <c r="Q220" t="s">
        <v>148</v>
      </c>
      <c r="R220">
        <v>129600</v>
      </c>
      <c r="S220">
        <v>100470</v>
      </c>
      <c r="T220">
        <v>29130</v>
      </c>
      <c r="U220" t="s">
        <v>35</v>
      </c>
      <c r="V220" t="s">
        <v>1302</v>
      </c>
      <c r="W220" t="s">
        <v>149</v>
      </c>
      <c r="X220" s="4">
        <v>1</v>
      </c>
      <c r="Y220" s="4"/>
      <c r="Z220">
        <f t="shared" si="12"/>
        <v>7</v>
      </c>
      <c r="AA220">
        <f t="shared" si="13"/>
        <v>15</v>
      </c>
      <c r="AB220" s="5">
        <f t="shared" si="14"/>
        <v>0.31670138888875954</v>
      </c>
      <c r="AC220" s="3" t="str">
        <f t="shared" si="15"/>
        <v>Order rejected, no time available</v>
      </c>
      <c r="AD220" t="str" cm="1">
        <f t="array" ref="AD220">IFERROR(_xlfn.IFS(
    AC220="", "",
    AC220*86400 &lt; 30, "1. 0s - &lt;30s",
    AC220*86400 &lt; 60, "2. 30s - &lt;1m",
    AC220*86400 &lt; 300, "3. 1m - &lt;5m",
    AC220*86400 &lt; 1800, "4. 5m - &lt;30m",
    TRUE, "5. &gt;= 30m"
),"6. Invalid (Order rejected)")</f>
        <v>6. Invalid (Order rejected)</v>
      </c>
    </row>
    <row r="221" spans="1:30" x14ac:dyDescent="0.3">
      <c r="A221" t="s">
        <v>1303</v>
      </c>
      <c r="B221" t="s">
        <v>25</v>
      </c>
      <c r="C221">
        <v>42459206</v>
      </c>
      <c r="D221">
        <v>3089644</v>
      </c>
      <c r="E221" t="s">
        <v>25</v>
      </c>
      <c r="F221" t="s">
        <v>75</v>
      </c>
      <c r="G221" t="s">
        <v>360</v>
      </c>
      <c r="H221" t="s">
        <v>1304</v>
      </c>
      <c r="I221" t="s">
        <v>1305</v>
      </c>
      <c r="J221" t="s">
        <v>1306</v>
      </c>
      <c r="K221" t="s">
        <v>26</v>
      </c>
      <c r="L221" t="s">
        <v>25</v>
      </c>
      <c r="M221" t="s">
        <v>25</v>
      </c>
      <c r="N221" t="s">
        <v>1300</v>
      </c>
      <c r="O221" t="s">
        <v>1301</v>
      </c>
      <c r="P221" t="s">
        <v>131</v>
      </c>
      <c r="Q221" t="s">
        <v>132</v>
      </c>
      <c r="R221">
        <v>127440</v>
      </c>
      <c r="S221">
        <v>98795</v>
      </c>
      <c r="T221">
        <v>28645</v>
      </c>
      <c r="U221" t="s">
        <v>35</v>
      </c>
      <c r="V221" t="s">
        <v>1302</v>
      </c>
      <c r="W221" t="s">
        <v>133</v>
      </c>
      <c r="X221" s="4">
        <v>1</v>
      </c>
      <c r="Y221" s="4"/>
      <c r="Z221">
        <f t="shared" si="12"/>
        <v>7</v>
      </c>
      <c r="AA221">
        <f t="shared" si="13"/>
        <v>15</v>
      </c>
      <c r="AB221" s="5">
        <f t="shared" si="14"/>
        <v>0.31895833333692281</v>
      </c>
      <c r="AC221" s="3" t="str">
        <f t="shared" si="15"/>
        <v>Order rejected, no time available</v>
      </c>
      <c r="AD221" t="str" cm="1">
        <f t="array" ref="AD221">IFERROR(_xlfn.IFS(
    AC221="", "",
    AC221*86400 &lt; 30, "1. 0s - &lt;30s",
    AC221*86400 &lt; 60, "2. 30s - &lt;1m",
    AC221*86400 &lt; 300, "3. 1m - &lt;5m",
    AC221*86400 &lt; 1800, "4. 5m - &lt;30m",
    TRUE, "5. &gt;= 30m"
),"6. Invalid (Order rejected)")</f>
        <v>6. Invalid (Order rejected)</v>
      </c>
    </row>
    <row r="222" spans="1:30" hidden="1" x14ac:dyDescent="0.3">
      <c r="A222" t="s">
        <v>1307</v>
      </c>
      <c r="B222" t="s">
        <v>25</v>
      </c>
      <c r="C222">
        <v>42459206</v>
      </c>
      <c r="D222">
        <v>0</v>
      </c>
      <c r="E222" t="s">
        <v>25</v>
      </c>
      <c r="F222" t="s">
        <v>26</v>
      </c>
      <c r="G222" t="s">
        <v>27</v>
      </c>
      <c r="H222" t="s">
        <v>1308</v>
      </c>
      <c r="I222" t="s">
        <v>1309</v>
      </c>
      <c r="J222" t="s">
        <v>26</v>
      </c>
      <c r="K222" t="s">
        <v>26</v>
      </c>
      <c r="L222" t="s">
        <v>1310</v>
      </c>
      <c r="M222" t="s">
        <v>25</v>
      </c>
      <c r="N222" t="s">
        <v>31</v>
      </c>
      <c r="O222" t="s">
        <v>32</v>
      </c>
      <c r="P222" t="s">
        <v>1311</v>
      </c>
      <c r="Q222" t="s">
        <v>1312</v>
      </c>
      <c r="R222">
        <v>208980</v>
      </c>
      <c r="S222">
        <v>0</v>
      </c>
      <c r="T222">
        <v>208980</v>
      </c>
      <c r="U222" t="s">
        <v>35</v>
      </c>
      <c r="V222" t="s">
        <v>36</v>
      </c>
      <c r="W222" t="s">
        <v>1313</v>
      </c>
      <c r="X222" s="4">
        <v>1</v>
      </c>
      <c r="Y222" s="4"/>
      <c r="Z222">
        <f t="shared" si="12"/>
        <v>7</v>
      </c>
      <c r="AA222">
        <f t="shared" si="13"/>
        <v>15</v>
      </c>
      <c r="AB222" s="5">
        <f t="shared" si="14"/>
        <v>0.30834490740380716</v>
      </c>
      <c r="AC222" s="3">
        <f t="shared" si="15"/>
        <v>9.0289351857791189E-2</v>
      </c>
      <c r="AD222" t="str" cm="1">
        <f t="array" ref="AD222">IFERROR(_xlfn.IFS(
    AC222="", "",
    AC222*86400 &lt; 30, "1. 0s - &lt;30s",
    AC222*86400 &lt; 60, "2. 30s - &lt;1m",
    AC222*86400 &lt; 300, "3. 1m - &lt;5m",
    AC222*86400 &lt; 1800, "4. 5m - &lt;30m",
    TRUE, "5. &gt;= 30m"
),"6. Invalid (Order rejected)")</f>
        <v>5. &gt;= 30m</v>
      </c>
    </row>
    <row r="223" spans="1:30" x14ac:dyDescent="0.3">
      <c r="A223" t="s">
        <v>1314</v>
      </c>
      <c r="B223" t="s">
        <v>25</v>
      </c>
      <c r="C223">
        <v>42459206</v>
      </c>
      <c r="D223">
        <v>3811776</v>
      </c>
      <c r="E223" t="s">
        <v>25</v>
      </c>
      <c r="F223" t="s">
        <v>75</v>
      </c>
      <c r="G223" t="s">
        <v>360</v>
      </c>
      <c r="H223" t="s">
        <v>1315</v>
      </c>
      <c r="I223" t="s">
        <v>1316</v>
      </c>
      <c r="J223" t="s">
        <v>1317</v>
      </c>
      <c r="K223" t="s">
        <v>26</v>
      </c>
      <c r="L223" t="s">
        <v>25</v>
      </c>
      <c r="M223" t="s">
        <v>25</v>
      </c>
      <c r="N223" t="s">
        <v>1300</v>
      </c>
      <c r="O223" t="s">
        <v>1301</v>
      </c>
      <c r="P223" t="s">
        <v>470</v>
      </c>
      <c r="Q223" t="s">
        <v>471</v>
      </c>
      <c r="R223">
        <v>168696</v>
      </c>
      <c r="S223">
        <v>130778</v>
      </c>
      <c r="T223">
        <v>37918</v>
      </c>
      <c r="U223" t="s">
        <v>35</v>
      </c>
      <c r="V223" t="s">
        <v>1302</v>
      </c>
      <c r="W223" t="s">
        <v>472</v>
      </c>
      <c r="X223" s="4">
        <v>1</v>
      </c>
      <c r="Y223" s="4"/>
      <c r="Z223">
        <f t="shared" si="12"/>
        <v>7</v>
      </c>
      <c r="AA223">
        <f t="shared" si="13"/>
        <v>15</v>
      </c>
      <c r="AB223" s="5">
        <f t="shared" si="14"/>
        <v>0.3164236111115315</v>
      </c>
      <c r="AC223" s="3" t="str">
        <f t="shared" si="15"/>
        <v>Order rejected, no time available</v>
      </c>
      <c r="AD223" t="str" cm="1">
        <f t="array" ref="AD223">IFERROR(_xlfn.IFS(
    AC223="", "",
    AC223*86400 &lt; 30, "1. 0s - &lt;30s",
    AC223*86400 &lt; 60, "2. 30s - &lt;1m",
    AC223*86400 &lt; 300, "3. 1m - &lt;5m",
    AC223*86400 &lt; 1800, "4. 5m - &lt;30m",
    TRUE, "5. &gt;= 30m"
),"6. Invalid (Order rejected)")</f>
        <v>6. Invalid (Order rejected)</v>
      </c>
    </row>
    <row r="224" spans="1:30" hidden="1" x14ac:dyDescent="0.3">
      <c r="A224" t="s">
        <v>1318</v>
      </c>
      <c r="B224" t="s">
        <v>25</v>
      </c>
      <c r="C224">
        <v>42459206</v>
      </c>
      <c r="D224">
        <v>0</v>
      </c>
      <c r="E224" t="s">
        <v>25</v>
      </c>
      <c r="F224" t="s">
        <v>26</v>
      </c>
      <c r="G224" t="s">
        <v>27</v>
      </c>
      <c r="H224" t="s">
        <v>1319</v>
      </c>
      <c r="I224" t="s">
        <v>1320</v>
      </c>
      <c r="J224" t="s">
        <v>26</v>
      </c>
      <c r="K224" t="s">
        <v>26</v>
      </c>
      <c r="L224" t="s">
        <v>1321</v>
      </c>
      <c r="M224" t="s">
        <v>25</v>
      </c>
      <c r="N224" t="s">
        <v>1258</v>
      </c>
      <c r="O224" t="s">
        <v>1259</v>
      </c>
      <c r="P224" t="s">
        <v>89</v>
      </c>
      <c r="Q224" t="s">
        <v>90</v>
      </c>
      <c r="R224">
        <v>151308</v>
      </c>
      <c r="S224">
        <v>0</v>
      </c>
      <c r="T224">
        <v>151308</v>
      </c>
      <c r="U224" t="s">
        <v>35</v>
      </c>
      <c r="V224" t="s">
        <v>1260</v>
      </c>
      <c r="W224" t="s">
        <v>91</v>
      </c>
      <c r="X224" s="4">
        <v>1</v>
      </c>
      <c r="Y224" s="4"/>
      <c r="Z224">
        <f t="shared" si="12"/>
        <v>7</v>
      </c>
      <c r="AA224">
        <f t="shared" si="13"/>
        <v>15</v>
      </c>
      <c r="AB224" s="5">
        <f t="shared" si="14"/>
        <v>0.31173611111444188</v>
      </c>
      <c r="AC224" s="3">
        <f t="shared" si="15"/>
        <v>9.0289351850515231E-2</v>
      </c>
      <c r="AD224" t="str" cm="1">
        <f t="array" ref="AD224">IFERROR(_xlfn.IFS(
    AC224="", "",
    AC224*86400 &lt; 30, "1. 0s - &lt;30s",
    AC224*86400 &lt; 60, "2. 30s - &lt;1m",
    AC224*86400 &lt; 300, "3. 1m - &lt;5m",
    AC224*86400 &lt; 1800, "4. 5m - &lt;30m",
    TRUE, "5. &gt;= 30m"
),"6. Invalid (Order rejected)")</f>
        <v>5. &gt;= 30m</v>
      </c>
    </row>
    <row r="225" spans="1:30" hidden="1" x14ac:dyDescent="0.3">
      <c r="A225" t="s">
        <v>1322</v>
      </c>
      <c r="B225" t="s">
        <v>25</v>
      </c>
      <c r="C225">
        <v>42459206</v>
      </c>
      <c r="D225">
        <v>0</v>
      </c>
      <c r="E225" t="s">
        <v>25</v>
      </c>
      <c r="F225" t="s">
        <v>26</v>
      </c>
      <c r="G225" t="s">
        <v>27</v>
      </c>
      <c r="H225" t="s">
        <v>1323</v>
      </c>
      <c r="I225" t="s">
        <v>1324</v>
      </c>
      <c r="J225" t="s">
        <v>26</v>
      </c>
      <c r="K225" t="s">
        <v>26</v>
      </c>
      <c r="L225" t="s">
        <v>1325</v>
      </c>
      <c r="M225" t="s">
        <v>25</v>
      </c>
      <c r="N225" t="s">
        <v>1326</v>
      </c>
      <c r="O225" t="s">
        <v>1327</v>
      </c>
      <c r="P225" t="s">
        <v>56</v>
      </c>
      <c r="Q225" t="s">
        <v>57</v>
      </c>
      <c r="R225">
        <v>168912</v>
      </c>
      <c r="S225">
        <v>0</v>
      </c>
      <c r="T225">
        <v>168912</v>
      </c>
      <c r="U225" t="s">
        <v>35</v>
      </c>
      <c r="V225" t="s">
        <v>1328</v>
      </c>
      <c r="W225" t="s">
        <v>58</v>
      </c>
      <c r="X225" s="4">
        <v>1</v>
      </c>
      <c r="Y225" s="4"/>
      <c r="Z225">
        <f t="shared" si="12"/>
        <v>7</v>
      </c>
      <c r="AA225">
        <f t="shared" si="13"/>
        <v>15</v>
      </c>
      <c r="AB225" s="5">
        <f t="shared" si="14"/>
        <v>0.31369212963181781</v>
      </c>
      <c r="AC225" s="3">
        <f t="shared" si="15"/>
        <v>9.0289351850515231E-2</v>
      </c>
      <c r="AD225" t="str" cm="1">
        <f t="array" ref="AD225">IFERROR(_xlfn.IFS(
    AC225="", "",
    AC225*86400 &lt; 30, "1. 0s - &lt;30s",
    AC225*86400 &lt; 60, "2. 30s - &lt;1m",
    AC225*86400 &lt; 300, "3. 1m - &lt;5m",
    AC225*86400 &lt; 1800, "4. 5m - &lt;30m",
    TRUE, "5. &gt;= 30m"
),"6. Invalid (Order rejected)")</f>
        <v>5. &gt;= 30m</v>
      </c>
    </row>
    <row r="226" spans="1:30" hidden="1" x14ac:dyDescent="0.3">
      <c r="A226" t="s">
        <v>1329</v>
      </c>
      <c r="B226" t="s">
        <v>25</v>
      </c>
      <c r="C226">
        <v>42459206</v>
      </c>
      <c r="D226">
        <v>4522767</v>
      </c>
      <c r="E226" t="s">
        <v>25</v>
      </c>
      <c r="F226" t="s">
        <v>75</v>
      </c>
      <c r="G226" t="s">
        <v>76</v>
      </c>
      <c r="H226" t="s">
        <v>1330</v>
      </c>
      <c r="I226" t="s">
        <v>1331</v>
      </c>
      <c r="J226" t="s">
        <v>1332</v>
      </c>
      <c r="K226" t="s">
        <v>26</v>
      </c>
      <c r="L226" t="s">
        <v>1333</v>
      </c>
      <c r="M226" t="s">
        <v>25</v>
      </c>
      <c r="N226" t="s">
        <v>1300</v>
      </c>
      <c r="O226" t="s">
        <v>1301</v>
      </c>
      <c r="P226" t="s">
        <v>169</v>
      </c>
      <c r="Q226" t="s">
        <v>170</v>
      </c>
      <c r="R226">
        <v>173988</v>
      </c>
      <c r="S226">
        <v>134881</v>
      </c>
      <c r="T226">
        <v>39107</v>
      </c>
      <c r="U226" t="s">
        <v>35</v>
      </c>
      <c r="V226" t="s">
        <v>1302</v>
      </c>
      <c r="W226" t="s">
        <v>171</v>
      </c>
      <c r="X226" s="4">
        <v>1</v>
      </c>
      <c r="Y226" s="4"/>
      <c r="Z226">
        <f t="shared" si="12"/>
        <v>7</v>
      </c>
      <c r="AA226">
        <f t="shared" si="13"/>
        <v>15</v>
      </c>
      <c r="AB226" s="5">
        <f t="shared" si="14"/>
        <v>0.31781249999767169</v>
      </c>
      <c r="AC226" s="3">
        <f t="shared" si="15"/>
        <v>8.1712963001336902E-3</v>
      </c>
      <c r="AD226" t="str" cm="1">
        <f t="array" ref="AD226">IFERROR(_xlfn.IFS(
    AC226="", "",
    AC226*86400 &lt; 30, "1. 0s - &lt;30s",
    AC226*86400 &lt; 60, "2. 30s - &lt;1m",
    AC226*86400 &lt; 300, "3. 1m - &lt;5m",
    AC226*86400 &lt; 1800, "4. 5m - &lt;30m",
    TRUE, "5. &gt;= 30m"
),"6. Invalid (Order rejected)")</f>
        <v>4. 5m - &lt;30m</v>
      </c>
    </row>
    <row r="227" spans="1:30" x14ac:dyDescent="0.3">
      <c r="A227" t="s">
        <v>1334</v>
      </c>
      <c r="B227" t="s">
        <v>25</v>
      </c>
      <c r="C227">
        <v>42459206</v>
      </c>
      <c r="D227">
        <v>3089644</v>
      </c>
      <c r="E227" t="s">
        <v>25</v>
      </c>
      <c r="F227" t="s">
        <v>75</v>
      </c>
      <c r="G227" t="s">
        <v>360</v>
      </c>
      <c r="H227" t="s">
        <v>1335</v>
      </c>
      <c r="I227" t="s">
        <v>1336</v>
      </c>
      <c r="J227" t="s">
        <v>1337</v>
      </c>
      <c r="K227" t="s">
        <v>26</v>
      </c>
      <c r="L227" t="s">
        <v>25</v>
      </c>
      <c r="M227" t="s">
        <v>25</v>
      </c>
      <c r="N227" t="s">
        <v>1300</v>
      </c>
      <c r="O227" t="s">
        <v>1301</v>
      </c>
      <c r="P227" t="s">
        <v>124</v>
      </c>
      <c r="Q227" t="s">
        <v>125</v>
      </c>
      <c r="R227">
        <v>189432</v>
      </c>
      <c r="S227">
        <v>146854</v>
      </c>
      <c r="T227">
        <v>42578</v>
      </c>
      <c r="U227" t="s">
        <v>35</v>
      </c>
      <c r="V227" t="s">
        <v>1302</v>
      </c>
      <c r="W227" t="s">
        <v>126</v>
      </c>
      <c r="X227" s="4">
        <v>1</v>
      </c>
      <c r="Y227" s="4"/>
      <c r="Z227">
        <f t="shared" si="12"/>
        <v>7</v>
      </c>
      <c r="AA227">
        <f t="shared" si="13"/>
        <v>15</v>
      </c>
      <c r="AB227" s="5">
        <f t="shared" si="14"/>
        <v>0.31815972222102573</v>
      </c>
      <c r="AC227" s="3" t="str">
        <f t="shared" si="15"/>
        <v>Order rejected, no time available</v>
      </c>
      <c r="AD227" t="str" cm="1">
        <f t="array" ref="AD227">IFERROR(_xlfn.IFS(
    AC227="", "",
    AC227*86400 &lt; 30, "1. 0s - &lt;30s",
    AC227*86400 &lt; 60, "2. 30s - &lt;1m",
    AC227*86400 &lt; 300, "3. 1m - &lt;5m",
    AC227*86400 &lt; 1800, "4. 5m - &lt;30m",
    TRUE, "5. &gt;= 30m"
),"6. Invalid (Order rejected)")</f>
        <v>6. Invalid (Order rejected)</v>
      </c>
    </row>
    <row r="228" spans="1:30" hidden="1" x14ac:dyDescent="0.3">
      <c r="A228" t="s">
        <v>1338</v>
      </c>
      <c r="B228" t="s">
        <v>25</v>
      </c>
      <c r="C228">
        <v>42459206</v>
      </c>
      <c r="D228">
        <v>2417027</v>
      </c>
      <c r="E228" t="s">
        <v>25</v>
      </c>
      <c r="F228" t="s">
        <v>75</v>
      </c>
      <c r="G228" t="s">
        <v>76</v>
      </c>
      <c r="H228" t="s">
        <v>1339</v>
      </c>
      <c r="I228" t="s">
        <v>1340</v>
      </c>
      <c r="J228" t="s">
        <v>1341</v>
      </c>
      <c r="K228" t="s">
        <v>1342</v>
      </c>
      <c r="L228" t="s">
        <v>1343</v>
      </c>
      <c r="M228" t="s">
        <v>25</v>
      </c>
      <c r="N228" t="s">
        <v>1300</v>
      </c>
      <c r="O228" t="s">
        <v>1301</v>
      </c>
      <c r="P228" t="s">
        <v>124</v>
      </c>
      <c r="Q228" t="s">
        <v>125</v>
      </c>
      <c r="R228">
        <v>178632</v>
      </c>
      <c r="S228">
        <v>138481</v>
      </c>
      <c r="T228">
        <v>40151</v>
      </c>
      <c r="U228" t="s">
        <v>35</v>
      </c>
      <c r="V228" t="s">
        <v>1302</v>
      </c>
      <c r="W228" t="s">
        <v>126</v>
      </c>
      <c r="X228" s="4">
        <v>1</v>
      </c>
      <c r="Y228" s="4"/>
      <c r="Z228">
        <f t="shared" si="12"/>
        <v>7</v>
      </c>
      <c r="AA228">
        <f t="shared" si="13"/>
        <v>15</v>
      </c>
      <c r="AB228" s="5">
        <f t="shared" si="14"/>
        <v>0.31839120370568708</v>
      </c>
      <c r="AC228" s="3">
        <f t="shared" si="15"/>
        <v>0.41181712962861639</v>
      </c>
      <c r="AD228" t="str" cm="1">
        <f t="array" ref="AD228">IFERROR(_xlfn.IFS(
    AC228="", "",
    AC228*86400 &lt; 30, "1. 0s - &lt;30s",
    AC228*86400 &lt; 60, "2. 30s - &lt;1m",
    AC228*86400 &lt; 300, "3. 1m - &lt;5m",
    AC228*86400 &lt; 1800, "4. 5m - &lt;30m",
    TRUE, "5. &gt;= 30m"
),"6. Invalid (Order rejected)")</f>
        <v>5. &gt;= 30m</v>
      </c>
    </row>
    <row r="229" spans="1:30" hidden="1" x14ac:dyDescent="0.3">
      <c r="A229" t="s">
        <v>1344</v>
      </c>
      <c r="B229" t="s">
        <v>1345</v>
      </c>
      <c r="C229">
        <v>42787717</v>
      </c>
      <c r="D229">
        <v>0</v>
      </c>
      <c r="E229" t="s">
        <v>25</v>
      </c>
      <c r="F229" t="s">
        <v>26</v>
      </c>
      <c r="G229" t="s">
        <v>27</v>
      </c>
      <c r="H229" t="s">
        <v>1346</v>
      </c>
      <c r="I229" t="s">
        <v>1347</v>
      </c>
      <c r="J229" t="s">
        <v>26</v>
      </c>
      <c r="K229" t="s">
        <v>26</v>
      </c>
      <c r="L229" t="s">
        <v>1348</v>
      </c>
      <c r="M229" t="s">
        <v>25</v>
      </c>
      <c r="N229" t="s">
        <v>1349</v>
      </c>
      <c r="O229" t="s">
        <v>1350</v>
      </c>
      <c r="P229" t="s">
        <v>1351</v>
      </c>
      <c r="Q229" t="s">
        <v>1352</v>
      </c>
      <c r="R229">
        <v>336960</v>
      </c>
      <c r="S229">
        <v>0</v>
      </c>
      <c r="T229">
        <v>336960</v>
      </c>
      <c r="U229" t="s">
        <v>35</v>
      </c>
      <c r="V229" t="s">
        <v>1353</v>
      </c>
      <c r="W229" t="s">
        <v>1354</v>
      </c>
      <c r="X229" s="4">
        <v>1</v>
      </c>
      <c r="Y229" s="4"/>
      <c r="Z229">
        <f t="shared" si="12"/>
        <v>7</v>
      </c>
      <c r="AA229">
        <f t="shared" si="13"/>
        <v>16</v>
      </c>
      <c r="AB229" s="5">
        <f t="shared" si="14"/>
        <v>0.28636574074334931</v>
      </c>
      <c r="AC229" s="3">
        <f t="shared" si="15"/>
        <v>0.14627314814424608</v>
      </c>
      <c r="AD229" t="str" cm="1">
        <f t="array" ref="AD229">IFERROR(_xlfn.IFS(
    AC229="", "",
    AC229*86400 &lt; 30, "1. 0s - &lt;30s",
    AC229*86400 &lt; 60, "2. 30s - &lt;1m",
    AC229*86400 &lt; 300, "3. 1m - &lt;5m",
    AC229*86400 &lt; 1800, "4. 5m - &lt;30m",
    TRUE, "5. &gt;= 30m"
),"6. Invalid (Order rejected)")</f>
        <v>5. &gt;= 30m</v>
      </c>
    </row>
    <row r="230" spans="1:30" hidden="1" x14ac:dyDescent="0.3">
      <c r="A230" t="s">
        <v>1355</v>
      </c>
      <c r="B230" t="s">
        <v>1345</v>
      </c>
      <c r="C230">
        <v>42787717</v>
      </c>
      <c r="D230">
        <v>0</v>
      </c>
      <c r="E230" t="s">
        <v>25</v>
      </c>
      <c r="F230" t="s">
        <v>26</v>
      </c>
      <c r="G230" t="s">
        <v>27</v>
      </c>
      <c r="H230" t="s">
        <v>1356</v>
      </c>
      <c r="I230" t="s">
        <v>1357</v>
      </c>
      <c r="J230" t="s">
        <v>26</v>
      </c>
      <c r="K230" t="s">
        <v>26</v>
      </c>
      <c r="L230" t="s">
        <v>1358</v>
      </c>
      <c r="M230" t="s">
        <v>25</v>
      </c>
      <c r="N230" t="s">
        <v>1359</v>
      </c>
      <c r="O230" t="s">
        <v>1360</v>
      </c>
      <c r="P230" t="s">
        <v>1361</v>
      </c>
      <c r="Q230" t="s">
        <v>1362</v>
      </c>
      <c r="R230">
        <v>299700</v>
      </c>
      <c r="S230">
        <v>0</v>
      </c>
      <c r="T230">
        <v>299700</v>
      </c>
      <c r="U230" t="s">
        <v>35</v>
      </c>
      <c r="V230" t="s">
        <v>1363</v>
      </c>
      <c r="W230" t="s">
        <v>1364</v>
      </c>
      <c r="X230" s="4">
        <v>1</v>
      </c>
      <c r="Y230" s="4"/>
      <c r="Z230">
        <f t="shared" si="12"/>
        <v>7</v>
      </c>
      <c r="AA230">
        <f t="shared" si="13"/>
        <v>16</v>
      </c>
      <c r="AB230" s="5">
        <f t="shared" si="14"/>
        <v>0.2825578703705105</v>
      </c>
      <c r="AC230" s="3">
        <f t="shared" si="15"/>
        <v>0.14591435185138835</v>
      </c>
      <c r="AD230" t="str" cm="1">
        <f t="array" ref="AD230">IFERROR(_xlfn.IFS(
    AC230="", "",
    AC230*86400 &lt; 30, "1. 0s - &lt;30s",
    AC230*86400 &lt; 60, "2. 30s - &lt;1m",
    AC230*86400 &lt; 300, "3. 1m - &lt;5m",
    AC230*86400 &lt; 1800, "4. 5m - &lt;30m",
    TRUE, "5. &gt;= 30m"
),"6. Invalid (Order rejected)")</f>
        <v>5. &gt;= 30m</v>
      </c>
    </row>
    <row r="231" spans="1:30" hidden="1" x14ac:dyDescent="0.3">
      <c r="A231" t="s">
        <v>1365</v>
      </c>
      <c r="B231" t="s">
        <v>1345</v>
      </c>
      <c r="C231">
        <v>42787717</v>
      </c>
      <c r="D231">
        <v>916713</v>
      </c>
      <c r="E231" t="s">
        <v>25</v>
      </c>
      <c r="F231" t="s">
        <v>75</v>
      </c>
      <c r="G231" t="s">
        <v>76</v>
      </c>
      <c r="H231" t="s">
        <v>1366</v>
      </c>
      <c r="I231" t="s">
        <v>1367</v>
      </c>
      <c r="J231" t="s">
        <v>1368</v>
      </c>
      <c r="K231" t="s">
        <v>26</v>
      </c>
      <c r="L231" t="s">
        <v>1369</v>
      </c>
      <c r="M231" t="s">
        <v>25</v>
      </c>
      <c r="N231" t="s">
        <v>1359</v>
      </c>
      <c r="O231" t="s">
        <v>1360</v>
      </c>
      <c r="P231" t="s">
        <v>1370</v>
      </c>
      <c r="Q231" t="s">
        <v>1371</v>
      </c>
      <c r="R231">
        <v>323244</v>
      </c>
      <c r="S231">
        <v>250589</v>
      </c>
      <c r="T231">
        <v>72655</v>
      </c>
      <c r="U231" t="s">
        <v>35</v>
      </c>
      <c r="V231" t="s">
        <v>1363</v>
      </c>
      <c r="W231" t="s">
        <v>1372</v>
      </c>
      <c r="X231" s="4">
        <v>1</v>
      </c>
      <c r="Y231" s="4"/>
      <c r="Z231">
        <f t="shared" si="12"/>
        <v>7</v>
      </c>
      <c r="AA231">
        <f t="shared" si="13"/>
        <v>16</v>
      </c>
      <c r="AB231" s="5">
        <f t="shared" si="14"/>
        <v>0.28155092592351139</v>
      </c>
      <c r="AC231" s="3">
        <f t="shared" si="15"/>
        <v>0.27952546296728542</v>
      </c>
      <c r="AD231" t="str" cm="1">
        <f t="array" ref="AD231">IFERROR(_xlfn.IFS(
    AC231="", "",
    AC231*86400 &lt; 30, "1. 0s - &lt;30s",
    AC231*86400 &lt; 60, "2. 30s - &lt;1m",
    AC231*86400 &lt; 300, "3. 1m - &lt;5m",
    AC231*86400 &lt; 1800, "4. 5m - &lt;30m",
    TRUE, "5. &gt;= 30m"
),"6. Invalid (Order rejected)")</f>
        <v>5. &gt;= 30m</v>
      </c>
    </row>
    <row r="232" spans="1:30" hidden="1" x14ac:dyDescent="0.3">
      <c r="A232" t="s">
        <v>1373</v>
      </c>
      <c r="B232" t="s">
        <v>1345</v>
      </c>
      <c r="C232">
        <v>42787717</v>
      </c>
      <c r="D232">
        <v>4729280</v>
      </c>
      <c r="E232" t="s">
        <v>25</v>
      </c>
      <c r="F232" t="s">
        <v>75</v>
      </c>
      <c r="G232" t="s">
        <v>76</v>
      </c>
      <c r="H232" t="s">
        <v>1374</v>
      </c>
      <c r="I232" t="s">
        <v>1375</v>
      </c>
      <c r="J232" t="s">
        <v>1376</v>
      </c>
      <c r="K232" t="s">
        <v>26</v>
      </c>
      <c r="L232" t="s">
        <v>1377</v>
      </c>
      <c r="M232" t="s">
        <v>25</v>
      </c>
      <c r="N232" t="s">
        <v>1378</v>
      </c>
      <c r="O232" t="s">
        <v>1379</v>
      </c>
      <c r="P232" t="s">
        <v>1380</v>
      </c>
      <c r="Q232" t="s">
        <v>1381</v>
      </c>
      <c r="R232">
        <v>440964</v>
      </c>
      <c r="S232">
        <v>341849</v>
      </c>
      <c r="T232">
        <v>99115</v>
      </c>
      <c r="U232" t="s">
        <v>35</v>
      </c>
      <c r="V232" t="s">
        <v>1382</v>
      </c>
      <c r="W232" t="s">
        <v>1383</v>
      </c>
      <c r="X232" s="4">
        <v>1</v>
      </c>
      <c r="Y232" s="4"/>
      <c r="Z232">
        <f t="shared" si="12"/>
        <v>7</v>
      </c>
      <c r="AA232">
        <f t="shared" si="13"/>
        <v>16</v>
      </c>
      <c r="AB232" s="5">
        <f t="shared" si="14"/>
        <v>0.28435185184935108</v>
      </c>
      <c r="AC232" s="3">
        <f t="shared" si="15"/>
        <v>6.4189814816927537E-2</v>
      </c>
      <c r="AD232" t="str" cm="1">
        <f t="array" ref="AD232">IFERROR(_xlfn.IFS(
    AC232="", "",
    AC232*86400 &lt; 30, "1. 0s - &lt;30s",
    AC232*86400 &lt; 60, "2. 30s - &lt;1m",
    AC232*86400 &lt; 300, "3. 1m - &lt;5m",
    AC232*86400 &lt; 1800, "4. 5m - &lt;30m",
    TRUE, "5. &gt;= 30m"
),"6. Invalid (Order rejected)")</f>
        <v>5. &gt;= 30m</v>
      </c>
    </row>
    <row r="233" spans="1:30" hidden="1" x14ac:dyDescent="0.3">
      <c r="A233" t="s">
        <v>1384</v>
      </c>
      <c r="B233" t="s">
        <v>1345</v>
      </c>
      <c r="C233">
        <v>42787717</v>
      </c>
      <c r="D233">
        <v>0</v>
      </c>
      <c r="E233" t="s">
        <v>25</v>
      </c>
      <c r="F233" t="s">
        <v>26</v>
      </c>
      <c r="G233" t="s">
        <v>27</v>
      </c>
      <c r="H233" t="s">
        <v>1385</v>
      </c>
      <c r="I233" t="s">
        <v>1347</v>
      </c>
      <c r="J233" t="s">
        <v>26</v>
      </c>
      <c r="K233" t="s">
        <v>26</v>
      </c>
      <c r="L233" t="s">
        <v>1348</v>
      </c>
      <c r="M233" t="s">
        <v>25</v>
      </c>
      <c r="N233" t="s">
        <v>1349</v>
      </c>
      <c r="O233" t="s">
        <v>1350</v>
      </c>
      <c r="P233" t="s">
        <v>1351</v>
      </c>
      <c r="Q233" t="s">
        <v>1352</v>
      </c>
      <c r="R233">
        <v>326160</v>
      </c>
      <c r="S233">
        <v>0</v>
      </c>
      <c r="T233">
        <v>326160</v>
      </c>
      <c r="U233" t="s">
        <v>35</v>
      </c>
      <c r="V233" t="s">
        <v>1353</v>
      </c>
      <c r="W233" t="s">
        <v>1354</v>
      </c>
      <c r="X233" s="4">
        <v>1</v>
      </c>
      <c r="Y233" s="4"/>
      <c r="Z233">
        <f t="shared" si="12"/>
        <v>7</v>
      </c>
      <c r="AA233">
        <f t="shared" si="13"/>
        <v>16</v>
      </c>
      <c r="AB233" s="5">
        <f t="shared" si="14"/>
        <v>0.28678240740555339</v>
      </c>
      <c r="AC233" s="3">
        <f t="shared" si="15"/>
        <v>0.145856481482042</v>
      </c>
      <c r="AD233" t="str" cm="1">
        <f t="array" ref="AD233">IFERROR(_xlfn.IFS(
    AC233="", "",
    AC233*86400 &lt; 30, "1. 0s - &lt;30s",
    AC233*86400 &lt; 60, "2. 30s - &lt;1m",
    AC233*86400 &lt; 300, "3. 1m - &lt;5m",
    AC233*86400 &lt; 1800, "4. 5m - &lt;30m",
    TRUE, "5. &gt;= 30m"
),"6. Invalid (Order rejected)")</f>
        <v>5. &gt;= 30m</v>
      </c>
    </row>
    <row r="234" spans="1:30" x14ac:dyDescent="0.3">
      <c r="A234" t="s">
        <v>1386</v>
      </c>
      <c r="B234" t="s">
        <v>1345</v>
      </c>
      <c r="C234">
        <v>42787717</v>
      </c>
      <c r="D234">
        <v>3185359</v>
      </c>
      <c r="E234" t="s">
        <v>25</v>
      </c>
      <c r="F234" t="s">
        <v>75</v>
      </c>
      <c r="G234" t="s">
        <v>360</v>
      </c>
      <c r="H234" t="s">
        <v>1387</v>
      </c>
      <c r="I234" t="s">
        <v>1388</v>
      </c>
      <c r="J234" t="s">
        <v>1389</v>
      </c>
      <c r="K234" t="s">
        <v>26</v>
      </c>
      <c r="L234" t="s">
        <v>25</v>
      </c>
      <c r="M234" t="s">
        <v>25</v>
      </c>
      <c r="N234" t="s">
        <v>1390</v>
      </c>
      <c r="O234" t="s">
        <v>1391</v>
      </c>
      <c r="P234" t="s">
        <v>1392</v>
      </c>
      <c r="Q234" t="s">
        <v>1393</v>
      </c>
      <c r="R234">
        <v>339012</v>
      </c>
      <c r="S234">
        <v>262813</v>
      </c>
      <c r="T234">
        <v>76199</v>
      </c>
      <c r="U234" t="s">
        <v>35</v>
      </c>
      <c r="V234" t="s">
        <v>1394</v>
      </c>
      <c r="W234" t="s">
        <v>1395</v>
      </c>
      <c r="X234" s="4">
        <v>1</v>
      </c>
      <c r="Y234" s="4"/>
      <c r="Z234">
        <f t="shared" si="12"/>
        <v>7</v>
      </c>
      <c r="AA234">
        <f t="shared" si="13"/>
        <v>16</v>
      </c>
      <c r="AB234" s="5">
        <f t="shared" si="14"/>
        <v>0.28859953703795327</v>
      </c>
      <c r="AC234" s="3" t="str">
        <f t="shared" si="15"/>
        <v>Order rejected, no time available</v>
      </c>
      <c r="AD234" t="str" cm="1">
        <f t="array" ref="AD234">IFERROR(_xlfn.IFS(
    AC234="", "",
    AC234*86400 &lt; 30, "1. 0s - &lt;30s",
    AC234*86400 &lt; 60, "2. 30s - &lt;1m",
    AC234*86400 &lt; 300, "3. 1m - &lt;5m",
    AC234*86400 &lt; 1800, "4. 5m - &lt;30m",
    TRUE, "5. &gt;= 30m"
),"6. Invalid (Order rejected)")</f>
        <v>6. Invalid (Order rejected)</v>
      </c>
    </row>
    <row r="235" spans="1:30" hidden="1" x14ac:dyDescent="0.3">
      <c r="A235" t="s">
        <v>1396</v>
      </c>
      <c r="B235" t="s">
        <v>1345</v>
      </c>
      <c r="C235">
        <v>42787717</v>
      </c>
      <c r="D235">
        <v>3227083</v>
      </c>
      <c r="E235" t="s">
        <v>25</v>
      </c>
      <c r="F235" t="s">
        <v>75</v>
      </c>
      <c r="G235" t="s">
        <v>76</v>
      </c>
      <c r="H235" t="s">
        <v>1397</v>
      </c>
      <c r="I235" t="s">
        <v>1398</v>
      </c>
      <c r="J235" t="s">
        <v>1399</v>
      </c>
      <c r="K235" t="s">
        <v>26</v>
      </c>
      <c r="L235" t="s">
        <v>1400</v>
      </c>
      <c r="M235" t="s">
        <v>25</v>
      </c>
      <c r="N235" t="s">
        <v>1359</v>
      </c>
      <c r="O235" t="s">
        <v>1360</v>
      </c>
      <c r="P235" t="s">
        <v>1361</v>
      </c>
      <c r="Q235" t="s">
        <v>1362</v>
      </c>
      <c r="R235">
        <v>299700</v>
      </c>
      <c r="S235">
        <v>246004</v>
      </c>
      <c r="T235">
        <v>53696</v>
      </c>
      <c r="U235" t="s">
        <v>35</v>
      </c>
      <c r="V235" t="s">
        <v>1363</v>
      </c>
      <c r="W235" t="s">
        <v>1364</v>
      </c>
      <c r="X235" s="4">
        <v>1</v>
      </c>
      <c r="Y235" s="4"/>
      <c r="Z235">
        <f t="shared" si="12"/>
        <v>7</v>
      </c>
      <c r="AA235">
        <f t="shared" si="13"/>
        <v>16</v>
      </c>
      <c r="AB235" s="5">
        <f t="shared" si="14"/>
        <v>0.28221064814715646</v>
      </c>
      <c r="AC235" s="3">
        <f t="shared" si="15"/>
        <v>0.16392361111502396</v>
      </c>
      <c r="AD235" t="str" cm="1">
        <f t="array" ref="AD235">IFERROR(_xlfn.IFS(
    AC235="", "",
    AC235*86400 &lt; 30, "1. 0s - &lt;30s",
    AC235*86400 &lt; 60, "2. 30s - &lt;1m",
    AC235*86400 &lt; 300, "3. 1m - &lt;5m",
    AC235*86400 &lt; 1800, "4. 5m - &lt;30m",
    TRUE, "5. &gt;= 30m"
),"6. Invalid (Order rejected)")</f>
        <v>5. &gt;= 30m</v>
      </c>
    </row>
    <row r="236" spans="1:30" hidden="1" x14ac:dyDescent="0.3">
      <c r="A236" t="s">
        <v>1401</v>
      </c>
      <c r="B236" t="s">
        <v>1345</v>
      </c>
      <c r="C236">
        <v>42787717</v>
      </c>
      <c r="D236">
        <v>0</v>
      </c>
      <c r="E236" t="s">
        <v>25</v>
      </c>
      <c r="F236" t="s">
        <v>26</v>
      </c>
      <c r="G236" t="s">
        <v>27</v>
      </c>
      <c r="H236" t="s">
        <v>1402</v>
      </c>
      <c r="I236" t="s">
        <v>1403</v>
      </c>
      <c r="J236" t="s">
        <v>26</v>
      </c>
      <c r="K236" t="s">
        <v>26</v>
      </c>
      <c r="L236" t="s">
        <v>1404</v>
      </c>
      <c r="M236" t="s">
        <v>25</v>
      </c>
      <c r="N236" t="s">
        <v>1349</v>
      </c>
      <c r="O236" t="s">
        <v>1350</v>
      </c>
      <c r="P236" t="s">
        <v>1351</v>
      </c>
      <c r="Q236" t="s">
        <v>1352</v>
      </c>
      <c r="R236">
        <v>336960</v>
      </c>
      <c r="S236">
        <v>0</v>
      </c>
      <c r="T236">
        <v>336960</v>
      </c>
      <c r="U236" t="s">
        <v>35</v>
      </c>
      <c r="V236" t="s">
        <v>1353</v>
      </c>
      <c r="W236" t="s">
        <v>1354</v>
      </c>
      <c r="X236" s="4">
        <v>1</v>
      </c>
      <c r="Y236" s="4"/>
      <c r="Z236">
        <f t="shared" si="12"/>
        <v>7</v>
      </c>
      <c r="AA236">
        <f t="shared" si="13"/>
        <v>16</v>
      </c>
      <c r="AB236" s="5">
        <f t="shared" si="14"/>
        <v>0.28586805555823958</v>
      </c>
      <c r="AC236" s="3">
        <f t="shared" si="15"/>
        <v>0.14607638888264773</v>
      </c>
      <c r="AD236" t="str" cm="1">
        <f t="array" ref="AD236">IFERROR(_xlfn.IFS(
    AC236="", "",
    AC236*86400 &lt; 30, "1. 0s - &lt;30s",
    AC236*86400 &lt; 60, "2. 30s - &lt;1m",
    AC236*86400 &lt; 300, "3. 1m - &lt;5m",
    AC236*86400 &lt; 1800, "4. 5m - &lt;30m",
    TRUE, "5. &gt;= 30m"
),"6. Invalid (Order rejected)")</f>
        <v>5. &gt;= 30m</v>
      </c>
    </row>
    <row r="237" spans="1:30" hidden="1" x14ac:dyDescent="0.3">
      <c r="A237" t="s">
        <v>1405</v>
      </c>
      <c r="B237" t="s">
        <v>1345</v>
      </c>
      <c r="C237">
        <v>42787717</v>
      </c>
      <c r="D237">
        <v>0</v>
      </c>
      <c r="E237" t="s">
        <v>25</v>
      </c>
      <c r="F237" t="s">
        <v>26</v>
      </c>
      <c r="G237" t="s">
        <v>27</v>
      </c>
      <c r="H237" t="s">
        <v>1406</v>
      </c>
      <c r="I237" t="s">
        <v>1407</v>
      </c>
      <c r="J237" t="s">
        <v>26</v>
      </c>
      <c r="K237" t="s">
        <v>26</v>
      </c>
      <c r="L237" t="s">
        <v>1408</v>
      </c>
      <c r="M237" t="s">
        <v>25</v>
      </c>
      <c r="N237" t="s">
        <v>1409</v>
      </c>
      <c r="O237" t="s">
        <v>1410</v>
      </c>
      <c r="P237" t="s">
        <v>1411</v>
      </c>
      <c r="Q237" t="s">
        <v>1412</v>
      </c>
      <c r="R237">
        <v>218916</v>
      </c>
      <c r="S237">
        <v>0</v>
      </c>
      <c r="T237">
        <v>218916</v>
      </c>
      <c r="U237" t="s">
        <v>35</v>
      </c>
      <c r="V237" t="s">
        <v>1413</v>
      </c>
      <c r="W237" t="s">
        <v>1414</v>
      </c>
      <c r="X237" s="4">
        <v>1</v>
      </c>
      <c r="Y237" s="4"/>
      <c r="Z237">
        <f t="shared" si="12"/>
        <v>7</v>
      </c>
      <c r="AA237">
        <f t="shared" si="13"/>
        <v>16</v>
      </c>
      <c r="AB237" s="5">
        <f t="shared" si="14"/>
        <v>0.28972222222364508</v>
      </c>
      <c r="AC237" s="3">
        <f t="shared" si="15"/>
        <v>0.14638888889021473</v>
      </c>
      <c r="AD237" t="str" cm="1">
        <f t="array" ref="AD237">IFERROR(_xlfn.IFS(
    AC237="", "",
    AC237*86400 &lt; 30, "1. 0s - &lt;30s",
    AC237*86400 &lt; 60, "2. 30s - &lt;1m",
    AC237*86400 &lt; 300, "3. 1m - &lt;5m",
    AC237*86400 &lt; 1800, "4. 5m - &lt;30m",
    TRUE, "5. &gt;= 30m"
),"6. Invalid (Order rejected)")</f>
        <v>5. &gt;= 30m</v>
      </c>
    </row>
    <row r="238" spans="1:30" hidden="1" x14ac:dyDescent="0.3">
      <c r="A238" t="s">
        <v>1415</v>
      </c>
      <c r="B238" t="s">
        <v>1345</v>
      </c>
      <c r="C238">
        <v>42787717</v>
      </c>
      <c r="D238">
        <v>0</v>
      </c>
      <c r="E238" t="s">
        <v>25</v>
      </c>
      <c r="F238" t="s">
        <v>26</v>
      </c>
      <c r="G238" t="s">
        <v>27</v>
      </c>
      <c r="H238" t="s">
        <v>1416</v>
      </c>
      <c r="I238" t="s">
        <v>1417</v>
      </c>
      <c r="J238" t="s">
        <v>26</v>
      </c>
      <c r="K238" t="s">
        <v>26</v>
      </c>
      <c r="L238" t="s">
        <v>1418</v>
      </c>
      <c r="M238" t="s">
        <v>25</v>
      </c>
      <c r="N238" t="s">
        <v>1419</v>
      </c>
      <c r="O238" t="s">
        <v>1420</v>
      </c>
      <c r="P238" t="s">
        <v>1421</v>
      </c>
      <c r="Q238" t="s">
        <v>1422</v>
      </c>
      <c r="R238">
        <v>363744</v>
      </c>
      <c r="S238">
        <v>0</v>
      </c>
      <c r="T238">
        <v>363744</v>
      </c>
      <c r="U238" t="s">
        <v>35</v>
      </c>
      <c r="V238" t="s">
        <v>1423</v>
      </c>
      <c r="W238" t="s">
        <v>1424</v>
      </c>
      <c r="X238" s="4">
        <v>1</v>
      </c>
      <c r="Y238" s="4"/>
      <c r="Z238">
        <f t="shared" si="12"/>
        <v>7</v>
      </c>
      <c r="AA238">
        <f t="shared" si="13"/>
        <v>16</v>
      </c>
      <c r="AB238" s="5">
        <f t="shared" si="14"/>
        <v>0.29192129629518604</v>
      </c>
      <c r="AC238" s="3">
        <f t="shared" si="15"/>
        <v>0.14628472222102573</v>
      </c>
      <c r="AD238" t="str" cm="1">
        <f t="array" ref="AD238">IFERROR(_xlfn.IFS(
    AC238="", "",
    AC238*86400 &lt; 30, "1. 0s - &lt;30s",
    AC238*86400 &lt; 60, "2. 30s - &lt;1m",
    AC238*86400 &lt; 300, "3. 1m - &lt;5m",
    AC238*86400 &lt; 1800, "4. 5m - &lt;30m",
    TRUE, "5. &gt;= 30m"
),"6. Invalid (Order rejected)")</f>
        <v>5. &gt;= 30m</v>
      </c>
    </row>
    <row r="239" spans="1:30" x14ac:dyDescent="0.3">
      <c r="A239" t="s">
        <v>1425</v>
      </c>
      <c r="B239" t="s">
        <v>1345</v>
      </c>
      <c r="C239">
        <v>42787717</v>
      </c>
      <c r="D239">
        <v>2962489</v>
      </c>
      <c r="E239" t="s">
        <v>25</v>
      </c>
      <c r="F239" t="s">
        <v>75</v>
      </c>
      <c r="G239" t="s">
        <v>360</v>
      </c>
      <c r="H239" t="s">
        <v>1426</v>
      </c>
      <c r="I239" t="s">
        <v>1427</v>
      </c>
      <c r="J239" t="s">
        <v>1428</v>
      </c>
      <c r="K239" t="s">
        <v>1429</v>
      </c>
      <c r="L239" t="s">
        <v>25</v>
      </c>
      <c r="M239" t="s">
        <v>25</v>
      </c>
      <c r="N239" t="s">
        <v>1378</v>
      </c>
      <c r="O239" t="s">
        <v>1379</v>
      </c>
      <c r="P239" t="s">
        <v>1380</v>
      </c>
      <c r="Q239" t="s">
        <v>1381</v>
      </c>
      <c r="R239">
        <v>318060</v>
      </c>
      <c r="S239">
        <v>246570</v>
      </c>
      <c r="T239">
        <v>71490</v>
      </c>
      <c r="U239" t="s">
        <v>35</v>
      </c>
      <c r="V239" t="s">
        <v>1382</v>
      </c>
      <c r="W239" t="s">
        <v>1383</v>
      </c>
      <c r="X239" s="4">
        <v>1</v>
      </c>
      <c r="Y239" s="4"/>
      <c r="Z239">
        <f t="shared" si="12"/>
        <v>7</v>
      </c>
      <c r="AA239">
        <f t="shared" si="13"/>
        <v>16</v>
      </c>
      <c r="AB239" s="5">
        <f t="shared" si="14"/>
        <v>0.28413194444146939</v>
      </c>
      <c r="AC239" s="3" t="str">
        <f t="shared" si="15"/>
        <v>Order rejected, no time available</v>
      </c>
      <c r="AD239" t="str" cm="1">
        <f t="array" ref="AD239">IFERROR(_xlfn.IFS(
    AC239="", "",
    AC239*86400 &lt; 30, "1. 0s - &lt;30s",
    AC239*86400 &lt; 60, "2. 30s - &lt;1m",
    AC239*86400 &lt; 300, "3. 1m - &lt;5m",
    AC239*86400 &lt; 1800, "4. 5m - &lt;30m",
    TRUE, "5. &gt;= 30m"
),"6. Invalid (Order rejected)")</f>
        <v>6. Invalid (Order rejected)</v>
      </c>
    </row>
    <row r="240" spans="1:30" hidden="1" x14ac:dyDescent="0.3">
      <c r="A240" t="s">
        <v>1430</v>
      </c>
      <c r="B240" t="s">
        <v>1345</v>
      </c>
      <c r="C240">
        <v>42787717</v>
      </c>
      <c r="D240">
        <v>0</v>
      </c>
      <c r="E240" t="s">
        <v>25</v>
      </c>
      <c r="F240" t="s">
        <v>26</v>
      </c>
      <c r="G240" t="s">
        <v>27</v>
      </c>
      <c r="H240" t="s">
        <v>1431</v>
      </c>
      <c r="I240" t="s">
        <v>1432</v>
      </c>
      <c r="J240" t="s">
        <v>26</v>
      </c>
      <c r="K240" t="s">
        <v>26</v>
      </c>
      <c r="L240" t="s">
        <v>1433</v>
      </c>
      <c r="M240" t="s">
        <v>25</v>
      </c>
      <c r="N240" t="s">
        <v>1349</v>
      </c>
      <c r="O240" t="s">
        <v>1350</v>
      </c>
      <c r="P240" t="s">
        <v>1351</v>
      </c>
      <c r="Q240" t="s">
        <v>1352</v>
      </c>
      <c r="R240">
        <v>243756</v>
      </c>
      <c r="S240">
        <v>0</v>
      </c>
      <c r="T240">
        <v>243756</v>
      </c>
      <c r="U240" t="s">
        <v>35</v>
      </c>
      <c r="V240" t="s">
        <v>1353</v>
      </c>
      <c r="W240" t="s">
        <v>1354</v>
      </c>
      <c r="X240" s="4">
        <v>1</v>
      </c>
      <c r="Y240" s="4"/>
      <c r="Z240">
        <f t="shared" si="12"/>
        <v>7</v>
      </c>
      <c r="AA240">
        <f t="shared" si="13"/>
        <v>16</v>
      </c>
      <c r="AB240" s="5">
        <f t="shared" si="14"/>
        <v>0.28561342592729488</v>
      </c>
      <c r="AC240" s="3">
        <f t="shared" si="15"/>
        <v>0.18799768518510973</v>
      </c>
      <c r="AD240" t="str" cm="1">
        <f t="array" ref="AD240">IFERROR(_xlfn.IFS(
    AC240="", "",
    AC240*86400 &lt; 30, "1. 0s - &lt;30s",
    AC240*86400 &lt; 60, "2. 30s - &lt;1m",
    AC240*86400 &lt; 300, "3. 1m - &lt;5m",
    AC240*86400 &lt; 1800, "4. 5m - &lt;30m",
    TRUE, "5. &gt;= 30m"
),"6. Invalid (Order rejected)")</f>
        <v>5. &gt;= 30m</v>
      </c>
    </row>
    <row r="241" spans="1:30" hidden="1" x14ac:dyDescent="0.3">
      <c r="A241" t="s">
        <v>1434</v>
      </c>
      <c r="B241" t="s">
        <v>1345</v>
      </c>
      <c r="C241">
        <v>42787717</v>
      </c>
      <c r="D241">
        <v>3849371</v>
      </c>
      <c r="E241" t="s">
        <v>25</v>
      </c>
      <c r="F241" t="s">
        <v>75</v>
      </c>
      <c r="G241" t="s">
        <v>76</v>
      </c>
      <c r="H241" t="s">
        <v>1435</v>
      </c>
      <c r="I241" t="s">
        <v>1436</v>
      </c>
      <c r="J241" t="s">
        <v>1437</v>
      </c>
      <c r="K241" t="s">
        <v>26</v>
      </c>
      <c r="L241" t="s">
        <v>1438</v>
      </c>
      <c r="M241" t="s">
        <v>25</v>
      </c>
      <c r="N241" t="s">
        <v>1409</v>
      </c>
      <c r="O241" t="s">
        <v>1410</v>
      </c>
      <c r="P241" t="s">
        <v>1439</v>
      </c>
      <c r="Q241" t="s">
        <v>1440</v>
      </c>
      <c r="R241">
        <v>213732</v>
      </c>
      <c r="S241">
        <v>165692</v>
      </c>
      <c r="T241">
        <v>48040</v>
      </c>
      <c r="U241" t="s">
        <v>35</v>
      </c>
      <c r="V241" t="s">
        <v>1413</v>
      </c>
      <c r="W241" t="s">
        <v>1441</v>
      </c>
      <c r="X241" s="4">
        <v>1</v>
      </c>
      <c r="Y241" s="4"/>
      <c r="Z241">
        <f t="shared" si="12"/>
        <v>7</v>
      </c>
      <c r="AA241">
        <f t="shared" si="13"/>
        <v>16</v>
      </c>
      <c r="AB241" s="5">
        <f t="shared" si="14"/>
        <v>0.29034722222422715</v>
      </c>
      <c r="AC241" s="3">
        <f t="shared" si="15"/>
        <v>0.18043981481605442</v>
      </c>
      <c r="AD241" t="str" cm="1">
        <f t="array" ref="AD241">IFERROR(_xlfn.IFS(
    AC241="", "",
    AC241*86400 &lt; 30, "1. 0s - &lt;30s",
    AC241*86400 &lt; 60, "2. 30s - &lt;1m",
    AC241*86400 &lt; 300, "3. 1m - &lt;5m",
    AC241*86400 &lt; 1800, "4. 5m - &lt;30m",
    TRUE, "5. &gt;= 30m"
),"6. Invalid (Order rejected)")</f>
        <v>5. &gt;= 30m</v>
      </c>
    </row>
    <row r="242" spans="1:30" hidden="1" x14ac:dyDescent="0.3">
      <c r="A242" t="s">
        <v>1442</v>
      </c>
      <c r="B242" t="s">
        <v>1345</v>
      </c>
      <c r="C242">
        <v>42787717</v>
      </c>
      <c r="D242">
        <v>4020532</v>
      </c>
      <c r="E242" t="s">
        <v>25</v>
      </c>
      <c r="F242" t="s">
        <v>75</v>
      </c>
      <c r="G242" t="s">
        <v>76</v>
      </c>
      <c r="H242" t="s">
        <v>1443</v>
      </c>
      <c r="I242" t="s">
        <v>1444</v>
      </c>
      <c r="J242" t="s">
        <v>1445</v>
      </c>
      <c r="K242" t="s">
        <v>26</v>
      </c>
      <c r="L242" t="s">
        <v>1446</v>
      </c>
      <c r="M242" t="s">
        <v>25</v>
      </c>
      <c r="N242" t="s">
        <v>1447</v>
      </c>
      <c r="O242" t="s">
        <v>1448</v>
      </c>
      <c r="P242" t="s">
        <v>1449</v>
      </c>
      <c r="Q242" t="s">
        <v>1450</v>
      </c>
      <c r="R242">
        <v>182844</v>
      </c>
      <c r="S242">
        <v>141746</v>
      </c>
      <c r="T242">
        <v>41098</v>
      </c>
      <c r="U242" t="s">
        <v>35</v>
      </c>
      <c r="V242" t="s">
        <v>1451</v>
      </c>
      <c r="W242" t="s">
        <v>1452</v>
      </c>
      <c r="X242" s="4">
        <v>1</v>
      </c>
      <c r="Y242" s="4"/>
      <c r="Z242">
        <f t="shared" si="12"/>
        <v>7</v>
      </c>
      <c r="AA242">
        <f t="shared" si="13"/>
        <v>16</v>
      </c>
      <c r="AB242" s="5">
        <f t="shared" si="14"/>
        <v>0.29692129629984265</v>
      </c>
      <c r="AC242" s="3">
        <f t="shared" si="15"/>
        <v>0.15064814814104466</v>
      </c>
      <c r="AD242" t="str" cm="1">
        <f t="array" ref="AD242">IFERROR(_xlfn.IFS(
    AC242="", "",
    AC242*86400 &lt; 30, "1. 0s - &lt;30s",
    AC242*86400 &lt; 60, "2. 30s - &lt;1m",
    AC242*86400 &lt; 300, "3. 1m - &lt;5m",
    AC242*86400 &lt; 1800, "4. 5m - &lt;30m",
    TRUE, "5. &gt;= 30m"
),"6. Invalid (Order rejected)")</f>
        <v>5. &gt;= 30m</v>
      </c>
    </row>
    <row r="243" spans="1:30" hidden="1" x14ac:dyDescent="0.3">
      <c r="A243" t="s">
        <v>1453</v>
      </c>
      <c r="B243" t="s">
        <v>1345</v>
      </c>
      <c r="C243">
        <v>42787717</v>
      </c>
      <c r="D243">
        <v>0</v>
      </c>
      <c r="E243" t="s">
        <v>25</v>
      </c>
      <c r="F243" t="s">
        <v>26</v>
      </c>
      <c r="G243" t="s">
        <v>27</v>
      </c>
      <c r="H243" t="s">
        <v>1454</v>
      </c>
      <c r="I243" t="s">
        <v>1455</v>
      </c>
      <c r="J243" t="s">
        <v>26</v>
      </c>
      <c r="K243" t="s">
        <v>26</v>
      </c>
      <c r="L243" t="s">
        <v>1456</v>
      </c>
      <c r="M243" t="s">
        <v>25</v>
      </c>
      <c r="N243" t="s">
        <v>1390</v>
      </c>
      <c r="O243" t="s">
        <v>1391</v>
      </c>
      <c r="P243" t="s">
        <v>1457</v>
      </c>
      <c r="Q243" t="s">
        <v>1458</v>
      </c>
      <c r="R243">
        <v>240516</v>
      </c>
      <c r="S243">
        <v>0</v>
      </c>
      <c r="T243">
        <v>240516</v>
      </c>
      <c r="U243" t="s">
        <v>35</v>
      </c>
      <c r="V243" t="s">
        <v>1394</v>
      </c>
      <c r="W243" t="s">
        <v>1459</v>
      </c>
      <c r="X243" s="4">
        <v>1</v>
      </c>
      <c r="Y243" s="4"/>
      <c r="Z243">
        <f t="shared" si="12"/>
        <v>7</v>
      </c>
      <c r="AA243">
        <f t="shared" si="13"/>
        <v>16</v>
      </c>
      <c r="AB243" s="5">
        <f t="shared" si="14"/>
        <v>0.2877893518525525</v>
      </c>
      <c r="AC243" s="3">
        <f t="shared" si="15"/>
        <v>0.14623842592845904</v>
      </c>
      <c r="AD243" t="str" cm="1">
        <f t="array" ref="AD243">IFERROR(_xlfn.IFS(
    AC243="", "",
    AC243*86400 &lt; 30, "1. 0s - &lt;30s",
    AC243*86400 &lt; 60, "2. 30s - &lt;1m",
    AC243*86400 &lt; 300, "3. 1m - &lt;5m",
    AC243*86400 &lt; 1800, "4. 5m - &lt;30m",
    TRUE, "5. &gt;= 30m"
),"6. Invalid (Order rejected)")</f>
        <v>5. &gt;= 30m</v>
      </c>
    </row>
    <row r="244" spans="1:30" x14ac:dyDescent="0.3">
      <c r="A244" t="s">
        <v>1460</v>
      </c>
      <c r="B244" t="s">
        <v>1345</v>
      </c>
      <c r="C244">
        <v>42787717</v>
      </c>
      <c r="D244">
        <v>3370641</v>
      </c>
      <c r="E244" t="s">
        <v>25</v>
      </c>
      <c r="F244" t="s">
        <v>75</v>
      </c>
      <c r="G244" t="s">
        <v>360</v>
      </c>
      <c r="H244" t="s">
        <v>1461</v>
      </c>
      <c r="I244" t="s">
        <v>1388</v>
      </c>
      <c r="J244" t="s">
        <v>1462</v>
      </c>
      <c r="K244" t="s">
        <v>26</v>
      </c>
      <c r="L244" t="s">
        <v>25</v>
      </c>
      <c r="M244" t="s">
        <v>25</v>
      </c>
      <c r="N244" t="s">
        <v>1390</v>
      </c>
      <c r="O244" t="s">
        <v>1391</v>
      </c>
      <c r="P244" t="s">
        <v>1392</v>
      </c>
      <c r="Q244" t="s">
        <v>1393</v>
      </c>
      <c r="R244">
        <v>242136</v>
      </c>
      <c r="S244">
        <v>187711</v>
      </c>
      <c r="T244">
        <v>54425</v>
      </c>
      <c r="U244" t="s">
        <v>35</v>
      </c>
      <c r="V244" t="s">
        <v>1394</v>
      </c>
      <c r="W244" t="s">
        <v>1395</v>
      </c>
      <c r="X244" s="4">
        <v>1</v>
      </c>
      <c r="Y244" s="4"/>
      <c r="Z244">
        <f t="shared" si="12"/>
        <v>7</v>
      </c>
      <c r="AA244">
        <f t="shared" si="13"/>
        <v>16</v>
      </c>
      <c r="AB244" s="5">
        <f t="shared" si="14"/>
        <v>0.28839120370685123</v>
      </c>
      <c r="AC244" s="3" t="str">
        <f t="shared" si="15"/>
        <v>Order rejected, no time available</v>
      </c>
      <c r="AD244" t="str" cm="1">
        <f t="array" ref="AD244">IFERROR(_xlfn.IFS(
    AC244="", "",
    AC244*86400 &lt; 30, "1. 0s - &lt;30s",
    AC244*86400 &lt; 60, "2. 30s - &lt;1m",
    AC244*86400 &lt; 300, "3. 1m - &lt;5m",
    AC244*86400 &lt; 1800, "4. 5m - &lt;30m",
    TRUE, "5. &gt;= 30m"
),"6. Invalid (Order rejected)")</f>
        <v>6. Invalid (Order rejected)</v>
      </c>
    </row>
    <row r="245" spans="1:30" hidden="1" x14ac:dyDescent="0.3">
      <c r="A245" t="s">
        <v>1463</v>
      </c>
      <c r="B245" t="s">
        <v>1345</v>
      </c>
      <c r="C245">
        <v>42787717</v>
      </c>
      <c r="D245">
        <v>0</v>
      </c>
      <c r="E245" t="s">
        <v>25</v>
      </c>
      <c r="F245" t="s">
        <v>26</v>
      </c>
      <c r="G245" t="s">
        <v>27</v>
      </c>
      <c r="H245" t="s">
        <v>1464</v>
      </c>
      <c r="I245" t="s">
        <v>1465</v>
      </c>
      <c r="J245" t="s">
        <v>26</v>
      </c>
      <c r="K245" t="s">
        <v>26</v>
      </c>
      <c r="L245" t="s">
        <v>1466</v>
      </c>
      <c r="M245" t="s">
        <v>25</v>
      </c>
      <c r="N245" t="s">
        <v>1467</v>
      </c>
      <c r="O245" t="s">
        <v>1468</v>
      </c>
      <c r="P245" t="s">
        <v>1469</v>
      </c>
      <c r="Q245" t="s">
        <v>1470</v>
      </c>
      <c r="R245">
        <v>275292</v>
      </c>
      <c r="S245">
        <v>0</v>
      </c>
      <c r="T245">
        <v>275292</v>
      </c>
      <c r="U245" t="s">
        <v>35</v>
      </c>
      <c r="V245" t="s">
        <v>1471</v>
      </c>
      <c r="W245" t="s">
        <v>1472</v>
      </c>
      <c r="X245" s="4">
        <v>1</v>
      </c>
      <c r="Y245" s="4"/>
      <c r="Z245">
        <f t="shared" si="12"/>
        <v>7</v>
      </c>
      <c r="AA245">
        <f t="shared" si="13"/>
        <v>16</v>
      </c>
      <c r="AB245" s="5">
        <f t="shared" si="14"/>
        <v>0.29435185185138835</v>
      </c>
      <c r="AC245" s="3">
        <f t="shared" si="15"/>
        <v>0.16468750000058208</v>
      </c>
      <c r="AD245" t="str" cm="1">
        <f t="array" ref="AD245">IFERROR(_xlfn.IFS(
    AC245="", "",
    AC245*86400 &lt; 30, "1. 0s - &lt;30s",
    AC245*86400 &lt; 60, "2. 30s - &lt;1m",
    AC245*86400 &lt; 300, "3. 1m - &lt;5m",
    AC245*86400 &lt; 1800, "4. 5m - &lt;30m",
    TRUE, "5. &gt;= 30m"
),"6. Invalid (Order rejected)")</f>
        <v>5. &gt;= 30m</v>
      </c>
    </row>
    <row r="246" spans="1:30" hidden="1" x14ac:dyDescent="0.3">
      <c r="A246" t="s">
        <v>1473</v>
      </c>
      <c r="B246" t="s">
        <v>1345</v>
      </c>
      <c r="C246">
        <v>42787717</v>
      </c>
      <c r="D246">
        <v>0</v>
      </c>
      <c r="E246" t="s">
        <v>25</v>
      </c>
      <c r="F246" t="s">
        <v>26</v>
      </c>
      <c r="G246" t="s">
        <v>27</v>
      </c>
      <c r="H246" t="s">
        <v>1474</v>
      </c>
      <c r="I246" t="s">
        <v>1455</v>
      </c>
      <c r="J246" t="s">
        <v>26</v>
      </c>
      <c r="K246" t="s">
        <v>26</v>
      </c>
      <c r="L246" t="s">
        <v>1475</v>
      </c>
      <c r="M246" t="s">
        <v>25</v>
      </c>
      <c r="N246" t="s">
        <v>1390</v>
      </c>
      <c r="O246" t="s">
        <v>1391</v>
      </c>
      <c r="P246" t="s">
        <v>1457</v>
      </c>
      <c r="Q246" t="s">
        <v>1458</v>
      </c>
      <c r="R246">
        <v>332424</v>
      </c>
      <c r="S246">
        <v>0</v>
      </c>
      <c r="T246">
        <v>332424</v>
      </c>
      <c r="U246" t="s">
        <v>35</v>
      </c>
      <c r="V246" t="s">
        <v>1394</v>
      </c>
      <c r="W246" t="s">
        <v>1459</v>
      </c>
      <c r="X246" s="4">
        <v>1</v>
      </c>
      <c r="Y246" s="4"/>
      <c r="Z246">
        <f t="shared" si="12"/>
        <v>7</v>
      </c>
      <c r="AA246">
        <f t="shared" si="13"/>
        <v>16</v>
      </c>
      <c r="AB246" s="5">
        <f t="shared" si="14"/>
        <v>0.28799768518365454</v>
      </c>
      <c r="AC246" s="3">
        <f t="shared" si="15"/>
        <v>1.1906828703722567</v>
      </c>
      <c r="AD246" t="str" cm="1">
        <f t="array" ref="AD246">IFERROR(_xlfn.IFS(
    AC246="", "",
    AC246*86400 &lt; 30, "1. 0s - &lt;30s",
    AC246*86400 &lt; 60, "2. 30s - &lt;1m",
    AC246*86400 &lt; 300, "3. 1m - &lt;5m",
    AC246*86400 &lt; 1800, "4. 5m - &lt;30m",
    TRUE, "5. &gt;= 30m"
),"6. Invalid (Order rejected)")</f>
        <v>5. &gt;= 30m</v>
      </c>
    </row>
    <row r="247" spans="1:30" x14ac:dyDescent="0.3">
      <c r="A247" t="s">
        <v>1476</v>
      </c>
      <c r="B247" t="s">
        <v>1345</v>
      </c>
      <c r="C247">
        <v>42787717</v>
      </c>
      <c r="D247">
        <v>4399383</v>
      </c>
      <c r="E247" t="s">
        <v>25</v>
      </c>
      <c r="F247" t="s">
        <v>75</v>
      </c>
      <c r="G247" t="s">
        <v>360</v>
      </c>
      <c r="H247" t="s">
        <v>1477</v>
      </c>
      <c r="I247" t="s">
        <v>1478</v>
      </c>
      <c r="J247" t="s">
        <v>1479</v>
      </c>
      <c r="K247" t="s">
        <v>1480</v>
      </c>
      <c r="L247" t="s">
        <v>25</v>
      </c>
      <c r="M247" t="s">
        <v>25</v>
      </c>
      <c r="N247" t="s">
        <v>1481</v>
      </c>
      <c r="O247" t="s">
        <v>1482</v>
      </c>
      <c r="P247" t="s">
        <v>1483</v>
      </c>
      <c r="Q247" t="s">
        <v>1484</v>
      </c>
      <c r="R247">
        <v>155628</v>
      </c>
      <c r="S247">
        <v>120648</v>
      </c>
      <c r="T247">
        <v>34980</v>
      </c>
      <c r="U247" t="s">
        <v>35</v>
      </c>
      <c r="V247" t="s">
        <v>1485</v>
      </c>
      <c r="W247" t="s">
        <v>1486</v>
      </c>
      <c r="X247" s="4">
        <v>1</v>
      </c>
      <c r="Y247" s="4"/>
      <c r="Z247">
        <f t="shared" si="12"/>
        <v>7</v>
      </c>
      <c r="AA247">
        <f t="shared" si="13"/>
        <v>16</v>
      </c>
      <c r="AB247" s="5">
        <f t="shared" si="14"/>
        <v>0.30113425925810589</v>
      </c>
      <c r="AC247" s="3" t="str">
        <f t="shared" si="15"/>
        <v>Order rejected, no time available</v>
      </c>
      <c r="AD247" t="str" cm="1">
        <f t="array" ref="AD247">IFERROR(_xlfn.IFS(
    AC247="", "",
    AC247*86400 &lt; 30, "1. 0s - &lt;30s",
    AC247*86400 &lt; 60, "2. 30s - &lt;1m",
    AC247*86400 &lt; 300, "3. 1m - &lt;5m",
    AC247*86400 &lt; 1800, "4. 5m - &lt;30m",
    TRUE, "5. &gt;= 30m"
),"6. Invalid (Order rejected)")</f>
        <v>6. Invalid (Order rejected)</v>
      </c>
    </row>
    <row r="248" spans="1:30" hidden="1" x14ac:dyDescent="0.3">
      <c r="A248" t="s">
        <v>1487</v>
      </c>
      <c r="B248" t="s">
        <v>1345</v>
      </c>
      <c r="C248">
        <v>42787717</v>
      </c>
      <c r="D248">
        <v>0</v>
      </c>
      <c r="E248" t="s">
        <v>25</v>
      </c>
      <c r="F248" t="s">
        <v>26</v>
      </c>
      <c r="G248" t="s">
        <v>27</v>
      </c>
      <c r="H248" t="s">
        <v>1488</v>
      </c>
      <c r="I248" t="s">
        <v>1489</v>
      </c>
      <c r="J248" t="s">
        <v>26</v>
      </c>
      <c r="K248" t="s">
        <v>26</v>
      </c>
      <c r="L248" t="s">
        <v>1490</v>
      </c>
      <c r="M248" t="s">
        <v>25</v>
      </c>
      <c r="N248" t="s">
        <v>1447</v>
      </c>
      <c r="O248" t="s">
        <v>1448</v>
      </c>
      <c r="P248" t="s">
        <v>1491</v>
      </c>
      <c r="Q248" t="s">
        <v>1492</v>
      </c>
      <c r="R248">
        <v>143208</v>
      </c>
      <c r="S248">
        <v>0</v>
      </c>
      <c r="T248">
        <v>143208</v>
      </c>
      <c r="U248" t="s">
        <v>35</v>
      </c>
      <c r="V248" t="s">
        <v>1451</v>
      </c>
      <c r="W248" t="s">
        <v>1493</v>
      </c>
      <c r="X248" s="4">
        <v>1</v>
      </c>
      <c r="Y248" s="4"/>
      <c r="Z248">
        <f t="shared" si="12"/>
        <v>7</v>
      </c>
      <c r="AA248">
        <f t="shared" si="13"/>
        <v>16</v>
      </c>
      <c r="AB248" s="5">
        <f t="shared" si="14"/>
        <v>0.29597222222218988</v>
      </c>
      <c r="AC248" s="3">
        <f t="shared" si="15"/>
        <v>0.14569444444350665</v>
      </c>
      <c r="AD248" t="str" cm="1">
        <f t="array" ref="AD248">IFERROR(_xlfn.IFS(
    AC248="", "",
    AC248*86400 &lt; 30, "1. 0s - &lt;30s",
    AC248*86400 &lt; 60, "2. 30s - &lt;1m",
    AC248*86400 &lt; 300, "3. 1m - &lt;5m",
    AC248*86400 &lt; 1800, "4. 5m - &lt;30m",
    TRUE, "5. &gt;= 30m"
),"6. Invalid (Order rejected)")</f>
        <v>5. &gt;= 30m</v>
      </c>
    </row>
    <row r="249" spans="1:30" hidden="1" x14ac:dyDescent="0.3">
      <c r="A249" t="s">
        <v>1494</v>
      </c>
      <c r="B249" t="s">
        <v>1345</v>
      </c>
      <c r="C249">
        <v>42787717</v>
      </c>
      <c r="D249">
        <v>0</v>
      </c>
      <c r="E249" t="s">
        <v>25</v>
      </c>
      <c r="F249" t="s">
        <v>26</v>
      </c>
      <c r="G249" t="s">
        <v>27</v>
      </c>
      <c r="H249" t="s">
        <v>1495</v>
      </c>
      <c r="I249" t="s">
        <v>1347</v>
      </c>
      <c r="J249" t="s">
        <v>26</v>
      </c>
      <c r="K249" t="s">
        <v>26</v>
      </c>
      <c r="L249" t="s">
        <v>1496</v>
      </c>
      <c r="M249" t="s">
        <v>25</v>
      </c>
      <c r="N249" t="s">
        <v>1481</v>
      </c>
      <c r="O249" t="s">
        <v>1482</v>
      </c>
      <c r="P249" t="s">
        <v>342</v>
      </c>
      <c r="Q249" t="s">
        <v>343</v>
      </c>
      <c r="R249">
        <v>113076</v>
      </c>
      <c r="S249">
        <v>0</v>
      </c>
      <c r="T249">
        <v>113076</v>
      </c>
      <c r="U249" t="s">
        <v>35</v>
      </c>
      <c r="V249" t="s">
        <v>1485</v>
      </c>
      <c r="W249" t="s">
        <v>344</v>
      </c>
      <c r="X249" s="4">
        <v>1</v>
      </c>
      <c r="Y249" s="4"/>
      <c r="Z249">
        <f t="shared" si="12"/>
        <v>7</v>
      </c>
      <c r="AA249">
        <f t="shared" si="13"/>
        <v>16</v>
      </c>
      <c r="AB249" s="5">
        <f t="shared" si="14"/>
        <v>0.29972222222568234</v>
      </c>
      <c r="AC249" s="3">
        <f t="shared" si="15"/>
        <v>0.14503472221986158</v>
      </c>
      <c r="AD249" t="str" cm="1">
        <f t="array" ref="AD249">IFERROR(_xlfn.IFS(
    AC249="", "",
    AC249*86400 &lt; 30, "1. 0s - &lt;30s",
    AC249*86400 &lt; 60, "2. 30s - &lt;1m",
    AC249*86400 &lt; 300, "3. 1m - &lt;5m",
    AC249*86400 &lt; 1800, "4. 5m - &lt;30m",
    TRUE, "5. &gt;= 30m"
),"6. Invalid (Order rejected)")</f>
        <v>5. &gt;= 30m</v>
      </c>
    </row>
    <row r="250" spans="1:30" x14ac:dyDescent="0.3">
      <c r="A250" t="s">
        <v>1497</v>
      </c>
      <c r="B250" t="s">
        <v>1345</v>
      </c>
      <c r="C250">
        <v>42787717</v>
      </c>
      <c r="D250">
        <v>4565411</v>
      </c>
      <c r="E250" t="s">
        <v>25</v>
      </c>
      <c r="F250" t="s">
        <v>75</v>
      </c>
      <c r="G250" t="s">
        <v>360</v>
      </c>
      <c r="H250" t="s">
        <v>1498</v>
      </c>
      <c r="I250" t="s">
        <v>1499</v>
      </c>
      <c r="J250" t="s">
        <v>1500</v>
      </c>
      <c r="K250" t="s">
        <v>26</v>
      </c>
      <c r="L250" t="s">
        <v>25</v>
      </c>
      <c r="M250" t="s">
        <v>25</v>
      </c>
      <c r="N250" t="s">
        <v>1501</v>
      </c>
      <c r="O250" t="s">
        <v>1502</v>
      </c>
      <c r="P250" t="s">
        <v>1503</v>
      </c>
      <c r="Q250" t="s">
        <v>1504</v>
      </c>
      <c r="R250">
        <v>103572</v>
      </c>
      <c r="S250">
        <v>80292</v>
      </c>
      <c r="T250">
        <v>23280</v>
      </c>
      <c r="U250" t="s">
        <v>35</v>
      </c>
      <c r="V250" t="s">
        <v>1505</v>
      </c>
      <c r="W250" t="s">
        <v>1506</v>
      </c>
      <c r="X250" s="4">
        <v>1</v>
      </c>
      <c r="Y250" s="4"/>
      <c r="Z250">
        <f t="shared" si="12"/>
        <v>7</v>
      </c>
      <c r="AA250">
        <f t="shared" si="13"/>
        <v>16</v>
      </c>
      <c r="AB250" s="5">
        <f t="shared" si="14"/>
        <v>0.30202546296641231</v>
      </c>
      <c r="AC250" s="3" t="str">
        <f t="shared" si="15"/>
        <v>Order rejected, no time available</v>
      </c>
      <c r="AD250" t="str" cm="1">
        <f t="array" ref="AD250">IFERROR(_xlfn.IFS(
    AC250="", "",
    AC250*86400 &lt; 30, "1. 0s - &lt;30s",
    AC250*86400 &lt; 60, "2. 30s - &lt;1m",
    AC250*86400 &lt; 300, "3. 1m - &lt;5m",
    AC250*86400 &lt; 1800, "4. 5m - &lt;30m",
    TRUE, "5. &gt;= 30m"
),"6. Invalid (Order rejected)")</f>
        <v>6. Invalid (Order rejected)</v>
      </c>
    </row>
    <row r="251" spans="1:30" x14ac:dyDescent="0.3">
      <c r="A251" t="s">
        <v>1507</v>
      </c>
      <c r="B251" t="s">
        <v>1345</v>
      </c>
      <c r="C251">
        <v>42787717</v>
      </c>
      <c r="D251">
        <v>1339205</v>
      </c>
      <c r="E251" t="s">
        <v>25</v>
      </c>
      <c r="F251" t="s">
        <v>75</v>
      </c>
      <c r="G251" t="s">
        <v>360</v>
      </c>
      <c r="H251" t="s">
        <v>1508</v>
      </c>
      <c r="I251" t="s">
        <v>1509</v>
      </c>
      <c r="J251" t="s">
        <v>1510</v>
      </c>
      <c r="K251" t="s">
        <v>26</v>
      </c>
      <c r="L251" t="s">
        <v>25</v>
      </c>
      <c r="M251" t="s">
        <v>25</v>
      </c>
      <c r="N251" t="s">
        <v>1269</v>
      </c>
      <c r="O251" t="s">
        <v>1270</v>
      </c>
      <c r="P251" t="s">
        <v>1511</v>
      </c>
      <c r="Q251" t="s">
        <v>1512</v>
      </c>
      <c r="R251">
        <v>256932</v>
      </c>
      <c r="S251">
        <v>199182</v>
      </c>
      <c r="T251">
        <v>57750</v>
      </c>
      <c r="U251" t="s">
        <v>35</v>
      </c>
      <c r="V251" t="s">
        <v>1271</v>
      </c>
      <c r="W251" t="s">
        <v>1513</v>
      </c>
      <c r="X251" s="4">
        <v>1</v>
      </c>
      <c r="Y251" s="4"/>
      <c r="Z251">
        <f t="shared" si="12"/>
        <v>7</v>
      </c>
      <c r="AA251">
        <f t="shared" si="13"/>
        <v>16</v>
      </c>
      <c r="AB251" s="5">
        <f t="shared" si="14"/>
        <v>0.30568287037021946</v>
      </c>
      <c r="AC251" s="3" t="str">
        <f t="shared" si="15"/>
        <v>Order rejected, no time available</v>
      </c>
      <c r="AD251" t="str" cm="1">
        <f t="array" ref="AD251">IFERROR(_xlfn.IFS(
    AC251="", "",
    AC251*86400 &lt; 30, "1. 0s - &lt;30s",
    AC251*86400 &lt; 60, "2. 30s - &lt;1m",
    AC251*86400 &lt; 300, "3. 1m - &lt;5m",
    AC251*86400 &lt; 1800, "4. 5m - &lt;30m",
    TRUE, "5. &gt;= 30m"
),"6. Invalid (Order rejected)")</f>
        <v>6. Invalid (Order rejected)</v>
      </c>
    </row>
    <row r="252" spans="1:30" x14ac:dyDescent="0.3">
      <c r="A252" t="s">
        <v>1514</v>
      </c>
      <c r="B252" t="s">
        <v>1345</v>
      </c>
      <c r="C252">
        <v>42787717</v>
      </c>
      <c r="D252">
        <v>3185359</v>
      </c>
      <c r="E252" t="s">
        <v>25</v>
      </c>
      <c r="F252" t="s">
        <v>75</v>
      </c>
      <c r="G252" t="s">
        <v>360</v>
      </c>
      <c r="H252" t="s">
        <v>1515</v>
      </c>
      <c r="I252" t="s">
        <v>1516</v>
      </c>
      <c r="J252" t="s">
        <v>1517</v>
      </c>
      <c r="K252" t="s">
        <v>1518</v>
      </c>
      <c r="L252" t="s">
        <v>25</v>
      </c>
      <c r="M252" t="s">
        <v>25</v>
      </c>
      <c r="N252" t="s">
        <v>1501</v>
      </c>
      <c r="O252" t="s">
        <v>1502</v>
      </c>
      <c r="P252" t="s">
        <v>1519</v>
      </c>
      <c r="Q252" t="s">
        <v>1520</v>
      </c>
      <c r="R252">
        <v>110808</v>
      </c>
      <c r="S252">
        <v>85902</v>
      </c>
      <c r="T252">
        <v>24906</v>
      </c>
      <c r="U252" t="s">
        <v>35</v>
      </c>
      <c r="V252" t="s">
        <v>1505</v>
      </c>
      <c r="W252" t="s">
        <v>1521</v>
      </c>
      <c r="X252" s="4">
        <v>1</v>
      </c>
      <c r="Y252" s="4"/>
      <c r="Z252">
        <f t="shared" si="12"/>
        <v>7</v>
      </c>
      <c r="AA252">
        <f t="shared" si="13"/>
        <v>16</v>
      </c>
      <c r="AB252" s="5">
        <f t="shared" si="14"/>
        <v>0.30256944444408873</v>
      </c>
      <c r="AC252" s="3" t="str">
        <f t="shared" si="15"/>
        <v>Order rejected, no time available</v>
      </c>
      <c r="AD252" t="str" cm="1">
        <f t="array" ref="AD252">IFERROR(_xlfn.IFS(
    AC252="", "",
    AC252*86400 &lt; 30, "1. 0s - &lt;30s",
    AC252*86400 &lt; 60, "2. 30s - &lt;1m",
    AC252*86400 &lt; 300, "3. 1m - &lt;5m",
    AC252*86400 &lt; 1800, "4. 5m - &lt;30m",
    TRUE, "5. &gt;= 30m"
),"6. Invalid (Order rejected)")</f>
        <v>6. Invalid (Order rejected)</v>
      </c>
    </row>
    <row r="253" spans="1:30" hidden="1" x14ac:dyDescent="0.3">
      <c r="A253" t="s">
        <v>1522</v>
      </c>
      <c r="B253" t="s">
        <v>1345</v>
      </c>
      <c r="C253">
        <v>42787717</v>
      </c>
      <c r="D253">
        <v>0</v>
      </c>
      <c r="E253" t="s">
        <v>25</v>
      </c>
      <c r="F253" t="s">
        <v>26</v>
      </c>
      <c r="G253" t="s">
        <v>27</v>
      </c>
      <c r="H253" t="s">
        <v>1523</v>
      </c>
      <c r="I253" t="s">
        <v>1524</v>
      </c>
      <c r="J253" t="s">
        <v>26</v>
      </c>
      <c r="K253" t="s">
        <v>26</v>
      </c>
      <c r="L253" t="s">
        <v>1525</v>
      </c>
      <c r="M253" t="s">
        <v>25</v>
      </c>
      <c r="N253" t="s">
        <v>1269</v>
      </c>
      <c r="O253" t="s">
        <v>1270</v>
      </c>
      <c r="P253" t="s">
        <v>1526</v>
      </c>
      <c r="Q253" t="s">
        <v>1527</v>
      </c>
      <c r="R253">
        <v>142452</v>
      </c>
      <c r="S253">
        <v>0</v>
      </c>
      <c r="T253">
        <v>142452</v>
      </c>
      <c r="U253" t="s">
        <v>35</v>
      </c>
      <c r="V253" t="s">
        <v>1271</v>
      </c>
      <c r="W253" t="s">
        <v>1528</v>
      </c>
      <c r="X253" s="4">
        <v>1</v>
      </c>
      <c r="Y253" s="4"/>
      <c r="Z253">
        <f t="shared" si="12"/>
        <v>7</v>
      </c>
      <c r="AA253">
        <f t="shared" si="13"/>
        <v>16</v>
      </c>
      <c r="AB253" s="5">
        <f t="shared" si="14"/>
        <v>0.30734953703358769</v>
      </c>
      <c r="AC253" s="3">
        <f t="shared" si="15"/>
        <v>0.13223379629926058</v>
      </c>
      <c r="AD253" t="str" cm="1">
        <f t="array" ref="AD253">IFERROR(_xlfn.IFS(
    AC253="", "",
    AC253*86400 &lt; 30, "1. 0s - &lt;30s",
    AC253*86400 &lt; 60, "2. 30s - &lt;1m",
    AC253*86400 &lt; 300, "3. 1m - &lt;5m",
    AC253*86400 &lt; 1800, "4. 5m - &lt;30m",
    TRUE, "5. &gt;= 30m"
),"6. Invalid (Order rejected)")</f>
        <v>5. &gt;= 30m</v>
      </c>
    </row>
    <row r="254" spans="1:30" hidden="1" x14ac:dyDescent="0.3">
      <c r="A254" t="s">
        <v>1529</v>
      </c>
      <c r="B254" t="s">
        <v>1345</v>
      </c>
      <c r="C254">
        <v>42787717</v>
      </c>
      <c r="D254">
        <v>0</v>
      </c>
      <c r="E254" t="s">
        <v>25</v>
      </c>
      <c r="F254" t="s">
        <v>26</v>
      </c>
      <c r="G254" t="s">
        <v>27</v>
      </c>
      <c r="H254" t="s">
        <v>1530</v>
      </c>
      <c r="I254" t="s">
        <v>1531</v>
      </c>
      <c r="J254" t="s">
        <v>26</v>
      </c>
      <c r="K254" t="s">
        <v>26</v>
      </c>
      <c r="L254" t="s">
        <v>1532</v>
      </c>
      <c r="M254" t="s">
        <v>25</v>
      </c>
      <c r="N254" t="s">
        <v>1269</v>
      </c>
      <c r="O254" t="s">
        <v>1270</v>
      </c>
      <c r="P254" t="s">
        <v>1533</v>
      </c>
      <c r="Q254" t="s">
        <v>1534</v>
      </c>
      <c r="R254">
        <v>149472</v>
      </c>
      <c r="S254">
        <v>0</v>
      </c>
      <c r="T254">
        <v>149472</v>
      </c>
      <c r="U254" t="s">
        <v>35</v>
      </c>
      <c r="V254" t="s">
        <v>1271</v>
      </c>
      <c r="W254" t="s">
        <v>1535</v>
      </c>
      <c r="X254" s="4">
        <v>1</v>
      </c>
      <c r="Y254" s="4"/>
      <c r="Z254">
        <f t="shared" si="12"/>
        <v>7</v>
      </c>
      <c r="AA254">
        <f t="shared" si="13"/>
        <v>16</v>
      </c>
      <c r="AB254" s="5">
        <f t="shared" si="14"/>
        <v>0.30793981481838273</v>
      </c>
      <c r="AC254" s="3">
        <f t="shared" si="15"/>
        <v>0.14622685185167938</v>
      </c>
      <c r="AD254" t="str" cm="1">
        <f t="array" ref="AD254">IFERROR(_xlfn.IFS(
    AC254="", "",
    AC254*86400 &lt; 30, "1. 0s - &lt;30s",
    AC254*86400 &lt; 60, "2. 30s - &lt;1m",
    AC254*86400 &lt; 300, "3. 1m - &lt;5m",
    AC254*86400 &lt; 1800, "4. 5m - &lt;30m",
    TRUE, "5. &gt;= 30m"
),"6. Invalid (Order rejected)")</f>
        <v>5. &gt;= 30m</v>
      </c>
    </row>
    <row r="255" spans="1:30" hidden="1" x14ac:dyDescent="0.3">
      <c r="A255" t="s">
        <v>1536</v>
      </c>
      <c r="B255" t="s">
        <v>1345</v>
      </c>
      <c r="C255">
        <v>42787717</v>
      </c>
      <c r="D255">
        <v>0</v>
      </c>
      <c r="E255" t="s">
        <v>25</v>
      </c>
      <c r="F255" t="s">
        <v>26</v>
      </c>
      <c r="G255" t="s">
        <v>27</v>
      </c>
      <c r="H255" t="s">
        <v>1537</v>
      </c>
      <c r="I255" t="s">
        <v>1538</v>
      </c>
      <c r="J255" t="s">
        <v>26</v>
      </c>
      <c r="K255" t="s">
        <v>26</v>
      </c>
      <c r="L255" t="s">
        <v>1539</v>
      </c>
      <c r="M255" t="s">
        <v>25</v>
      </c>
      <c r="N255" t="s">
        <v>1501</v>
      </c>
      <c r="O255" t="s">
        <v>1502</v>
      </c>
      <c r="P255" t="s">
        <v>1540</v>
      </c>
      <c r="Q255" t="s">
        <v>1541</v>
      </c>
      <c r="R255">
        <v>270108</v>
      </c>
      <c r="S255">
        <v>0</v>
      </c>
      <c r="T255">
        <v>270108</v>
      </c>
      <c r="U255" t="s">
        <v>35</v>
      </c>
      <c r="V255" t="s">
        <v>1505</v>
      </c>
      <c r="W255" t="s">
        <v>1542</v>
      </c>
      <c r="X255" s="4">
        <v>1</v>
      </c>
      <c r="Y255" s="4"/>
      <c r="Z255">
        <f t="shared" si="12"/>
        <v>7</v>
      </c>
      <c r="AA255">
        <f t="shared" si="13"/>
        <v>16</v>
      </c>
      <c r="AB255" s="5">
        <f t="shared" si="14"/>
        <v>0.30395833333022892</v>
      </c>
      <c r="AC255" s="3">
        <f t="shared" si="15"/>
        <v>0.14604166666686069</v>
      </c>
      <c r="AD255" t="str" cm="1">
        <f t="array" ref="AD255">IFERROR(_xlfn.IFS(
    AC255="", "",
    AC255*86400 &lt; 30, "1. 0s - &lt;30s",
    AC255*86400 &lt; 60, "2. 30s - &lt;1m",
    AC255*86400 &lt; 300, "3. 1m - &lt;5m",
    AC255*86400 &lt; 1800, "4. 5m - &lt;30m",
    TRUE, "5. &gt;= 30m"
),"6. Invalid (Order rejected)")</f>
        <v>5. &gt;= 30m</v>
      </c>
    </row>
    <row r="256" spans="1:30" x14ac:dyDescent="0.3">
      <c r="A256" t="s">
        <v>1543</v>
      </c>
      <c r="B256" t="s">
        <v>1345</v>
      </c>
      <c r="C256">
        <v>42787717</v>
      </c>
      <c r="D256">
        <v>2406273</v>
      </c>
      <c r="E256" t="s">
        <v>25</v>
      </c>
      <c r="F256" t="s">
        <v>75</v>
      </c>
      <c r="G256" t="s">
        <v>360</v>
      </c>
      <c r="H256" t="s">
        <v>1544</v>
      </c>
      <c r="I256" t="s">
        <v>1545</v>
      </c>
      <c r="J256" t="s">
        <v>1546</v>
      </c>
      <c r="K256" t="s">
        <v>1547</v>
      </c>
      <c r="L256" t="s">
        <v>25</v>
      </c>
      <c r="M256" t="s">
        <v>25</v>
      </c>
      <c r="N256" t="s">
        <v>1501</v>
      </c>
      <c r="O256" t="s">
        <v>1502</v>
      </c>
      <c r="P256" t="s">
        <v>1519</v>
      </c>
      <c r="Q256" t="s">
        <v>1520</v>
      </c>
      <c r="R256">
        <v>155088</v>
      </c>
      <c r="S256">
        <v>120229</v>
      </c>
      <c r="T256">
        <v>34859</v>
      </c>
      <c r="U256" t="s">
        <v>35</v>
      </c>
      <c r="V256" t="s">
        <v>1505</v>
      </c>
      <c r="W256" t="s">
        <v>1521</v>
      </c>
      <c r="X256" s="4">
        <v>1</v>
      </c>
      <c r="Y256" s="4"/>
      <c r="Z256">
        <f t="shared" si="12"/>
        <v>7</v>
      </c>
      <c r="AA256">
        <f t="shared" si="13"/>
        <v>16</v>
      </c>
      <c r="AB256" s="5">
        <f t="shared" si="14"/>
        <v>0.30278935185197042</v>
      </c>
      <c r="AC256" s="3" t="str">
        <f t="shared" si="15"/>
        <v>Order rejected, no time available</v>
      </c>
      <c r="AD256" t="str" cm="1">
        <f t="array" ref="AD256">IFERROR(_xlfn.IFS(
    AC256="", "",
    AC256*86400 &lt; 30, "1. 0s - &lt;30s",
    AC256*86400 &lt; 60, "2. 30s - &lt;1m",
    AC256*86400 &lt; 300, "3. 1m - &lt;5m",
    AC256*86400 &lt; 1800, "4. 5m - &lt;30m",
    TRUE, "5. &gt;= 30m"
),"6. Invalid (Order rejected)")</f>
        <v>6. Invalid (Order rejected)</v>
      </c>
    </row>
    <row r="257" spans="1:30" x14ac:dyDescent="0.3">
      <c r="A257" t="s">
        <v>1548</v>
      </c>
      <c r="B257" t="s">
        <v>1345</v>
      </c>
      <c r="C257">
        <v>42787717</v>
      </c>
      <c r="D257">
        <v>647565</v>
      </c>
      <c r="E257" t="s">
        <v>25</v>
      </c>
      <c r="F257" t="s">
        <v>75</v>
      </c>
      <c r="G257" t="s">
        <v>360</v>
      </c>
      <c r="H257" t="s">
        <v>1549</v>
      </c>
      <c r="I257" t="s">
        <v>1550</v>
      </c>
      <c r="J257" t="s">
        <v>1551</v>
      </c>
      <c r="K257" t="s">
        <v>1552</v>
      </c>
      <c r="L257" t="s">
        <v>25</v>
      </c>
      <c r="M257" t="s">
        <v>25</v>
      </c>
      <c r="N257" t="s">
        <v>1269</v>
      </c>
      <c r="O257" t="s">
        <v>1270</v>
      </c>
      <c r="P257" t="s">
        <v>1553</v>
      </c>
      <c r="Q257" t="s">
        <v>1554</v>
      </c>
      <c r="R257">
        <v>175824</v>
      </c>
      <c r="S257">
        <v>136304</v>
      </c>
      <c r="T257">
        <v>39520</v>
      </c>
      <c r="U257" t="s">
        <v>35</v>
      </c>
      <c r="V257" t="s">
        <v>1271</v>
      </c>
      <c r="W257" t="s">
        <v>1555</v>
      </c>
      <c r="X257" s="4">
        <v>1</v>
      </c>
      <c r="Y257" s="4"/>
      <c r="Z257">
        <f t="shared" si="12"/>
        <v>7</v>
      </c>
      <c r="AA257">
        <f t="shared" si="13"/>
        <v>16</v>
      </c>
      <c r="AB257" s="5">
        <f t="shared" si="14"/>
        <v>0.30593750000116415</v>
      </c>
      <c r="AC257" s="3" t="str">
        <f t="shared" si="15"/>
        <v>Order rejected, no time available</v>
      </c>
      <c r="AD257" t="str" cm="1">
        <f t="array" ref="AD257">IFERROR(_xlfn.IFS(
    AC257="", "",
    AC257*86400 &lt; 30, "1. 0s - &lt;30s",
    AC257*86400 &lt; 60, "2. 30s - &lt;1m",
    AC257*86400 &lt; 300, "3. 1m - &lt;5m",
    AC257*86400 &lt; 1800, "4. 5m - &lt;30m",
    TRUE, "5. &gt;= 30m"
),"6. Invalid (Order rejected)")</f>
        <v>6. Invalid (Order rejected)</v>
      </c>
    </row>
    <row r="258" spans="1:30" hidden="1" x14ac:dyDescent="0.3">
      <c r="A258" t="s">
        <v>1556</v>
      </c>
      <c r="B258" t="s">
        <v>1345</v>
      </c>
      <c r="C258">
        <v>42787717</v>
      </c>
      <c r="D258">
        <v>4177117</v>
      </c>
      <c r="E258" t="s">
        <v>25</v>
      </c>
      <c r="F258" t="s">
        <v>75</v>
      </c>
      <c r="G258" t="s">
        <v>76</v>
      </c>
      <c r="H258" t="s">
        <v>1557</v>
      </c>
      <c r="I258" t="s">
        <v>1417</v>
      </c>
      <c r="J258" t="s">
        <v>1558</v>
      </c>
      <c r="K258" t="s">
        <v>1559</v>
      </c>
      <c r="L258" t="s">
        <v>1560</v>
      </c>
      <c r="M258" t="s">
        <v>25</v>
      </c>
      <c r="N258" t="s">
        <v>1269</v>
      </c>
      <c r="O258" t="s">
        <v>1270</v>
      </c>
      <c r="P258" t="s">
        <v>1561</v>
      </c>
      <c r="Q258" t="s">
        <v>1562</v>
      </c>
      <c r="R258">
        <v>190512</v>
      </c>
      <c r="S258">
        <v>147691</v>
      </c>
      <c r="T258">
        <v>42821</v>
      </c>
      <c r="U258" t="s">
        <v>35</v>
      </c>
      <c r="V258" t="s">
        <v>1271</v>
      </c>
      <c r="W258" t="s">
        <v>1563</v>
      </c>
      <c r="X258" s="4">
        <v>1</v>
      </c>
      <c r="Y258" s="4"/>
      <c r="Z258">
        <f t="shared" si="12"/>
        <v>7</v>
      </c>
      <c r="AA258">
        <f t="shared" si="13"/>
        <v>16</v>
      </c>
      <c r="AB258" s="5">
        <f t="shared" si="14"/>
        <v>0.30693287037138361</v>
      </c>
      <c r="AC258" s="3">
        <f t="shared" si="15"/>
        <v>0.17678240740497131</v>
      </c>
      <c r="AD258" t="str" cm="1">
        <f t="array" ref="AD258">IFERROR(_xlfn.IFS(
    AC258="", "",
    AC258*86400 &lt; 30, "1. 0s - &lt;30s",
    AC258*86400 &lt; 60, "2. 30s - &lt;1m",
    AC258*86400 &lt; 300, "3. 1m - &lt;5m",
    AC258*86400 &lt; 1800, "4. 5m - &lt;30m",
    TRUE, "5. &gt;= 30m"
),"6. Invalid (Order rejected)")</f>
        <v>5. &gt;= 30m</v>
      </c>
    </row>
    <row r="259" spans="1:30" hidden="1" x14ac:dyDescent="0.3">
      <c r="A259" t="s">
        <v>1564</v>
      </c>
      <c r="B259" t="s">
        <v>1345</v>
      </c>
      <c r="C259">
        <v>42787717</v>
      </c>
      <c r="D259">
        <v>0</v>
      </c>
      <c r="E259" t="s">
        <v>25</v>
      </c>
      <c r="F259" t="s">
        <v>26</v>
      </c>
      <c r="G259" t="s">
        <v>27</v>
      </c>
      <c r="H259" t="s">
        <v>1565</v>
      </c>
      <c r="I259" t="s">
        <v>1566</v>
      </c>
      <c r="J259" t="s">
        <v>26</v>
      </c>
      <c r="K259" t="s">
        <v>26</v>
      </c>
      <c r="L259" t="s">
        <v>1567</v>
      </c>
      <c r="M259" t="s">
        <v>25</v>
      </c>
      <c r="N259" t="s">
        <v>1568</v>
      </c>
      <c r="O259" t="s">
        <v>1569</v>
      </c>
      <c r="P259" t="s">
        <v>1570</v>
      </c>
      <c r="Q259" t="s">
        <v>1571</v>
      </c>
      <c r="R259">
        <v>260064</v>
      </c>
      <c r="S259">
        <v>0</v>
      </c>
      <c r="T259">
        <v>260064</v>
      </c>
      <c r="U259" t="s">
        <v>35</v>
      </c>
      <c r="V259" t="s">
        <v>1572</v>
      </c>
      <c r="W259" t="s">
        <v>1573</v>
      </c>
      <c r="X259" s="4">
        <v>1</v>
      </c>
      <c r="Y259" s="4"/>
      <c r="Z259">
        <f t="shared" ref="Z259:Z322" si="16">MONTH(H259)</f>
        <v>7</v>
      </c>
      <c r="AA259">
        <f t="shared" ref="AA259:AA322" si="17">DAY(H259)</f>
        <v>16</v>
      </c>
      <c r="AB259" s="5">
        <f t="shared" ref="AB259:AB322" si="18">MOD(H259, 1)</f>
        <v>0.31118055555270985</v>
      </c>
      <c r="AC259" s="3">
        <f t="shared" ref="AC259:AC322" si="19">IFERROR(IF(M259="",L259-H259,M259-H259),"Order rejected, no time available")</f>
        <v>9.0277777781011537E-2</v>
      </c>
      <c r="AD259" t="str" cm="1">
        <f t="array" ref="AD259">IFERROR(_xlfn.IFS(
    AC259="", "",
    AC259*86400 &lt; 30, "1. 0s - &lt;30s",
    AC259*86400 &lt; 60, "2. 30s - &lt;1m",
    AC259*86400 &lt; 300, "3. 1m - &lt;5m",
    AC259*86400 &lt; 1800, "4. 5m - &lt;30m",
    TRUE, "5. &gt;= 30m"
),"6. Invalid (Order rejected)")</f>
        <v>5. &gt;= 30m</v>
      </c>
    </row>
    <row r="260" spans="1:30" hidden="1" x14ac:dyDescent="0.3">
      <c r="A260" t="s">
        <v>1574</v>
      </c>
      <c r="B260" t="s">
        <v>1345</v>
      </c>
      <c r="C260">
        <v>42787717</v>
      </c>
      <c r="D260">
        <v>0</v>
      </c>
      <c r="E260" t="s">
        <v>25</v>
      </c>
      <c r="F260" t="s">
        <v>26</v>
      </c>
      <c r="G260" t="s">
        <v>27</v>
      </c>
      <c r="H260" t="s">
        <v>1575</v>
      </c>
      <c r="I260" t="s">
        <v>1576</v>
      </c>
      <c r="J260" t="s">
        <v>26</v>
      </c>
      <c r="K260" t="s">
        <v>26</v>
      </c>
      <c r="L260" t="s">
        <v>1577</v>
      </c>
      <c r="M260" t="s">
        <v>25</v>
      </c>
      <c r="N260" t="s">
        <v>1578</v>
      </c>
      <c r="O260" t="s">
        <v>1579</v>
      </c>
      <c r="P260" t="s">
        <v>507</v>
      </c>
      <c r="Q260" t="s">
        <v>508</v>
      </c>
      <c r="R260">
        <v>322704</v>
      </c>
      <c r="S260">
        <v>0</v>
      </c>
      <c r="T260">
        <v>322704</v>
      </c>
      <c r="U260" t="s">
        <v>35</v>
      </c>
      <c r="V260" t="s">
        <v>1580</v>
      </c>
      <c r="W260" t="s">
        <v>509</v>
      </c>
      <c r="X260" s="4">
        <v>1</v>
      </c>
      <c r="Y260" s="4"/>
      <c r="Z260">
        <f t="shared" si="16"/>
        <v>7</v>
      </c>
      <c r="AA260">
        <f t="shared" si="17"/>
        <v>16</v>
      </c>
      <c r="AB260" s="5">
        <f t="shared" si="18"/>
        <v>0.31284722222335404</v>
      </c>
      <c r="AC260" s="3">
        <f t="shared" si="19"/>
        <v>9.0277777773735579E-2</v>
      </c>
      <c r="AD260" t="str" cm="1">
        <f t="array" ref="AD260">IFERROR(_xlfn.IFS(
    AC260="", "",
    AC260*86400 &lt; 30, "1. 0s - &lt;30s",
    AC260*86400 &lt; 60, "2. 30s - &lt;1m",
    AC260*86400 &lt; 300, "3. 1m - &lt;5m",
    AC260*86400 &lt; 1800, "4. 5m - &lt;30m",
    TRUE, "5. &gt;= 30m"
),"6. Invalid (Order rejected)")</f>
        <v>5. &gt;= 30m</v>
      </c>
    </row>
    <row r="261" spans="1:30" hidden="1" x14ac:dyDescent="0.3">
      <c r="A261" t="s">
        <v>1581</v>
      </c>
      <c r="B261" t="s">
        <v>1345</v>
      </c>
      <c r="C261">
        <v>42787717</v>
      </c>
      <c r="D261">
        <v>0</v>
      </c>
      <c r="E261" t="s">
        <v>25</v>
      </c>
      <c r="F261" t="s">
        <v>26</v>
      </c>
      <c r="G261" t="s">
        <v>27</v>
      </c>
      <c r="H261" t="s">
        <v>1582</v>
      </c>
      <c r="I261" t="s">
        <v>1583</v>
      </c>
      <c r="J261" t="s">
        <v>26</v>
      </c>
      <c r="K261" t="s">
        <v>26</v>
      </c>
      <c r="L261" t="s">
        <v>1584</v>
      </c>
      <c r="M261" t="s">
        <v>25</v>
      </c>
      <c r="N261" t="s">
        <v>1568</v>
      </c>
      <c r="O261" t="s">
        <v>1569</v>
      </c>
      <c r="P261" t="s">
        <v>1370</v>
      </c>
      <c r="Q261" t="s">
        <v>1371</v>
      </c>
      <c r="R261">
        <v>308448</v>
      </c>
      <c r="S261">
        <v>0</v>
      </c>
      <c r="T261">
        <v>308448</v>
      </c>
      <c r="U261" t="s">
        <v>35</v>
      </c>
      <c r="V261" t="s">
        <v>1572</v>
      </c>
      <c r="W261" t="s">
        <v>1372</v>
      </c>
      <c r="X261" s="4">
        <v>1</v>
      </c>
      <c r="Y261" s="4"/>
      <c r="Z261">
        <f t="shared" si="16"/>
        <v>7</v>
      </c>
      <c r="AA261">
        <f t="shared" si="17"/>
        <v>16</v>
      </c>
      <c r="AB261" s="5">
        <f t="shared" si="18"/>
        <v>0.31015046295942739</v>
      </c>
      <c r="AC261" s="3">
        <f t="shared" si="19"/>
        <v>9.0277777781011537E-2</v>
      </c>
      <c r="AD261" t="str" cm="1">
        <f t="array" ref="AD261">IFERROR(_xlfn.IFS(
    AC261="", "",
    AC261*86400 &lt; 30, "1. 0s - &lt;30s",
    AC261*86400 &lt; 60, "2. 30s - &lt;1m",
    AC261*86400 &lt; 300, "3. 1m - &lt;5m",
    AC261*86400 &lt; 1800, "4. 5m - &lt;30m",
    TRUE, "5. &gt;= 30m"
),"6. Invalid (Order rejected)")</f>
        <v>5. &gt;= 30m</v>
      </c>
    </row>
    <row r="262" spans="1:30" hidden="1" x14ac:dyDescent="0.3">
      <c r="A262" t="s">
        <v>1585</v>
      </c>
      <c r="B262" t="s">
        <v>1345</v>
      </c>
      <c r="C262">
        <v>42787717</v>
      </c>
      <c r="D262">
        <v>0</v>
      </c>
      <c r="E262" t="s">
        <v>25</v>
      </c>
      <c r="F262" t="s">
        <v>26</v>
      </c>
      <c r="G262" t="s">
        <v>27</v>
      </c>
      <c r="H262" t="s">
        <v>1586</v>
      </c>
      <c r="I262" t="s">
        <v>1587</v>
      </c>
      <c r="J262" t="s">
        <v>26</v>
      </c>
      <c r="K262" t="s">
        <v>26</v>
      </c>
      <c r="L262" t="s">
        <v>1552</v>
      </c>
      <c r="M262" t="s">
        <v>25</v>
      </c>
      <c r="N262" t="s">
        <v>1588</v>
      </c>
      <c r="O262" t="s">
        <v>1589</v>
      </c>
      <c r="P262" t="s">
        <v>1590</v>
      </c>
      <c r="Q262" t="s">
        <v>1591</v>
      </c>
      <c r="R262">
        <v>84024</v>
      </c>
      <c r="S262">
        <v>0</v>
      </c>
      <c r="T262">
        <v>84024</v>
      </c>
      <c r="U262" t="s">
        <v>35</v>
      </c>
      <c r="V262" t="s">
        <v>1592</v>
      </c>
      <c r="W262" t="s">
        <v>1593</v>
      </c>
      <c r="X262" s="4">
        <v>1</v>
      </c>
      <c r="Y262" s="4"/>
      <c r="Z262">
        <f t="shared" si="16"/>
        <v>7</v>
      </c>
      <c r="AA262">
        <f t="shared" si="17"/>
        <v>16</v>
      </c>
      <c r="AB262" s="5">
        <f t="shared" si="18"/>
        <v>0.31726851851999527</v>
      </c>
      <c r="AC262" s="3">
        <f t="shared" si="19"/>
        <v>9.0277777773735579E-2</v>
      </c>
      <c r="AD262" t="str" cm="1">
        <f t="array" ref="AD262">IFERROR(_xlfn.IFS(
    AC262="", "",
    AC262*86400 &lt; 30, "1. 0s - &lt;30s",
    AC262*86400 &lt; 60, "2. 30s - &lt;1m",
    AC262*86400 &lt; 300, "3. 1m - &lt;5m",
    AC262*86400 &lt; 1800, "4. 5m - &lt;30m",
    TRUE, "5. &gt;= 30m"
),"6. Invalid (Order rejected)")</f>
        <v>5. &gt;= 30m</v>
      </c>
    </row>
    <row r="263" spans="1:30" hidden="1" x14ac:dyDescent="0.3">
      <c r="A263" t="s">
        <v>1594</v>
      </c>
      <c r="B263" t="s">
        <v>1345</v>
      </c>
      <c r="C263">
        <v>42787717</v>
      </c>
      <c r="D263">
        <v>0</v>
      </c>
      <c r="E263" t="s">
        <v>25</v>
      </c>
      <c r="F263" t="s">
        <v>26</v>
      </c>
      <c r="G263" t="s">
        <v>27</v>
      </c>
      <c r="H263" t="s">
        <v>1595</v>
      </c>
      <c r="I263" t="s">
        <v>1596</v>
      </c>
      <c r="J263" t="s">
        <v>26</v>
      </c>
      <c r="K263" t="s">
        <v>26</v>
      </c>
      <c r="L263" t="s">
        <v>1597</v>
      </c>
      <c r="M263" t="s">
        <v>25</v>
      </c>
      <c r="N263" t="s">
        <v>1269</v>
      </c>
      <c r="O263" t="s">
        <v>1270</v>
      </c>
      <c r="P263" t="s">
        <v>1598</v>
      </c>
      <c r="Q263" t="s">
        <v>1599</v>
      </c>
      <c r="R263">
        <v>200232</v>
      </c>
      <c r="S263">
        <v>0</v>
      </c>
      <c r="T263">
        <v>200232</v>
      </c>
      <c r="U263" t="s">
        <v>35</v>
      </c>
      <c r="V263" t="s">
        <v>1271</v>
      </c>
      <c r="W263" t="s">
        <v>1600</v>
      </c>
      <c r="X263" s="4">
        <v>1</v>
      </c>
      <c r="Y263" s="4"/>
      <c r="Z263">
        <f t="shared" si="16"/>
        <v>7</v>
      </c>
      <c r="AA263">
        <f t="shared" si="17"/>
        <v>16</v>
      </c>
      <c r="AB263" s="5">
        <f t="shared" si="18"/>
        <v>0.30817129629576812</v>
      </c>
      <c r="AC263" s="3">
        <f t="shared" si="19"/>
        <v>0.13835648148233304</v>
      </c>
      <c r="AD263" t="str" cm="1">
        <f t="array" ref="AD263">IFERROR(_xlfn.IFS(
    AC263="", "",
    AC263*86400 &lt; 30, "1. 0s - &lt;30s",
    AC263*86400 &lt; 60, "2. 30s - &lt;1m",
    AC263*86400 &lt; 300, "3. 1m - &lt;5m",
    AC263*86400 &lt; 1800, "4. 5m - &lt;30m",
    TRUE, "5. &gt;= 30m"
),"6. Invalid (Order rejected)")</f>
        <v>5. &gt;= 30m</v>
      </c>
    </row>
    <row r="264" spans="1:30" hidden="1" x14ac:dyDescent="0.3">
      <c r="A264" t="s">
        <v>1601</v>
      </c>
      <c r="B264" t="s">
        <v>1345</v>
      </c>
      <c r="C264">
        <v>42787717</v>
      </c>
      <c r="D264">
        <v>0</v>
      </c>
      <c r="E264" t="s">
        <v>25</v>
      </c>
      <c r="F264" t="s">
        <v>26</v>
      </c>
      <c r="G264" t="s">
        <v>27</v>
      </c>
      <c r="H264" t="s">
        <v>1602</v>
      </c>
      <c r="I264" t="s">
        <v>1603</v>
      </c>
      <c r="J264" t="s">
        <v>26</v>
      </c>
      <c r="K264" t="s">
        <v>26</v>
      </c>
      <c r="L264" t="s">
        <v>1604</v>
      </c>
      <c r="M264" t="s">
        <v>25</v>
      </c>
      <c r="N264" t="s">
        <v>1568</v>
      </c>
      <c r="O264" t="s">
        <v>1569</v>
      </c>
      <c r="P264" t="s">
        <v>1392</v>
      </c>
      <c r="Q264" t="s">
        <v>1393</v>
      </c>
      <c r="R264">
        <v>238896</v>
      </c>
      <c r="S264">
        <v>0</v>
      </c>
      <c r="T264">
        <v>238896</v>
      </c>
      <c r="U264" t="s">
        <v>35</v>
      </c>
      <c r="V264" t="s">
        <v>1572</v>
      </c>
      <c r="W264" t="s">
        <v>1395</v>
      </c>
      <c r="X264" s="4">
        <v>1</v>
      </c>
      <c r="Y264" s="4"/>
      <c r="Z264">
        <f t="shared" si="16"/>
        <v>7</v>
      </c>
      <c r="AA264">
        <f t="shared" si="17"/>
        <v>16</v>
      </c>
      <c r="AB264" s="5">
        <f t="shared" si="18"/>
        <v>0.31173611111444188</v>
      </c>
      <c r="AC264" s="3">
        <f t="shared" si="19"/>
        <v>9.0266203696955927E-2</v>
      </c>
      <c r="AD264" t="str" cm="1">
        <f t="array" ref="AD264">IFERROR(_xlfn.IFS(
    AC264="", "",
    AC264*86400 &lt; 30, "1. 0s - &lt;30s",
    AC264*86400 &lt; 60, "2. 30s - &lt;1m",
    AC264*86400 &lt; 300, "3. 1m - &lt;5m",
    AC264*86400 &lt; 1800, "4. 5m - &lt;30m",
    TRUE, "5. &gt;= 30m"
),"6. Invalid (Order rejected)")</f>
        <v>5. &gt;= 30m</v>
      </c>
    </row>
    <row r="265" spans="1:30" hidden="1" x14ac:dyDescent="0.3">
      <c r="A265" t="s">
        <v>1605</v>
      </c>
      <c r="B265" t="s">
        <v>1345</v>
      </c>
      <c r="C265">
        <v>42787717</v>
      </c>
      <c r="D265">
        <v>0</v>
      </c>
      <c r="E265" t="s">
        <v>25</v>
      </c>
      <c r="F265" t="s">
        <v>26</v>
      </c>
      <c r="G265" t="s">
        <v>27</v>
      </c>
      <c r="H265" t="s">
        <v>1606</v>
      </c>
      <c r="I265" t="s">
        <v>1607</v>
      </c>
      <c r="J265" t="s">
        <v>26</v>
      </c>
      <c r="K265" t="s">
        <v>26</v>
      </c>
      <c r="L265" t="s">
        <v>1608</v>
      </c>
      <c r="M265" t="s">
        <v>25</v>
      </c>
      <c r="N265" t="s">
        <v>1588</v>
      </c>
      <c r="O265" t="s">
        <v>1589</v>
      </c>
      <c r="P265" t="s">
        <v>1609</v>
      </c>
      <c r="Q265" t="s">
        <v>1610</v>
      </c>
      <c r="R265">
        <v>248832</v>
      </c>
      <c r="S265">
        <v>0</v>
      </c>
      <c r="T265">
        <v>248832</v>
      </c>
      <c r="U265" t="s">
        <v>35</v>
      </c>
      <c r="V265" t="s">
        <v>1592</v>
      </c>
      <c r="W265" t="s">
        <v>1611</v>
      </c>
      <c r="X265" s="4">
        <v>1</v>
      </c>
      <c r="Y265" s="4"/>
      <c r="Z265">
        <f t="shared" si="16"/>
        <v>7</v>
      </c>
      <c r="AA265">
        <f t="shared" si="17"/>
        <v>16</v>
      </c>
      <c r="AB265" s="5">
        <f t="shared" si="18"/>
        <v>0.31570601851854008</v>
      </c>
      <c r="AC265" s="3">
        <f t="shared" si="19"/>
        <v>9.1203703705104999E-2</v>
      </c>
      <c r="AD265" t="str" cm="1">
        <f t="array" ref="AD265">IFERROR(_xlfn.IFS(
    AC265="", "",
    AC265*86400 &lt; 30, "1. 0s - &lt;30s",
    AC265*86400 &lt; 60, "2. 30s - &lt;1m",
    AC265*86400 &lt; 300, "3. 1m - &lt;5m",
    AC265*86400 &lt; 1800, "4. 5m - &lt;30m",
    TRUE, "5. &gt;= 30m"
),"6. Invalid (Order rejected)")</f>
        <v>5. &gt;= 30m</v>
      </c>
    </row>
    <row r="266" spans="1:30" x14ac:dyDescent="0.3">
      <c r="A266" t="s">
        <v>1612</v>
      </c>
      <c r="B266" t="s">
        <v>1345</v>
      </c>
      <c r="C266">
        <v>42787717</v>
      </c>
      <c r="D266">
        <v>3051084</v>
      </c>
      <c r="E266" t="s">
        <v>25</v>
      </c>
      <c r="F266" t="s">
        <v>75</v>
      </c>
      <c r="G266" t="s">
        <v>360</v>
      </c>
      <c r="H266" t="s">
        <v>1613</v>
      </c>
      <c r="I266" t="s">
        <v>1614</v>
      </c>
      <c r="J266" t="s">
        <v>1615</v>
      </c>
      <c r="K266" t="s">
        <v>1616</v>
      </c>
      <c r="L266" t="s">
        <v>25</v>
      </c>
      <c r="M266" t="s">
        <v>25</v>
      </c>
      <c r="N266" t="s">
        <v>1588</v>
      </c>
      <c r="O266" t="s">
        <v>1589</v>
      </c>
      <c r="P266" t="s">
        <v>1617</v>
      </c>
      <c r="Q266" t="s">
        <v>1618</v>
      </c>
      <c r="R266">
        <v>343008</v>
      </c>
      <c r="S266">
        <v>281552</v>
      </c>
      <c r="T266">
        <v>61456</v>
      </c>
      <c r="U266" t="s">
        <v>35</v>
      </c>
      <c r="V266" t="s">
        <v>1592</v>
      </c>
      <c r="W266" t="s">
        <v>1619</v>
      </c>
      <c r="X266" s="4">
        <v>1</v>
      </c>
      <c r="Y266" s="4"/>
      <c r="Z266">
        <f t="shared" si="16"/>
        <v>7</v>
      </c>
      <c r="AA266">
        <f t="shared" si="17"/>
        <v>16</v>
      </c>
      <c r="AB266" s="5">
        <f t="shared" si="18"/>
        <v>0.31480324074072996</v>
      </c>
      <c r="AC266" s="3" t="str">
        <f t="shared" si="19"/>
        <v>Order rejected, no time available</v>
      </c>
      <c r="AD266" t="str" cm="1">
        <f t="array" ref="AD266">IFERROR(_xlfn.IFS(
    AC266="", "",
    AC266*86400 &lt; 30, "1. 0s - &lt;30s",
    AC266*86400 &lt; 60, "2. 30s - &lt;1m",
    AC266*86400 &lt; 300, "3. 1m - &lt;5m",
    AC266*86400 &lt; 1800, "4. 5m - &lt;30m",
    TRUE, "5. &gt;= 30m"
),"6. Invalid (Order rejected)")</f>
        <v>6. Invalid (Order rejected)</v>
      </c>
    </row>
    <row r="267" spans="1:30" hidden="1" x14ac:dyDescent="0.3">
      <c r="A267" t="s">
        <v>1620</v>
      </c>
      <c r="B267" t="s">
        <v>1345</v>
      </c>
      <c r="C267">
        <v>42787717</v>
      </c>
      <c r="D267">
        <v>0</v>
      </c>
      <c r="E267" t="s">
        <v>25</v>
      </c>
      <c r="F267" t="s">
        <v>26</v>
      </c>
      <c r="G267" t="s">
        <v>27</v>
      </c>
      <c r="H267" t="s">
        <v>1621</v>
      </c>
      <c r="I267" t="s">
        <v>1622</v>
      </c>
      <c r="J267" t="s">
        <v>26</v>
      </c>
      <c r="K267" t="s">
        <v>26</v>
      </c>
      <c r="L267" t="s">
        <v>1623</v>
      </c>
      <c r="M267" t="s">
        <v>25</v>
      </c>
      <c r="N267" t="s">
        <v>1578</v>
      </c>
      <c r="O267" t="s">
        <v>1579</v>
      </c>
      <c r="P267" t="s">
        <v>1624</v>
      </c>
      <c r="Q267" t="s">
        <v>1625</v>
      </c>
      <c r="R267">
        <v>292680</v>
      </c>
      <c r="S267">
        <v>0</v>
      </c>
      <c r="T267">
        <v>292680</v>
      </c>
      <c r="U267" t="s">
        <v>35</v>
      </c>
      <c r="V267" t="s">
        <v>1580</v>
      </c>
      <c r="W267" t="s">
        <v>1626</v>
      </c>
      <c r="X267" s="4">
        <v>1</v>
      </c>
      <c r="Y267" s="4"/>
      <c r="Z267">
        <f t="shared" si="16"/>
        <v>7</v>
      </c>
      <c r="AA267">
        <f t="shared" si="17"/>
        <v>16</v>
      </c>
      <c r="AB267" s="5">
        <f t="shared" si="18"/>
        <v>0.31354166667006211</v>
      </c>
      <c r="AC267" s="3">
        <f t="shared" si="19"/>
        <v>9.0277777773735579E-2</v>
      </c>
      <c r="AD267" t="str" cm="1">
        <f t="array" ref="AD267">IFERROR(_xlfn.IFS(
    AC267="", "",
    AC267*86400 &lt; 30, "1. 0s - &lt;30s",
    AC267*86400 &lt; 60, "2. 30s - &lt;1m",
    AC267*86400 &lt; 300, "3. 1m - &lt;5m",
    AC267*86400 &lt; 1800, "4. 5m - &lt;30m",
    TRUE, "5. &gt;= 30m"
),"6. Invalid (Order rejected)")</f>
        <v>5. &gt;= 30m</v>
      </c>
    </row>
    <row r="268" spans="1:30" hidden="1" x14ac:dyDescent="0.3">
      <c r="A268" t="s">
        <v>1627</v>
      </c>
      <c r="B268" t="s">
        <v>1345</v>
      </c>
      <c r="C268">
        <v>42787717</v>
      </c>
      <c r="D268">
        <v>0</v>
      </c>
      <c r="E268" t="s">
        <v>25</v>
      </c>
      <c r="F268" t="s">
        <v>26</v>
      </c>
      <c r="G268" t="s">
        <v>27</v>
      </c>
      <c r="H268" t="s">
        <v>1628</v>
      </c>
      <c r="I268" t="s">
        <v>1629</v>
      </c>
      <c r="J268" t="s">
        <v>26</v>
      </c>
      <c r="K268" t="s">
        <v>26</v>
      </c>
      <c r="L268" t="s">
        <v>1630</v>
      </c>
      <c r="M268" t="s">
        <v>25</v>
      </c>
      <c r="N268" t="s">
        <v>1588</v>
      </c>
      <c r="O268" t="s">
        <v>1589</v>
      </c>
      <c r="P268" t="s">
        <v>1631</v>
      </c>
      <c r="Q268" t="s">
        <v>1632</v>
      </c>
      <c r="R268">
        <v>254880</v>
      </c>
      <c r="S268">
        <v>0</v>
      </c>
      <c r="T268">
        <v>254880</v>
      </c>
      <c r="U268" t="s">
        <v>35</v>
      </c>
      <c r="V268" t="s">
        <v>1592</v>
      </c>
      <c r="W268" t="s">
        <v>1633</v>
      </c>
      <c r="X268" s="4">
        <v>1</v>
      </c>
      <c r="Y268" s="4"/>
      <c r="Z268">
        <f t="shared" si="16"/>
        <v>7</v>
      </c>
      <c r="AA268">
        <f t="shared" si="17"/>
        <v>16</v>
      </c>
      <c r="AB268" s="5">
        <f t="shared" si="18"/>
        <v>0.31505787037167465</v>
      </c>
      <c r="AC268" s="3">
        <f t="shared" si="19"/>
        <v>9.0277777773735579E-2</v>
      </c>
      <c r="AD268" t="str" cm="1">
        <f t="array" ref="AD268">IFERROR(_xlfn.IFS(
    AC268="", "",
    AC268*86400 &lt; 30, "1. 0s - &lt;30s",
    AC268*86400 &lt; 60, "2. 30s - &lt;1m",
    AC268*86400 &lt; 300, "3. 1m - &lt;5m",
    AC268*86400 &lt; 1800, "4. 5m - &lt;30m",
    TRUE, "5. &gt;= 30m"
),"6. Invalid (Order rejected)")</f>
        <v>5. &gt;= 30m</v>
      </c>
    </row>
    <row r="269" spans="1:30" hidden="1" x14ac:dyDescent="0.3">
      <c r="A269" t="s">
        <v>1634</v>
      </c>
      <c r="B269" t="s">
        <v>1345</v>
      </c>
      <c r="C269">
        <v>42787717</v>
      </c>
      <c r="D269">
        <v>0</v>
      </c>
      <c r="E269" t="s">
        <v>25</v>
      </c>
      <c r="F269" t="s">
        <v>26</v>
      </c>
      <c r="G269" t="s">
        <v>27</v>
      </c>
      <c r="H269" t="s">
        <v>1635</v>
      </c>
      <c r="I269" t="s">
        <v>1636</v>
      </c>
      <c r="J269" t="s">
        <v>26</v>
      </c>
      <c r="K269" t="s">
        <v>26</v>
      </c>
      <c r="L269" t="s">
        <v>1637</v>
      </c>
      <c r="M269" t="s">
        <v>25</v>
      </c>
      <c r="N269" t="s">
        <v>1588</v>
      </c>
      <c r="O269" t="s">
        <v>1589</v>
      </c>
      <c r="P269" t="s">
        <v>1025</v>
      </c>
      <c r="Q269" t="s">
        <v>1026</v>
      </c>
      <c r="R269">
        <v>182844</v>
      </c>
      <c r="S269">
        <v>0</v>
      </c>
      <c r="T269">
        <v>182844</v>
      </c>
      <c r="U269" t="s">
        <v>35</v>
      </c>
      <c r="V269" t="s">
        <v>1592</v>
      </c>
      <c r="W269" t="s">
        <v>1027</v>
      </c>
      <c r="X269" s="4">
        <v>1</v>
      </c>
      <c r="Y269" s="4"/>
      <c r="Z269">
        <f t="shared" si="16"/>
        <v>7</v>
      </c>
      <c r="AA269">
        <f t="shared" si="17"/>
        <v>16</v>
      </c>
      <c r="AB269" s="5">
        <f t="shared" si="18"/>
        <v>0.31653935185022419</v>
      </c>
      <c r="AC269" s="3">
        <f t="shared" si="19"/>
        <v>9.0277777781011537E-2</v>
      </c>
      <c r="AD269" t="str" cm="1">
        <f t="array" ref="AD269">IFERROR(_xlfn.IFS(
    AC269="", "",
    AC269*86400 &lt; 30, "1. 0s - &lt;30s",
    AC269*86400 &lt; 60, "2. 30s - &lt;1m",
    AC269*86400 &lt; 300, "3. 1m - &lt;5m",
    AC269*86400 &lt; 1800, "4. 5m - &lt;30m",
    TRUE, "5. &gt;= 30m"
),"6. Invalid (Order rejected)")</f>
        <v>5. &gt;= 30m</v>
      </c>
    </row>
    <row r="270" spans="1:30" hidden="1" x14ac:dyDescent="0.3">
      <c r="A270" t="s">
        <v>1638</v>
      </c>
      <c r="B270" t="s">
        <v>1345</v>
      </c>
      <c r="C270">
        <v>42787717</v>
      </c>
      <c r="D270">
        <v>0</v>
      </c>
      <c r="E270" t="s">
        <v>25</v>
      </c>
      <c r="F270" t="s">
        <v>26</v>
      </c>
      <c r="G270" t="s">
        <v>27</v>
      </c>
      <c r="H270" t="s">
        <v>1639</v>
      </c>
      <c r="I270" t="s">
        <v>1640</v>
      </c>
      <c r="J270" t="s">
        <v>26</v>
      </c>
      <c r="K270" t="s">
        <v>26</v>
      </c>
      <c r="L270" t="s">
        <v>1641</v>
      </c>
      <c r="M270" t="s">
        <v>25</v>
      </c>
      <c r="N270" t="s">
        <v>1642</v>
      </c>
      <c r="O270" t="s">
        <v>1643</v>
      </c>
      <c r="P270" t="s">
        <v>1644</v>
      </c>
      <c r="Q270" t="s">
        <v>1645</v>
      </c>
      <c r="R270">
        <v>359748</v>
      </c>
      <c r="S270">
        <v>0</v>
      </c>
      <c r="T270">
        <v>359748</v>
      </c>
      <c r="U270" t="s">
        <v>35</v>
      </c>
      <c r="V270" t="s">
        <v>1646</v>
      </c>
      <c r="W270" t="s">
        <v>1647</v>
      </c>
      <c r="X270" s="4">
        <v>1</v>
      </c>
      <c r="Y270" s="4"/>
      <c r="Z270">
        <f t="shared" si="16"/>
        <v>7</v>
      </c>
      <c r="AA270">
        <f t="shared" si="17"/>
        <v>16</v>
      </c>
      <c r="AB270" s="5">
        <f t="shared" si="18"/>
        <v>0.32193287037080154</v>
      </c>
      <c r="AC270" s="3">
        <f t="shared" si="19"/>
        <v>9.0277777773735579E-2</v>
      </c>
      <c r="AD270" t="str" cm="1">
        <f t="array" ref="AD270">IFERROR(_xlfn.IFS(
    AC270="", "",
    AC270*86400 &lt; 30, "1. 0s - &lt;30s",
    AC270*86400 &lt; 60, "2. 30s - &lt;1m",
    AC270*86400 &lt; 300, "3. 1m - &lt;5m",
    AC270*86400 &lt; 1800, "4. 5m - &lt;30m",
    TRUE, "5. &gt;= 30m"
),"6. Invalid (Order rejected)")</f>
        <v>5. &gt;= 30m</v>
      </c>
    </row>
    <row r="271" spans="1:30" hidden="1" x14ac:dyDescent="0.3">
      <c r="A271" t="s">
        <v>1648</v>
      </c>
      <c r="B271" t="s">
        <v>1345</v>
      </c>
      <c r="C271">
        <v>42787717</v>
      </c>
      <c r="D271">
        <v>0</v>
      </c>
      <c r="E271" t="s">
        <v>25</v>
      </c>
      <c r="F271" t="s">
        <v>26</v>
      </c>
      <c r="G271" t="s">
        <v>27</v>
      </c>
      <c r="H271" t="s">
        <v>1649</v>
      </c>
      <c r="I271" t="s">
        <v>1650</v>
      </c>
      <c r="J271" t="s">
        <v>26</v>
      </c>
      <c r="K271" t="s">
        <v>26</v>
      </c>
      <c r="L271" t="s">
        <v>1651</v>
      </c>
      <c r="M271" t="s">
        <v>25</v>
      </c>
      <c r="N271" t="s">
        <v>1588</v>
      </c>
      <c r="O271" t="s">
        <v>1589</v>
      </c>
      <c r="P271" t="s">
        <v>463</v>
      </c>
      <c r="Q271" t="s">
        <v>464</v>
      </c>
      <c r="R271">
        <v>266760</v>
      </c>
      <c r="S271">
        <v>0</v>
      </c>
      <c r="T271">
        <v>266760</v>
      </c>
      <c r="U271" t="s">
        <v>35</v>
      </c>
      <c r="V271" t="s">
        <v>1592</v>
      </c>
      <c r="W271" t="s">
        <v>465</v>
      </c>
      <c r="X271" s="4">
        <v>1</v>
      </c>
      <c r="Y271" s="4"/>
      <c r="Z271">
        <f t="shared" si="16"/>
        <v>7</v>
      </c>
      <c r="AA271">
        <f t="shared" si="17"/>
        <v>16</v>
      </c>
      <c r="AB271" s="5">
        <f t="shared" si="18"/>
        <v>0.31634259259590181</v>
      </c>
      <c r="AC271" s="3">
        <f t="shared" si="19"/>
        <v>9.0277777773735579E-2</v>
      </c>
      <c r="AD271" t="str" cm="1">
        <f t="array" ref="AD271">IFERROR(_xlfn.IFS(
    AC271="", "",
    AC271*86400 &lt; 30, "1. 0s - &lt;30s",
    AC271*86400 &lt; 60, "2. 30s - &lt;1m",
    AC271*86400 &lt; 300, "3. 1m - &lt;5m",
    AC271*86400 &lt; 1800, "4. 5m - &lt;30m",
    TRUE, "5. &gt;= 30m"
),"6. Invalid (Order rejected)")</f>
        <v>5. &gt;= 30m</v>
      </c>
    </row>
    <row r="272" spans="1:30" hidden="1" x14ac:dyDescent="0.3">
      <c r="A272" t="s">
        <v>1652</v>
      </c>
      <c r="B272" t="s">
        <v>1345</v>
      </c>
      <c r="C272">
        <v>42787717</v>
      </c>
      <c r="D272">
        <v>0</v>
      </c>
      <c r="E272" t="s">
        <v>25</v>
      </c>
      <c r="F272" t="s">
        <v>26</v>
      </c>
      <c r="G272" t="s">
        <v>27</v>
      </c>
      <c r="H272" t="s">
        <v>1653</v>
      </c>
      <c r="I272" t="s">
        <v>1654</v>
      </c>
      <c r="J272" t="s">
        <v>26</v>
      </c>
      <c r="K272" t="s">
        <v>26</v>
      </c>
      <c r="L272" t="s">
        <v>1655</v>
      </c>
      <c r="M272" t="s">
        <v>25</v>
      </c>
      <c r="N272" t="s">
        <v>1588</v>
      </c>
      <c r="O272" t="s">
        <v>1589</v>
      </c>
      <c r="P272" t="s">
        <v>1656</v>
      </c>
      <c r="Q272" t="s">
        <v>1657</v>
      </c>
      <c r="R272">
        <v>146880</v>
      </c>
      <c r="S272">
        <v>0</v>
      </c>
      <c r="T272">
        <v>146880</v>
      </c>
      <c r="U272" t="s">
        <v>35</v>
      </c>
      <c r="V272" t="s">
        <v>1592</v>
      </c>
      <c r="W272" t="s">
        <v>1658</v>
      </c>
      <c r="X272" s="4">
        <v>1</v>
      </c>
      <c r="Y272" s="4"/>
      <c r="Z272">
        <f t="shared" si="16"/>
        <v>7</v>
      </c>
      <c r="AA272">
        <f t="shared" si="17"/>
        <v>16</v>
      </c>
      <c r="AB272" s="5">
        <f t="shared" si="18"/>
        <v>0.31700231481227092</v>
      </c>
      <c r="AC272" s="3">
        <f t="shared" si="19"/>
        <v>9.0277777781011537E-2</v>
      </c>
      <c r="AD272" t="str" cm="1">
        <f t="array" ref="AD272">IFERROR(_xlfn.IFS(
    AC272="", "",
    AC272*86400 &lt; 30, "1. 0s - &lt;30s",
    AC272*86400 &lt; 60, "2. 30s - &lt;1m",
    AC272*86400 &lt; 300, "3. 1m - &lt;5m",
    AC272*86400 &lt; 1800, "4. 5m - &lt;30m",
    TRUE, "5. &gt;= 30m"
),"6. Invalid (Order rejected)")</f>
        <v>5. &gt;= 30m</v>
      </c>
    </row>
    <row r="273" spans="1:30" x14ac:dyDescent="0.3">
      <c r="A273" t="s">
        <v>1659</v>
      </c>
      <c r="B273" t="s">
        <v>1345</v>
      </c>
      <c r="C273">
        <v>42787717</v>
      </c>
      <c r="D273">
        <v>3145626</v>
      </c>
      <c r="E273" t="s">
        <v>25</v>
      </c>
      <c r="F273" t="s">
        <v>75</v>
      </c>
      <c r="G273" t="s">
        <v>360</v>
      </c>
      <c r="H273" t="s">
        <v>1660</v>
      </c>
      <c r="I273" t="s">
        <v>1661</v>
      </c>
      <c r="J273" t="s">
        <v>1662</v>
      </c>
      <c r="K273" t="s">
        <v>1663</v>
      </c>
      <c r="L273" t="s">
        <v>25</v>
      </c>
      <c r="M273" t="s">
        <v>25</v>
      </c>
      <c r="N273" t="s">
        <v>1664</v>
      </c>
      <c r="O273" t="s">
        <v>1665</v>
      </c>
      <c r="P273" t="s">
        <v>1666</v>
      </c>
      <c r="Q273" t="s">
        <v>1667</v>
      </c>
      <c r="R273">
        <v>285228</v>
      </c>
      <c r="S273">
        <v>221118</v>
      </c>
      <c r="T273">
        <v>64110</v>
      </c>
      <c r="U273" t="s">
        <v>35</v>
      </c>
      <c r="V273" t="s">
        <v>1668</v>
      </c>
      <c r="W273" t="s">
        <v>1669</v>
      </c>
      <c r="X273" s="4">
        <v>1</v>
      </c>
      <c r="Y273" s="4"/>
      <c r="Z273">
        <f t="shared" si="16"/>
        <v>7</v>
      </c>
      <c r="AA273">
        <f t="shared" si="17"/>
        <v>16</v>
      </c>
      <c r="AB273" s="5">
        <f t="shared" si="18"/>
        <v>0.32424768518831115</v>
      </c>
      <c r="AC273" s="3" t="str">
        <f t="shared" si="19"/>
        <v>Order rejected, no time available</v>
      </c>
      <c r="AD273" t="str" cm="1">
        <f t="array" ref="AD273">IFERROR(_xlfn.IFS(
    AC273="", "",
    AC273*86400 &lt; 30, "1. 0s - &lt;30s",
    AC273*86400 &lt; 60, "2. 30s - &lt;1m",
    AC273*86400 &lt; 300, "3. 1m - &lt;5m",
    AC273*86400 &lt; 1800, "4. 5m - &lt;30m",
    TRUE, "5. &gt;= 30m"
),"6. Invalid (Order rejected)")</f>
        <v>6. Invalid (Order rejected)</v>
      </c>
    </row>
    <row r="274" spans="1:30" hidden="1" x14ac:dyDescent="0.3">
      <c r="A274" t="s">
        <v>1670</v>
      </c>
      <c r="B274" t="s">
        <v>1345</v>
      </c>
      <c r="C274">
        <v>42787717</v>
      </c>
      <c r="D274">
        <v>0</v>
      </c>
      <c r="E274" t="s">
        <v>25</v>
      </c>
      <c r="F274" t="s">
        <v>26</v>
      </c>
      <c r="G274" t="s">
        <v>27</v>
      </c>
      <c r="H274" t="s">
        <v>1671</v>
      </c>
      <c r="I274" t="s">
        <v>1672</v>
      </c>
      <c r="J274" t="s">
        <v>26</v>
      </c>
      <c r="K274" t="s">
        <v>26</v>
      </c>
      <c r="L274" t="s">
        <v>1673</v>
      </c>
      <c r="M274" t="s">
        <v>25</v>
      </c>
      <c r="N274" t="s">
        <v>1674</v>
      </c>
      <c r="O274" t="s">
        <v>1675</v>
      </c>
      <c r="P274" t="s">
        <v>1676</v>
      </c>
      <c r="Q274" t="s">
        <v>1677</v>
      </c>
      <c r="R274">
        <v>195372</v>
      </c>
      <c r="S274">
        <v>0</v>
      </c>
      <c r="T274">
        <v>195372</v>
      </c>
      <c r="U274" t="s">
        <v>35</v>
      </c>
      <c r="V274" t="s">
        <v>1678</v>
      </c>
      <c r="W274" t="s">
        <v>1679</v>
      </c>
      <c r="X274" s="4">
        <v>1</v>
      </c>
      <c r="Y274" s="4"/>
      <c r="Z274">
        <f t="shared" si="16"/>
        <v>7</v>
      </c>
      <c r="AA274">
        <f t="shared" si="17"/>
        <v>16</v>
      </c>
      <c r="AB274" s="5">
        <f t="shared" si="18"/>
        <v>0.32484953703533392</v>
      </c>
      <c r="AC274" s="3">
        <f t="shared" si="19"/>
        <v>9.0277777781011537E-2</v>
      </c>
      <c r="AD274" t="str" cm="1">
        <f t="array" ref="AD274">IFERROR(_xlfn.IFS(
    AC274="", "",
    AC274*86400 &lt; 30, "1. 0s - &lt;30s",
    AC274*86400 &lt; 60, "2. 30s - &lt;1m",
    AC274*86400 &lt; 300, "3. 1m - &lt;5m",
    AC274*86400 &lt; 1800, "4. 5m - &lt;30m",
    TRUE, "5. &gt;= 30m"
),"6. Invalid (Order rejected)")</f>
        <v>5. &gt;= 30m</v>
      </c>
    </row>
    <row r="275" spans="1:30" hidden="1" x14ac:dyDescent="0.3">
      <c r="A275" t="s">
        <v>1680</v>
      </c>
      <c r="B275" t="s">
        <v>1345</v>
      </c>
      <c r="C275">
        <v>42787717</v>
      </c>
      <c r="D275">
        <v>0</v>
      </c>
      <c r="E275" t="s">
        <v>25</v>
      </c>
      <c r="F275" t="s">
        <v>26</v>
      </c>
      <c r="G275" t="s">
        <v>27</v>
      </c>
      <c r="H275" t="s">
        <v>1681</v>
      </c>
      <c r="I275" t="s">
        <v>1682</v>
      </c>
      <c r="J275" t="s">
        <v>26</v>
      </c>
      <c r="K275" t="s">
        <v>26</v>
      </c>
      <c r="L275" t="s">
        <v>1683</v>
      </c>
      <c r="M275" t="s">
        <v>25</v>
      </c>
      <c r="N275" t="s">
        <v>1684</v>
      </c>
      <c r="O275" t="s">
        <v>1685</v>
      </c>
      <c r="P275" t="s">
        <v>1686</v>
      </c>
      <c r="Q275" t="s">
        <v>1687</v>
      </c>
      <c r="R275">
        <v>349164</v>
      </c>
      <c r="S275">
        <v>0</v>
      </c>
      <c r="T275">
        <v>349164</v>
      </c>
      <c r="U275" t="s">
        <v>35</v>
      </c>
      <c r="V275" t="s">
        <v>1688</v>
      </c>
      <c r="W275" t="s">
        <v>1689</v>
      </c>
      <c r="X275" s="4">
        <v>1</v>
      </c>
      <c r="Y275" s="4"/>
      <c r="Z275">
        <f t="shared" si="16"/>
        <v>7</v>
      </c>
      <c r="AA275">
        <f t="shared" si="17"/>
        <v>16</v>
      </c>
      <c r="AB275" s="5">
        <f t="shared" si="18"/>
        <v>0.32745370370685123</v>
      </c>
      <c r="AC275" s="3">
        <f t="shared" si="19"/>
        <v>9.0277777773735579E-2</v>
      </c>
      <c r="AD275" t="str" cm="1">
        <f t="array" ref="AD275">IFERROR(_xlfn.IFS(
    AC275="", "",
    AC275*86400 &lt; 30, "1. 0s - &lt;30s",
    AC275*86400 &lt; 60, "2. 30s - &lt;1m",
    AC275*86400 &lt; 300, "3. 1m - &lt;5m",
    AC275*86400 &lt; 1800, "4. 5m - &lt;30m",
    TRUE, "5. &gt;= 30m"
),"6. Invalid (Order rejected)")</f>
        <v>5. &gt;= 30m</v>
      </c>
    </row>
    <row r="276" spans="1:30" hidden="1" x14ac:dyDescent="0.3">
      <c r="A276" t="s">
        <v>1690</v>
      </c>
      <c r="B276" t="s">
        <v>1345</v>
      </c>
      <c r="C276">
        <v>42787717</v>
      </c>
      <c r="D276">
        <v>0</v>
      </c>
      <c r="E276" t="s">
        <v>25</v>
      </c>
      <c r="F276" t="s">
        <v>26</v>
      </c>
      <c r="G276" t="s">
        <v>27</v>
      </c>
      <c r="H276" t="s">
        <v>1691</v>
      </c>
      <c r="I276" t="s">
        <v>1692</v>
      </c>
      <c r="J276" t="s">
        <v>26</v>
      </c>
      <c r="K276" t="s">
        <v>26</v>
      </c>
      <c r="L276" t="s">
        <v>1693</v>
      </c>
      <c r="M276" t="s">
        <v>25</v>
      </c>
      <c r="N276" t="s">
        <v>1684</v>
      </c>
      <c r="O276" t="s">
        <v>1685</v>
      </c>
      <c r="P276" t="s">
        <v>1686</v>
      </c>
      <c r="Q276" t="s">
        <v>1687</v>
      </c>
      <c r="R276">
        <v>338364</v>
      </c>
      <c r="S276">
        <v>0</v>
      </c>
      <c r="T276">
        <v>338364</v>
      </c>
      <c r="U276" t="s">
        <v>35</v>
      </c>
      <c r="V276" t="s">
        <v>1688</v>
      </c>
      <c r="W276" t="s">
        <v>1689</v>
      </c>
      <c r="X276" s="4">
        <v>1</v>
      </c>
      <c r="Y276" s="4"/>
      <c r="Z276">
        <f t="shared" si="16"/>
        <v>7</v>
      </c>
      <c r="AA276">
        <f t="shared" si="17"/>
        <v>16</v>
      </c>
      <c r="AB276" s="5">
        <f t="shared" si="18"/>
        <v>0.32760416666860692</v>
      </c>
      <c r="AC276" s="3">
        <f t="shared" si="19"/>
        <v>9.0277777773735579E-2</v>
      </c>
      <c r="AD276" t="str" cm="1">
        <f t="array" ref="AD276">IFERROR(_xlfn.IFS(
    AC276="", "",
    AC276*86400 &lt; 30, "1. 0s - &lt;30s",
    AC276*86400 &lt; 60, "2. 30s - &lt;1m",
    AC276*86400 &lt; 300, "3. 1m - &lt;5m",
    AC276*86400 &lt; 1800, "4. 5m - &lt;30m",
    TRUE, "5. &gt;= 30m"
),"6. Invalid (Order rejected)")</f>
        <v>5. &gt;= 30m</v>
      </c>
    </row>
    <row r="277" spans="1:30" hidden="1" x14ac:dyDescent="0.3">
      <c r="A277" t="s">
        <v>1694</v>
      </c>
      <c r="B277" t="s">
        <v>1345</v>
      </c>
      <c r="C277">
        <v>42787717</v>
      </c>
      <c r="D277">
        <v>0</v>
      </c>
      <c r="E277" t="s">
        <v>25</v>
      </c>
      <c r="F277" t="s">
        <v>26</v>
      </c>
      <c r="G277" t="s">
        <v>27</v>
      </c>
      <c r="H277" t="s">
        <v>1695</v>
      </c>
      <c r="I277" t="s">
        <v>1696</v>
      </c>
      <c r="J277" t="s">
        <v>26</v>
      </c>
      <c r="K277" t="s">
        <v>26</v>
      </c>
      <c r="L277" t="s">
        <v>1697</v>
      </c>
      <c r="M277" t="s">
        <v>25</v>
      </c>
      <c r="N277" t="s">
        <v>1642</v>
      </c>
      <c r="O277" t="s">
        <v>1643</v>
      </c>
      <c r="P277" t="s">
        <v>1644</v>
      </c>
      <c r="Q277" t="s">
        <v>1645</v>
      </c>
      <c r="R277">
        <v>260064</v>
      </c>
      <c r="S277">
        <v>0</v>
      </c>
      <c r="T277">
        <v>260064</v>
      </c>
      <c r="U277" t="s">
        <v>35</v>
      </c>
      <c r="V277" t="s">
        <v>1646</v>
      </c>
      <c r="W277" t="s">
        <v>1647</v>
      </c>
      <c r="X277" s="4">
        <v>1</v>
      </c>
      <c r="Y277" s="4"/>
      <c r="Z277">
        <f t="shared" si="16"/>
        <v>7</v>
      </c>
      <c r="AA277">
        <f t="shared" si="17"/>
        <v>16</v>
      </c>
      <c r="AB277" s="5">
        <f t="shared" si="18"/>
        <v>0.32177083333226619</v>
      </c>
      <c r="AC277" s="3">
        <f t="shared" si="19"/>
        <v>9.0277777781011537E-2</v>
      </c>
      <c r="AD277" t="str" cm="1">
        <f t="array" ref="AD277">IFERROR(_xlfn.IFS(
    AC277="", "",
    AC277*86400 &lt; 30, "1. 0s - &lt;30s",
    AC277*86400 &lt; 60, "2. 30s - &lt;1m",
    AC277*86400 &lt; 300, "3. 1m - &lt;5m",
    AC277*86400 &lt; 1800, "4. 5m - &lt;30m",
    TRUE, "5. &gt;= 30m"
),"6. Invalid (Order rejected)")</f>
        <v>5. &gt;= 30m</v>
      </c>
    </row>
    <row r="278" spans="1:30" hidden="1" x14ac:dyDescent="0.3">
      <c r="A278" t="s">
        <v>1698</v>
      </c>
      <c r="B278" t="s">
        <v>1345</v>
      </c>
      <c r="C278">
        <v>42787717</v>
      </c>
      <c r="D278">
        <v>0</v>
      </c>
      <c r="E278" t="s">
        <v>25</v>
      </c>
      <c r="F278" t="s">
        <v>26</v>
      </c>
      <c r="G278" t="s">
        <v>27</v>
      </c>
      <c r="H278" t="s">
        <v>1699</v>
      </c>
      <c r="I278" t="s">
        <v>1700</v>
      </c>
      <c r="J278" t="s">
        <v>26</v>
      </c>
      <c r="K278" t="s">
        <v>26</v>
      </c>
      <c r="L278" t="s">
        <v>1701</v>
      </c>
      <c r="M278" t="s">
        <v>25</v>
      </c>
      <c r="N278" t="s">
        <v>1702</v>
      </c>
      <c r="O278" t="s">
        <v>1703</v>
      </c>
      <c r="P278" t="s">
        <v>1704</v>
      </c>
      <c r="Q278" t="s">
        <v>1705</v>
      </c>
      <c r="R278">
        <v>394740</v>
      </c>
      <c r="S278">
        <v>0</v>
      </c>
      <c r="T278">
        <v>394740</v>
      </c>
      <c r="U278" t="s">
        <v>35</v>
      </c>
      <c r="V278" t="s">
        <v>1706</v>
      </c>
      <c r="W278" t="s">
        <v>1707</v>
      </c>
      <c r="X278" s="4">
        <v>1</v>
      </c>
      <c r="Y278" s="4"/>
      <c r="Z278">
        <f t="shared" si="16"/>
        <v>7</v>
      </c>
      <c r="AA278">
        <f t="shared" si="17"/>
        <v>16</v>
      </c>
      <c r="AB278" s="5">
        <f t="shared" si="18"/>
        <v>0.322789351848769</v>
      </c>
      <c r="AC278" s="3">
        <f t="shared" si="19"/>
        <v>9.0266203704231884E-2</v>
      </c>
      <c r="AD278" t="str" cm="1">
        <f t="array" ref="AD278">IFERROR(_xlfn.IFS(
    AC278="", "",
    AC278*86400 &lt; 30, "1. 0s - &lt;30s",
    AC278*86400 &lt; 60, "2. 30s - &lt;1m",
    AC278*86400 &lt; 300, "3. 1m - &lt;5m",
    AC278*86400 &lt; 1800, "4. 5m - &lt;30m",
    TRUE, "5. &gt;= 30m"
),"6. Invalid (Order rejected)")</f>
        <v>5. &gt;= 30m</v>
      </c>
    </row>
    <row r="279" spans="1:30" hidden="1" x14ac:dyDescent="0.3">
      <c r="A279" t="s">
        <v>1708</v>
      </c>
      <c r="B279" t="s">
        <v>1345</v>
      </c>
      <c r="C279">
        <v>42787717</v>
      </c>
      <c r="D279">
        <v>0</v>
      </c>
      <c r="E279" t="s">
        <v>25</v>
      </c>
      <c r="F279" t="s">
        <v>26</v>
      </c>
      <c r="G279" t="s">
        <v>27</v>
      </c>
      <c r="H279" t="s">
        <v>1709</v>
      </c>
      <c r="I279" t="s">
        <v>1710</v>
      </c>
      <c r="J279" t="s">
        <v>26</v>
      </c>
      <c r="K279" t="s">
        <v>26</v>
      </c>
      <c r="L279" t="s">
        <v>1711</v>
      </c>
      <c r="M279" t="s">
        <v>25</v>
      </c>
      <c r="N279" t="s">
        <v>1674</v>
      </c>
      <c r="O279" t="s">
        <v>1675</v>
      </c>
      <c r="P279" t="s">
        <v>1676</v>
      </c>
      <c r="Q279" t="s">
        <v>1677</v>
      </c>
      <c r="R279">
        <v>269244</v>
      </c>
      <c r="S279">
        <v>0</v>
      </c>
      <c r="T279">
        <v>269244</v>
      </c>
      <c r="U279" t="s">
        <v>35</v>
      </c>
      <c r="V279" t="s">
        <v>1678</v>
      </c>
      <c r="W279" t="s">
        <v>1679</v>
      </c>
      <c r="X279" s="4">
        <v>1</v>
      </c>
      <c r="Y279" s="4"/>
      <c r="Z279">
        <f t="shared" si="16"/>
        <v>7</v>
      </c>
      <c r="AA279">
        <f t="shared" si="17"/>
        <v>16</v>
      </c>
      <c r="AB279" s="5">
        <f t="shared" si="18"/>
        <v>0.32498842592758592</v>
      </c>
      <c r="AC279" s="3">
        <f t="shared" si="19"/>
        <v>9.0277777773735579E-2</v>
      </c>
      <c r="AD279" t="str" cm="1">
        <f t="array" ref="AD279">IFERROR(_xlfn.IFS(
    AC279="", "",
    AC279*86400 &lt; 30, "1. 0s - &lt;30s",
    AC279*86400 &lt; 60, "2. 30s - &lt;1m",
    AC279*86400 &lt; 300, "3. 1m - &lt;5m",
    AC279*86400 &lt; 1800, "4. 5m - &lt;30m",
    TRUE, "5. &gt;= 30m"
),"6. Invalid (Order rejected)")</f>
        <v>5. &gt;= 30m</v>
      </c>
    </row>
    <row r="280" spans="1:30" hidden="1" x14ac:dyDescent="0.3">
      <c r="A280" t="s">
        <v>1712</v>
      </c>
      <c r="B280" t="s">
        <v>1345</v>
      </c>
      <c r="C280">
        <v>42787717</v>
      </c>
      <c r="D280">
        <v>0</v>
      </c>
      <c r="E280" t="s">
        <v>25</v>
      </c>
      <c r="F280" t="s">
        <v>26</v>
      </c>
      <c r="G280" t="s">
        <v>27</v>
      </c>
      <c r="H280" t="s">
        <v>1713</v>
      </c>
      <c r="I280" t="s">
        <v>1714</v>
      </c>
      <c r="J280" t="s">
        <v>26</v>
      </c>
      <c r="K280" t="s">
        <v>26</v>
      </c>
      <c r="L280" t="s">
        <v>1715</v>
      </c>
      <c r="M280" t="s">
        <v>25</v>
      </c>
      <c r="N280" t="s">
        <v>1716</v>
      </c>
      <c r="O280" t="s">
        <v>1717</v>
      </c>
      <c r="P280" t="s">
        <v>1718</v>
      </c>
      <c r="Q280" t="s">
        <v>1719</v>
      </c>
      <c r="R280">
        <v>281880</v>
      </c>
      <c r="S280">
        <v>0</v>
      </c>
      <c r="T280">
        <v>281880</v>
      </c>
      <c r="U280" t="s">
        <v>35</v>
      </c>
      <c r="V280" t="s">
        <v>1720</v>
      </c>
      <c r="W280" t="s">
        <v>1721</v>
      </c>
      <c r="X280" s="4">
        <v>1</v>
      </c>
      <c r="Y280" s="4"/>
      <c r="Z280">
        <f t="shared" si="16"/>
        <v>7</v>
      </c>
      <c r="AA280">
        <f t="shared" si="17"/>
        <v>16</v>
      </c>
      <c r="AB280" s="5">
        <f t="shared" si="18"/>
        <v>0.32631944444437977</v>
      </c>
      <c r="AC280" s="3">
        <f t="shared" si="19"/>
        <v>9.0266203704231884E-2</v>
      </c>
      <c r="AD280" t="str" cm="1">
        <f t="array" ref="AD280">IFERROR(_xlfn.IFS(
    AC280="", "",
    AC280*86400 &lt; 30, "1. 0s - &lt;30s",
    AC280*86400 &lt; 60, "2. 30s - &lt;1m",
    AC280*86400 &lt; 300, "3. 1m - &lt;5m",
    AC280*86400 &lt; 1800, "4. 5m - &lt;30m",
    TRUE, "5. &gt;= 30m"
),"6. Invalid (Order rejected)")</f>
        <v>5. &gt;= 30m</v>
      </c>
    </row>
    <row r="281" spans="1:30" hidden="1" x14ac:dyDescent="0.3">
      <c r="A281" t="s">
        <v>1722</v>
      </c>
      <c r="B281" t="s">
        <v>1345</v>
      </c>
      <c r="C281">
        <v>42787717</v>
      </c>
      <c r="D281">
        <v>0</v>
      </c>
      <c r="E281" t="s">
        <v>25</v>
      </c>
      <c r="F281" t="s">
        <v>26</v>
      </c>
      <c r="G281" t="s">
        <v>27</v>
      </c>
      <c r="H281" t="s">
        <v>1723</v>
      </c>
      <c r="I281" t="s">
        <v>1724</v>
      </c>
      <c r="J281" t="s">
        <v>26</v>
      </c>
      <c r="K281" t="s">
        <v>26</v>
      </c>
      <c r="L281" t="s">
        <v>1725</v>
      </c>
      <c r="M281" t="s">
        <v>25</v>
      </c>
      <c r="N281" t="s">
        <v>1726</v>
      </c>
      <c r="O281" t="s">
        <v>1727</v>
      </c>
      <c r="P281" t="s">
        <v>1728</v>
      </c>
      <c r="Q281" t="s">
        <v>1729</v>
      </c>
      <c r="R281">
        <v>256932</v>
      </c>
      <c r="S281">
        <v>0</v>
      </c>
      <c r="T281">
        <v>256932</v>
      </c>
      <c r="U281" t="s">
        <v>35</v>
      </c>
      <c r="V281" t="s">
        <v>1730</v>
      </c>
      <c r="W281" t="s">
        <v>1731</v>
      </c>
      <c r="X281" s="4">
        <v>1</v>
      </c>
      <c r="Y281" s="4"/>
      <c r="Z281">
        <f t="shared" si="16"/>
        <v>7</v>
      </c>
      <c r="AA281">
        <f t="shared" si="17"/>
        <v>16</v>
      </c>
      <c r="AB281" s="5">
        <f t="shared" si="18"/>
        <v>0.32863425926188938</v>
      </c>
      <c r="AC281" s="3">
        <f t="shared" si="19"/>
        <v>9.0266203704231884E-2</v>
      </c>
      <c r="AD281" t="str" cm="1">
        <f t="array" ref="AD281">IFERROR(_xlfn.IFS(
    AC281="", "",
    AC281*86400 &lt; 30, "1. 0s - &lt;30s",
    AC281*86400 &lt; 60, "2. 30s - &lt;1m",
    AC281*86400 &lt; 300, "3. 1m - &lt;5m",
    AC281*86400 &lt; 1800, "4. 5m - &lt;30m",
    TRUE, "5. &gt;= 30m"
),"6. Invalid (Order rejected)")</f>
        <v>5. &gt;= 30m</v>
      </c>
    </row>
    <row r="282" spans="1:30" hidden="1" x14ac:dyDescent="0.3">
      <c r="A282" t="s">
        <v>1732</v>
      </c>
      <c r="B282" t="s">
        <v>1345</v>
      </c>
      <c r="C282">
        <v>42787717</v>
      </c>
      <c r="D282">
        <v>3106185</v>
      </c>
      <c r="E282" t="s">
        <v>25</v>
      </c>
      <c r="F282" t="s">
        <v>75</v>
      </c>
      <c r="G282" t="s">
        <v>76</v>
      </c>
      <c r="H282" t="s">
        <v>1733</v>
      </c>
      <c r="I282" t="s">
        <v>1734</v>
      </c>
      <c r="J282" t="s">
        <v>1735</v>
      </c>
      <c r="K282" t="s">
        <v>26</v>
      </c>
      <c r="L282" t="s">
        <v>1736</v>
      </c>
      <c r="M282" t="s">
        <v>25</v>
      </c>
      <c r="N282" t="s">
        <v>1702</v>
      </c>
      <c r="O282" t="s">
        <v>1703</v>
      </c>
      <c r="P282" t="s">
        <v>1704</v>
      </c>
      <c r="Q282" t="s">
        <v>1705</v>
      </c>
      <c r="R282">
        <v>537516</v>
      </c>
      <c r="S282">
        <v>416699</v>
      </c>
      <c r="T282">
        <v>120817</v>
      </c>
      <c r="U282" t="s">
        <v>35</v>
      </c>
      <c r="V282" t="s">
        <v>1706</v>
      </c>
      <c r="W282" t="s">
        <v>1707</v>
      </c>
      <c r="X282" s="4">
        <v>1</v>
      </c>
      <c r="Y282" s="4"/>
      <c r="Z282">
        <f t="shared" si="16"/>
        <v>7</v>
      </c>
      <c r="AA282">
        <f t="shared" si="17"/>
        <v>16</v>
      </c>
      <c r="AB282" s="5">
        <f t="shared" si="18"/>
        <v>0.322928240741021</v>
      </c>
      <c r="AC282" s="3">
        <f t="shared" si="19"/>
        <v>3.5775462965830229E-2</v>
      </c>
      <c r="AD282" t="str" cm="1">
        <f t="array" ref="AD282">IFERROR(_xlfn.IFS(
    AC282="", "",
    AC282*86400 &lt; 30, "1. 0s - &lt;30s",
    AC282*86400 &lt; 60, "2. 30s - &lt;1m",
    AC282*86400 &lt; 300, "3. 1m - &lt;5m",
    AC282*86400 &lt; 1800, "4. 5m - &lt;30m",
    TRUE, "5. &gt;= 30m"
),"6. Invalid (Order rejected)")</f>
        <v>5. &gt;= 30m</v>
      </c>
    </row>
    <row r="283" spans="1:30" hidden="1" x14ac:dyDescent="0.3">
      <c r="A283" t="s">
        <v>1737</v>
      </c>
      <c r="B283" t="s">
        <v>1345</v>
      </c>
      <c r="C283">
        <v>42787717</v>
      </c>
      <c r="D283">
        <v>0</v>
      </c>
      <c r="E283" t="s">
        <v>25</v>
      </c>
      <c r="F283" t="s">
        <v>26</v>
      </c>
      <c r="G283" t="s">
        <v>27</v>
      </c>
      <c r="H283" t="s">
        <v>1738</v>
      </c>
      <c r="I283" t="s">
        <v>1739</v>
      </c>
      <c r="J283" t="s">
        <v>26</v>
      </c>
      <c r="K283" t="s">
        <v>26</v>
      </c>
      <c r="L283" t="s">
        <v>1740</v>
      </c>
      <c r="M283" t="s">
        <v>25</v>
      </c>
      <c r="N283" t="s">
        <v>1642</v>
      </c>
      <c r="O283" t="s">
        <v>1643</v>
      </c>
      <c r="P283" t="s">
        <v>1741</v>
      </c>
      <c r="Q283" t="s">
        <v>1742</v>
      </c>
      <c r="R283">
        <v>384156</v>
      </c>
      <c r="S283">
        <v>0</v>
      </c>
      <c r="T283">
        <v>384156</v>
      </c>
      <c r="U283" t="s">
        <v>35</v>
      </c>
      <c r="V283" t="s">
        <v>1646</v>
      </c>
      <c r="W283" t="s">
        <v>1743</v>
      </c>
      <c r="X283" s="4">
        <v>1</v>
      </c>
      <c r="Y283" s="4"/>
      <c r="Z283">
        <f t="shared" si="16"/>
        <v>7</v>
      </c>
      <c r="AA283">
        <f t="shared" si="17"/>
        <v>16</v>
      </c>
      <c r="AB283" s="5">
        <f t="shared" si="18"/>
        <v>0.32237268518656492</v>
      </c>
      <c r="AC283" s="3">
        <f t="shared" si="19"/>
        <v>9.0266203704231884E-2</v>
      </c>
      <c r="AD283" t="str" cm="1">
        <f t="array" ref="AD283">IFERROR(_xlfn.IFS(
    AC283="", "",
    AC283*86400 &lt; 30, "1. 0s - &lt;30s",
    AC283*86400 &lt; 60, "2. 30s - &lt;1m",
    AC283*86400 &lt; 300, "3. 1m - &lt;5m",
    AC283*86400 &lt; 1800, "4. 5m - &lt;30m",
    TRUE, "5. &gt;= 30m"
),"6. Invalid (Order rejected)")</f>
        <v>5. &gt;= 30m</v>
      </c>
    </row>
    <row r="284" spans="1:30" hidden="1" x14ac:dyDescent="0.3">
      <c r="A284" t="s">
        <v>1744</v>
      </c>
      <c r="B284" t="s">
        <v>1345</v>
      </c>
      <c r="C284">
        <v>42787717</v>
      </c>
      <c r="D284">
        <v>0</v>
      </c>
      <c r="E284" t="s">
        <v>25</v>
      </c>
      <c r="F284" t="s">
        <v>26</v>
      </c>
      <c r="G284" t="s">
        <v>27</v>
      </c>
      <c r="H284" t="s">
        <v>1745</v>
      </c>
      <c r="I284" t="s">
        <v>1746</v>
      </c>
      <c r="J284" t="s">
        <v>26</v>
      </c>
      <c r="K284" t="s">
        <v>26</v>
      </c>
      <c r="L284" t="s">
        <v>1747</v>
      </c>
      <c r="M284" t="s">
        <v>25</v>
      </c>
      <c r="N284" t="s">
        <v>1664</v>
      </c>
      <c r="O284" t="s">
        <v>1665</v>
      </c>
      <c r="P284" t="s">
        <v>1666</v>
      </c>
      <c r="Q284" t="s">
        <v>1667</v>
      </c>
      <c r="R284">
        <v>296028</v>
      </c>
      <c r="S284">
        <v>0</v>
      </c>
      <c r="T284">
        <v>296028</v>
      </c>
      <c r="U284" t="s">
        <v>35</v>
      </c>
      <c r="V284" t="s">
        <v>1668</v>
      </c>
      <c r="W284" t="s">
        <v>1669</v>
      </c>
      <c r="X284" s="4">
        <v>1</v>
      </c>
      <c r="Y284" s="4"/>
      <c r="Z284">
        <f t="shared" si="16"/>
        <v>7</v>
      </c>
      <c r="AA284">
        <f t="shared" si="17"/>
        <v>16</v>
      </c>
      <c r="AB284" s="5">
        <f t="shared" si="18"/>
        <v>0.32395833333430346</v>
      </c>
      <c r="AC284" s="3">
        <f t="shared" si="19"/>
        <v>9.0266203704231884E-2</v>
      </c>
      <c r="AD284" t="str" cm="1">
        <f t="array" ref="AD284">IFERROR(_xlfn.IFS(
    AC284="", "",
    AC284*86400 &lt; 30, "1. 0s - &lt;30s",
    AC284*86400 &lt; 60, "2. 30s - &lt;1m",
    AC284*86400 &lt; 300, "3. 1m - &lt;5m",
    AC284*86400 &lt; 1800, "4. 5m - &lt;30m",
    TRUE, "5. &gt;= 30m"
),"6. Invalid (Order rejected)")</f>
        <v>5. &gt;= 30m</v>
      </c>
    </row>
    <row r="285" spans="1:30" hidden="1" x14ac:dyDescent="0.3">
      <c r="A285" t="s">
        <v>1748</v>
      </c>
      <c r="B285" t="s">
        <v>1345</v>
      </c>
      <c r="C285">
        <v>42787717</v>
      </c>
      <c r="D285">
        <v>0</v>
      </c>
      <c r="E285" t="s">
        <v>25</v>
      </c>
      <c r="F285" t="s">
        <v>26</v>
      </c>
      <c r="G285" t="s">
        <v>27</v>
      </c>
      <c r="H285" t="s">
        <v>1749</v>
      </c>
      <c r="I285" t="s">
        <v>1750</v>
      </c>
      <c r="J285" t="s">
        <v>26</v>
      </c>
      <c r="K285" t="s">
        <v>26</v>
      </c>
      <c r="L285" t="s">
        <v>1751</v>
      </c>
      <c r="M285" t="s">
        <v>25</v>
      </c>
      <c r="N285" t="s">
        <v>1726</v>
      </c>
      <c r="O285" t="s">
        <v>1727</v>
      </c>
      <c r="P285" t="s">
        <v>1728</v>
      </c>
      <c r="Q285" t="s">
        <v>1729</v>
      </c>
      <c r="R285">
        <v>267732</v>
      </c>
      <c r="S285">
        <v>0</v>
      </c>
      <c r="T285">
        <v>267732</v>
      </c>
      <c r="U285" t="s">
        <v>35</v>
      </c>
      <c r="V285" t="s">
        <v>1730</v>
      </c>
      <c r="W285" t="s">
        <v>1731</v>
      </c>
      <c r="X285" s="4">
        <v>1</v>
      </c>
      <c r="Y285" s="4"/>
      <c r="Z285">
        <f t="shared" si="16"/>
        <v>7</v>
      </c>
      <c r="AA285">
        <f t="shared" si="17"/>
        <v>16</v>
      </c>
      <c r="AB285" s="5">
        <f t="shared" si="18"/>
        <v>0.32833333333110204</v>
      </c>
      <c r="AC285" s="3">
        <f t="shared" si="19"/>
        <v>9.0266203704231884E-2</v>
      </c>
      <c r="AD285" t="str" cm="1">
        <f t="array" ref="AD285">IFERROR(_xlfn.IFS(
    AC285="", "",
    AC285*86400 &lt; 30, "1. 0s - &lt;30s",
    AC285*86400 &lt; 60, "2. 30s - &lt;1m",
    AC285*86400 &lt; 300, "3. 1m - &lt;5m",
    AC285*86400 &lt; 1800, "4. 5m - &lt;30m",
    TRUE, "5. &gt;= 30m"
),"6. Invalid (Order rejected)")</f>
        <v>5. &gt;= 30m</v>
      </c>
    </row>
    <row r="286" spans="1:30" hidden="1" x14ac:dyDescent="0.3">
      <c r="A286" t="s">
        <v>1752</v>
      </c>
      <c r="B286" t="s">
        <v>1345</v>
      </c>
      <c r="C286">
        <v>42787717</v>
      </c>
      <c r="D286">
        <v>0</v>
      </c>
      <c r="E286" t="s">
        <v>25</v>
      </c>
      <c r="F286" t="s">
        <v>26</v>
      </c>
      <c r="G286" t="s">
        <v>27</v>
      </c>
      <c r="H286" t="s">
        <v>1753</v>
      </c>
      <c r="I286" t="s">
        <v>1754</v>
      </c>
      <c r="J286" t="s">
        <v>26</v>
      </c>
      <c r="K286" t="s">
        <v>26</v>
      </c>
      <c r="L286" t="s">
        <v>1755</v>
      </c>
      <c r="M286" t="s">
        <v>25</v>
      </c>
      <c r="N286" t="s">
        <v>1756</v>
      </c>
      <c r="O286" t="s">
        <v>1757</v>
      </c>
      <c r="P286" t="s">
        <v>1758</v>
      </c>
      <c r="Q286" t="s">
        <v>1759</v>
      </c>
      <c r="R286">
        <v>187920</v>
      </c>
      <c r="S286">
        <v>0</v>
      </c>
      <c r="T286">
        <v>187920</v>
      </c>
      <c r="U286" t="s">
        <v>35</v>
      </c>
      <c r="V286" t="s">
        <v>1760</v>
      </c>
      <c r="W286" t="s">
        <v>1761</v>
      </c>
      <c r="X286" s="4">
        <v>1</v>
      </c>
      <c r="Y286" s="4"/>
      <c r="Z286">
        <f t="shared" si="16"/>
        <v>7</v>
      </c>
      <c r="AA286">
        <f t="shared" si="17"/>
        <v>16</v>
      </c>
      <c r="AB286" s="5">
        <f t="shared" si="18"/>
        <v>0.33064814814861165</v>
      </c>
      <c r="AC286" s="3">
        <f t="shared" si="19"/>
        <v>9.0266203704231884E-2</v>
      </c>
      <c r="AD286" t="str" cm="1">
        <f t="array" ref="AD286">IFERROR(_xlfn.IFS(
    AC286="", "",
    AC286*86400 &lt; 30, "1. 0s - &lt;30s",
    AC286*86400 &lt; 60, "2. 30s - &lt;1m",
    AC286*86400 &lt; 300, "3. 1m - &lt;5m",
    AC286*86400 &lt; 1800, "4. 5m - &lt;30m",
    TRUE, "5. &gt;= 30m"
),"6. Invalid (Order rejected)")</f>
        <v>5. &gt;= 30m</v>
      </c>
    </row>
    <row r="287" spans="1:30" hidden="1" x14ac:dyDescent="0.3">
      <c r="A287" t="s">
        <v>1762</v>
      </c>
      <c r="B287" t="s">
        <v>1345</v>
      </c>
      <c r="C287">
        <v>42787717</v>
      </c>
      <c r="D287">
        <v>3625078</v>
      </c>
      <c r="E287" t="s">
        <v>25</v>
      </c>
      <c r="F287" t="s">
        <v>75</v>
      </c>
      <c r="G287" t="s">
        <v>76</v>
      </c>
      <c r="H287" t="s">
        <v>1763</v>
      </c>
      <c r="I287" t="s">
        <v>1764</v>
      </c>
      <c r="J287" t="s">
        <v>1765</v>
      </c>
      <c r="K287" t="s">
        <v>26</v>
      </c>
      <c r="L287" t="s">
        <v>1766</v>
      </c>
      <c r="M287" t="s">
        <v>25</v>
      </c>
      <c r="N287" t="s">
        <v>1756</v>
      </c>
      <c r="O287" t="s">
        <v>1757</v>
      </c>
      <c r="P287" t="s">
        <v>1767</v>
      </c>
      <c r="Q287" t="s">
        <v>1768</v>
      </c>
      <c r="R287">
        <v>183816</v>
      </c>
      <c r="S287">
        <v>150882</v>
      </c>
      <c r="T287">
        <v>32934</v>
      </c>
      <c r="U287" t="s">
        <v>35</v>
      </c>
      <c r="V287" t="s">
        <v>1760</v>
      </c>
      <c r="W287" t="s">
        <v>1769</v>
      </c>
      <c r="X287" s="4">
        <v>1</v>
      </c>
      <c r="Y287" s="4"/>
      <c r="Z287">
        <f t="shared" si="16"/>
        <v>7</v>
      </c>
      <c r="AA287">
        <f t="shared" si="17"/>
        <v>16</v>
      </c>
      <c r="AB287" s="5">
        <f t="shared" si="18"/>
        <v>0.33097222222568234</v>
      </c>
      <c r="AC287" s="3">
        <f t="shared" si="19"/>
        <v>6.4351851848186925E-2</v>
      </c>
      <c r="AD287" t="str" cm="1">
        <f t="array" ref="AD287">IFERROR(_xlfn.IFS(
    AC287="", "",
    AC287*86400 &lt; 30, "1. 0s - &lt;30s",
    AC287*86400 &lt; 60, "2. 30s - &lt;1m",
    AC287*86400 &lt; 300, "3. 1m - &lt;5m",
    AC287*86400 &lt; 1800, "4. 5m - &lt;30m",
    TRUE, "5. &gt;= 30m"
),"6. Invalid (Order rejected)")</f>
        <v>5. &gt;= 30m</v>
      </c>
    </row>
    <row r="288" spans="1:30" hidden="1" x14ac:dyDescent="0.3">
      <c r="A288" t="s">
        <v>1770</v>
      </c>
      <c r="B288" t="s">
        <v>1345</v>
      </c>
      <c r="C288">
        <v>42787717</v>
      </c>
      <c r="D288">
        <v>0</v>
      </c>
      <c r="E288" t="s">
        <v>25</v>
      </c>
      <c r="F288" t="s">
        <v>26</v>
      </c>
      <c r="G288" t="s">
        <v>27</v>
      </c>
      <c r="H288" t="s">
        <v>1771</v>
      </c>
      <c r="I288" t="s">
        <v>1772</v>
      </c>
      <c r="J288" t="s">
        <v>26</v>
      </c>
      <c r="K288" t="s">
        <v>26</v>
      </c>
      <c r="L288" t="s">
        <v>1773</v>
      </c>
      <c r="M288" t="s">
        <v>25</v>
      </c>
      <c r="N288" t="s">
        <v>1756</v>
      </c>
      <c r="O288" t="s">
        <v>1757</v>
      </c>
      <c r="P288" t="s">
        <v>518</v>
      </c>
      <c r="Q288" t="s">
        <v>519</v>
      </c>
      <c r="R288">
        <v>404892</v>
      </c>
      <c r="S288">
        <v>0</v>
      </c>
      <c r="T288">
        <v>404892</v>
      </c>
      <c r="U288" t="s">
        <v>35</v>
      </c>
      <c r="V288" t="s">
        <v>1760</v>
      </c>
      <c r="W288" t="s">
        <v>520</v>
      </c>
      <c r="X288" s="4">
        <v>1</v>
      </c>
      <c r="Y288" s="4"/>
      <c r="Z288">
        <f t="shared" si="16"/>
        <v>7</v>
      </c>
      <c r="AA288">
        <f t="shared" si="17"/>
        <v>16</v>
      </c>
      <c r="AB288" s="5">
        <f t="shared" si="18"/>
        <v>0.3321180555576575</v>
      </c>
      <c r="AC288" s="3">
        <f t="shared" si="19"/>
        <v>9.0266203704231884E-2</v>
      </c>
      <c r="AD288" t="str" cm="1">
        <f t="array" ref="AD288">IFERROR(_xlfn.IFS(
    AC288="", "",
    AC288*86400 &lt; 30, "1. 0s - &lt;30s",
    AC288*86400 &lt; 60, "2. 30s - &lt;1m",
    AC288*86400 &lt; 300, "3. 1m - &lt;5m",
    AC288*86400 &lt; 1800, "4. 5m - &lt;30m",
    TRUE, "5. &gt;= 30m"
),"6. Invalid (Order rejected)")</f>
        <v>5. &gt;= 30m</v>
      </c>
    </row>
    <row r="289" spans="1:30" hidden="1" x14ac:dyDescent="0.3">
      <c r="A289" t="s">
        <v>1774</v>
      </c>
      <c r="B289" t="s">
        <v>1345</v>
      </c>
      <c r="C289">
        <v>42787717</v>
      </c>
      <c r="D289">
        <v>0</v>
      </c>
      <c r="E289" t="s">
        <v>25</v>
      </c>
      <c r="F289" t="s">
        <v>26</v>
      </c>
      <c r="G289" t="s">
        <v>27</v>
      </c>
      <c r="H289" t="s">
        <v>1775</v>
      </c>
      <c r="I289" t="s">
        <v>1776</v>
      </c>
      <c r="J289" t="s">
        <v>26</v>
      </c>
      <c r="K289" t="s">
        <v>26</v>
      </c>
      <c r="L289" t="s">
        <v>1777</v>
      </c>
      <c r="M289" t="s">
        <v>25</v>
      </c>
      <c r="N289" t="s">
        <v>1674</v>
      </c>
      <c r="O289" t="s">
        <v>1675</v>
      </c>
      <c r="P289" t="s">
        <v>1676</v>
      </c>
      <c r="Q289" t="s">
        <v>1677</v>
      </c>
      <c r="R289">
        <v>184572</v>
      </c>
      <c r="S289">
        <v>0</v>
      </c>
      <c r="T289">
        <v>184572</v>
      </c>
      <c r="U289" t="s">
        <v>35</v>
      </c>
      <c r="V289" t="s">
        <v>1678</v>
      </c>
      <c r="W289" t="s">
        <v>1679</v>
      </c>
      <c r="X289" s="4">
        <v>1</v>
      </c>
      <c r="Y289" s="4"/>
      <c r="Z289">
        <f t="shared" si="16"/>
        <v>7</v>
      </c>
      <c r="AA289">
        <f t="shared" si="17"/>
        <v>16</v>
      </c>
      <c r="AB289" s="5">
        <f t="shared" si="18"/>
        <v>0.32513888888934162</v>
      </c>
      <c r="AC289" s="3">
        <f t="shared" si="19"/>
        <v>9.0277777773735579E-2</v>
      </c>
      <c r="AD289" t="str" cm="1">
        <f t="array" ref="AD289">IFERROR(_xlfn.IFS(
    AC289="", "",
    AC289*86400 &lt; 30, "1. 0s - &lt;30s",
    AC289*86400 &lt; 60, "2. 30s - &lt;1m",
    AC289*86400 &lt; 300, "3. 1m - &lt;5m",
    AC289*86400 &lt; 1800, "4. 5m - &lt;30m",
    TRUE, "5. &gt;= 30m"
),"6. Invalid (Order rejected)")</f>
        <v>5. &gt;= 30m</v>
      </c>
    </row>
    <row r="290" spans="1:30" hidden="1" x14ac:dyDescent="0.3">
      <c r="A290" t="s">
        <v>1778</v>
      </c>
      <c r="B290" t="s">
        <v>1345</v>
      </c>
      <c r="C290">
        <v>42787717</v>
      </c>
      <c r="D290">
        <v>4244705</v>
      </c>
      <c r="E290" t="s">
        <v>25</v>
      </c>
      <c r="F290" t="s">
        <v>75</v>
      </c>
      <c r="G290" t="s">
        <v>76</v>
      </c>
      <c r="H290" t="s">
        <v>1779</v>
      </c>
      <c r="I290" t="s">
        <v>1780</v>
      </c>
      <c r="J290" t="s">
        <v>1781</v>
      </c>
      <c r="K290" t="s">
        <v>26</v>
      </c>
      <c r="L290" t="s">
        <v>1782</v>
      </c>
      <c r="M290" t="s">
        <v>25</v>
      </c>
      <c r="N290" t="s">
        <v>1674</v>
      </c>
      <c r="O290" t="s">
        <v>1675</v>
      </c>
      <c r="P290" t="s">
        <v>1676</v>
      </c>
      <c r="Q290" t="s">
        <v>1677</v>
      </c>
      <c r="R290">
        <v>258444</v>
      </c>
      <c r="S290">
        <v>200354</v>
      </c>
      <c r="T290">
        <v>58090</v>
      </c>
      <c r="U290" t="s">
        <v>35</v>
      </c>
      <c r="V290" t="s">
        <v>1678</v>
      </c>
      <c r="W290" t="s">
        <v>1679</v>
      </c>
      <c r="X290" s="4">
        <v>1</v>
      </c>
      <c r="Y290" s="4"/>
      <c r="Z290">
        <f t="shared" si="16"/>
        <v>7</v>
      </c>
      <c r="AA290">
        <f t="shared" si="17"/>
        <v>16</v>
      </c>
      <c r="AB290" s="5">
        <f t="shared" si="18"/>
        <v>0.32526620370481396</v>
      </c>
      <c r="AC290" s="3">
        <f t="shared" si="19"/>
        <v>6.0682870367600117E-2</v>
      </c>
      <c r="AD290" t="str" cm="1">
        <f t="array" ref="AD290">IFERROR(_xlfn.IFS(
    AC290="", "",
    AC290*86400 &lt; 30, "1. 0s - &lt;30s",
    AC290*86400 &lt; 60, "2. 30s - &lt;1m",
    AC290*86400 &lt; 300, "3. 1m - &lt;5m",
    AC290*86400 &lt; 1800, "4. 5m - &lt;30m",
    TRUE, "5. &gt;= 30m"
),"6. Invalid (Order rejected)")</f>
        <v>5. &gt;= 30m</v>
      </c>
    </row>
    <row r="291" spans="1:30" hidden="1" x14ac:dyDescent="0.3">
      <c r="A291" t="s">
        <v>1783</v>
      </c>
      <c r="B291" t="s">
        <v>1345</v>
      </c>
      <c r="C291">
        <v>42787717</v>
      </c>
      <c r="D291">
        <v>4153228</v>
      </c>
      <c r="E291" t="s">
        <v>25</v>
      </c>
      <c r="F291" t="s">
        <v>75</v>
      </c>
      <c r="G291" t="s">
        <v>76</v>
      </c>
      <c r="H291" t="s">
        <v>1784</v>
      </c>
      <c r="I291" t="s">
        <v>1785</v>
      </c>
      <c r="J291" t="s">
        <v>1786</v>
      </c>
      <c r="K291" t="s">
        <v>26</v>
      </c>
      <c r="L291" t="s">
        <v>1787</v>
      </c>
      <c r="M291" t="s">
        <v>25</v>
      </c>
      <c r="N291" t="s">
        <v>1756</v>
      </c>
      <c r="O291" t="s">
        <v>1757</v>
      </c>
      <c r="P291" t="s">
        <v>169</v>
      </c>
      <c r="Q291" t="s">
        <v>170</v>
      </c>
      <c r="R291">
        <v>136620</v>
      </c>
      <c r="S291">
        <v>105912</v>
      </c>
      <c r="T291">
        <v>30708</v>
      </c>
      <c r="U291" t="s">
        <v>35</v>
      </c>
      <c r="V291" t="s">
        <v>1760</v>
      </c>
      <c r="W291" t="s">
        <v>171</v>
      </c>
      <c r="X291" s="4">
        <v>1</v>
      </c>
      <c r="Y291" s="4"/>
      <c r="Z291">
        <f t="shared" si="16"/>
        <v>7</v>
      </c>
      <c r="AA291">
        <f t="shared" si="17"/>
        <v>16</v>
      </c>
      <c r="AB291" s="5">
        <f t="shared" si="18"/>
        <v>0.32952546296291985</v>
      </c>
      <c r="AC291" s="3">
        <f t="shared" si="19"/>
        <v>1.4502314814308193E-2</v>
      </c>
      <c r="AD291" t="str" cm="1">
        <f t="array" ref="AD291">IFERROR(_xlfn.IFS(
    AC291="", "",
    AC291*86400 &lt; 30, "1. 0s - &lt;30s",
    AC291*86400 &lt; 60, "2. 30s - &lt;1m",
    AC291*86400 &lt; 300, "3. 1m - &lt;5m",
    AC291*86400 &lt; 1800, "4. 5m - &lt;30m",
    TRUE, "5. &gt;= 30m"
),"6. Invalid (Order rejected)")</f>
        <v>4. 5m - &lt;30m</v>
      </c>
    </row>
    <row r="292" spans="1:30" hidden="1" x14ac:dyDescent="0.3">
      <c r="A292" t="s">
        <v>1788</v>
      </c>
      <c r="B292" t="s">
        <v>1345</v>
      </c>
      <c r="C292">
        <v>42787717</v>
      </c>
      <c r="D292">
        <v>0</v>
      </c>
      <c r="E292" t="s">
        <v>25</v>
      </c>
      <c r="F292" t="s">
        <v>26</v>
      </c>
      <c r="G292" t="s">
        <v>27</v>
      </c>
      <c r="H292" t="s">
        <v>1789</v>
      </c>
      <c r="I292" t="s">
        <v>1790</v>
      </c>
      <c r="J292" t="s">
        <v>26</v>
      </c>
      <c r="K292" t="s">
        <v>26</v>
      </c>
      <c r="L292" t="s">
        <v>1791</v>
      </c>
      <c r="M292" t="s">
        <v>25</v>
      </c>
      <c r="N292" t="s">
        <v>1756</v>
      </c>
      <c r="O292" t="s">
        <v>1757</v>
      </c>
      <c r="P292" t="s">
        <v>1792</v>
      </c>
      <c r="Q292" t="s">
        <v>1793</v>
      </c>
      <c r="R292">
        <v>209628</v>
      </c>
      <c r="S292">
        <v>0</v>
      </c>
      <c r="T292">
        <v>209628</v>
      </c>
      <c r="U292" t="s">
        <v>35</v>
      </c>
      <c r="V292" t="s">
        <v>1760</v>
      </c>
      <c r="W292" t="s">
        <v>1794</v>
      </c>
      <c r="X292" s="4">
        <v>1</v>
      </c>
      <c r="Y292" s="4"/>
      <c r="Z292">
        <f t="shared" si="16"/>
        <v>7</v>
      </c>
      <c r="AA292">
        <f t="shared" si="17"/>
        <v>16</v>
      </c>
      <c r="AB292" s="5">
        <f t="shared" si="18"/>
        <v>0.33047453704057261</v>
      </c>
      <c r="AC292" s="3">
        <f t="shared" si="19"/>
        <v>9.0277777773735579E-2</v>
      </c>
      <c r="AD292" t="str" cm="1">
        <f t="array" ref="AD292">IFERROR(_xlfn.IFS(
    AC292="", "",
    AC292*86400 &lt; 30, "1. 0s - &lt;30s",
    AC292*86400 &lt; 60, "2. 30s - &lt;1m",
    AC292*86400 &lt; 300, "3. 1m - &lt;5m",
    AC292*86400 &lt; 1800, "4. 5m - &lt;30m",
    TRUE, "5. &gt;= 30m"
),"6. Invalid (Order rejected)")</f>
        <v>5. &gt;= 30m</v>
      </c>
    </row>
    <row r="293" spans="1:30" hidden="1" x14ac:dyDescent="0.3">
      <c r="A293" t="s">
        <v>1795</v>
      </c>
      <c r="B293" t="s">
        <v>1345</v>
      </c>
      <c r="C293">
        <v>42787717</v>
      </c>
      <c r="D293">
        <v>4255849</v>
      </c>
      <c r="E293" t="s">
        <v>25</v>
      </c>
      <c r="F293" t="s">
        <v>75</v>
      </c>
      <c r="G293" t="s">
        <v>76</v>
      </c>
      <c r="H293" t="s">
        <v>1796</v>
      </c>
      <c r="I293" t="s">
        <v>1797</v>
      </c>
      <c r="J293" t="s">
        <v>1798</v>
      </c>
      <c r="K293" t="s">
        <v>26</v>
      </c>
      <c r="L293" t="s">
        <v>1799</v>
      </c>
      <c r="M293" t="s">
        <v>25</v>
      </c>
      <c r="N293" t="s">
        <v>1726</v>
      </c>
      <c r="O293" t="s">
        <v>1727</v>
      </c>
      <c r="P293" t="s">
        <v>1728</v>
      </c>
      <c r="Q293" t="s">
        <v>1729</v>
      </c>
      <c r="R293">
        <v>359748</v>
      </c>
      <c r="S293">
        <v>278888</v>
      </c>
      <c r="T293">
        <v>80860</v>
      </c>
      <c r="U293" t="s">
        <v>35</v>
      </c>
      <c r="V293" t="s">
        <v>1730</v>
      </c>
      <c r="W293" t="s">
        <v>1731</v>
      </c>
      <c r="X293" s="4">
        <v>1</v>
      </c>
      <c r="Y293" s="4"/>
      <c r="Z293">
        <f t="shared" si="16"/>
        <v>7</v>
      </c>
      <c r="AA293">
        <f t="shared" si="17"/>
        <v>16</v>
      </c>
      <c r="AB293" s="5">
        <f t="shared" si="18"/>
        <v>0.32879629629314877</v>
      </c>
      <c r="AC293" s="3">
        <f t="shared" si="19"/>
        <v>0.13498842593253357</v>
      </c>
      <c r="AD293" t="str" cm="1">
        <f t="array" ref="AD293">IFERROR(_xlfn.IFS(
    AC293="", "",
    AC293*86400 &lt; 30, "1. 0s - &lt;30s",
    AC293*86400 &lt; 60, "2. 30s - &lt;1m",
    AC293*86400 &lt; 300, "3. 1m - &lt;5m",
    AC293*86400 &lt; 1800, "4. 5m - &lt;30m",
    TRUE, "5. &gt;= 30m"
),"6. Invalid (Order rejected)")</f>
        <v>5. &gt;= 30m</v>
      </c>
    </row>
    <row r="294" spans="1:30" hidden="1" x14ac:dyDescent="0.3">
      <c r="A294" t="s">
        <v>1800</v>
      </c>
      <c r="B294" t="s">
        <v>1345</v>
      </c>
      <c r="C294">
        <v>42787717</v>
      </c>
      <c r="D294">
        <v>0</v>
      </c>
      <c r="E294" t="s">
        <v>25</v>
      </c>
      <c r="F294" t="s">
        <v>26</v>
      </c>
      <c r="G294" t="s">
        <v>27</v>
      </c>
      <c r="H294" t="s">
        <v>1801</v>
      </c>
      <c r="I294" t="s">
        <v>1802</v>
      </c>
      <c r="J294" t="s">
        <v>26</v>
      </c>
      <c r="K294" t="s">
        <v>26</v>
      </c>
      <c r="L294" t="s">
        <v>1803</v>
      </c>
      <c r="M294" t="s">
        <v>25</v>
      </c>
      <c r="N294" t="s">
        <v>1726</v>
      </c>
      <c r="O294" t="s">
        <v>1727</v>
      </c>
      <c r="P294" t="s">
        <v>1728</v>
      </c>
      <c r="Q294" t="s">
        <v>1729</v>
      </c>
      <c r="R294">
        <v>370548</v>
      </c>
      <c r="S294">
        <v>0</v>
      </c>
      <c r="T294">
        <v>370548</v>
      </c>
      <c r="U294" t="s">
        <v>35</v>
      </c>
      <c r="V294" t="s">
        <v>1730</v>
      </c>
      <c r="W294" t="s">
        <v>1731</v>
      </c>
      <c r="X294" s="4">
        <v>1</v>
      </c>
      <c r="Y294" s="4"/>
      <c r="Z294">
        <f t="shared" si="16"/>
        <v>7</v>
      </c>
      <c r="AA294">
        <f t="shared" si="17"/>
        <v>16</v>
      </c>
      <c r="AB294" s="5">
        <f t="shared" si="18"/>
        <v>0.32848379629285773</v>
      </c>
      <c r="AC294" s="3">
        <f t="shared" si="19"/>
        <v>9.0277777781011537E-2</v>
      </c>
      <c r="AD294" t="str" cm="1">
        <f t="array" ref="AD294">IFERROR(_xlfn.IFS(
    AC294="", "",
    AC294*86400 &lt; 30, "1. 0s - &lt;30s",
    AC294*86400 &lt; 60, "2. 30s - &lt;1m",
    AC294*86400 &lt; 300, "3. 1m - &lt;5m",
    AC294*86400 &lt; 1800, "4. 5m - &lt;30m",
    TRUE, "5. &gt;= 30m"
),"6. Invalid (Order rejected)")</f>
        <v>5. &gt;= 30m</v>
      </c>
    </row>
    <row r="295" spans="1:30" hidden="1" x14ac:dyDescent="0.3">
      <c r="A295" t="s">
        <v>1804</v>
      </c>
      <c r="B295" t="s">
        <v>1345</v>
      </c>
      <c r="C295">
        <v>42787717</v>
      </c>
      <c r="D295">
        <v>0</v>
      </c>
      <c r="E295" t="s">
        <v>25</v>
      </c>
      <c r="F295" t="s">
        <v>26</v>
      </c>
      <c r="G295" t="s">
        <v>27</v>
      </c>
      <c r="H295" t="s">
        <v>1805</v>
      </c>
      <c r="I295" t="s">
        <v>1806</v>
      </c>
      <c r="J295" t="s">
        <v>26</v>
      </c>
      <c r="K295" t="s">
        <v>26</v>
      </c>
      <c r="L295" t="s">
        <v>1807</v>
      </c>
      <c r="M295" t="s">
        <v>25</v>
      </c>
      <c r="N295" t="s">
        <v>1756</v>
      </c>
      <c r="O295" t="s">
        <v>1757</v>
      </c>
      <c r="P295" t="s">
        <v>1808</v>
      </c>
      <c r="Q295" t="s">
        <v>1809</v>
      </c>
      <c r="R295">
        <v>142128</v>
      </c>
      <c r="S295">
        <v>0</v>
      </c>
      <c r="T295">
        <v>142128</v>
      </c>
      <c r="U295" t="s">
        <v>35</v>
      </c>
      <c r="V295" t="s">
        <v>1760</v>
      </c>
      <c r="W295" t="s">
        <v>1769</v>
      </c>
      <c r="X295" s="4">
        <v>1</v>
      </c>
      <c r="Y295" s="4"/>
      <c r="Z295">
        <f t="shared" si="16"/>
        <v>7</v>
      </c>
      <c r="AA295">
        <f t="shared" si="17"/>
        <v>16</v>
      </c>
      <c r="AB295" s="5">
        <f t="shared" si="18"/>
        <v>0.33082175925665069</v>
      </c>
      <c r="AC295" s="3">
        <f t="shared" si="19"/>
        <v>9.0277777781011537E-2</v>
      </c>
      <c r="AD295" t="str" cm="1">
        <f t="array" ref="AD295">IFERROR(_xlfn.IFS(
    AC295="", "",
    AC295*86400 &lt; 30, "1. 0s - &lt;30s",
    AC295*86400 &lt; 60, "2. 30s - &lt;1m",
    AC295*86400 &lt; 300, "3. 1m - &lt;5m",
    AC295*86400 &lt; 1800, "4. 5m - &lt;30m",
    TRUE, "5. &gt;= 30m"
),"6. Invalid (Order rejected)")</f>
        <v>5. &gt;= 30m</v>
      </c>
    </row>
    <row r="296" spans="1:30" x14ac:dyDescent="0.3">
      <c r="A296" t="s">
        <v>1810</v>
      </c>
      <c r="B296" t="s">
        <v>1345</v>
      </c>
      <c r="C296">
        <v>42787717</v>
      </c>
      <c r="D296">
        <v>3376402</v>
      </c>
      <c r="E296" t="s">
        <v>25</v>
      </c>
      <c r="F296" t="s">
        <v>75</v>
      </c>
      <c r="G296" t="s">
        <v>360</v>
      </c>
      <c r="H296" t="s">
        <v>1811</v>
      </c>
      <c r="I296" t="s">
        <v>1812</v>
      </c>
      <c r="J296" t="s">
        <v>1813</v>
      </c>
      <c r="K296" t="s">
        <v>1814</v>
      </c>
      <c r="L296" t="s">
        <v>25</v>
      </c>
      <c r="M296" t="s">
        <v>25</v>
      </c>
      <c r="N296" t="s">
        <v>1756</v>
      </c>
      <c r="O296" t="s">
        <v>1757</v>
      </c>
      <c r="P296" t="s">
        <v>1815</v>
      </c>
      <c r="Q296" t="s">
        <v>1816</v>
      </c>
      <c r="R296">
        <v>185328</v>
      </c>
      <c r="S296">
        <v>143672</v>
      </c>
      <c r="T296">
        <v>41656</v>
      </c>
      <c r="U296" t="s">
        <v>35</v>
      </c>
      <c r="V296" t="s">
        <v>1760</v>
      </c>
      <c r="W296" t="s">
        <v>1817</v>
      </c>
      <c r="X296" s="4">
        <v>1</v>
      </c>
      <c r="Y296" s="4"/>
      <c r="Z296">
        <f t="shared" si="16"/>
        <v>7</v>
      </c>
      <c r="AA296">
        <f t="shared" si="17"/>
        <v>16</v>
      </c>
      <c r="AB296" s="5">
        <f t="shared" si="18"/>
        <v>0.33134259259531973</v>
      </c>
      <c r="AC296" s="3" t="str">
        <f t="shared" si="19"/>
        <v>Order rejected, no time available</v>
      </c>
      <c r="AD296" t="str" cm="1">
        <f t="array" ref="AD296">IFERROR(_xlfn.IFS(
    AC296="", "",
    AC296*86400 &lt; 30, "1. 0s - &lt;30s",
    AC296*86400 &lt; 60, "2. 30s - &lt;1m",
    AC296*86400 &lt; 300, "3. 1m - &lt;5m",
    AC296*86400 &lt; 1800, "4. 5m - &lt;30m",
    TRUE, "5. &gt;= 30m"
),"6. Invalid (Order rejected)")</f>
        <v>6. Invalid (Order rejected)</v>
      </c>
    </row>
    <row r="297" spans="1:30" hidden="1" x14ac:dyDescent="0.3">
      <c r="A297" t="s">
        <v>1818</v>
      </c>
      <c r="B297" t="s">
        <v>1819</v>
      </c>
      <c r="C297">
        <v>42814075</v>
      </c>
      <c r="D297">
        <v>4426818</v>
      </c>
      <c r="E297" t="s">
        <v>25</v>
      </c>
      <c r="F297" t="s">
        <v>75</v>
      </c>
      <c r="G297" t="s">
        <v>491</v>
      </c>
      <c r="H297" t="s">
        <v>1820</v>
      </c>
      <c r="I297" t="s">
        <v>1821</v>
      </c>
      <c r="J297" t="s">
        <v>1822</v>
      </c>
      <c r="K297" t="s">
        <v>26</v>
      </c>
      <c r="L297" t="s">
        <v>1823</v>
      </c>
      <c r="M297" t="s">
        <v>25</v>
      </c>
      <c r="N297" t="s">
        <v>1824</v>
      </c>
      <c r="O297" t="s">
        <v>1825</v>
      </c>
      <c r="P297" t="s">
        <v>1826</v>
      </c>
      <c r="Q297" t="s">
        <v>1827</v>
      </c>
      <c r="R297">
        <v>302832</v>
      </c>
      <c r="S297">
        <v>234765</v>
      </c>
      <c r="T297">
        <v>68067</v>
      </c>
      <c r="U297" t="s">
        <v>35</v>
      </c>
      <c r="V297" t="s">
        <v>1828</v>
      </c>
      <c r="W297" t="s">
        <v>1829</v>
      </c>
      <c r="X297" s="4">
        <v>1</v>
      </c>
      <c r="Y297" s="4"/>
      <c r="Z297">
        <f t="shared" si="16"/>
        <v>7</v>
      </c>
      <c r="AA297">
        <f t="shared" si="17"/>
        <v>17</v>
      </c>
      <c r="AB297" s="5">
        <f t="shared" si="18"/>
        <v>0.30305555555241881</v>
      </c>
      <c r="AC297" s="3">
        <f t="shared" si="19"/>
        <v>10.007627314815181</v>
      </c>
      <c r="AD297" t="str" cm="1">
        <f t="array" ref="AD297">IFERROR(_xlfn.IFS(
    AC297="", "",
    AC297*86400 &lt; 30, "1. 0s - &lt;30s",
    AC297*86400 &lt; 60, "2. 30s - &lt;1m",
    AC297*86400 &lt; 300, "3. 1m - &lt;5m",
    AC297*86400 &lt; 1800, "4. 5m - &lt;30m",
    TRUE, "5. &gt;= 30m"
),"6. Invalid (Order rejected)")</f>
        <v>5. &gt;= 30m</v>
      </c>
    </row>
    <row r="298" spans="1:30" x14ac:dyDescent="0.3">
      <c r="A298" t="s">
        <v>1830</v>
      </c>
      <c r="B298" t="s">
        <v>1819</v>
      </c>
      <c r="C298">
        <v>42814075</v>
      </c>
      <c r="D298">
        <v>470750</v>
      </c>
      <c r="E298" t="s">
        <v>25</v>
      </c>
      <c r="F298" t="s">
        <v>75</v>
      </c>
      <c r="G298" t="s">
        <v>360</v>
      </c>
      <c r="H298" t="s">
        <v>1831</v>
      </c>
      <c r="I298" t="s">
        <v>1832</v>
      </c>
      <c r="J298" t="s">
        <v>1833</v>
      </c>
      <c r="K298" t="s">
        <v>26</v>
      </c>
      <c r="L298" t="s">
        <v>25</v>
      </c>
      <c r="M298" t="s">
        <v>25</v>
      </c>
      <c r="N298" t="s">
        <v>1824</v>
      </c>
      <c r="O298" t="s">
        <v>1825</v>
      </c>
      <c r="P298" t="s">
        <v>1370</v>
      </c>
      <c r="Q298" t="s">
        <v>1371</v>
      </c>
      <c r="R298">
        <v>440748</v>
      </c>
      <c r="S298">
        <v>341682</v>
      </c>
      <c r="T298">
        <v>99066</v>
      </c>
      <c r="U298" t="s">
        <v>35</v>
      </c>
      <c r="V298" t="s">
        <v>1828</v>
      </c>
      <c r="W298" t="s">
        <v>1372</v>
      </c>
      <c r="X298" s="4">
        <v>1</v>
      </c>
      <c r="Y298" s="4"/>
      <c r="Z298">
        <f t="shared" si="16"/>
        <v>7</v>
      </c>
      <c r="AA298">
        <f t="shared" si="17"/>
        <v>17</v>
      </c>
      <c r="AB298" s="5">
        <f t="shared" si="18"/>
        <v>0.30342592592933215</v>
      </c>
      <c r="AC298" s="3" t="str">
        <f t="shared" si="19"/>
        <v>Order rejected, no time available</v>
      </c>
      <c r="AD298" t="str" cm="1">
        <f t="array" ref="AD298">IFERROR(_xlfn.IFS(
    AC298="", "",
    AC298*86400 &lt; 30, "1. 0s - &lt;30s",
    AC298*86400 &lt; 60, "2. 30s - &lt;1m",
    AC298*86400 &lt; 300, "3. 1m - &lt;5m",
    AC298*86400 &lt; 1800, "4. 5m - &lt;30m",
    TRUE, "5. &gt;= 30m"
),"6. Invalid (Order rejected)")</f>
        <v>6. Invalid (Order rejected)</v>
      </c>
    </row>
    <row r="299" spans="1:30" hidden="1" x14ac:dyDescent="0.3">
      <c r="A299" t="s">
        <v>1834</v>
      </c>
      <c r="B299" t="s">
        <v>1819</v>
      </c>
      <c r="C299">
        <v>42814075</v>
      </c>
      <c r="D299">
        <v>0</v>
      </c>
      <c r="E299" t="s">
        <v>25</v>
      </c>
      <c r="F299" t="s">
        <v>26</v>
      </c>
      <c r="G299" t="s">
        <v>27</v>
      </c>
      <c r="H299" t="s">
        <v>1835</v>
      </c>
      <c r="I299" t="s">
        <v>1836</v>
      </c>
      <c r="J299" t="s">
        <v>26</v>
      </c>
      <c r="K299" t="s">
        <v>26</v>
      </c>
      <c r="L299" t="s">
        <v>1837</v>
      </c>
      <c r="M299" t="s">
        <v>25</v>
      </c>
      <c r="N299" t="s">
        <v>1838</v>
      </c>
      <c r="O299" t="s">
        <v>1839</v>
      </c>
      <c r="P299" t="s">
        <v>1840</v>
      </c>
      <c r="Q299" t="s">
        <v>1841</v>
      </c>
      <c r="R299">
        <v>237276</v>
      </c>
      <c r="S299">
        <v>0</v>
      </c>
      <c r="T299">
        <v>237276</v>
      </c>
      <c r="U299" t="s">
        <v>35</v>
      </c>
      <c r="V299" t="s">
        <v>1842</v>
      </c>
      <c r="W299" t="s">
        <v>1843</v>
      </c>
      <c r="X299" s="4">
        <v>1</v>
      </c>
      <c r="Y299" s="4"/>
      <c r="Z299">
        <f t="shared" si="16"/>
        <v>7</v>
      </c>
      <c r="AA299">
        <f t="shared" si="17"/>
        <v>17</v>
      </c>
      <c r="AB299" s="5">
        <f t="shared" si="18"/>
        <v>0.30681712963269092</v>
      </c>
      <c r="AC299" s="3">
        <f t="shared" si="19"/>
        <v>9.0266203704231884E-2</v>
      </c>
      <c r="AD299" t="str" cm="1">
        <f t="array" ref="AD299">IFERROR(_xlfn.IFS(
    AC299="", "",
    AC299*86400 &lt; 30, "1. 0s - &lt;30s",
    AC299*86400 &lt; 60, "2. 30s - &lt;1m",
    AC299*86400 &lt; 300, "3. 1m - &lt;5m",
    AC299*86400 &lt; 1800, "4. 5m - &lt;30m",
    TRUE, "5. &gt;= 30m"
),"6. Invalid (Order rejected)")</f>
        <v>5. &gt;= 30m</v>
      </c>
    </row>
    <row r="300" spans="1:30" x14ac:dyDescent="0.3">
      <c r="A300" t="s">
        <v>1844</v>
      </c>
      <c r="B300" t="s">
        <v>1819</v>
      </c>
      <c r="C300">
        <v>42814075</v>
      </c>
      <c r="D300">
        <v>4405426</v>
      </c>
      <c r="E300" t="s">
        <v>25</v>
      </c>
      <c r="F300" t="s">
        <v>75</v>
      </c>
      <c r="G300" t="s">
        <v>360</v>
      </c>
      <c r="H300" t="s">
        <v>1845</v>
      </c>
      <c r="I300" t="s">
        <v>1846</v>
      </c>
      <c r="J300" t="s">
        <v>1847</v>
      </c>
      <c r="K300" t="s">
        <v>26</v>
      </c>
      <c r="L300" t="s">
        <v>25</v>
      </c>
      <c r="M300" t="s">
        <v>25</v>
      </c>
      <c r="N300" t="s">
        <v>1848</v>
      </c>
      <c r="O300" t="s">
        <v>1849</v>
      </c>
      <c r="P300" t="s">
        <v>1850</v>
      </c>
      <c r="Q300" t="s">
        <v>1851</v>
      </c>
      <c r="R300">
        <v>456948</v>
      </c>
      <c r="S300">
        <v>354240</v>
      </c>
      <c r="T300">
        <v>102708</v>
      </c>
      <c r="U300" t="s">
        <v>35</v>
      </c>
      <c r="V300" t="s">
        <v>1852</v>
      </c>
      <c r="W300" t="s">
        <v>1853</v>
      </c>
      <c r="X300" s="4">
        <v>1</v>
      </c>
      <c r="Y300" s="4"/>
      <c r="Z300">
        <f t="shared" si="16"/>
        <v>7</v>
      </c>
      <c r="AA300">
        <f t="shared" si="17"/>
        <v>17</v>
      </c>
      <c r="AB300" s="5">
        <f t="shared" si="18"/>
        <v>0.30478009259240935</v>
      </c>
      <c r="AC300" s="3" t="str">
        <f t="shared" si="19"/>
        <v>Order rejected, no time available</v>
      </c>
      <c r="AD300" t="str" cm="1">
        <f t="array" ref="AD300">IFERROR(_xlfn.IFS(
    AC300="", "",
    AC300*86400 &lt; 30, "1. 0s - &lt;30s",
    AC300*86400 &lt; 60, "2. 30s - &lt;1m",
    AC300*86400 &lt; 300, "3. 1m - &lt;5m",
    AC300*86400 &lt; 1800, "4. 5m - &lt;30m",
    TRUE, "5. &gt;= 30m"
),"6. Invalid (Order rejected)")</f>
        <v>6. Invalid (Order rejected)</v>
      </c>
    </row>
    <row r="301" spans="1:30" x14ac:dyDescent="0.3">
      <c r="A301" t="s">
        <v>1854</v>
      </c>
      <c r="B301" t="s">
        <v>1819</v>
      </c>
      <c r="C301">
        <v>42814075</v>
      </c>
      <c r="D301">
        <v>4633939</v>
      </c>
      <c r="E301" t="s">
        <v>25</v>
      </c>
      <c r="F301" t="s">
        <v>75</v>
      </c>
      <c r="G301" t="s">
        <v>360</v>
      </c>
      <c r="H301" t="s">
        <v>1855</v>
      </c>
      <c r="I301" t="s">
        <v>1856</v>
      </c>
      <c r="J301" t="s">
        <v>1857</v>
      </c>
      <c r="K301" t="s">
        <v>26</v>
      </c>
      <c r="L301" t="s">
        <v>25</v>
      </c>
      <c r="M301" t="s">
        <v>25</v>
      </c>
      <c r="N301" t="s">
        <v>349</v>
      </c>
      <c r="O301" t="s">
        <v>350</v>
      </c>
      <c r="P301" t="s">
        <v>1858</v>
      </c>
      <c r="Q301" t="s">
        <v>1859</v>
      </c>
      <c r="R301">
        <v>566676</v>
      </c>
      <c r="S301">
        <v>439305</v>
      </c>
      <c r="T301">
        <v>127371</v>
      </c>
      <c r="U301" t="s">
        <v>35</v>
      </c>
      <c r="V301" t="s">
        <v>353</v>
      </c>
      <c r="W301" t="s">
        <v>1860</v>
      </c>
      <c r="X301" s="4">
        <v>1</v>
      </c>
      <c r="Y301" s="4"/>
      <c r="Z301">
        <f t="shared" si="16"/>
        <v>7</v>
      </c>
      <c r="AA301">
        <f t="shared" si="17"/>
        <v>17</v>
      </c>
      <c r="AB301" s="5">
        <f t="shared" si="18"/>
        <v>0.30605324073985685</v>
      </c>
      <c r="AC301" s="3" t="str">
        <f t="shared" si="19"/>
        <v>Order rejected, no time available</v>
      </c>
      <c r="AD301" t="str" cm="1">
        <f t="array" ref="AD301">IFERROR(_xlfn.IFS(
    AC301="", "",
    AC301*86400 &lt; 30, "1. 0s - &lt;30s",
    AC301*86400 &lt; 60, "2. 30s - &lt;1m",
    AC301*86400 &lt; 300, "3. 1m - &lt;5m",
    AC301*86400 &lt; 1800, "4. 5m - &lt;30m",
    TRUE, "5. &gt;= 30m"
),"6. Invalid (Order rejected)")</f>
        <v>6. Invalid (Order rejected)</v>
      </c>
    </row>
    <row r="302" spans="1:30" hidden="1" x14ac:dyDescent="0.3">
      <c r="A302" t="s">
        <v>1861</v>
      </c>
      <c r="B302" t="s">
        <v>1819</v>
      </c>
      <c r="C302">
        <v>42814075</v>
      </c>
      <c r="D302">
        <v>3746341</v>
      </c>
      <c r="E302" t="s">
        <v>25</v>
      </c>
      <c r="F302" t="s">
        <v>75</v>
      </c>
      <c r="G302" t="s">
        <v>76</v>
      </c>
      <c r="H302" t="s">
        <v>1862</v>
      </c>
      <c r="I302" t="s">
        <v>1863</v>
      </c>
      <c r="J302" t="s">
        <v>1864</v>
      </c>
      <c r="K302" t="s">
        <v>26</v>
      </c>
      <c r="L302" t="s">
        <v>1865</v>
      </c>
      <c r="M302" t="s">
        <v>25</v>
      </c>
      <c r="N302" t="s">
        <v>1848</v>
      </c>
      <c r="O302" t="s">
        <v>1849</v>
      </c>
      <c r="P302" t="s">
        <v>1866</v>
      </c>
      <c r="Q302" t="s">
        <v>1867</v>
      </c>
      <c r="R302">
        <v>326808</v>
      </c>
      <c r="S302">
        <v>268255</v>
      </c>
      <c r="T302">
        <v>58553</v>
      </c>
      <c r="U302" t="s">
        <v>35</v>
      </c>
      <c r="V302" t="s">
        <v>1852</v>
      </c>
      <c r="W302" t="s">
        <v>1853</v>
      </c>
      <c r="X302" s="4">
        <v>1</v>
      </c>
      <c r="Y302" s="4"/>
      <c r="Z302">
        <f t="shared" si="16"/>
        <v>7</v>
      </c>
      <c r="AA302">
        <f t="shared" si="17"/>
        <v>17</v>
      </c>
      <c r="AB302" s="5">
        <f t="shared" si="18"/>
        <v>0.304618055553874</v>
      </c>
      <c r="AC302" s="3">
        <f t="shared" si="19"/>
        <v>3.0092592642176896E-3</v>
      </c>
      <c r="AD302" t="str" cm="1">
        <f t="array" ref="AD302">IFERROR(_xlfn.IFS(
    AC302="", "",
    AC302*86400 &lt; 30, "1. 0s - &lt;30s",
    AC302*86400 &lt; 60, "2. 30s - &lt;1m",
    AC302*86400 &lt; 300, "3. 1m - &lt;5m",
    AC302*86400 &lt; 1800, "4. 5m - &lt;30m",
    TRUE, "5. &gt;= 30m"
),"6. Invalid (Order rejected)")</f>
        <v>3. 1m - &lt;5m</v>
      </c>
    </row>
    <row r="303" spans="1:30" hidden="1" x14ac:dyDescent="0.3">
      <c r="A303" t="s">
        <v>1868</v>
      </c>
      <c r="B303" t="s">
        <v>1819</v>
      </c>
      <c r="C303">
        <v>42814075</v>
      </c>
      <c r="D303">
        <v>0</v>
      </c>
      <c r="E303" t="s">
        <v>25</v>
      </c>
      <c r="F303" t="s">
        <v>26</v>
      </c>
      <c r="G303" t="s">
        <v>27</v>
      </c>
      <c r="H303" t="s">
        <v>1869</v>
      </c>
      <c r="I303" t="s">
        <v>1870</v>
      </c>
      <c r="J303" t="s">
        <v>26</v>
      </c>
      <c r="K303" t="s">
        <v>26</v>
      </c>
      <c r="L303" t="s">
        <v>1871</v>
      </c>
      <c r="M303" t="s">
        <v>25</v>
      </c>
      <c r="N303" t="s">
        <v>1838</v>
      </c>
      <c r="O303" t="s">
        <v>1839</v>
      </c>
      <c r="P303" t="s">
        <v>1872</v>
      </c>
      <c r="Q303" t="s">
        <v>1873</v>
      </c>
      <c r="R303">
        <v>230904</v>
      </c>
      <c r="S303">
        <v>0</v>
      </c>
      <c r="T303">
        <v>230904</v>
      </c>
      <c r="U303" t="s">
        <v>35</v>
      </c>
      <c r="V303" t="s">
        <v>1842</v>
      </c>
      <c r="W303" t="s">
        <v>1874</v>
      </c>
      <c r="X303" s="4">
        <v>1</v>
      </c>
      <c r="Y303" s="4"/>
      <c r="Z303">
        <f t="shared" si="16"/>
        <v>7</v>
      </c>
      <c r="AA303">
        <f t="shared" si="17"/>
        <v>17</v>
      </c>
      <c r="AB303" s="5">
        <f t="shared" si="18"/>
        <v>0.30750000000261934</v>
      </c>
      <c r="AC303" s="3">
        <f t="shared" si="19"/>
        <v>9.5381944440305233E-2</v>
      </c>
      <c r="AD303" t="str" cm="1">
        <f t="array" ref="AD303">IFERROR(_xlfn.IFS(
    AC303="", "",
    AC303*86400 &lt; 30, "1. 0s - &lt;30s",
    AC303*86400 &lt; 60, "2. 30s - &lt;1m",
    AC303*86400 &lt; 300, "3. 1m - &lt;5m",
    AC303*86400 &lt; 1800, "4. 5m - &lt;30m",
    TRUE, "5. &gt;= 30m"
),"6. Invalid (Order rejected)")</f>
        <v>5. &gt;= 30m</v>
      </c>
    </row>
    <row r="304" spans="1:30" hidden="1" x14ac:dyDescent="0.3">
      <c r="A304" t="s">
        <v>1875</v>
      </c>
      <c r="B304" t="s">
        <v>1819</v>
      </c>
      <c r="C304">
        <v>42814075</v>
      </c>
      <c r="D304">
        <v>4458430</v>
      </c>
      <c r="E304" t="s">
        <v>25</v>
      </c>
      <c r="F304" t="s">
        <v>75</v>
      </c>
      <c r="G304" t="s">
        <v>76</v>
      </c>
      <c r="H304" t="s">
        <v>1876</v>
      </c>
      <c r="I304" t="s">
        <v>1877</v>
      </c>
      <c r="J304" t="s">
        <v>1878</v>
      </c>
      <c r="K304" t="s">
        <v>26</v>
      </c>
      <c r="L304" t="s">
        <v>1879</v>
      </c>
      <c r="M304" t="s">
        <v>25</v>
      </c>
      <c r="N304" t="s">
        <v>1880</v>
      </c>
      <c r="O304" t="s">
        <v>1881</v>
      </c>
      <c r="P304" t="s">
        <v>1882</v>
      </c>
      <c r="Q304" t="s">
        <v>1883</v>
      </c>
      <c r="R304">
        <v>336096</v>
      </c>
      <c r="S304">
        <v>260552</v>
      </c>
      <c r="T304">
        <v>75544</v>
      </c>
      <c r="U304" t="s">
        <v>35</v>
      </c>
      <c r="V304" t="s">
        <v>1884</v>
      </c>
      <c r="W304" t="s">
        <v>1885</v>
      </c>
      <c r="X304" s="4">
        <v>1</v>
      </c>
      <c r="Y304" s="4"/>
      <c r="Z304">
        <f t="shared" si="16"/>
        <v>7</v>
      </c>
      <c r="AA304">
        <f t="shared" si="17"/>
        <v>17</v>
      </c>
      <c r="AB304" s="5">
        <f t="shared" si="18"/>
        <v>0.31024305555911269</v>
      </c>
      <c r="AC304" s="3">
        <f t="shared" si="19"/>
        <v>4.8182870363234542E-2</v>
      </c>
      <c r="AD304" t="str" cm="1">
        <f t="array" ref="AD304">IFERROR(_xlfn.IFS(
    AC304="", "",
    AC304*86400 &lt; 30, "1. 0s - &lt;30s",
    AC304*86400 &lt; 60, "2. 30s - &lt;1m",
    AC304*86400 &lt; 300, "3. 1m - &lt;5m",
    AC304*86400 &lt; 1800, "4. 5m - &lt;30m",
    TRUE, "5. &gt;= 30m"
),"6. Invalid (Order rejected)")</f>
        <v>5. &gt;= 30m</v>
      </c>
    </row>
    <row r="305" spans="1:30" hidden="1" x14ac:dyDescent="0.3">
      <c r="A305" t="s">
        <v>1886</v>
      </c>
      <c r="B305" t="s">
        <v>1819</v>
      </c>
      <c r="C305">
        <v>42814075</v>
      </c>
      <c r="D305">
        <v>0</v>
      </c>
      <c r="E305" t="s">
        <v>25</v>
      </c>
      <c r="F305" t="s">
        <v>26</v>
      </c>
      <c r="G305" t="s">
        <v>27</v>
      </c>
      <c r="H305" t="s">
        <v>1887</v>
      </c>
      <c r="I305" t="s">
        <v>1888</v>
      </c>
      <c r="J305" t="s">
        <v>26</v>
      </c>
      <c r="K305" t="s">
        <v>26</v>
      </c>
      <c r="L305" t="s">
        <v>1889</v>
      </c>
      <c r="M305" t="s">
        <v>25</v>
      </c>
      <c r="N305" t="s">
        <v>1890</v>
      </c>
      <c r="O305" t="s">
        <v>1891</v>
      </c>
      <c r="P305" t="s">
        <v>1892</v>
      </c>
      <c r="Q305" t="s">
        <v>1893</v>
      </c>
      <c r="R305">
        <v>283716</v>
      </c>
      <c r="S305">
        <v>0</v>
      </c>
      <c r="T305">
        <v>283716</v>
      </c>
      <c r="U305" t="s">
        <v>35</v>
      </c>
      <c r="V305" t="s">
        <v>1894</v>
      </c>
      <c r="W305" t="s">
        <v>1895</v>
      </c>
      <c r="X305" s="4">
        <v>1</v>
      </c>
      <c r="Y305" s="4"/>
      <c r="Z305">
        <f t="shared" si="16"/>
        <v>7</v>
      </c>
      <c r="AA305">
        <f t="shared" si="17"/>
        <v>17</v>
      </c>
      <c r="AB305" s="5">
        <f t="shared" si="18"/>
        <v>0.31224537036905531</v>
      </c>
      <c r="AC305" s="3">
        <f t="shared" si="19"/>
        <v>9.0277777781011537E-2</v>
      </c>
      <c r="AD305" t="str" cm="1">
        <f t="array" ref="AD305">IFERROR(_xlfn.IFS(
    AC305="", "",
    AC305*86400 &lt; 30, "1. 0s - &lt;30s",
    AC305*86400 &lt; 60, "2. 30s - &lt;1m",
    AC305*86400 &lt; 300, "3. 1m - &lt;5m",
    AC305*86400 &lt; 1800, "4. 5m - &lt;30m",
    TRUE, "5. &gt;= 30m"
),"6. Invalid (Order rejected)")</f>
        <v>5. &gt;= 30m</v>
      </c>
    </row>
    <row r="306" spans="1:30" hidden="1" x14ac:dyDescent="0.3">
      <c r="A306" t="s">
        <v>1896</v>
      </c>
      <c r="B306" t="s">
        <v>1819</v>
      </c>
      <c r="C306">
        <v>42814075</v>
      </c>
      <c r="D306">
        <v>0</v>
      </c>
      <c r="E306" t="s">
        <v>25</v>
      </c>
      <c r="F306" t="s">
        <v>26</v>
      </c>
      <c r="G306" t="s">
        <v>27</v>
      </c>
      <c r="H306" t="s">
        <v>1897</v>
      </c>
      <c r="I306" t="s">
        <v>1898</v>
      </c>
      <c r="J306" t="s">
        <v>26</v>
      </c>
      <c r="K306" t="s">
        <v>26</v>
      </c>
      <c r="L306" t="s">
        <v>1899</v>
      </c>
      <c r="M306" t="s">
        <v>25</v>
      </c>
      <c r="N306" t="s">
        <v>1900</v>
      </c>
      <c r="O306" t="s">
        <v>1901</v>
      </c>
      <c r="P306" t="s">
        <v>1902</v>
      </c>
      <c r="Q306" t="s">
        <v>1903</v>
      </c>
      <c r="R306">
        <v>286524</v>
      </c>
      <c r="S306">
        <v>0</v>
      </c>
      <c r="T306">
        <v>286524</v>
      </c>
      <c r="U306" t="s">
        <v>35</v>
      </c>
      <c r="V306" t="s">
        <v>1904</v>
      </c>
      <c r="W306" t="s">
        <v>1905</v>
      </c>
      <c r="X306" s="4">
        <v>1</v>
      </c>
      <c r="Y306" s="4"/>
      <c r="Z306">
        <f t="shared" si="16"/>
        <v>7</v>
      </c>
      <c r="AA306">
        <f t="shared" si="17"/>
        <v>17</v>
      </c>
      <c r="AB306" s="5">
        <f t="shared" si="18"/>
        <v>0.3111921296294895</v>
      </c>
      <c r="AC306" s="3">
        <f t="shared" si="19"/>
        <v>0.14644675925956108</v>
      </c>
      <c r="AD306" t="str" cm="1">
        <f t="array" ref="AD306">IFERROR(_xlfn.IFS(
    AC306="", "",
    AC306*86400 &lt; 30, "1. 0s - &lt;30s",
    AC306*86400 &lt; 60, "2. 30s - &lt;1m",
    AC306*86400 &lt; 300, "3. 1m - &lt;5m",
    AC306*86400 &lt; 1800, "4. 5m - &lt;30m",
    TRUE, "5. &gt;= 30m"
),"6. Invalid (Order rejected)")</f>
        <v>5. &gt;= 30m</v>
      </c>
    </row>
    <row r="307" spans="1:30" x14ac:dyDescent="0.3">
      <c r="A307" t="s">
        <v>1906</v>
      </c>
      <c r="B307" t="s">
        <v>1819</v>
      </c>
      <c r="C307">
        <v>42814075</v>
      </c>
      <c r="D307">
        <v>3443850</v>
      </c>
      <c r="E307" t="s">
        <v>25</v>
      </c>
      <c r="F307" t="s">
        <v>75</v>
      </c>
      <c r="G307" t="s">
        <v>360</v>
      </c>
      <c r="H307" t="s">
        <v>1907</v>
      </c>
      <c r="I307" t="s">
        <v>1908</v>
      </c>
      <c r="J307" t="s">
        <v>1909</v>
      </c>
      <c r="K307" t="s">
        <v>1910</v>
      </c>
      <c r="L307" t="s">
        <v>25</v>
      </c>
      <c r="M307" t="s">
        <v>25</v>
      </c>
      <c r="N307" t="s">
        <v>1911</v>
      </c>
      <c r="O307" t="s">
        <v>1912</v>
      </c>
      <c r="P307" t="s">
        <v>1913</v>
      </c>
      <c r="Q307" t="s">
        <v>1914</v>
      </c>
      <c r="R307">
        <v>236628</v>
      </c>
      <c r="S307">
        <v>183441</v>
      </c>
      <c r="T307">
        <v>53187</v>
      </c>
      <c r="U307" t="s">
        <v>35</v>
      </c>
      <c r="V307" t="s">
        <v>1915</v>
      </c>
      <c r="W307" t="s">
        <v>1916</v>
      </c>
      <c r="X307" s="4">
        <v>1</v>
      </c>
      <c r="Y307" s="4"/>
      <c r="Z307">
        <f t="shared" si="16"/>
        <v>7</v>
      </c>
      <c r="AA307">
        <f t="shared" si="17"/>
        <v>17</v>
      </c>
      <c r="AB307" s="5">
        <f t="shared" si="18"/>
        <v>0.31539351851824904</v>
      </c>
      <c r="AC307" s="3" t="str">
        <f t="shared" si="19"/>
        <v>Order rejected, no time available</v>
      </c>
      <c r="AD307" t="str" cm="1">
        <f t="array" ref="AD307">IFERROR(_xlfn.IFS(
    AC307="", "",
    AC307*86400 &lt; 30, "1. 0s - &lt;30s",
    AC307*86400 &lt; 60, "2. 30s - &lt;1m",
    AC307*86400 &lt; 300, "3. 1m - &lt;5m",
    AC307*86400 &lt; 1800, "4. 5m - &lt;30m",
    TRUE, "5. &gt;= 30m"
),"6. Invalid (Order rejected)")</f>
        <v>6. Invalid (Order rejected)</v>
      </c>
    </row>
    <row r="308" spans="1:30" hidden="1" x14ac:dyDescent="0.3">
      <c r="A308" t="s">
        <v>1917</v>
      </c>
      <c r="B308" t="s">
        <v>1819</v>
      </c>
      <c r="C308">
        <v>42814075</v>
      </c>
      <c r="D308">
        <v>0</v>
      </c>
      <c r="E308" t="s">
        <v>25</v>
      </c>
      <c r="F308" t="s">
        <v>26</v>
      </c>
      <c r="G308" t="s">
        <v>27</v>
      </c>
      <c r="H308" t="s">
        <v>1918</v>
      </c>
      <c r="I308" t="s">
        <v>1919</v>
      </c>
      <c r="J308" t="s">
        <v>26</v>
      </c>
      <c r="K308" t="s">
        <v>26</v>
      </c>
      <c r="L308" t="s">
        <v>1920</v>
      </c>
      <c r="M308" t="s">
        <v>25</v>
      </c>
      <c r="N308" t="s">
        <v>1911</v>
      </c>
      <c r="O308" t="s">
        <v>1912</v>
      </c>
      <c r="P308" t="s">
        <v>1921</v>
      </c>
      <c r="Q308" t="s">
        <v>1922</v>
      </c>
      <c r="R308">
        <v>234576</v>
      </c>
      <c r="S308">
        <v>0</v>
      </c>
      <c r="T308">
        <v>234576</v>
      </c>
      <c r="U308" t="s">
        <v>35</v>
      </c>
      <c r="V308" t="s">
        <v>1915</v>
      </c>
      <c r="W308" t="s">
        <v>1923</v>
      </c>
      <c r="X308" s="4">
        <v>1</v>
      </c>
      <c r="Y308" s="4"/>
      <c r="Z308">
        <f t="shared" si="16"/>
        <v>7</v>
      </c>
      <c r="AA308">
        <f t="shared" si="17"/>
        <v>17</v>
      </c>
      <c r="AB308" s="5">
        <f t="shared" si="18"/>
        <v>0.31450231481721858</v>
      </c>
      <c r="AC308" s="3">
        <f t="shared" si="19"/>
        <v>9.0266203704231884E-2</v>
      </c>
      <c r="AD308" t="str" cm="1">
        <f t="array" ref="AD308">IFERROR(_xlfn.IFS(
    AC308="", "",
    AC308*86400 &lt; 30, "1. 0s - &lt;30s",
    AC308*86400 &lt; 60, "2. 30s - &lt;1m",
    AC308*86400 &lt; 300, "3. 1m - &lt;5m",
    AC308*86400 &lt; 1800, "4. 5m - &lt;30m",
    TRUE, "5. &gt;= 30m"
),"6. Invalid (Order rejected)")</f>
        <v>5. &gt;= 30m</v>
      </c>
    </row>
    <row r="309" spans="1:30" hidden="1" x14ac:dyDescent="0.3">
      <c r="A309" t="s">
        <v>1924</v>
      </c>
      <c r="B309" t="s">
        <v>1819</v>
      </c>
      <c r="C309">
        <v>42814075</v>
      </c>
      <c r="D309">
        <v>0</v>
      </c>
      <c r="E309" t="s">
        <v>25</v>
      </c>
      <c r="F309" t="s">
        <v>26</v>
      </c>
      <c r="G309" t="s">
        <v>27</v>
      </c>
      <c r="H309" t="s">
        <v>1925</v>
      </c>
      <c r="I309" t="s">
        <v>1926</v>
      </c>
      <c r="J309" t="s">
        <v>26</v>
      </c>
      <c r="K309" t="s">
        <v>26</v>
      </c>
      <c r="L309" t="s">
        <v>1927</v>
      </c>
      <c r="M309" t="s">
        <v>25</v>
      </c>
      <c r="N309" t="s">
        <v>1880</v>
      </c>
      <c r="O309" t="s">
        <v>1881</v>
      </c>
      <c r="P309" t="s">
        <v>1928</v>
      </c>
      <c r="Q309" t="s">
        <v>1929</v>
      </c>
      <c r="R309">
        <v>378216</v>
      </c>
      <c r="S309">
        <v>0</v>
      </c>
      <c r="T309">
        <v>378216</v>
      </c>
      <c r="U309" t="s">
        <v>35</v>
      </c>
      <c r="V309" t="s">
        <v>1884</v>
      </c>
      <c r="W309" t="s">
        <v>1930</v>
      </c>
      <c r="X309" s="4">
        <v>1</v>
      </c>
      <c r="Y309" s="4"/>
      <c r="Z309">
        <f t="shared" si="16"/>
        <v>7</v>
      </c>
      <c r="AA309">
        <f t="shared" si="17"/>
        <v>17</v>
      </c>
      <c r="AB309" s="5">
        <f t="shared" si="18"/>
        <v>0.30971064815093996</v>
      </c>
      <c r="AC309" s="3">
        <f t="shared" si="19"/>
        <v>0.10723379629052943</v>
      </c>
      <c r="AD309" t="str" cm="1">
        <f t="array" ref="AD309">IFERROR(_xlfn.IFS(
    AC309="", "",
    AC309*86400 &lt; 30, "1. 0s - &lt;30s",
    AC309*86400 &lt; 60, "2. 30s - &lt;1m",
    AC309*86400 &lt; 300, "3. 1m - &lt;5m",
    AC309*86400 &lt; 1800, "4. 5m - &lt;30m",
    TRUE, "5. &gt;= 30m"
),"6. Invalid (Order rejected)")</f>
        <v>5. &gt;= 30m</v>
      </c>
    </row>
    <row r="310" spans="1:30" hidden="1" x14ac:dyDescent="0.3">
      <c r="A310" t="s">
        <v>1931</v>
      </c>
      <c r="B310" t="s">
        <v>1819</v>
      </c>
      <c r="C310">
        <v>42814075</v>
      </c>
      <c r="D310">
        <v>0</v>
      </c>
      <c r="E310" t="s">
        <v>25</v>
      </c>
      <c r="F310" t="s">
        <v>26</v>
      </c>
      <c r="G310" t="s">
        <v>27</v>
      </c>
      <c r="H310" t="s">
        <v>1932</v>
      </c>
      <c r="I310" t="s">
        <v>1933</v>
      </c>
      <c r="J310" t="s">
        <v>26</v>
      </c>
      <c r="K310" t="s">
        <v>26</v>
      </c>
      <c r="L310" t="s">
        <v>1934</v>
      </c>
      <c r="M310" t="s">
        <v>25</v>
      </c>
      <c r="N310" t="s">
        <v>1911</v>
      </c>
      <c r="O310" t="s">
        <v>1912</v>
      </c>
      <c r="P310" t="s">
        <v>1935</v>
      </c>
      <c r="Q310" t="s">
        <v>1936</v>
      </c>
      <c r="R310">
        <v>174636</v>
      </c>
      <c r="S310">
        <v>0</v>
      </c>
      <c r="T310">
        <v>174636</v>
      </c>
      <c r="U310" t="s">
        <v>35</v>
      </c>
      <c r="V310" t="s">
        <v>1915</v>
      </c>
      <c r="W310" t="s">
        <v>1937</v>
      </c>
      <c r="X310" s="4">
        <v>1</v>
      </c>
      <c r="Y310" s="4"/>
      <c r="Z310">
        <f t="shared" si="16"/>
        <v>7</v>
      </c>
      <c r="AA310">
        <f t="shared" si="17"/>
        <v>17</v>
      </c>
      <c r="AB310" s="5">
        <f t="shared" si="18"/>
        <v>0.314976851848769</v>
      </c>
      <c r="AC310" s="3">
        <f t="shared" si="19"/>
        <v>9.0277777781011537E-2</v>
      </c>
      <c r="AD310" t="str" cm="1">
        <f t="array" ref="AD310">IFERROR(_xlfn.IFS(
    AC310="", "",
    AC310*86400 &lt; 30, "1. 0s - &lt;30s",
    AC310*86400 &lt; 60, "2. 30s - &lt;1m",
    AC310*86400 &lt; 300, "3. 1m - &lt;5m",
    AC310*86400 &lt; 1800, "4. 5m - &lt;30m",
    TRUE, "5. &gt;= 30m"
),"6. Invalid (Order rejected)")</f>
        <v>5. &gt;= 30m</v>
      </c>
    </row>
    <row r="311" spans="1:30" hidden="1" x14ac:dyDescent="0.3">
      <c r="A311" t="s">
        <v>1938</v>
      </c>
      <c r="B311" t="s">
        <v>1819</v>
      </c>
      <c r="C311">
        <v>42814075</v>
      </c>
      <c r="D311">
        <v>0</v>
      </c>
      <c r="E311" t="s">
        <v>25</v>
      </c>
      <c r="F311" t="s">
        <v>26</v>
      </c>
      <c r="G311" t="s">
        <v>27</v>
      </c>
      <c r="H311" t="s">
        <v>1939</v>
      </c>
      <c r="I311" t="s">
        <v>1940</v>
      </c>
      <c r="J311" t="s">
        <v>26</v>
      </c>
      <c r="K311" t="s">
        <v>26</v>
      </c>
      <c r="L311" t="s">
        <v>1941</v>
      </c>
      <c r="M311" t="s">
        <v>25</v>
      </c>
      <c r="N311" t="s">
        <v>1911</v>
      </c>
      <c r="O311" t="s">
        <v>1912</v>
      </c>
      <c r="P311" t="s">
        <v>1942</v>
      </c>
      <c r="Q311" t="s">
        <v>1943</v>
      </c>
      <c r="R311">
        <v>169344</v>
      </c>
      <c r="S311">
        <v>0</v>
      </c>
      <c r="T311">
        <v>169344</v>
      </c>
      <c r="U311" t="s">
        <v>35</v>
      </c>
      <c r="V311" t="s">
        <v>1915</v>
      </c>
      <c r="W311" t="s">
        <v>1916</v>
      </c>
      <c r="X311" s="4">
        <v>1</v>
      </c>
      <c r="Y311" s="4"/>
      <c r="Z311">
        <f t="shared" si="16"/>
        <v>7</v>
      </c>
      <c r="AA311">
        <f t="shared" si="17"/>
        <v>17</v>
      </c>
      <c r="AB311" s="5">
        <f t="shared" si="18"/>
        <v>0.31525462962599704</v>
      </c>
      <c r="AC311" s="3">
        <f t="shared" si="19"/>
        <v>0.145856481482042</v>
      </c>
      <c r="AD311" t="str" cm="1">
        <f t="array" ref="AD311">IFERROR(_xlfn.IFS(
    AC311="", "",
    AC311*86400 &lt; 30, "1. 0s - &lt;30s",
    AC311*86400 &lt; 60, "2. 30s - &lt;1m",
    AC311*86400 &lt; 300, "3. 1m - &lt;5m",
    AC311*86400 &lt; 1800, "4. 5m - &lt;30m",
    TRUE, "5. &gt;= 30m"
),"6. Invalid (Order rejected)")</f>
        <v>5. &gt;= 30m</v>
      </c>
    </row>
    <row r="312" spans="1:30" hidden="1" x14ac:dyDescent="0.3">
      <c r="A312" t="s">
        <v>1944</v>
      </c>
      <c r="B312" t="s">
        <v>1819</v>
      </c>
      <c r="C312">
        <v>42814075</v>
      </c>
      <c r="D312">
        <v>0</v>
      </c>
      <c r="E312" t="s">
        <v>25</v>
      </c>
      <c r="F312" t="s">
        <v>26</v>
      </c>
      <c r="G312" t="s">
        <v>27</v>
      </c>
      <c r="H312" t="s">
        <v>1945</v>
      </c>
      <c r="I312" t="s">
        <v>1946</v>
      </c>
      <c r="J312" t="s">
        <v>26</v>
      </c>
      <c r="K312" t="s">
        <v>26</v>
      </c>
      <c r="L312" t="s">
        <v>1947</v>
      </c>
      <c r="M312" t="s">
        <v>25</v>
      </c>
      <c r="N312" t="s">
        <v>1948</v>
      </c>
      <c r="O312" t="s">
        <v>1949</v>
      </c>
      <c r="P312" t="s">
        <v>1950</v>
      </c>
      <c r="Q312" t="s">
        <v>1951</v>
      </c>
      <c r="R312">
        <v>144504</v>
      </c>
      <c r="S312">
        <v>0</v>
      </c>
      <c r="T312">
        <v>144504</v>
      </c>
      <c r="U312" t="s">
        <v>35</v>
      </c>
      <c r="V312" t="s">
        <v>1952</v>
      </c>
      <c r="W312" t="s">
        <v>1953</v>
      </c>
      <c r="X312" s="4">
        <v>1</v>
      </c>
      <c r="Y312" s="4"/>
      <c r="Z312">
        <f t="shared" si="16"/>
        <v>7</v>
      </c>
      <c r="AA312">
        <f t="shared" si="17"/>
        <v>17</v>
      </c>
      <c r="AB312" s="5">
        <f t="shared" si="18"/>
        <v>0.31681712962745223</v>
      </c>
      <c r="AC312" s="3">
        <f t="shared" si="19"/>
        <v>0.14637731481343508</v>
      </c>
      <c r="AD312" t="str" cm="1">
        <f t="array" ref="AD312">IFERROR(_xlfn.IFS(
    AC312="", "",
    AC312*86400 &lt; 30, "1. 0s - &lt;30s",
    AC312*86400 &lt; 60, "2. 30s - &lt;1m",
    AC312*86400 &lt; 300, "3. 1m - &lt;5m",
    AC312*86400 &lt; 1800, "4. 5m - &lt;30m",
    TRUE, "5. &gt;= 30m"
),"6. Invalid (Order rejected)")</f>
        <v>5. &gt;= 30m</v>
      </c>
    </row>
    <row r="313" spans="1:30" hidden="1" x14ac:dyDescent="0.3">
      <c r="A313" t="s">
        <v>1954</v>
      </c>
      <c r="B313" t="s">
        <v>1819</v>
      </c>
      <c r="C313">
        <v>42814075</v>
      </c>
      <c r="D313">
        <v>0</v>
      </c>
      <c r="E313" t="s">
        <v>25</v>
      </c>
      <c r="F313" t="s">
        <v>26</v>
      </c>
      <c r="G313" t="s">
        <v>27</v>
      </c>
      <c r="H313" t="s">
        <v>1955</v>
      </c>
      <c r="I313" t="s">
        <v>1956</v>
      </c>
      <c r="J313" t="s">
        <v>26</v>
      </c>
      <c r="K313" t="s">
        <v>26</v>
      </c>
      <c r="L313" t="s">
        <v>1957</v>
      </c>
      <c r="M313" t="s">
        <v>25</v>
      </c>
      <c r="N313" t="s">
        <v>1880</v>
      </c>
      <c r="O313" t="s">
        <v>1881</v>
      </c>
      <c r="P313" t="s">
        <v>1928</v>
      </c>
      <c r="Q313" t="s">
        <v>1929</v>
      </c>
      <c r="R313">
        <v>273240</v>
      </c>
      <c r="S313">
        <v>0</v>
      </c>
      <c r="T313">
        <v>273240</v>
      </c>
      <c r="U313" t="s">
        <v>35</v>
      </c>
      <c r="V313" t="s">
        <v>1884</v>
      </c>
      <c r="W313" t="s">
        <v>1930</v>
      </c>
      <c r="X313" s="4">
        <v>1</v>
      </c>
      <c r="Y313" s="4"/>
      <c r="Z313">
        <f t="shared" si="16"/>
        <v>7</v>
      </c>
      <c r="AA313">
        <f t="shared" si="17"/>
        <v>17</v>
      </c>
      <c r="AB313" s="5">
        <f t="shared" si="18"/>
        <v>0.30959490740497131</v>
      </c>
      <c r="AC313" s="3">
        <f t="shared" si="19"/>
        <v>9.0266203704231884E-2</v>
      </c>
      <c r="AD313" t="str" cm="1">
        <f t="array" ref="AD313">IFERROR(_xlfn.IFS(
    AC313="", "",
    AC313*86400 &lt; 30, "1. 0s - &lt;30s",
    AC313*86400 &lt; 60, "2. 30s - &lt;1m",
    AC313*86400 &lt; 300, "3. 1m - &lt;5m",
    AC313*86400 &lt; 1800, "4. 5m - &lt;30m",
    TRUE, "5. &gt;= 30m"
),"6. Invalid (Order rejected)")</f>
        <v>5. &gt;= 30m</v>
      </c>
    </row>
    <row r="314" spans="1:30" x14ac:dyDescent="0.3">
      <c r="A314" t="s">
        <v>1958</v>
      </c>
      <c r="B314" t="s">
        <v>1819</v>
      </c>
      <c r="C314">
        <v>42814075</v>
      </c>
      <c r="D314">
        <v>2000937</v>
      </c>
      <c r="E314" t="s">
        <v>25</v>
      </c>
      <c r="F314" t="s">
        <v>75</v>
      </c>
      <c r="G314" t="s">
        <v>360</v>
      </c>
      <c r="H314" t="s">
        <v>1959</v>
      </c>
      <c r="I314" t="s">
        <v>1877</v>
      </c>
      <c r="J314" t="s">
        <v>1960</v>
      </c>
      <c r="K314" t="s">
        <v>26</v>
      </c>
      <c r="L314" t="s">
        <v>25</v>
      </c>
      <c r="M314" t="s">
        <v>25</v>
      </c>
      <c r="N314" t="s">
        <v>1880</v>
      </c>
      <c r="O314" t="s">
        <v>1881</v>
      </c>
      <c r="P314" t="s">
        <v>1961</v>
      </c>
      <c r="Q314" t="s">
        <v>1962</v>
      </c>
      <c r="R314">
        <v>240084</v>
      </c>
      <c r="S314">
        <v>186121</v>
      </c>
      <c r="T314">
        <v>53963</v>
      </c>
      <c r="U314" t="s">
        <v>35</v>
      </c>
      <c r="V314" t="s">
        <v>1884</v>
      </c>
      <c r="W314" t="s">
        <v>1963</v>
      </c>
      <c r="X314" s="4">
        <v>1</v>
      </c>
      <c r="Y314" s="4"/>
      <c r="Z314">
        <f t="shared" si="16"/>
        <v>7</v>
      </c>
      <c r="AA314">
        <f t="shared" si="17"/>
        <v>17</v>
      </c>
      <c r="AB314" s="5">
        <f t="shared" si="18"/>
        <v>0.31006944444379769</v>
      </c>
      <c r="AC314" s="3" t="str">
        <f t="shared" si="19"/>
        <v>Order rejected, no time available</v>
      </c>
      <c r="AD314" t="str" cm="1">
        <f t="array" ref="AD314">IFERROR(_xlfn.IFS(
    AC314="", "",
    AC314*86400 &lt; 30, "1. 0s - &lt;30s",
    AC314*86400 &lt; 60, "2. 30s - &lt;1m",
    AC314*86400 &lt; 300, "3. 1m - &lt;5m",
    AC314*86400 &lt; 1800, "4. 5m - &lt;30m",
    TRUE, "5. &gt;= 30m"
),"6. Invalid (Order rejected)")</f>
        <v>6. Invalid (Order rejected)</v>
      </c>
    </row>
    <row r="315" spans="1:30" x14ac:dyDescent="0.3">
      <c r="A315" t="s">
        <v>1964</v>
      </c>
      <c r="B315" t="s">
        <v>1819</v>
      </c>
      <c r="C315">
        <v>42814075</v>
      </c>
      <c r="D315">
        <v>3931651</v>
      </c>
      <c r="E315" t="s">
        <v>25</v>
      </c>
      <c r="F315" t="s">
        <v>75</v>
      </c>
      <c r="G315" t="s">
        <v>360</v>
      </c>
      <c r="H315" t="s">
        <v>1965</v>
      </c>
      <c r="I315" t="s">
        <v>1966</v>
      </c>
      <c r="J315" t="s">
        <v>1967</v>
      </c>
      <c r="K315" t="s">
        <v>26</v>
      </c>
      <c r="L315" t="s">
        <v>25</v>
      </c>
      <c r="M315" t="s">
        <v>25</v>
      </c>
      <c r="N315" t="s">
        <v>1900</v>
      </c>
      <c r="O315" t="s">
        <v>1901</v>
      </c>
      <c r="P315" t="s">
        <v>1968</v>
      </c>
      <c r="Q315" t="s">
        <v>1969</v>
      </c>
      <c r="R315">
        <v>275724</v>
      </c>
      <c r="S315">
        <v>213750</v>
      </c>
      <c r="T315">
        <v>61974</v>
      </c>
      <c r="U315" t="s">
        <v>35</v>
      </c>
      <c r="V315" t="s">
        <v>1904</v>
      </c>
      <c r="W315" t="s">
        <v>1905</v>
      </c>
      <c r="X315" s="4">
        <v>1</v>
      </c>
      <c r="Y315" s="4"/>
      <c r="Z315">
        <f t="shared" si="16"/>
        <v>7</v>
      </c>
      <c r="AA315">
        <f t="shared" si="17"/>
        <v>17</v>
      </c>
      <c r="AB315" s="5">
        <f t="shared" si="18"/>
        <v>0.31103009259095415</v>
      </c>
      <c r="AC315" s="3" t="str">
        <f t="shared" si="19"/>
        <v>Order rejected, no time available</v>
      </c>
      <c r="AD315" t="str" cm="1">
        <f t="array" ref="AD315">IFERROR(_xlfn.IFS(
    AC315="", "",
    AC315*86400 &lt; 30, "1. 0s - &lt;30s",
    AC315*86400 &lt; 60, "2. 30s - &lt;1m",
    AC315*86400 &lt; 300, "3. 1m - &lt;5m",
    AC315*86400 &lt; 1800, "4. 5m - &lt;30m",
    TRUE, "5. &gt;= 30m"
),"6. Invalid (Order rejected)")</f>
        <v>6. Invalid (Order rejected)</v>
      </c>
    </row>
    <row r="316" spans="1:30" hidden="1" x14ac:dyDescent="0.3">
      <c r="A316" t="s">
        <v>1970</v>
      </c>
      <c r="B316" t="s">
        <v>1819</v>
      </c>
      <c r="C316">
        <v>42814075</v>
      </c>
      <c r="D316">
        <v>0</v>
      </c>
      <c r="E316" t="s">
        <v>25</v>
      </c>
      <c r="F316" t="s">
        <v>26</v>
      </c>
      <c r="G316" t="s">
        <v>27</v>
      </c>
      <c r="H316" t="s">
        <v>1971</v>
      </c>
      <c r="I316" t="s">
        <v>1972</v>
      </c>
      <c r="J316" t="s">
        <v>26</v>
      </c>
      <c r="K316" t="s">
        <v>26</v>
      </c>
      <c r="L316" t="s">
        <v>1973</v>
      </c>
      <c r="M316" t="s">
        <v>25</v>
      </c>
      <c r="N316" t="s">
        <v>1974</v>
      </c>
      <c r="O316" t="s">
        <v>1975</v>
      </c>
      <c r="P316" t="s">
        <v>1976</v>
      </c>
      <c r="Q316" t="s">
        <v>1977</v>
      </c>
      <c r="R316">
        <v>214920</v>
      </c>
      <c r="S316">
        <v>0</v>
      </c>
      <c r="T316">
        <v>214920</v>
      </c>
      <c r="U316" t="s">
        <v>35</v>
      </c>
      <c r="V316" t="s">
        <v>1978</v>
      </c>
      <c r="W316" t="s">
        <v>1979</v>
      </c>
      <c r="X316" s="4">
        <v>1</v>
      </c>
      <c r="Y316" s="4"/>
      <c r="Z316">
        <f t="shared" si="16"/>
        <v>7</v>
      </c>
      <c r="AA316">
        <f t="shared" si="17"/>
        <v>17</v>
      </c>
      <c r="AB316" s="5">
        <f t="shared" si="18"/>
        <v>0.31329861110862112</v>
      </c>
      <c r="AC316" s="3">
        <f t="shared" si="19"/>
        <v>0.11524305555940373</v>
      </c>
      <c r="AD316" t="str" cm="1">
        <f t="array" ref="AD316">IFERROR(_xlfn.IFS(
    AC316="", "",
    AC316*86400 &lt; 30, "1. 0s - &lt;30s",
    AC316*86400 &lt; 60, "2. 30s - &lt;1m",
    AC316*86400 &lt; 300, "3. 1m - &lt;5m",
    AC316*86400 &lt; 1800, "4. 5m - &lt;30m",
    TRUE, "5. &gt;= 30m"
),"6. Invalid (Order rejected)")</f>
        <v>5. &gt;= 30m</v>
      </c>
    </row>
    <row r="317" spans="1:30" hidden="1" x14ac:dyDescent="0.3">
      <c r="A317" t="s">
        <v>1980</v>
      </c>
      <c r="B317" t="s">
        <v>1819</v>
      </c>
      <c r="C317">
        <v>42814075</v>
      </c>
      <c r="D317">
        <v>0</v>
      </c>
      <c r="E317" t="s">
        <v>25</v>
      </c>
      <c r="F317" t="s">
        <v>26</v>
      </c>
      <c r="G317" t="s">
        <v>27</v>
      </c>
      <c r="H317" t="s">
        <v>1981</v>
      </c>
      <c r="I317" t="s">
        <v>1982</v>
      </c>
      <c r="J317" t="s">
        <v>26</v>
      </c>
      <c r="K317" t="s">
        <v>26</v>
      </c>
      <c r="L317" t="s">
        <v>1983</v>
      </c>
      <c r="M317" t="s">
        <v>25</v>
      </c>
      <c r="N317" t="s">
        <v>1568</v>
      </c>
      <c r="O317" t="s">
        <v>1569</v>
      </c>
      <c r="P317" t="s">
        <v>1840</v>
      </c>
      <c r="Q317" t="s">
        <v>1841</v>
      </c>
      <c r="R317">
        <v>219780</v>
      </c>
      <c r="S317">
        <v>0</v>
      </c>
      <c r="T317">
        <v>219780</v>
      </c>
      <c r="U317" t="s">
        <v>35</v>
      </c>
      <c r="V317" t="s">
        <v>1572</v>
      </c>
      <c r="W317" t="s">
        <v>1843</v>
      </c>
      <c r="X317" s="4">
        <v>1</v>
      </c>
      <c r="Y317" s="4"/>
      <c r="Z317">
        <f t="shared" si="16"/>
        <v>7</v>
      </c>
      <c r="AA317">
        <f t="shared" si="17"/>
        <v>17</v>
      </c>
      <c r="AB317" s="5">
        <f t="shared" si="18"/>
        <v>0.320347222223063</v>
      </c>
      <c r="AC317" s="3">
        <f t="shared" si="19"/>
        <v>9.0277777773735579E-2</v>
      </c>
      <c r="AD317" t="str" cm="1">
        <f t="array" ref="AD317">IFERROR(_xlfn.IFS(
    AC317="", "",
    AC317*86400 &lt; 30, "1. 0s - &lt;30s",
    AC317*86400 &lt; 60, "2. 30s - &lt;1m",
    AC317*86400 &lt; 300, "3. 1m - &lt;5m",
    AC317*86400 &lt; 1800, "4. 5m - &lt;30m",
    TRUE, "5. &gt;= 30m"
),"6. Invalid (Order rejected)")</f>
        <v>5. &gt;= 30m</v>
      </c>
    </row>
    <row r="318" spans="1:30" x14ac:dyDescent="0.3">
      <c r="A318" t="s">
        <v>1984</v>
      </c>
      <c r="B318" t="s">
        <v>1819</v>
      </c>
      <c r="C318">
        <v>42814075</v>
      </c>
      <c r="D318">
        <v>4142943</v>
      </c>
      <c r="E318" t="s">
        <v>25</v>
      </c>
      <c r="F318" t="s">
        <v>75</v>
      </c>
      <c r="G318" t="s">
        <v>360</v>
      </c>
      <c r="H318" t="s">
        <v>1985</v>
      </c>
      <c r="I318" t="s">
        <v>1986</v>
      </c>
      <c r="J318" t="s">
        <v>1987</v>
      </c>
      <c r="K318" t="s">
        <v>1988</v>
      </c>
      <c r="L318" t="s">
        <v>25</v>
      </c>
      <c r="M318" t="s">
        <v>25</v>
      </c>
      <c r="N318" t="s">
        <v>1568</v>
      </c>
      <c r="O318" t="s">
        <v>1569</v>
      </c>
      <c r="P318" t="s">
        <v>1989</v>
      </c>
      <c r="Q318" t="s">
        <v>1990</v>
      </c>
      <c r="R318">
        <v>208548</v>
      </c>
      <c r="S318">
        <v>161673</v>
      </c>
      <c r="T318">
        <v>46875</v>
      </c>
      <c r="U318" t="s">
        <v>35</v>
      </c>
      <c r="V318" t="s">
        <v>1572</v>
      </c>
      <c r="W318" t="s">
        <v>1991</v>
      </c>
      <c r="X318" s="4">
        <v>1</v>
      </c>
      <c r="Y318" s="4"/>
      <c r="Z318">
        <f t="shared" si="16"/>
        <v>7</v>
      </c>
      <c r="AA318">
        <f t="shared" si="17"/>
        <v>17</v>
      </c>
      <c r="AB318" s="5">
        <f t="shared" si="18"/>
        <v>0.32057870370044839</v>
      </c>
      <c r="AC318" s="3" t="str">
        <f t="shared" si="19"/>
        <v>Order rejected, no time available</v>
      </c>
      <c r="AD318" t="str" cm="1">
        <f t="array" ref="AD318">IFERROR(_xlfn.IFS(
    AC318="", "",
    AC318*86400 &lt; 30, "1. 0s - &lt;30s",
    AC318*86400 &lt; 60, "2. 30s - &lt;1m",
    AC318*86400 &lt; 300, "3. 1m - &lt;5m",
    AC318*86400 &lt; 1800, "4. 5m - &lt;30m",
    TRUE, "5. &gt;= 30m"
),"6. Invalid (Order rejected)")</f>
        <v>6. Invalid (Order rejected)</v>
      </c>
    </row>
    <row r="319" spans="1:30" hidden="1" x14ac:dyDescent="0.3">
      <c r="A319" t="s">
        <v>1992</v>
      </c>
      <c r="B319" t="s">
        <v>1819</v>
      </c>
      <c r="C319">
        <v>42814075</v>
      </c>
      <c r="D319">
        <v>0</v>
      </c>
      <c r="E319" t="s">
        <v>25</v>
      </c>
      <c r="F319" t="s">
        <v>26</v>
      </c>
      <c r="G319" t="s">
        <v>27</v>
      </c>
      <c r="H319" t="s">
        <v>1993</v>
      </c>
      <c r="I319" t="s">
        <v>1994</v>
      </c>
      <c r="J319" t="s">
        <v>26</v>
      </c>
      <c r="K319" t="s">
        <v>26</v>
      </c>
      <c r="L319" t="s">
        <v>1995</v>
      </c>
      <c r="M319" t="s">
        <v>25</v>
      </c>
      <c r="N319" t="s">
        <v>1911</v>
      </c>
      <c r="O319" t="s">
        <v>1912</v>
      </c>
      <c r="P319" t="s">
        <v>1996</v>
      </c>
      <c r="Q319" t="s">
        <v>1997</v>
      </c>
      <c r="R319">
        <v>240192</v>
      </c>
      <c r="S319">
        <v>0</v>
      </c>
      <c r="T319">
        <v>240192</v>
      </c>
      <c r="U319" t="s">
        <v>35</v>
      </c>
      <c r="V319" t="s">
        <v>1915</v>
      </c>
      <c r="W319" t="s">
        <v>1937</v>
      </c>
      <c r="X319" s="4">
        <v>1</v>
      </c>
      <c r="Y319" s="4"/>
      <c r="Z319">
        <f t="shared" si="16"/>
        <v>7</v>
      </c>
      <c r="AA319">
        <f t="shared" si="17"/>
        <v>17</v>
      </c>
      <c r="AB319" s="5">
        <f t="shared" si="18"/>
        <v>0.31509259259473765</v>
      </c>
      <c r="AC319" s="3">
        <f t="shared" si="19"/>
        <v>9.0266203704231884E-2</v>
      </c>
      <c r="AD319" t="str" cm="1">
        <f t="array" ref="AD319">IFERROR(_xlfn.IFS(
    AC319="", "",
    AC319*86400 &lt; 30, "1. 0s - &lt;30s",
    AC319*86400 &lt; 60, "2. 30s - &lt;1m",
    AC319*86400 &lt; 300, "3. 1m - &lt;5m",
    AC319*86400 &lt; 1800, "4. 5m - &lt;30m",
    TRUE, "5. &gt;= 30m"
),"6. Invalid (Order rejected)")</f>
        <v>5. &gt;= 30m</v>
      </c>
    </row>
    <row r="320" spans="1:30" hidden="1" x14ac:dyDescent="0.3">
      <c r="A320" t="s">
        <v>1998</v>
      </c>
      <c r="B320" t="s">
        <v>1819</v>
      </c>
      <c r="C320">
        <v>42814075</v>
      </c>
      <c r="D320">
        <v>4179701</v>
      </c>
      <c r="E320" t="s">
        <v>25</v>
      </c>
      <c r="F320" t="s">
        <v>75</v>
      </c>
      <c r="G320" t="s">
        <v>76</v>
      </c>
      <c r="H320" t="s">
        <v>1999</v>
      </c>
      <c r="I320" t="s">
        <v>2000</v>
      </c>
      <c r="J320" t="s">
        <v>2001</v>
      </c>
      <c r="K320" t="s">
        <v>26</v>
      </c>
      <c r="L320" t="s">
        <v>2002</v>
      </c>
      <c r="M320" t="s">
        <v>25</v>
      </c>
      <c r="N320" t="s">
        <v>1568</v>
      </c>
      <c r="O320" t="s">
        <v>1569</v>
      </c>
      <c r="P320" t="s">
        <v>1741</v>
      </c>
      <c r="Q320" t="s">
        <v>1742</v>
      </c>
      <c r="R320">
        <v>289224</v>
      </c>
      <c r="S320">
        <v>237405</v>
      </c>
      <c r="T320">
        <v>51819</v>
      </c>
      <c r="U320" t="s">
        <v>35</v>
      </c>
      <c r="V320" t="s">
        <v>1572</v>
      </c>
      <c r="W320" t="s">
        <v>1743</v>
      </c>
      <c r="X320" s="4">
        <v>1</v>
      </c>
      <c r="Y320" s="4"/>
      <c r="Z320">
        <f t="shared" si="16"/>
        <v>7</v>
      </c>
      <c r="AA320">
        <f t="shared" si="17"/>
        <v>17</v>
      </c>
      <c r="AB320" s="5">
        <f t="shared" si="18"/>
        <v>0.31922453703737119</v>
      </c>
      <c r="AC320" s="3">
        <f t="shared" si="19"/>
        <v>5.1273148128530011E-3</v>
      </c>
      <c r="AD320" t="str" cm="1">
        <f t="array" ref="AD320">IFERROR(_xlfn.IFS(
    AC320="", "",
    AC320*86400 &lt; 30, "1. 0s - &lt;30s",
    AC320*86400 &lt; 60, "2. 30s - &lt;1m",
    AC320*86400 &lt; 300, "3. 1m - &lt;5m",
    AC320*86400 &lt; 1800, "4. 5m - &lt;30m",
    TRUE, "5. &gt;= 30m"
),"6. Invalid (Order rejected)")</f>
        <v>4. 5m - &lt;30m</v>
      </c>
    </row>
    <row r="321" spans="1:30" hidden="1" x14ac:dyDescent="0.3">
      <c r="A321" t="s">
        <v>2003</v>
      </c>
      <c r="B321" t="s">
        <v>1819</v>
      </c>
      <c r="C321">
        <v>42814075</v>
      </c>
      <c r="D321">
        <v>0</v>
      </c>
      <c r="E321" t="s">
        <v>25</v>
      </c>
      <c r="F321" t="s">
        <v>26</v>
      </c>
      <c r="G321" t="s">
        <v>27</v>
      </c>
      <c r="H321" t="s">
        <v>2004</v>
      </c>
      <c r="I321" t="s">
        <v>2005</v>
      </c>
      <c r="J321" t="s">
        <v>26</v>
      </c>
      <c r="K321" t="s">
        <v>26</v>
      </c>
      <c r="L321" t="s">
        <v>2006</v>
      </c>
      <c r="M321" t="s">
        <v>25</v>
      </c>
      <c r="N321" t="s">
        <v>1568</v>
      </c>
      <c r="O321" t="s">
        <v>1569</v>
      </c>
      <c r="P321" t="s">
        <v>1840</v>
      </c>
      <c r="Q321" t="s">
        <v>1841</v>
      </c>
      <c r="R321">
        <v>219780</v>
      </c>
      <c r="S321">
        <v>0</v>
      </c>
      <c r="T321">
        <v>219780</v>
      </c>
      <c r="U321" t="s">
        <v>35</v>
      </c>
      <c r="V321" t="s">
        <v>1572</v>
      </c>
      <c r="W321" t="s">
        <v>1843</v>
      </c>
      <c r="X321" s="4">
        <v>1</v>
      </c>
      <c r="Y321" s="4"/>
      <c r="Z321">
        <f t="shared" si="16"/>
        <v>7</v>
      </c>
      <c r="AA321">
        <f t="shared" si="17"/>
        <v>17</v>
      </c>
      <c r="AB321" s="5">
        <f t="shared" si="18"/>
        <v>0.32009259259211831</v>
      </c>
      <c r="AC321" s="3">
        <f t="shared" si="19"/>
        <v>9.0277777781011537E-2</v>
      </c>
      <c r="AD321" t="str" cm="1">
        <f t="array" ref="AD321">IFERROR(_xlfn.IFS(
    AC321="", "",
    AC321*86400 &lt; 30, "1. 0s - &lt;30s",
    AC321*86400 &lt; 60, "2. 30s - &lt;1m",
    AC321*86400 &lt; 300, "3. 1m - &lt;5m",
    AC321*86400 &lt; 1800, "4. 5m - &lt;30m",
    TRUE, "5. &gt;= 30m"
),"6. Invalid (Order rejected)")</f>
        <v>5. &gt;= 30m</v>
      </c>
    </row>
    <row r="322" spans="1:30" hidden="1" x14ac:dyDescent="0.3">
      <c r="A322" t="s">
        <v>2007</v>
      </c>
      <c r="B322" t="s">
        <v>1819</v>
      </c>
      <c r="C322">
        <v>42814075</v>
      </c>
      <c r="D322">
        <v>0</v>
      </c>
      <c r="E322" t="s">
        <v>25</v>
      </c>
      <c r="F322" t="s">
        <v>26</v>
      </c>
      <c r="G322" t="s">
        <v>27</v>
      </c>
      <c r="H322" t="s">
        <v>2008</v>
      </c>
      <c r="I322" t="s">
        <v>2009</v>
      </c>
      <c r="J322" t="s">
        <v>26</v>
      </c>
      <c r="K322" t="s">
        <v>26</v>
      </c>
      <c r="L322" t="s">
        <v>2010</v>
      </c>
      <c r="M322" t="s">
        <v>25</v>
      </c>
      <c r="N322" t="s">
        <v>1974</v>
      </c>
      <c r="O322" t="s">
        <v>1975</v>
      </c>
      <c r="P322" t="s">
        <v>2011</v>
      </c>
      <c r="Q322" t="s">
        <v>2012</v>
      </c>
      <c r="R322">
        <v>297000</v>
      </c>
      <c r="S322">
        <v>0</v>
      </c>
      <c r="T322">
        <v>297000</v>
      </c>
      <c r="U322" t="s">
        <v>35</v>
      </c>
      <c r="V322" t="s">
        <v>1978</v>
      </c>
      <c r="W322" t="s">
        <v>2013</v>
      </c>
      <c r="X322" s="4">
        <v>1</v>
      </c>
      <c r="Y322" s="4"/>
      <c r="Z322">
        <f t="shared" si="16"/>
        <v>7</v>
      </c>
      <c r="AA322">
        <f t="shared" si="17"/>
        <v>17</v>
      </c>
      <c r="AB322" s="5">
        <f t="shared" si="18"/>
        <v>0.3138773148166365</v>
      </c>
      <c r="AC322" s="3">
        <f t="shared" si="19"/>
        <v>0.10355324074043892</v>
      </c>
      <c r="AD322" t="str" cm="1">
        <f t="array" ref="AD322">IFERROR(_xlfn.IFS(
    AC322="", "",
    AC322*86400 &lt; 30, "1. 0s - &lt;30s",
    AC322*86400 &lt; 60, "2. 30s - &lt;1m",
    AC322*86400 &lt; 300, "3. 1m - &lt;5m",
    AC322*86400 &lt; 1800, "4. 5m - &lt;30m",
    TRUE, "5. &gt;= 30m"
),"6. Invalid (Order rejected)")</f>
        <v>5. &gt;= 30m</v>
      </c>
    </row>
    <row r="323" spans="1:30" hidden="1" x14ac:dyDescent="0.3">
      <c r="A323" t="s">
        <v>2014</v>
      </c>
      <c r="B323" t="s">
        <v>1819</v>
      </c>
      <c r="C323">
        <v>42814075</v>
      </c>
      <c r="D323">
        <v>4221159</v>
      </c>
      <c r="E323" t="s">
        <v>25</v>
      </c>
      <c r="F323" t="s">
        <v>75</v>
      </c>
      <c r="G323" t="s">
        <v>76</v>
      </c>
      <c r="H323" t="s">
        <v>2015</v>
      </c>
      <c r="I323" t="s">
        <v>2016</v>
      </c>
      <c r="J323" t="s">
        <v>2017</v>
      </c>
      <c r="K323" t="s">
        <v>26</v>
      </c>
      <c r="L323" t="s">
        <v>2018</v>
      </c>
      <c r="M323" t="s">
        <v>25</v>
      </c>
      <c r="N323" t="s">
        <v>1948</v>
      </c>
      <c r="O323" t="s">
        <v>1949</v>
      </c>
      <c r="P323" t="s">
        <v>2019</v>
      </c>
      <c r="Q323" t="s">
        <v>2020</v>
      </c>
      <c r="R323">
        <v>168480</v>
      </c>
      <c r="S323">
        <v>130611</v>
      </c>
      <c r="T323">
        <v>37869</v>
      </c>
      <c r="U323" t="s">
        <v>35</v>
      </c>
      <c r="V323" t="s">
        <v>1952</v>
      </c>
      <c r="W323" t="s">
        <v>2021</v>
      </c>
      <c r="X323" s="4">
        <v>1</v>
      </c>
      <c r="Y323" s="4"/>
      <c r="Z323">
        <f t="shared" ref="Z323:Z386" si="20">MONTH(H323)</f>
        <v>7</v>
      </c>
      <c r="AA323">
        <f t="shared" ref="AA323:AA386" si="21">DAY(H323)</f>
        <v>17</v>
      </c>
      <c r="AB323" s="5">
        <f t="shared" ref="AB323:AB386" si="22">MOD(H323, 1)</f>
        <v>0.31775462962832535</v>
      </c>
      <c r="AC323" s="3">
        <f t="shared" ref="AC323:AC386" si="23">IFERROR(IF(M323="",L323-H323,M323-H323),"Order rejected, no time available")</f>
        <v>0.14550925925868796</v>
      </c>
      <c r="AD323" t="str" cm="1">
        <f t="array" ref="AD323">IFERROR(_xlfn.IFS(
    AC323="", "",
    AC323*86400 &lt; 30, "1. 0s - &lt;30s",
    AC323*86400 &lt; 60, "2. 30s - &lt;1m",
    AC323*86400 &lt; 300, "3. 1m - &lt;5m",
    AC323*86400 &lt; 1800, "4. 5m - &lt;30m",
    TRUE, "5. &gt;= 30m"
),"6. Invalid (Order rejected)")</f>
        <v>5. &gt;= 30m</v>
      </c>
    </row>
    <row r="324" spans="1:30" x14ac:dyDescent="0.3">
      <c r="A324" t="s">
        <v>2022</v>
      </c>
      <c r="B324" t="s">
        <v>1819</v>
      </c>
      <c r="C324">
        <v>42814075</v>
      </c>
      <c r="D324">
        <v>3443850</v>
      </c>
      <c r="E324" t="s">
        <v>25</v>
      </c>
      <c r="F324" t="s">
        <v>75</v>
      </c>
      <c r="G324" t="s">
        <v>360</v>
      </c>
      <c r="H324" t="s">
        <v>2023</v>
      </c>
      <c r="I324" t="s">
        <v>2024</v>
      </c>
      <c r="J324" t="s">
        <v>2025</v>
      </c>
      <c r="K324" t="s">
        <v>26</v>
      </c>
      <c r="L324" t="s">
        <v>25</v>
      </c>
      <c r="M324" t="s">
        <v>25</v>
      </c>
      <c r="N324" t="s">
        <v>1578</v>
      </c>
      <c r="O324" t="s">
        <v>1579</v>
      </c>
      <c r="P324" t="s">
        <v>1961</v>
      </c>
      <c r="Q324" t="s">
        <v>1962</v>
      </c>
      <c r="R324">
        <v>224532</v>
      </c>
      <c r="S324">
        <v>174064</v>
      </c>
      <c r="T324">
        <v>50468</v>
      </c>
      <c r="U324" t="s">
        <v>35</v>
      </c>
      <c r="V324" t="s">
        <v>1580</v>
      </c>
      <c r="W324" t="s">
        <v>1963</v>
      </c>
      <c r="X324" s="4">
        <v>1</v>
      </c>
      <c r="Y324" s="4"/>
      <c r="Z324">
        <f t="shared" si="20"/>
        <v>7</v>
      </c>
      <c r="AA324">
        <f t="shared" si="21"/>
        <v>17</v>
      </c>
      <c r="AB324" s="5">
        <f t="shared" si="22"/>
        <v>0.32266203704057261</v>
      </c>
      <c r="AC324" s="3" t="str">
        <f t="shared" si="23"/>
        <v>Order rejected, no time available</v>
      </c>
      <c r="AD324" t="str" cm="1">
        <f t="array" ref="AD324">IFERROR(_xlfn.IFS(
    AC324="", "",
    AC324*86400 &lt; 30, "1. 0s - &lt;30s",
    AC324*86400 &lt; 60, "2. 30s - &lt;1m",
    AC324*86400 &lt; 300, "3. 1m - &lt;5m",
    AC324*86400 &lt; 1800, "4. 5m - &lt;30m",
    TRUE, "5. &gt;= 30m"
),"6. Invalid (Order rejected)")</f>
        <v>6. Invalid (Order rejected)</v>
      </c>
    </row>
    <row r="325" spans="1:30" hidden="1" x14ac:dyDescent="0.3">
      <c r="A325" t="s">
        <v>2026</v>
      </c>
      <c r="B325" t="s">
        <v>1819</v>
      </c>
      <c r="C325">
        <v>42814075</v>
      </c>
      <c r="D325">
        <v>0</v>
      </c>
      <c r="E325" t="s">
        <v>25</v>
      </c>
      <c r="F325" t="s">
        <v>26</v>
      </c>
      <c r="G325" t="s">
        <v>27</v>
      </c>
      <c r="H325" t="s">
        <v>2027</v>
      </c>
      <c r="I325" t="s">
        <v>2028</v>
      </c>
      <c r="J325" t="s">
        <v>26</v>
      </c>
      <c r="K325" t="s">
        <v>26</v>
      </c>
      <c r="L325" t="s">
        <v>2029</v>
      </c>
      <c r="M325" t="s">
        <v>25</v>
      </c>
      <c r="N325" t="s">
        <v>1568</v>
      </c>
      <c r="O325" t="s">
        <v>1569</v>
      </c>
      <c r="P325" t="s">
        <v>1741</v>
      </c>
      <c r="Q325" t="s">
        <v>1742</v>
      </c>
      <c r="R325">
        <v>278424</v>
      </c>
      <c r="S325">
        <v>0</v>
      </c>
      <c r="T325">
        <v>278424</v>
      </c>
      <c r="U325" t="s">
        <v>35</v>
      </c>
      <c r="V325" t="s">
        <v>1572</v>
      </c>
      <c r="W325" t="s">
        <v>1743</v>
      </c>
      <c r="X325" s="4">
        <v>1</v>
      </c>
      <c r="Y325" s="4"/>
      <c r="Z325">
        <f t="shared" si="20"/>
        <v>7</v>
      </c>
      <c r="AA325">
        <f t="shared" si="21"/>
        <v>17</v>
      </c>
      <c r="AB325" s="5">
        <f t="shared" si="22"/>
        <v>0.31939814814541023</v>
      </c>
      <c r="AC325" s="3">
        <f t="shared" si="23"/>
        <v>0.18693287037604023</v>
      </c>
      <c r="AD325" t="str" cm="1">
        <f t="array" ref="AD325">IFERROR(_xlfn.IFS(
    AC325="", "",
    AC325*86400 &lt; 30, "1. 0s - &lt;30s",
    AC325*86400 &lt; 60, "2. 30s - &lt;1m",
    AC325*86400 &lt; 300, "3. 1m - &lt;5m",
    AC325*86400 &lt; 1800, "4. 5m - &lt;30m",
    TRUE, "5. &gt;= 30m"
),"6. Invalid (Order rejected)")</f>
        <v>5. &gt;= 30m</v>
      </c>
    </row>
    <row r="326" spans="1:30" hidden="1" x14ac:dyDescent="0.3">
      <c r="A326" t="s">
        <v>2030</v>
      </c>
      <c r="B326" t="s">
        <v>1819</v>
      </c>
      <c r="C326">
        <v>42814075</v>
      </c>
      <c r="D326">
        <v>0</v>
      </c>
      <c r="E326" t="s">
        <v>25</v>
      </c>
      <c r="F326" t="s">
        <v>26</v>
      </c>
      <c r="G326" t="s">
        <v>27</v>
      </c>
      <c r="H326" t="s">
        <v>2031</v>
      </c>
      <c r="I326" t="s">
        <v>2032</v>
      </c>
      <c r="J326" t="s">
        <v>26</v>
      </c>
      <c r="K326" t="s">
        <v>26</v>
      </c>
      <c r="L326" t="s">
        <v>2033</v>
      </c>
      <c r="M326" t="s">
        <v>25</v>
      </c>
      <c r="N326" t="s">
        <v>1578</v>
      </c>
      <c r="O326" t="s">
        <v>1579</v>
      </c>
      <c r="P326" t="s">
        <v>1961</v>
      </c>
      <c r="Q326" t="s">
        <v>1962</v>
      </c>
      <c r="R326">
        <v>325188</v>
      </c>
      <c r="S326">
        <v>0</v>
      </c>
      <c r="T326">
        <v>325188</v>
      </c>
      <c r="U326" t="s">
        <v>35</v>
      </c>
      <c r="V326" t="s">
        <v>1580</v>
      </c>
      <c r="W326" t="s">
        <v>1963</v>
      </c>
      <c r="X326" s="4">
        <v>1</v>
      </c>
      <c r="Y326" s="4"/>
      <c r="Z326">
        <f t="shared" si="20"/>
        <v>7</v>
      </c>
      <c r="AA326">
        <f t="shared" si="21"/>
        <v>17</v>
      </c>
      <c r="AB326" s="5">
        <f t="shared" si="22"/>
        <v>0.32241898147913162</v>
      </c>
      <c r="AC326" s="3">
        <f t="shared" si="23"/>
        <v>0.10418981481780065</v>
      </c>
      <c r="AD326" t="str" cm="1">
        <f t="array" ref="AD326">IFERROR(_xlfn.IFS(
    AC326="", "",
    AC326*86400 &lt; 30, "1. 0s - &lt;30s",
    AC326*86400 &lt; 60, "2. 30s - &lt;1m",
    AC326*86400 &lt; 300, "3. 1m - &lt;5m",
    AC326*86400 &lt; 1800, "4. 5m - &lt;30m",
    TRUE, "5. &gt;= 30m"
),"6. Invalid (Order rejected)")</f>
        <v>5. &gt;= 30m</v>
      </c>
    </row>
    <row r="327" spans="1:30" hidden="1" x14ac:dyDescent="0.3">
      <c r="A327" t="s">
        <v>2034</v>
      </c>
      <c r="B327" t="s">
        <v>1819</v>
      </c>
      <c r="C327">
        <v>42814075</v>
      </c>
      <c r="D327">
        <v>4458430</v>
      </c>
      <c r="E327" t="s">
        <v>25</v>
      </c>
      <c r="F327" t="s">
        <v>75</v>
      </c>
      <c r="G327" t="s">
        <v>76</v>
      </c>
      <c r="H327" t="s">
        <v>2035</v>
      </c>
      <c r="I327" t="s">
        <v>2036</v>
      </c>
      <c r="J327" t="s">
        <v>2037</v>
      </c>
      <c r="K327" t="s">
        <v>26</v>
      </c>
      <c r="L327" t="s">
        <v>2038</v>
      </c>
      <c r="M327" t="s">
        <v>25</v>
      </c>
      <c r="N327" t="s">
        <v>1578</v>
      </c>
      <c r="O327" t="s">
        <v>1579</v>
      </c>
      <c r="P327" t="s">
        <v>2039</v>
      </c>
      <c r="Q327" t="s">
        <v>2040</v>
      </c>
      <c r="R327">
        <v>352944</v>
      </c>
      <c r="S327">
        <v>273613</v>
      </c>
      <c r="T327">
        <v>79331</v>
      </c>
      <c r="U327" t="s">
        <v>35</v>
      </c>
      <c r="V327" t="s">
        <v>1580</v>
      </c>
      <c r="W327" t="s">
        <v>2041</v>
      </c>
      <c r="X327" s="4">
        <v>1</v>
      </c>
      <c r="Y327" s="4"/>
      <c r="Z327">
        <f t="shared" si="20"/>
        <v>7</v>
      </c>
      <c r="AA327">
        <f t="shared" si="21"/>
        <v>17</v>
      </c>
      <c r="AB327" s="5">
        <f t="shared" si="22"/>
        <v>0.32378472221898846</v>
      </c>
      <c r="AC327" s="3">
        <f t="shared" si="23"/>
        <v>3.2534722224227153E-2</v>
      </c>
      <c r="AD327" t="str" cm="1">
        <f t="array" ref="AD327">IFERROR(_xlfn.IFS(
    AC327="", "",
    AC327*86400 &lt; 30, "1. 0s - &lt;30s",
    AC327*86400 &lt; 60, "2. 30s - &lt;1m",
    AC327*86400 &lt; 300, "3. 1m - &lt;5m",
    AC327*86400 &lt; 1800, "4. 5m - &lt;30m",
    TRUE, "5. &gt;= 30m"
),"6. Invalid (Order rejected)")</f>
        <v>5. &gt;= 30m</v>
      </c>
    </row>
    <row r="328" spans="1:30" hidden="1" x14ac:dyDescent="0.3">
      <c r="A328" t="s">
        <v>2042</v>
      </c>
      <c r="B328" t="s">
        <v>1819</v>
      </c>
      <c r="C328">
        <v>42814075</v>
      </c>
      <c r="D328">
        <v>0</v>
      </c>
      <c r="E328" t="s">
        <v>25</v>
      </c>
      <c r="F328" t="s">
        <v>26</v>
      </c>
      <c r="G328" t="s">
        <v>27</v>
      </c>
      <c r="H328" t="s">
        <v>2043</v>
      </c>
      <c r="I328" t="s">
        <v>2044</v>
      </c>
      <c r="J328" t="s">
        <v>26</v>
      </c>
      <c r="K328" t="s">
        <v>26</v>
      </c>
      <c r="L328" t="s">
        <v>2045</v>
      </c>
      <c r="M328" t="s">
        <v>25</v>
      </c>
      <c r="N328" t="s">
        <v>2046</v>
      </c>
      <c r="O328" t="s">
        <v>2047</v>
      </c>
      <c r="P328" t="s">
        <v>2048</v>
      </c>
      <c r="Q328" t="s">
        <v>2049</v>
      </c>
      <c r="R328">
        <v>243540</v>
      </c>
      <c r="S328">
        <v>0</v>
      </c>
      <c r="T328">
        <v>243540</v>
      </c>
      <c r="U328" t="s">
        <v>35</v>
      </c>
      <c r="V328" t="s">
        <v>2050</v>
      </c>
      <c r="W328" t="s">
        <v>2051</v>
      </c>
      <c r="X328" s="4">
        <v>1</v>
      </c>
      <c r="Y328" s="4"/>
      <c r="Z328">
        <f t="shared" si="20"/>
        <v>7</v>
      </c>
      <c r="AA328">
        <f t="shared" si="21"/>
        <v>17</v>
      </c>
      <c r="AB328" s="5">
        <f t="shared" si="22"/>
        <v>0.32451388888875954</v>
      </c>
      <c r="AC328" s="3">
        <f t="shared" si="23"/>
        <v>9.0266203704231884E-2</v>
      </c>
      <c r="AD328" t="str" cm="1">
        <f t="array" ref="AD328">IFERROR(_xlfn.IFS(
    AC328="", "",
    AC328*86400 &lt; 30, "1. 0s - &lt;30s",
    AC328*86400 &lt; 60, "2. 30s - &lt;1m",
    AC328*86400 &lt; 300, "3. 1m - &lt;5m",
    AC328*86400 &lt; 1800, "4. 5m - &lt;30m",
    TRUE, "5. &gt;= 30m"
),"6. Invalid (Order rejected)")</f>
        <v>5. &gt;= 30m</v>
      </c>
    </row>
    <row r="329" spans="1:30" x14ac:dyDescent="0.3">
      <c r="A329" t="s">
        <v>2052</v>
      </c>
      <c r="B329" t="s">
        <v>1819</v>
      </c>
      <c r="C329">
        <v>42814075</v>
      </c>
      <c r="D329">
        <v>3104174</v>
      </c>
      <c r="E329" t="s">
        <v>25</v>
      </c>
      <c r="F329" t="s">
        <v>75</v>
      </c>
      <c r="G329" t="s">
        <v>360</v>
      </c>
      <c r="H329" t="s">
        <v>2037</v>
      </c>
      <c r="I329" t="s">
        <v>2053</v>
      </c>
      <c r="J329" t="s">
        <v>2054</v>
      </c>
      <c r="K329" t="s">
        <v>26</v>
      </c>
      <c r="L329" t="s">
        <v>25</v>
      </c>
      <c r="M329" t="s">
        <v>25</v>
      </c>
      <c r="N329" t="s">
        <v>2046</v>
      </c>
      <c r="O329" t="s">
        <v>2047</v>
      </c>
      <c r="P329" t="s">
        <v>342</v>
      </c>
      <c r="Q329" t="s">
        <v>343</v>
      </c>
      <c r="R329">
        <v>150012</v>
      </c>
      <c r="S329">
        <v>116294</v>
      </c>
      <c r="T329">
        <v>33718</v>
      </c>
      <c r="U329" t="s">
        <v>35</v>
      </c>
      <c r="V329" t="s">
        <v>2050</v>
      </c>
      <c r="W329" t="s">
        <v>344</v>
      </c>
      <c r="X329" s="4">
        <v>1</v>
      </c>
      <c r="Y329" s="4"/>
      <c r="Z329">
        <f t="shared" si="20"/>
        <v>7</v>
      </c>
      <c r="AA329">
        <f t="shared" si="21"/>
        <v>17</v>
      </c>
      <c r="AB329" s="5">
        <f t="shared" si="22"/>
        <v>0.32623842592875008</v>
      </c>
      <c r="AC329" s="3" t="str">
        <f t="shared" si="23"/>
        <v>Order rejected, no time available</v>
      </c>
      <c r="AD329" t="str" cm="1">
        <f t="array" ref="AD329">IFERROR(_xlfn.IFS(
    AC329="", "",
    AC329*86400 &lt; 30, "1. 0s - &lt;30s",
    AC329*86400 &lt; 60, "2. 30s - &lt;1m",
    AC329*86400 &lt; 300, "3. 1m - &lt;5m",
    AC329*86400 &lt; 1800, "4. 5m - &lt;30m",
    TRUE, "5. &gt;= 30m"
),"6. Invalid (Order rejected)")</f>
        <v>6. Invalid (Order rejected)</v>
      </c>
    </row>
    <row r="330" spans="1:30" hidden="1" x14ac:dyDescent="0.3">
      <c r="A330" t="s">
        <v>2055</v>
      </c>
      <c r="B330" t="s">
        <v>1819</v>
      </c>
      <c r="C330">
        <v>42814075</v>
      </c>
      <c r="D330">
        <v>0</v>
      </c>
      <c r="E330" t="s">
        <v>25</v>
      </c>
      <c r="F330" t="s">
        <v>26</v>
      </c>
      <c r="G330" t="s">
        <v>27</v>
      </c>
      <c r="H330" t="s">
        <v>2056</v>
      </c>
      <c r="I330" t="s">
        <v>2057</v>
      </c>
      <c r="J330" t="s">
        <v>26</v>
      </c>
      <c r="K330" t="s">
        <v>26</v>
      </c>
      <c r="L330" t="s">
        <v>2058</v>
      </c>
      <c r="M330" t="s">
        <v>25</v>
      </c>
      <c r="N330" t="s">
        <v>1568</v>
      </c>
      <c r="O330" t="s">
        <v>1569</v>
      </c>
      <c r="P330" t="s">
        <v>1624</v>
      </c>
      <c r="Q330" t="s">
        <v>1625</v>
      </c>
      <c r="R330">
        <v>294300</v>
      </c>
      <c r="S330">
        <v>0</v>
      </c>
      <c r="T330">
        <v>294300</v>
      </c>
      <c r="U330" t="s">
        <v>35</v>
      </c>
      <c r="V330" t="s">
        <v>1572</v>
      </c>
      <c r="W330" t="s">
        <v>1626</v>
      </c>
      <c r="X330" s="4">
        <v>1</v>
      </c>
      <c r="Y330" s="4"/>
      <c r="Z330">
        <f t="shared" si="20"/>
        <v>7</v>
      </c>
      <c r="AA330">
        <f t="shared" si="21"/>
        <v>17</v>
      </c>
      <c r="AB330" s="5">
        <f t="shared" si="22"/>
        <v>0.32121527777781012</v>
      </c>
      <c r="AC330" s="3">
        <f t="shared" si="23"/>
        <v>9.4664351854589768E-2</v>
      </c>
      <c r="AD330" t="str" cm="1">
        <f t="array" ref="AD330">IFERROR(_xlfn.IFS(
    AC330="", "",
    AC330*86400 &lt; 30, "1. 0s - &lt;30s",
    AC330*86400 &lt; 60, "2. 30s - &lt;1m",
    AC330*86400 &lt; 300, "3. 1m - &lt;5m",
    AC330*86400 &lt; 1800, "4. 5m - &lt;30m",
    TRUE, "5. &gt;= 30m"
),"6. Invalid (Order rejected)")</f>
        <v>5. &gt;= 30m</v>
      </c>
    </row>
    <row r="331" spans="1:30" hidden="1" x14ac:dyDescent="0.3">
      <c r="A331" t="s">
        <v>2059</v>
      </c>
      <c r="B331" t="s">
        <v>1819</v>
      </c>
      <c r="C331">
        <v>42814075</v>
      </c>
      <c r="D331">
        <v>0</v>
      </c>
      <c r="E331" t="s">
        <v>25</v>
      </c>
      <c r="F331" t="s">
        <v>26</v>
      </c>
      <c r="G331" t="s">
        <v>27</v>
      </c>
      <c r="H331" t="s">
        <v>2060</v>
      </c>
      <c r="I331" t="s">
        <v>2061</v>
      </c>
      <c r="J331" t="s">
        <v>26</v>
      </c>
      <c r="K331" t="s">
        <v>26</v>
      </c>
      <c r="L331" t="s">
        <v>2062</v>
      </c>
      <c r="M331" t="s">
        <v>25</v>
      </c>
      <c r="N331" t="s">
        <v>1568</v>
      </c>
      <c r="O331" t="s">
        <v>1569</v>
      </c>
      <c r="P331" t="s">
        <v>2063</v>
      </c>
      <c r="Q331" t="s">
        <v>2064</v>
      </c>
      <c r="R331">
        <v>283500</v>
      </c>
      <c r="S331">
        <v>0</v>
      </c>
      <c r="T331">
        <v>283500</v>
      </c>
      <c r="U331" t="s">
        <v>35</v>
      </c>
      <c r="V331" t="s">
        <v>1572</v>
      </c>
      <c r="W331" t="s">
        <v>2065</v>
      </c>
      <c r="X331" s="4">
        <v>1</v>
      </c>
      <c r="Y331" s="4"/>
      <c r="Z331">
        <f t="shared" si="20"/>
        <v>7</v>
      </c>
      <c r="AA331">
        <f t="shared" si="21"/>
        <v>17</v>
      </c>
      <c r="AB331" s="5">
        <f t="shared" si="22"/>
        <v>0.32167824073985685</v>
      </c>
      <c r="AC331" s="3">
        <f t="shared" si="23"/>
        <v>7.0728703703716747</v>
      </c>
      <c r="AD331" t="str" cm="1">
        <f t="array" ref="AD331">IFERROR(_xlfn.IFS(
    AC331="", "",
    AC331*86400 &lt; 30, "1. 0s - &lt;30s",
    AC331*86400 &lt; 60, "2. 30s - &lt;1m",
    AC331*86400 &lt; 300, "3. 1m - &lt;5m",
    AC331*86400 &lt; 1800, "4. 5m - &lt;30m",
    TRUE, "5. &gt;= 30m"
),"6. Invalid (Order rejected)")</f>
        <v>5. &gt;= 30m</v>
      </c>
    </row>
    <row r="332" spans="1:30" hidden="1" x14ac:dyDescent="0.3">
      <c r="A332" t="s">
        <v>2066</v>
      </c>
      <c r="B332" t="s">
        <v>1819</v>
      </c>
      <c r="C332">
        <v>42814075</v>
      </c>
      <c r="D332">
        <v>0</v>
      </c>
      <c r="E332" t="s">
        <v>25</v>
      </c>
      <c r="F332" t="s">
        <v>26</v>
      </c>
      <c r="G332" t="s">
        <v>27</v>
      </c>
      <c r="H332" t="s">
        <v>2067</v>
      </c>
      <c r="I332" t="s">
        <v>2068</v>
      </c>
      <c r="J332" t="s">
        <v>26</v>
      </c>
      <c r="K332" t="s">
        <v>26</v>
      </c>
      <c r="L332" t="s">
        <v>2069</v>
      </c>
      <c r="M332" t="s">
        <v>25</v>
      </c>
      <c r="N332" t="s">
        <v>1716</v>
      </c>
      <c r="O332" t="s">
        <v>1717</v>
      </c>
      <c r="P332" t="s">
        <v>1840</v>
      </c>
      <c r="Q332" t="s">
        <v>1841</v>
      </c>
      <c r="R332">
        <v>276156</v>
      </c>
      <c r="S332">
        <v>0</v>
      </c>
      <c r="T332">
        <v>276156</v>
      </c>
      <c r="U332" t="s">
        <v>35</v>
      </c>
      <c r="V332" t="s">
        <v>1720</v>
      </c>
      <c r="W332" t="s">
        <v>1843</v>
      </c>
      <c r="X332" s="4">
        <v>1</v>
      </c>
      <c r="Y332" s="4"/>
      <c r="Z332">
        <f t="shared" si="20"/>
        <v>7</v>
      </c>
      <c r="AA332">
        <f t="shared" si="21"/>
        <v>17</v>
      </c>
      <c r="AB332" s="5">
        <f t="shared" si="22"/>
        <v>0.32755787036876427</v>
      </c>
      <c r="AC332" s="3">
        <f t="shared" si="23"/>
        <v>9.0266203704231884E-2</v>
      </c>
      <c r="AD332" t="str" cm="1">
        <f t="array" ref="AD332">IFERROR(_xlfn.IFS(
    AC332="", "",
    AC332*86400 &lt; 30, "1. 0s - &lt;30s",
    AC332*86400 &lt; 60, "2. 30s - &lt;1m",
    AC332*86400 &lt; 300, "3. 1m - &lt;5m",
    AC332*86400 &lt; 1800, "4. 5m - &lt;30m",
    TRUE, "5. &gt;= 30m"
),"6. Invalid (Order rejected)")</f>
        <v>5. &gt;= 30m</v>
      </c>
    </row>
    <row r="333" spans="1:30" hidden="1" x14ac:dyDescent="0.3">
      <c r="A333" t="s">
        <v>2070</v>
      </c>
      <c r="B333" t="s">
        <v>1819</v>
      </c>
      <c r="C333">
        <v>42814075</v>
      </c>
      <c r="D333">
        <v>4114293</v>
      </c>
      <c r="E333" t="s">
        <v>25</v>
      </c>
      <c r="F333" t="s">
        <v>75</v>
      </c>
      <c r="G333" t="s">
        <v>76</v>
      </c>
      <c r="H333" t="s">
        <v>2071</v>
      </c>
      <c r="I333" t="s">
        <v>2072</v>
      </c>
      <c r="J333" t="s">
        <v>2073</v>
      </c>
      <c r="K333" t="s">
        <v>26</v>
      </c>
      <c r="L333" t="s">
        <v>2074</v>
      </c>
      <c r="M333" t="s">
        <v>25</v>
      </c>
      <c r="N333" t="s">
        <v>1674</v>
      </c>
      <c r="O333" t="s">
        <v>1675</v>
      </c>
      <c r="P333" t="s">
        <v>2075</v>
      </c>
      <c r="Q333" t="s">
        <v>2076</v>
      </c>
      <c r="R333">
        <v>221616</v>
      </c>
      <c r="S333">
        <v>171804</v>
      </c>
      <c r="T333">
        <v>49812</v>
      </c>
      <c r="U333" t="s">
        <v>35</v>
      </c>
      <c r="V333" t="s">
        <v>1678</v>
      </c>
      <c r="W333" t="s">
        <v>2077</v>
      </c>
      <c r="X333" s="4">
        <v>1</v>
      </c>
      <c r="Y333" s="4"/>
      <c r="Z333">
        <f t="shared" si="20"/>
        <v>7</v>
      </c>
      <c r="AA333">
        <f t="shared" si="21"/>
        <v>17</v>
      </c>
      <c r="AB333" s="5">
        <f t="shared" si="22"/>
        <v>0.33054398147942265</v>
      </c>
      <c r="AC333" s="3">
        <f t="shared" si="23"/>
        <v>2.2766203706851229E-2</v>
      </c>
      <c r="AD333" t="str" cm="1">
        <f t="array" ref="AD333">IFERROR(_xlfn.IFS(
    AC333="", "",
    AC333*86400 &lt; 30, "1. 0s - &lt;30s",
    AC333*86400 &lt; 60, "2. 30s - &lt;1m",
    AC333*86400 &lt; 300, "3. 1m - &lt;5m",
    AC333*86400 &lt; 1800, "4. 5m - &lt;30m",
    TRUE, "5. &gt;= 30m"
),"6. Invalid (Order rejected)")</f>
        <v>5. &gt;= 30m</v>
      </c>
    </row>
    <row r="334" spans="1:30" hidden="1" x14ac:dyDescent="0.3">
      <c r="A334" t="s">
        <v>2078</v>
      </c>
      <c r="B334" t="s">
        <v>1819</v>
      </c>
      <c r="C334">
        <v>42814075</v>
      </c>
      <c r="D334">
        <v>3106185</v>
      </c>
      <c r="E334" t="s">
        <v>25</v>
      </c>
      <c r="F334" t="s">
        <v>75</v>
      </c>
      <c r="G334" t="s">
        <v>76</v>
      </c>
      <c r="H334" t="s">
        <v>2079</v>
      </c>
      <c r="I334" t="s">
        <v>2080</v>
      </c>
      <c r="J334" t="s">
        <v>2081</v>
      </c>
      <c r="K334" t="s">
        <v>26</v>
      </c>
      <c r="L334" t="s">
        <v>2082</v>
      </c>
      <c r="M334" t="s">
        <v>25</v>
      </c>
      <c r="N334" t="s">
        <v>1578</v>
      </c>
      <c r="O334" t="s">
        <v>1579</v>
      </c>
      <c r="P334" t="s">
        <v>2083</v>
      </c>
      <c r="Q334" t="s">
        <v>2084</v>
      </c>
      <c r="R334">
        <v>375516</v>
      </c>
      <c r="S334">
        <v>291112</v>
      </c>
      <c r="T334">
        <v>84404</v>
      </c>
      <c r="U334" t="s">
        <v>35</v>
      </c>
      <c r="V334" t="s">
        <v>1580</v>
      </c>
      <c r="W334" t="s">
        <v>2085</v>
      </c>
      <c r="X334" s="4">
        <v>1</v>
      </c>
      <c r="Y334" s="4"/>
      <c r="Z334">
        <f t="shared" si="20"/>
        <v>7</v>
      </c>
      <c r="AA334">
        <f t="shared" si="21"/>
        <v>17</v>
      </c>
      <c r="AB334" s="5">
        <f t="shared" si="22"/>
        <v>0.32339120370306773</v>
      </c>
      <c r="AC334" s="3">
        <f t="shared" si="23"/>
        <v>6.847222222131677E-2</v>
      </c>
      <c r="AD334" t="str" cm="1">
        <f t="array" ref="AD334">IFERROR(_xlfn.IFS(
    AC334="", "",
    AC334*86400 &lt; 30, "1. 0s - &lt;30s",
    AC334*86400 &lt; 60, "2. 30s - &lt;1m",
    AC334*86400 &lt; 300, "3. 1m - &lt;5m",
    AC334*86400 &lt; 1800, "4. 5m - &lt;30m",
    TRUE, "5. &gt;= 30m"
),"6. Invalid (Order rejected)")</f>
        <v>5. &gt;= 30m</v>
      </c>
    </row>
    <row r="335" spans="1:30" x14ac:dyDescent="0.3">
      <c r="A335" t="s">
        <v>2086</v>
      </c>
      <c r="B335" t="s">
        <v>1819</v>
      </c>
      <c r="C335">
        <v>42814075</v>
      </c>
      <c r="D335">
        <v>4754401</v>
      </c>
      <c r="E335" t="s">
        <v>25</v>
      </c>
      <c r="F335" t="s">
        <v>75</v>
      </c>
      <c r="G335" t="s">
        <v>360</v>
      </c>
      <c r="H335" t="s">
        <v>2087</v>
      </c>
      <c r="I335" t="s">
        <v>2088</v>
      </c>
      <c r="J335" t="s">
        <v>2089</v>
      </c>
      <c r="K335" t="s">
        <v>26</v>
      </c>
      <c r="L335" t="s">
        <v>25</v>
      </c>
      <c r="M335" t="s">
        <v>25</v>
      </c>
      <c r="N335" t="s">
        <v>1716</v>
      </c>
      <c r="O335" t="s">
        <v>1717</v>
      </c>
      <c r="P335" t="s">
        <v>2090</v>
      </c>
      <c r="Q335" t="s">
        <v>2091</v>
      </c>
      <c r="R335">
        <v>291384</v>
      </c>
      <c r="S335">
        <v>225890</v>
      </c>
      <c r="T335">
        <v>65494</v>
      </c>
      <c r="U335" t="s">
        <v>35</v>
      </c>
      <c r="V335" t="s">
        <v>1720</v>
      </c>
      <c r="W335" t="s">
        <v>2092</v>
      </c>
      <c r="X335" s="4">
        <v>1</v>
      </c>
      <c r="Y335" s="4"/>
      <c r="Z335">
        <f t="shared" si="20"/>
        <v>7</v>
      </c>
      <c r="AA335">
        <f t="shared" si="21"/>
        <v>17</v>
      </c>
      <c r="AB335" s="5">
        <f t="shared" si="22"/>
        <v>0.32850694444641704</v>
      </c>
      <c r="AC335" s="3" t="str">
        <f t="shared" si="23"/>
        <v>Order rejected, no time available</v>
      </c>
      <c r="AD335" t="str" cm="1">
        <f t="array" ref="AD335">IFERROR(_xlfn.IFS(
    AC335="", "",
    AC335*86400 &lt; 30, "1. 0s - &lt;30s",
    AC335*86400 &lt; 60, "2. 30s - &lt;1m",
    AC335*86400 &lt; 300, "3. 1m - &lt;5m",
    AC335*86400 &lt; 1800, "4. 5m - &lt;30m",
    TRUE, "5. &gt;= 30m"
),"6. Invalid (Order rejected)")</f>
        <v>6. Invalid (Order rejected)</v>
      </c>
    </row>
    <row r="336" spans="1:30" hidden="1" x14ac:dyDescent="0.3">
      <c r="A336" t="s">
        <v>2093</v>
      </c>
      <c r="B336" t="s">
        <v>1819</v>
      </c>
      <c r="C336">
        <v>42814075</v>
      </c>
      <c r="D336">
        <v>0</v>
      </c>
      <c r="E336" t="s">
        <v>25</v>
      </c>
      <c r="F336" t="s">
        <v>26</v>
      </c>
      <c r="G336" t="s">
        <v>27</v>
      </c>
      <c r="H336" t="s">
        <v>2094</v>
      </c>
      <c r="I336" t="s">
        <v>2095</v>
      </c>
      <c r="J336" t="s">
        <v>26</v>
      </c>
      <c r="K336" t="s">
        <v>26</v>
      </c>
      <c r="L336" t="s">
        <v>2096</v>
      </c>
      <c r="M336" t="s">
        <v>25</v>
      </c>
      <c r="N336" t="s">
        <v>2046</v>
      </c>
      <c r="O336" t="s">
        <v>2047</v>
      </c>
      <c r="P336" t="s">
        <v>2097</v>
      </c>
      <c r="Q336" t="s">
        <v>2098</v>
      </c>
      <c r="R336">
        <v>247212</v>
      </c>
      <c r="S336">
        <v>0</v>
      </c>
      <c r="T336">
        <v>247212</v>
      </c>
      <c r="U336" t="s">
        <v>35</v>
      </c>
      <c r="V336" t="s">
        <v>2050</v>
      </c>
      <c r="W336" t="s">
        <v>2099</v>
      </c>
      <c r="X336" s="4">
        <v>1</v>
      </c>
      <c r="Y336" s="4"/>
      <c r="Z336">
        <f t="shared" si="20"/>
        <v>7</v>
      </c>
      <c r="AA336">
        <f t="shared" si="21"/>
        <v>17</v>
      </c>
      <c r="AB336" s="5">
        <f t="shared" si="22"/>
        <v>0.32497685185080627</v>
      </c>
      <c r="AC336" s="3">
        <f t="shared" si="23"/>
        <v>4.1660185185173759</v>
      </c>
      <c r="AD336" t="str" cm="1">
        <f t="array" ref="AD336">IFERROR(_xlfn.IFS(
    AC336="", "",
    AC336*86400 &lt; 30, "1. 0s - &lt;30s",
    AC336*86400 &lt; 60, "2. 30s - &lt;1m",
    AC336*86400 &lt; 300, "3. 1m - &lt;5m",
    AC336*86400 &lt; 1800, "4. 5m - &lt;30m",
    TRUE, "5. &gt;= 30m"
),"6. Invalid (Order rejected)")</f>
        <v>5. &gt;= 30m</v>
      </c>
    </row>
    <row r="337" spans="1:30" hidden="1" x14ac:dyDescent="0.3">
      <c r="A337" t="s">
        <v>2100</v>
      </c>
      <c r="B337" t="s">
        <v>1819</v>
      </c>
      <c r="C337">
        <v>42814075</v>
      </c>
      <c r="D337">
        <v>0</v>
      </c>
      <c r="E337" t="s">
        <v>25</v>
      </c>
      <c r="F337" t="s">
        <v>26</v>
      </c>
      <c r="G337" t="s">
        <v>27</v>
      </c>
      <c r="H337" t="s">
        <v>2101</v>
      </c>
      <c r="I337" t="s">
        <v>2102</v>
      </c>
      <c r="J337" t="s">
        <v>26</v>
      </c>
      <c r="K337" t="s">
        <v>26</v>
      </c>
      <c r="L337" t="s">
        <v>2103</v>
      </c>
      <c r="M337" t="s">
        <v>25</v>
      </c>
      <c r="N337" t="s">
        <v>2046</v>
      </c>
      <c r="O337" t="s">
        <v>2047</v>
      </c>
      <c r="P337" t="s">
        <v>1025</v>
      </c>
      <c r="Q337" t="s">
        <v>1026</v>
      </c>
      <c r="R337">
        <v>155736</v>
      </c>
      <c r="S337">
        <v>0</v>
      </c>
      <c r="T337">
        <v>155736</v>
      </c>
      <c r="U337" t="s">
        <v>35</v>
      </c>
      <c r="V337" t="s">
        <v>2050</v>
      </c>
      <c r="W337" t="s">
        <v>1027</v>
      </c>
      <c r="X337" s="4">
        <v>1</v>
      </c>
      <c r="Y337" s="4"/>
      <c r="Z337">
        <f t="shared" si="20"/>
        <v>7</v>
      </c>
      <c r="AA337">
        <f t="shared" si="21"/>
        <v>17</v>
      </c>
      <c r="AB337" s="5">
        <f t="shared" si="22"/>
        <v>0.32583333333604969</v>
      </c>
      <c r="AC337" s="3">
        <f t="shared" si="23"/>
        <v>9.0277777773735579E-2</v>
      </c>
      <c r="AD337" t="str" cm="1">
        <f t="array" ref="AD337">IFERROR(_xlfn.IFS(
    AC337="", "",
    AC337*86400 &lt; 30, "1. 0s - &lt;30s",
    AC337*86400 &lt; 60, "2. 30s - &lt;1m",
    AC337*86400 &lt; 300, "3. 1m - &lt;5m",
    AC337*86400 &lt; 1800, "4. 5m - &lt;30m",
    TRUE, "5. &gt;= 30m"
),"6. Invalid (Order rejected)")</f>
        <v>5. &gt;= 30m</v>
      </c>
    </row>
    <row r="338" spans="1:30" hidden="1" x14ac:dyDescent="0.3">
      <c r="A338" t="s">
        <v>2104</v>
      </c>
      <c r="B338" t="s">
        <v>1819</v>
      </c>
      <c r="C338">
        <v>42814075</v>
      </c>
      <c r="D338">
        <v>0</v>
      </c>
      <c r="E338" t="s">
        <v>25</v>
      </c>
      <c r="F338" t="s">
        <v>26</v>
      </c>
      <c r="G338" t="s">
        <v>27</v>
      </c>
      <c r="H338" t="s">
        <v>2105</v>
      </c>
      <c r="I338" t="s">
        <v>2106</v>
      </c>
      <c r="J338" t="s">
        <v>26</v>
      </c>
      <c r="K338" t="s">
        <v>26</v>
      </c>
      <c r="L338" t="s">
        <v>2107</v>
      </c>
      <c r="M338" t="s">
        <v>25</v>
      </c>
      <c r="N338" t="s">
        <v>1716</v>
      </c>
      <c r="O338" t="s">
        <v>1717</v>
      </c>
      <c r="P338" t="s">
        <v>1741</v>
      </c>
      <c r="Q338" t="s">
        <v>1742</v>
      </c>
      <c r="R338">
        <v>340524</v>
      </c>
      <c r="S338">
        <v>0</v>
      </c>
      <c r="T338">
        <v>340524</v>
      </c>
      <c r="U338" t="s">
        <v>35</v>
      </c>
      <c r="V338" t="s">
        <v>1720</v>
      </c>
      <c r="W338" t="s">
        <v>1743</v>
      </c>
      <c r="X338" s="4">
        <v>1</v>
      </c>
      <c r="Y338" s="4"/>
      <c r="Z338">
        <f t="shared" si="20"/>
        <v>7</v>
      </c>
      <c r="AA338">
        <f t="shared" si="21"/>
        <v>17</v>
      </c>
      <c r="AB338" s="5">
        <f t="shared" si="22"/>
        <v>0.32717592592234723</v>
      </c>
      <c r="AC338" s="3">
        <f t="shared" si="23"/>
        <v>0.17984953703853535</v>
      </c>
      <c r="AD338" t="str" cm="1">
        <f t="array" ref="AD338">IFERROR(_xlfn.IFS(
    AC338="", "",
    AC338*86400 &lt; 30, "1. 0s - &lt;30s",
    AC338*86400 &lt; 60, "2. 30s - &lt;1m",
    AC338*86400 &lt; 300, "3. 1m - &lt;5m",
    AC338*86400 &lt; 1800, "4. 5m - &lt;30m",
    TRUE, "5. &gt;= 30m"
),"6. Invalid (Order rejected)")</f>
        <v>5. &gt;= 30m</v>
      </c>
    </row>
    <row r="339" spans="1:30" hidden="1" x14ac:dyDescent="0.3">
      <c r="A339" t="s">
        <v>2108</v>
      </c>
      <c r="B339" t="s">
        <v>1819</v>
      </c>
      <c r="C339">
        <v>42814075</v>
      </c>
      <c r="D339">
        <v>0</v>
      </c>
      <c r="E339" t="s">
        <v>25</v>
      </c>
      <c r="F339" t="s">
        <v>26</v>
      </c>
      <c r="G339" t="s">
        <v>27</v>
      </c>
      <c r="H339" t="s">
        <v>2109</v>
      </c>
      <c r="I339" t="s">
        <v>2110</v>
      </c>
      <c r="J339" t="s">
        <v>26</v>
      </c>
      <c r="K339" t="s">
        <v>26</v>
      </c>
      <c r="L339" t="s">
        <v>2111</v>
      </c>
      <c r="M339" t="s">
        <v>25</v>
      </c>
      <c r="N339" t="s">
        <v>1674</v>
      </c>
      <c r="O339" t="s">
        <v>1675</v>
      </c>
      <c r="P339" t="s">
        <v>2112</v>
      </c>
      <c r="Q339" t="s">
        <v>2113</v>
      </c>
      <c r="R339">
        <v>185436</v>
      </c>
      <c r="S339">
        <v>0</v>
      </c>
      <c r="T339">
        <v>185436</v>
      </c>
      <c r="U339" t="s">
        <v>35</v>
      </c>
      <c r="V339" t="s">
        <v>1678</v>
      </c>
      <c r="W339" t="s">
        <v>2114</v>
      </c>
      <c r="X339" s="4">
        <v>1</v>
      </c>
      <c r="Y339" s="4"/>
      <c r="Z339">
        <f t="shared" si="20"/>
        <v>7</v>
      </c>
      <c r="AA339">
        <f t="shared" si="21"/>
        <v>17</v>
      </c>
      <c r="AB339" s="5">
        <f t="shared" si="22"/>
        <v>0.33038194444088731</v>
      </c>
      <c r="AC339" s="3">
        <f t="shared" si="23"/>
        <v>0.17693287037400296</v>
      </c>
      <c r="AD339" t="str" cm="1">
        <f t="array" ref="AD339">IFERROR(_xlfn.IFS(
    AC339="", "",
    AC339*86400 &lt; 30, "1. 0s - &lt;30s",
    AC339*86400 &lt; 60, "2. 30s - &lt;1m",
    AC339*86400 &lt; 300, "3. 1m - &lt;5m",
    AC339*86400 &lt; 1800, "4. 5m - &lt;30m",
    TRUE, "5. &gt;= 30m"
),"6. Invalid (Order rejected)")</f>
        <v>5. &gt;= 30m</v>
      </c>
    </row>
    <row r="340" spans="1:30" x14ac:dyDescent="0.3">
      <c r="A340" t="s">
        <v>2115</v>
      </c>
      <c r="B340" t="s">
        <v>1819</v>
      </c>
      <c r="C340">
        <v>42814075</v>
      </c>
      <c r="D340">
        <v>3746922</v>
      </c>
      <c r="E340" t="s">
        <v>25</v>
      </c>
      <c r="F340" t="s">
        <v>75</v>
      </c>
      <c r="G340" t="s">
        <v>360</v>
      </c>
      <c r="H340" t="s">
        <v>2116</v>
      </c>
      <c r="I340" t="s">
        <v>2080</v>
      </c>
      <c r="J340" t="s">
        <v>2117</v>
      </c>
      <c r="K340" t="s">
        <v>26</v>
      </c>
      <c r="L340" t="s">
        <v>25</v>
      </c>
      <c r="M340" t="s">
        <v>25</v>
      </c>
      <c r="N340" t="s">
        <v>1578</v>
      </c>
      <c r="O340" t="s">
        <v>1579</v>
      </c>
      <c r="P340" t="s">
        <v>2118</v>
      </c>
      <c r="Q340" t="s">
        <v>2119</v>
      </c>
      <c r="R340">
        <v>252936</v>
      </c>
      <c r="S340">
        <v>196084</v>
      </c>
      <c r="T340">
        <v>56852</v>
      </c>
      <c r="U340" t="s">
        <v>35</v>
      </c>
      <c r="V340" t="s">
        <v>1580</v>
      </c>
      <c r="W340" t="s">
        <v>2041</v>
      </c>
      <c r="X340" s="4">
        <v>1</v>
      </c>
      <c r="Y340" s="4"/>
      <c r="Z340">
        <f t="shared" si="20"/>
        <v>7</v>
      </c>
      <c r="AA340">
        <f t="shared" si="21"/>
        <v>17</v>
      </c>
      <c r="AB340" s="5">
        <f t="shared" si="22"/>
        <v>0.32359953703416977</v>
      </c>
      <c r="AC340" s="3" t="str">
        <f t="shared" si="23"/>
        <v>Order rejected, no time available</v>
      </c>
      <c r="AD340" t="str" cm="1">
        <f t="array" ref="AD340">IFERROR(_xlfn.IFS(
    AC340="", "",
    AC340*86400 &lt; 30, "1. 0s - &lt;30s",
    AC340*86400 &lt; 60, "2. 30s - &lt;1m",
    AC340*86400 &lt; 300, "3. 1m - &lt;5m",
    AC340*86400 &lt; 1800, "4. 5m - &lt;30m",
    TRUE, "5. &gt;= 30m"
),"6. Invalid (Order rejected)")</f>
        <v>6. Invalid (Order rejected)</v>
      </c>
    </row>
    <row r="341" spans="1:30" hidden="1" x14ac:dyDescent="0.3">
      <c r="A341" t="s">
        <v>2120</v>
      </c>
      <c r="B341" t="s">
        <v>1819</v>
      </c>
      <c r="C341">
        <v>42814075</v>
      </c>
      <c r="D341">
        <v>0</v>
      </c>
      <c r="E341" t="s">
        <v>25</v>
      </c>
      <c r="F341" t="s">
        <v>26</v>
      </c>
      <c r="G341" t="s">
        <v>27</v>
      </c>
      <c r="H341" t="s">
        <v>2121</v>
      </c>
      <c r="I341" t="s">
        <v>2122</v>
      </c>
      <c r="J341" t="s">
        <v>26</v>
      </c>
      <c r="K341" t="s">
        <v>26</v>
      </c>
      <c r="L341" t="s">
        <v>2123</v>
      </c>
      <c r="M341" t="s">
        <v>25</v>
      </c>
      <c r="N341" t="s">
        <v>2046</v>
      </c>
      <c r="O341" t="s">
        <v>2047</v>
      </c>
      <c r="P341" t="s">
        <v>2048</v>
      </c>
      <c r="Q341" t="s">
        <v>2049</v>
      </c>
      <c r="R341">
        <v>177012</v>
      </c>
      <c r="S341">
        <v>0</v>
      </c>
      <c r="T341">
        <v>177012</v>
      </c>
      <c r="U341" t="s">
        <v>35</v>
      </c>
      <c r="V341" t="s">
        <v>2050</v>
      </c>
      <c r="W341" t="s">
        <v>2051</v>
      </c>
      <c r="X341" s="4">
        <v>1</v>
      </c>
      <c r="Y341" s="4"/>
      <c r="Z341">
        <f t="shared" si="20"/>
        <v>7</v>
      </c>
      <c r="AA341">
        <f t="shared" si="21"/>
        <v>17</v>
      </c>
      <c r="AB341" s="5">
        <f t="shared" si="22"/>
        <v>0.32436342592700385</v>
      </c>
      <c r="AC341" s="3">
        <f t="shared" si="23"/>
        <v>9.0266203704231884E-2</v>
      </c>
      <c r="AD341" t="str" cm="1">
        <f t="array" ref="AD341">IFERROR(_xlfn.IFS(
    AC341="", "",
    AC341*86400 &lt; 30, "1. 0s - &lt;30s",
    AC341*86400 &lt; 60, "2. 30s - &lt;1m",
    AC341*86400 &lt; 300, "3. 1m - &lt;5m",
    AC341*86400 &lt; 1800, "4. 5m - &lt;30m",
    TRUE, "5. &gt;= 30m"
),"6. Invalid (Order rejected)")</f>
        <v>5. &gt;= 30m</v>
      </c>
    </row>
    <row r="342" spans="1:30" hidden="1" x14ac:dyDescent="0.3">
      <c r="A342" t="s">
        <v>2124</v>
      </c>
      <c r="B342" t="s">
        <v>1819</v>
      </c>
      <c r="C342">
        <v>42814075</v>
      </c>
      <c r="D342">
        <v>1802383</v>
      </c>
      <c r="E342" t="s">
        <v>25</v>
      </c>
      <c r="F342" t="s">
        <v>75</v>
      </c>
      <c r="G342" t="s">
        <v>76</v>
      </c>
      <c r="H342" t="s">
        <v>2125</v>
      </c>
      <c r="I342" t="s">
        <v>2126</v>
      </c>
      <c r="J342" t="s">
        <v>2127</v>
      </c>
      <c r="K342" t="s">
        <v>26</v>
      </c>
      <c r="L342" t="s">
        <v>2128</v>
      </c>
      <c r="M342" t="s">
        <v>25</v>
      </c>
      <c r="N342" t="s">
        <v>1716</v>
      </c>
      <c r="O342" t="s">
        <v>1717</v>
      </c>
      <c r="P342" t="s">
        <v>507</v>
      </c>
      <c r="Q342" t="s">
        <v>508</v>
      </c>
      <c r="R342">
        <v>293328</v>
      </c>
      <c r="S342">
        <v>240773</v>
      </c>
      <c r="T342">
        <v>52555</v>
      </c>
      <c r="U342" t="s">
        <v>35</v>
      </c>
      <c r="V342" t="s">
        <v>1720</v>
      </c>
      <c r="W342" t="s">
        <v>509</v>
      </c>
      <c r="X342" s="4">
        <v>1</v>
      </c>
      <c r="Y342" s="4"/>
      <c r="Z342">
        <f t="shared" si="20"/>
        <v>7</v>
      </c>
      <c r="AA342">
        <f t="shared" si="21"/>
        <v>17</v>
      </c>
      <c r="AB342" s="5">
        <f t="shared" si="22"/>
        <v>0.32831018518481869</v>
      </c>
      <c r="AC342" s="3">
        <f t="shared" si="23"/>
        <v>3.2407407408754807E-2</v>
      </c>
      <c r="AD342" t="str" cm="1">
        <f t="array" ref="AD342">IFERROR(_xlfn.IFS(
    AC342="", "",
    AC342*86400 &lt; 30, "1. 0s - &lt;30s",
    AC342*86400 &lt; 60, "2. 30s - &lt;1m",
    AC342*86400 &lt; 300, "3. 1m - &lt;5m",
    AC342*86400 &lt; 1800, "4. 5m - &lt;30m",
    TRUE, "5. &gt;= 30m"
),"6. Invalid (Order rejected)")</f>
        <v>5. &gt;= 30m</v>
      </c>
    </row>
    <row r="343" spans="1:30" hidden="1" x14ac:dyDescent="0.3">
      <c r="A343" t="s">
        <v>2129</v>
      </c>
      <c r="B343" t="s">
        <v>1819</v>
      </c>
      <c r="C343">
        <v>42814075</v>
      </c>
      <c r="D343">
        <v>4190489</v>
      </c>
      <c r="E343" t="s">
        <v>25</v>
      </c>
      <c r="F343" t="s">
        <v>75</v>
      </c>
      <c r="G343" t="s">
        <v>76</v>
      </c>
      <c r="H343" t="s">
        <v>2130</v>
      </c>
      <c r="I343" t="s">
        <v>2131</v>
      </c>
      <c r="J343" t="s">
        <v>2132</v>
      </c>
      <c r="K343" t="s">
        <v>2133</v>
      </c>
      <c r="L343" t="s">
        <v>2134</v>
      </c>
      <c r="M343" t="s">
        <v>25</v>
      </c>
      <c r="N343" t="s">
        <v>1674</v>
      </c>
      <c r="O343" t="s">
        <v>1675</v>
      </c>
      <c r="P343" t="s">
        <v>470</v>
      </c>
      <c r="Q343" t="s">
        <v>471</v>
      </c>
      <c r="R343">
        <v>193860</v>
      </c>
      <c r="S343">
        <v>159127</v>
      </c>
      <c r="T343">
        <v>34733</v>
      </c>
      <c r="U343" t="s">
        <v>35</v>
      </c>
      <c r="V343" t="s">
        <v>1678</v>
      </c>
      <c r="W343" t="s">
        <v>472</v>
      </c>
      <c r="X343" s="4">
        <v>1</v>
      </c>
      <c r="Y343" s="4"/>
      <c r="Z343">
        <f t="shared" si="20"/>
        <v>7</v>
      </c>
      <c r="AA343">
        <f t="shared" si="21"/>
        <v>17</v>
      </c>
      <c r="AB343" s="5">
        <f t="shared" si="22"/>
        <v>0.33000000000174623</v>
      </c>
      <c r="AC343" s="3">
        <f t="shared" si="23"/>
        <v>8.815972221782431E-2</v>
      </c>
      <c r="AD343" t="str" cm="1">
        <f t="array" ref="AD343">IFERROR(_xlfn.IFS(
    AC343="", "",
    AC343*86400 &lt; 30, "1. 0s - &lt;30s",
    AC343*86400 &lt; 60, "2. 30s - &lt;1m",
    AC343*86400 &lt; 300, "3. 1m - &lt;5m",
    AC343*86400 &lt; 1800, "4. 5m - &lt;30m",
    TRUE, "5. &gt;= 30m"
),"6. Invalid (Order rejected)")</f>
        <v>5. &gt;= 30m</v>
      </c>
    </row>
    <row r="344" spans="1:30" x14ac:dyDescent="0.3">
      <c r="A344" t="s">
        <v>2135</v>
      </c>
      <c r="B344" t="s">
        <v>1819</v>
      </c>
      <c r="C344">
        <v>42814075</v>
      </c>
      <c r="D344">
        <v>3439367</v>
      </c>
      <c r="E344" t="s">
        <v>25</v>
      </c>
      <c r="F344" t="s">
        <v>75</v>
      </c>
      <c r="G344" t="s">
        <v>360</v>
      </c>
      <c r="H344" t="s">
        <v>2136</v>
      </c>
      <c r="I344" t="s">
        <v>2137</v>
      </c>
      <c r="J344" t="s">
        <v>2138</v>
      </c>
      <c r="K344" t="s">
        <v>26</v>
      </c>
      <c r="L344" t="s">
        <v>25</v>
      </c>
      <c r="M344" t="s">
        <v>25</v>
      </c>
      <c r="N344" t="s">
        <v>1716</v>
      </c>
      <c r="O344" t="s">
        <v>1717</v>
      </c>
      <c r="P344" t="s">
        <v>208</v>
      </c>
      <c r="Q344" t="s">
        <v>209</v>
      </c>
      <c r="R344">
        <v>343332</v>
      </c>
      <c r="S344">
        <v>266162</v>
      </c>
      <c r="T344">
        <v>77170</v>
      </c>
      <c r="U344" t="s">
        <v>35</v>
      </c>
      <c r="V344" t="s">
        <v>1720</v>
      </c>
      <c r="W344" t="s">
        <v>210</v>
      </c>
      <c r="X344" s="4">
        <v>1</v>
      </c>
      <c r="Y344" s="4"/>
      <c r="Z344">
        <f t="shared" si="20"/>
        <v>7</v>
      </c>
      <c r="AA344">
        <f t="shared" si="21"/>
        <v>17</v>
      </c>
      <c r="AB344" s="5">
        <f t="shared" si="22"/>
        <v>0.32807870370015735</v>
      </c>
      <c r="AC344" s="3" t="str">
        <f t="shared" si="23"/>
        <v>Order rejected, no time available</v>
      </c>
      <c r="AD344" t="str" cm="1">
        <f t="array" ref="AD344">IFERROR(_xlfn.IFS(
    AC344="", "",
    AC344*86400 &lt; 30, "1. 0s - &lt;30s",
    AC344*86400 &lt; 60, "2. 30s - &lt;1m",
    AC344*86400 &lt; 300, "3. 1m - &lt;5m",
    AC344*86400 &lt; 1800, "4. 5m - &lt;30m",
    TRUE, "5. &gt;= 30m"
),"6. Invalid (Order rejected)")</f>
        <v>6. Invalid (Order rejected)</v>
      </c>
    </row>
    <row r="345" spans="1:30" hidden="1" x14ac:dyDescent="0.3">
      <c r="A345" t="s">
        <v>2139</v>
      </c>
      <c r="B345" t="s">
        <v>1819</v>
      </c>
      <c r="C345">
        <v>42814075</v>
      </c>
      <c r="D345">
        <v>3711577</v>
      </c>
      <c r="E345" t="s">
        <v>25</v>
      </c>
      <c r="F345" t="s">
        <v>75</v>
      </c>
      <c r="G345" t="s">
        <v>76</v>
      </c>
      <c r="H345" t="s">
        <v>2140</v>
      </c>
      <c r="I345" t="s">
        <v>2141</v>
      </c>
      <c r="J345" t="s">
        <v>2142</v>
      </c>
      <c r="K345" t="s">
        <v>26</v>
      </c>
      <c r="L345" t="s">
        <v>2143</v>
      </c>
      <c r="M345" t="s">
        <v>25</v>
      </c>
      <c r="N345" t="s">
        <v>1642</v>
      </c>
      <c r="O345" t="s">
        <v>1643</v>
      </c>
      <c r="P345" t="s">
        <v>1728</v>
      </c>
      <c r="Q345" t="s">
        <v>1729</v>
      </c>
      <c r="R345">
        <v>427140</v>
      </c>
      <c r="S345">
        <v>350611</v>
      </c>
      <c r="T345">
        <v>76529</v>
      </c>
      <c r="U345" t="s">
        <v>35</v>
      </c>
      <c r="V345" t="s">
        <v>1646</v>
      </c>
      <c r="W345" t="s">
        <v>1731</v>
      </c>
      <c r="X345" s="4">
        <v>1</v>
      </c>
      <c r="Y345" s="4"/>
      <c r="Z345">
        <f t="shared" si="20"/>
        <v>7</v>
      </c>
      <c r="AA345">
        <f t="shared" si="21"/>
        <v>17</v>
      </c>
      <c r="AB345" s="5">
        <f t="shared" si="22"/>
        <v>0.33280092592758592</v>
      </c>
      <c r="AC345" s="3">
        <f t="shared" si="23"/>
        <v>4.6180555509636179E-3</v>
      </c>
      <c r="AD345" t="str" cm="1">
        <f t="array" ref="AD345">IFERROR(_xlfn.IFS(
    AC345="", "",
    AC345*86400 &lt; 30, "1. 0s - &lt;30s",
    AC345*86400 &lt; 60, "2. 30s - &lt;1m",
    AC345*86400 &lt; 300, "3. 1m - &lt;5m",
    AC345*86400 &lt; 1800, "4. 5m - &lt;30m",
    TRUE, "5. &gt;= 30m"
),"6. Invalid (Order rejected)")</f>
        <v>4. 5m - &lt;30m</v>
      </c>
    </row>
    <row r="346" spans="1:30" hidden="1" x14ac:dyDescent="0.3">
      <c r="A346" t="s">
        <v>2144</v>
      </c>
      <c r="B346" t="s">
        <v>1819</v>
      </c>
      <c r="C346">
        <v>42814075</v>
      </c>
      <c r="D346">
        <v>0</v>
      </c>
      <c r="E346" t="s">
        <v>25</v>
      </c>
      <c r="F346" t="s">
        <v>26</v>
      </c>
      <c r="G346" t="s">
        <v>27</v>
      </c>
      <c r="H346" t="s">
        <v>2145</v>
      </c>
      <c r="I346" t="s">
        <v>2146</v>
      </c>
      <c r="J346" t="s">
        <v>26</v>
      </c>
      <c r="K346" t="s">
        <v>26</v>
      </c>
      <c r="L346" t="s">
        <v>2147</v>
      </c>
      <c r="M346" t="s">
        <v>25</v>
      </c>
      <c r="N346" t="s">
        <v>1716</v>
      </c>
      <c r="O346" t="s">
        <v>1717</v>
      </c>
      <c r="P346" t="s">
        <v>1624</v>
      </c>
      <c r="Q346" t="s">
        <v>1625</v>
      </c>
      <c r="R346">
        <v>269784</v>
      </c>
      <c r="S346">
        <v>0</v>
      </c>
      <c r="T346">
        <v>269784</v>
      </c>
      <c r="U346" t="s">
        <v>35</v>
      </c>
      <c r="V346" t="s">
        <v>1720</v>
      </c>
      <c r="W346" t="s">
        <v>1626</v>
      </c>
      <c r="X346" s="4">
        <v>1</v>
      </c>
      <c r="Y346" s="4"/>
      <c r="Z346">
        <f t="shared" si="20"/>
        <v>7</v>
      </c>
      <c r="AA346">
        <f t="shared" si="21"/>
        <v>17</v>
      </c>
      <c r="AB346" s="5">
        <f t="shared" si="22"/>
        <v>0.32875000000058208</v>
      </c>
      <c r="AC346" s="3">
        <f t="shared" si="23"/>
        <v>9.0277777773735579E-2</v>
      </c>
      <c r="AD346" t="str" cm="1">
        <f t="array" ref="AD346">IFERROR(_xlfn.IFS(
    AC346="", "",
    AC346*86400 &lt; 30, "1. 0s - &lt;30s",
    AC346*86400 &lt; 60, "2. 30s - &lt;1m",
    AC346*86400 &lt; 300, "3. 1m - &lt;5m",
    AC346*86400 &lt; 1800, "4. 5m - &lt;30m",
    TRUE, "5. &gt;= 30m"
),"6. Invalid (Order rejected)")</f>
        <v>5. &gt;= 30m</v>
      </c>
    </row>
    <row r="347" spans="1:30" hidden="1" x14ac:dyDescent="0.3">
      <c r="A347" t="s">
        <v>2148</v>
      </c>
      <c r="B347" t="s">
        <v>1819</v>
      </c>
      <c r="C347">
        <v>42814075</v>
      </c>
      <c r="D347">
        <v>0</v>
      </c>
      <c r="E347" t="s">
        <v>25</v>
      </c>
      <c r="F347" t="s">
        <v>26</v>
      </c>
      <c r="G347" t="s">
        <v>27</v>
      </c>
      <c r="H347" t="s">
        <v>2149</v>
      </c>
      <c r="I347" t="s">
        <v>2150</v>
      </c>
      <c r="J347" t="s">
        <v>26</v>
      </c>
      <c r="K347" t="s">
        <v>26</v>
      </c>
      <c r="L347" t="s">
        <v>2151</v>
      </c>
      <c r="M347" t="s">
        <v>25</v>
      </c>
      <c r="N347" t="s">
        <v>1642</v>
      </c>
      <c r="O347" t="s">
        <v>1643</v>
      </c>
      <c r="P347" t="s">
        <v>1728</v>
      </c>
      <c r="Q347" t="s">
        <v>1729</v>
      </c>
      <c r="R347">
        <v>324540</v>
      </c>
      <c r="S347">
        <v>0</v>
      </c>
      <c r="T347">
        <v>324540</v>
      </c>
      <c r="U347" t="s">
        <v>35</v>
      </c>
      <c r="V347" t="s">
        <v>1646</v>
      </c>
      <c r="W347" t="s">
        <v>1731</v>
      </c>
      <c r="X347" s="4">
        <v>1</v>
      </c>
      <c r="Y347" s="4"/>
      <c r="Z347">
        <f t="shared" si="20"/>
        <v>7</v>
      </c>
      <c r="AA347">
        <f t="shared" si="21"/>
        <v>17</v>
      </c>
      <c r="AB347" s="5">
        <f t="shared" si="22"/>
        <v>0.33267361111211358</v>
      </c>
      <c r="AC347" s="3">
        <f t="shared" si="23"/>
        <v>9.0277777773735579E-2</v>
      </c>
      <c r="AD347" t="str" cm="1">
        <f t="array" ref="AD347">IFERROR(_xlfn.IFS(
    AC347="", "",
    AC347*86400 &lt; 30, "1. 0s - &lt;30s",
    AC347*86400 &lt; 60, "2. 30s - &lt;1m",
    AC347*86400 &lt; 300, "3. 1m - &lt;5m",
    AC347*86400 &lt; 1800, "4. 5m - &lt;30m",
    TRUE, "5. &gt;= 30m"
),"6. Invalid (Order rejected)")</f>
        <v>5. &gt;= 30m</v>
      </c>
    </row>
    <row r="348" spans="1:30" x14ac:dyDescent="0.3">
      <c r="A348" t="s">
        <v>2152</v>
      </c>
      <c r="B348" t="s">
        <v>25</v>
      </c>
      <c r="C348">
        <v>43376946</v>
      </c>
      <c r="D348">
        <v>3187647</v>
      </c>
      <c r="E348" t="s">
        <v>25</v>
      </c>
      <c r="F348" t="s">
        <v>75</v>
      </c>
      <c r="G348" t="s">
        <v>360</v>
      </c>
      <c r="H348" t="s">
        <v>2153</v>
      </c>
      <c r="I348" t="s">
        <v>2154</v>
      </c>
      <c r="J348" t="s">
        <v>2155</v>
      </c>
      <c r="K348" t="s">
        <v>26</v>
      </c>
      <c r="L348" t="s">
        <v>25</v>
      </c>
      <c r="M348" t="s">
        <v>25</v>
      </c>
      <c r="N348" t="s">
        <v>2156</v>
      </c>
      <c r="O348" t="s">
        <v>2157</v>
      </c>
      <c r="P348" t="s">
        <v>2158</v>
      </c>
      <c r="Q348" t="s">
        <v>2159</v>
      </c>
      <c r="R348">
        <v>209736</v>
      </c>
      <c r="S348">
        <v>162594</v>
      </c>
      <c r="T348">
        <v>47142</v>
      </c>
      <c r="U348" t="s">
        <v>35</v>
      </c>
      <c r="V348" t="s">
        <v>2160</v>
      </c>
      <c r="W348" t="s">
        <v>2161</v>
      </c>
      <c r="X348" s="4">
        <v>1</v>
      </c>
      <c r="Y348" s="4"/>
      <c r="Z348">
        <f t="shared" si="20"/>
        <v>8</v>
      </c>
      <c r="AA348">
        <f t="shared" si="21"/>
        <v>6</v>
      </c>
      <c r="AB348" s="5">
        <f t="shared" si="22"/>
        <v>0.37943287037342088</v>
      </c>
      <c r="AC348" s="3" t="str">
        <f t="shared" si="23"/>
        <v>Order rejected, no time available</v>
      </c>
      <c r="AD348" t="str" cm="1">
        <f t="array" ref="AD348">IFERROR(_xlfn.IFS(
    AC348="", "",
    AC348*86400 &lt; 30, "1. 0s - &lt;30s",
    AC348*86400 &lt; 60, "2. 30s - &lt;1m",
    AC348*86400 &lt; 300, "3. 1m - &lt;5m",
    AC348*86400 &lt; 1800, "4. 5m - &lt;30m",
    TRUE, "5. &gt;= 30m"
),"6. Invalid (Order rejected)")</f>
        <v>6. Invalid (Order rejected)</v>
      </c>
    </row>
    <row r="349" spans="1:30" x14ac:dyDescent="0.3">
      <c r="A349" t="s">
        <v>2162</v>
      </c>
      <c r="B349" t="s">
        <v>25</v>
      </c>
      <c r="C349">
        <v>43376946</v>
      </c>
      <c r="D349">
        <v>4600219</v>
      </c>
      <c r="E349" t="s">
        <v>25</v>
      </c>
      <c r="F349" t="s">
        <v>75</v>
      </c>
      <c r="G349" t="s">
        <v>360</v>
      </c>
      <c r="H349" t="s">
        <v>2163</v>
      </c>
      <c r="I349" t="s">
        <v>2164</v>
      </c>
      <c r="J349" t="s">
        <v>2165</v>
      </c>
      <c r="K349" t="s">
        <v>26</v>
      </c>
      <c r="L349" t="s">
        <v>25</v>
      </c>
      <c r="M349" t="s">
        <v>25</v>
      </c>
      <c r="N349" t="s">
        <v>2166</v>
      </c>
      <c r="O349" t="s">
        <v>2167</v>
      </c>
      <c r="P349" t="s">
        <v>2168</v>
      </c>
      <c r="Q349" t="s">
        <v>2169</v>
      </c>
      <c r="R349">
        <v>334476</v>
      </c>
      <c r="S349">
        <v>259296</v>
      </c>
      <c r="T349">
        <v>75180</v>
      </c>
      <c r="U349" t="s">
        <v>35</v>
      </c>
      <c r="V349" t="s">
        <v>2170</v>
      </c>
      <c r="W349" t="s">
        <v>2171</v>
      </c>
      <c r="X349" s="4">
        <v>1</v>
      </c>
      <c r="Y349" s="4"/>
      <c r="Z349">
        <f t="shared" si="20"/>
        <v>8</v>
      </c>
      <c r="AA349">
        <f t="shared" si="21"/>
        <v>6</v>
      </c>
      <c r="AB349" s="5">
        <f t="shared" si="22"/>
        <v>0.38039351852057735</v>
      </c>
      <c r="AC349" s="3" t="str">
        <f t="shared" si="23"/>
        <v>Order rejected, no time available</v>
      </c>
      <c r="AD349" t="str" cm="1">
        <f t="array" ref="AD349">IFERROR(_xlfn.IFS(
    AC349="", "",
    AC349*86400 &lt; 30, "1. 0s - &lt;30s",
    AC349*86400 &lt; 60, "2. 30s - &lt;1m",
    AC349*86400 &lt; 300, "3. 1m - &lt;5m",
    AC349*86400 &lt; 1800, "4. 5m - &lt;30m",
    TRUE, "5. &gt;= 30m"
),"6. Invalid (Order rejected)")</f>
        <v>6. Invalid (Order rejected)</v>
      </c>
    </row>
    <row r="350" spans="1:30" x14ac:dyDescent="0.3">
      <c r="A350" t="s">
        <v>2172</v>
      </c>
      <c r="B350" t="s">
        <v>25</v>
      </c>
      <c r="C350">
        <v>43376946</v>
      </c>
      <c r="D350">
        <v>1528635</v>
      </c>
      <c r="E350" t="s">
        <v>25</v>
      </c>
      <c r="F350" t="s">
        <v>75</v>
      </c>
      <c r="G350" t="s">
        <v>360</v>
      </c>
      <c r="H350" t="s">
        <v>2173</v>
      </c>
      <c r="I350" t="s">
        <v>2174</v>
      </c>
      <c r="J350" t="s">
        <v>2175</v>
      </c>
      <c r="K350" t="s">
        <v>26</v>
      </c>
      <c r="L350" t="s">
        <v>25</v>
      </c>
      <c r="M350" t="s">
        <v>25</v>
      </c>
      <c r="N350" t="s">
        <v>2176</v>
      </c>
      <c r="O350" t="s">
        <v>2177</v>
      </c>
      <c r="P350" t="s">
        <v>2178</v>
      </c>
      <c r="Q350" t="s">
        <v>2179</v>
      </c>
      <c r="R350">
        <v>258876</v>
      </c>
      <c r="S350">
        <v>200689</v>
      </c>
      <c r="T350">
        <v>58187</v>
      </c>
      <c r="U350" t="s">
        <v>35</v>
      </c>
      <c r="V350" t="s">
        <v>2180</v>
      </c>
      <c r="W350" t="s">
        <v>2181</v>
      </c>
      <c r="X350" s="4">
        <v>1</v>
      </c>
      <c r="Y350" s="4"/>
      <c r="Z350">
        <f t="shared" si="20"/>
        <v>8</v>
      </c>
      <c r="AA350">
        <f t="shared" si="21"/>
        <v>6</v>
      </c>
      <c r="AB350" s="5">
        <f t="shared" si="22"/>
        <v>0.38271990740759065</v>
      </c>
      <c r="AC350" s="3" t="str">
        <f t="shared" si="23"/>
        <v>Order rejected, no time available</v>
      </c>
      <c r="AD350" t="str" cm="1">
        <f t="array" ref="AD350">IFERROR(_xlfn.IFS(
    AC350="", "",
    AC350*86400 &lt; 30, "1. 0s - &lt;30s",
    AC350*86400 &lt; 60, "2. 30s - &lt;1m",
    AC350*86400 &lt; 300, "3. 1m - &lt;5m",
    AC350*86400 &lt; 1800, "4. 5m - &lt;30m",
    TRUE, "5. &gt;= 30m"
),"6. Invalid (Order rejected)")</f>
        <v>6. Invalid (Order rejected)</v>
      </c>
    </row>
    <row r="351" spans="1:30" x14ac:dyDescent="0.3">
      <c r="A351" t="s">
        <v>2182</v>
      </c>
      <c r="B351" t="s">
        <v>25</v>
      </c>
      <c r="C351">
        <v>43376946</v>
      </c>
      <c r="D351">
        <v>4190254</v>
      </c>
      <c r="E351" t="s">
        <v>25</v>
      </c>
      <c r="F351" t="s">
        <v>75</v>
      </c>
      <c r="G351" t="s">
        <v>360</v>
      </c>
      <c r="H351" t="s">
        <v>2183</v>
      </c>
      <c r="I351" t="s">
        <v>2174</v>
      </c>
      <c r="J351" t="s">
        <v>2184</v>
      </c>
      <c r="K351" t="s">
        <v>26</v>
      </c>
      <c r="L351" t="s">
        <v>25</v>
      </c>
      <c r="M351" t="s">
        <v>25</v>
      </c>
      <c r="N351" t="s">
        <v>2185</v>
      </c>
      <c r="O351" t="s">
        <v>2186</v>
      </c>
      <c r="P351" t="s">
        <v>2187</v>
      </c>
      <c r="Q351" t="s">
        <v>2188</v>
      </c>
      <c r="R351">
        <v>201744</v>
      </c>
      <c r="S351">
        <v>156398</v>
      </c>
      <c r="T351">
        <v>45346</v>
      </c>
      <c r="U351" t="s">
        <v>35</v>
      </c>
      <c r="V351" t="s">
        <v>2189</v>
      </c>
      <c r="W351" t="s">
        <v>2190</v>
      </c>
      <c r="X351" s="4">
        <v>1</v>
      </c>
      <c r="Y351" s="4"/>
      <c r="Z351">
        <f t="shared" si="20"/>
        <v>8</v>
      </c>
      <c r="AA351">
        <f t="shared" si="21"/>
        <v>6</v>
      </c>
      <c r="AB351" s="5">
        <f t="shared" si="22"/>
        <v>0.38328703703882638</v>
      </c>
      <c r="AC351" s="3" t="str">
        <f t="shared" si="23"/>
        <v>Order rejected, no time available</v>
      </c>
      <c r="AD351" t="str" cm="1">
        <f t="array" ref="AD351">IFERROR(_xlfn.IFS(
    AC351="", "",
    AC351*86400 &lt; 30, "1. 0s - &lt;30s",
    AC351*86400 &lt; 60, "2. 30s - &lt;1m",
    AC351*86400 &lt; 300, "3. 1m - &lt;5m",
    AC351*86400 &lt; 1800, "4. 5m - &lt;30m",
    TRUE, "5. &gt;= 30m"
),"6. Invalid (Order rejected)")</f>
        <v>6. Invalid (Order rejected)</v>
      </c>
    </row>
    <row r="352" spans="1:30" x14ac:dyDescent="0.3">
      <c r="A352" t="s">
        <v>2191</v>
      </c>
      <c r="B352" t="s">
        <v>25</v>
      </c>
      <c r="C352">
        <v>43376946</v>
      </c>
      <c r="D352">
        <v>4749242</v>
      </c>
      <c r="E352" t="s">
        <v>25</v>
      </c>
      <c r="F352" t="s">
        <v>75</v>
      </c>
      <c r="G352" t="s">
        <v>360</v>
      </c>
      <c r="H352" t="s">
        <v>2192</v>
      </c>
      <c r="I352" t="s">
        <v>2193</v>
      </c>
      <c r="J352" t="s">
        <v>2194</v>
      </c>
      <c r="K352" t="s">
        <v>26</v>
      </c>
      <c r="L352" t="s">
        <v>25</v>
      </c>
      <c r="M352" t="s">
        <v>25</v>
      </c>
      <c r="N352" t="s">
        <v>2195</v>
      </c>
      <c r="O352" t="s">
        <v>2196</v>
      </c>
      <c r="P352" t="s">
        <v>2197</v>
      </c>
      <c r="Q352" t="s">
        <v>2198</v>
      </c>
      <c r="R352">
        <v>207360</v>
      </c>
      <c r="S352">
        <v>160752</v>
      </c>
      <c r="T352">
        <v>46608</v>
      </c>
      <c r="U352" t="s">
        <v>35</v>
      </c>
      <c r="V352" t="s">
        <v>2199</v>
      </c>
      <c r="W352" t="s">
        <v>2200</v>
      </c>
      <c r="X352" s="4">
        <v>1</v>
      </c>
      <c r="Y352" s="4"/>
      <c r="Z352">
        <f t="shared" si="20"/>
        <v>8</v>
      </c>
      <c r="AA352">
        <f t="shared" si="21"/>
        <v>6</v>
      </c>
      <c r="AB352" s="5">
        <f t="shared" si="22"/>
        <v>0.3867708333345945</v>
      </c>
      <c r="AC352" s="3" t="str">
        <f t="shared" si="23"/>
        <v>Order rejected, no time available</v>
      </c>
      <c r="AD352" t="str" cm="1">
        <f t="array" ref="AD352">IFERROR(_xlfn.IFS(
    AC352="", "",
    AC352*86400 &lt; 30, "1. 0s - &lt;30s",
    AC352*86400 &lt; 60, "2. 30s - &lt;1m",
    AC352*86400 &lt; 300, "3. 1m - &lt;5m",
    AC352*86400 &lt; 1800, "4. 5m - &lt;30m",
    TRUE, "5. &gt;= 30m"
),"6. Invalid (Order rejected)")</f>
        <v>6. Invalid (Order rejected)</v>
      </c>
    </row>
    <row r="353" spans="1:30" x14ac:dyDescent="0.3">
      <c r="A353" t="s">
        <v>2201</v>
      </c>
      <c r="B353" t="s">
        <v>25</v>
      </c>
      <c r="C353">
        <v>43376946</v>
      </c>
      <c r="D353">
        <v>2738333</v>
      </c>
      <c r="E353" t="s">
        <v>25</v>
      </c>
      <c r="F353" t="s">
        <v>75</v>
      </c>
      <c r="G353" t="s">
        <v>360</v>
      </c>
      <c r="H353" t="s">
        <v>2202</v>
      </c>
      <c r="I353" t="s">
        <v>2203</v>
      </c>
      <c r="J353" t="s">
        <v>2204</v>
      </c>
      <c r="K353" t="s">
        <v>26</v>
      </c>
      <c r="L353" t="s">
        <v>25</v>
      </c>
      <c r="M353" t="s">
        <v>25</v>
      </c>
      <c r="N353" t="s">
        <v>2205</v>
      </c>
      <c r="O353" t="s">
        <v>2206</v>
      </c>
      <c r="P353" t="s">
        <v>2207</v>
      </c>
      <c r="Q353" t="s">
        <v>2208</v>
      </c>
      <c r="R353">
        <v>337608</v>
      </c>
      <c r="S353">
        <v>261724</v>
      </c>
      <c r="T353">
        <v>75884</v>
      </c>
      <c r="U353" t="s">
        <v>35</v>
      </c>
      <c r="V353" t="s">
        <v>2209</v>
      </c>
      <c r="W353" t="s">
        <v>2210</v>
      </c>
      <c r="X353" s="4">
        <v>1</v>
      </c>
      <c r="Y353" s="4"/>
      <c r="Z353">
        <f t="shared" si="20"/>
        <v>8</v>
      </c>
      <c r="AA353">
        <f t="shared" si="21"/>
        <v>6</v>
      </c>
      <c r="AB353" s="5">
        <f t="shared" si="22"/>
        <v>0.38936342592933215</v>
      </c>
      <c r="AC353" s="3" t="str">
        <f t="shared" si="23"/>
        <v>Order rejected, no time available</v>
      </c>
      <c r="AD353" t="str" cm="1">
        <f t="array" ref="AD353">IFERROR(_xlfn.IFS(
    AC353="", "",
    AC353*86400 &lt; 30, "1. 0s - &lt;30s",
    AC353*86400 &lt; 60, "2. 30s - &lt;1m",
    AC353*86400 &lt; 300, "3. 1m - &lt;5m",
    AC353*86400 &lt; 1800, "4. 5m - &lt;30m",
    TRUE, "5. &gt;= 30m"
),"6. Invalid (Order rejected)")</f>
        <v>6. Invalid (Order rejected)</v>
      </c>
    </row>
    <row r="354" spans="1:30" hidden="1" x14ac:dyDescent="0.3">
      <c r="A354" t="s">
        <v>2211</v>
      </c>
      <c r="B354" t="s">
        <v>25</v>
      </c>
      <c r="C354">
        <v>43376946</v>
      </c>
      <c r="D354">
        <v>4629889</v>
      </c>
      <c r="E354" t="s">
        <v>25</v>
      </c>
      <c r="F354" t="s">
        <v>75</v>
      </c>
      <c r="G354" t="s">
        <v>76</v>
      </c>
      <c r="H354" t="s">
        <v>2212</v>
      </c>
      <c r="I354" t="s">
        <v>2213</v>
      </c>
      <c r="J354" t="s">
        <v>2214</v>
      </c>
      <c r="K354" t="s">
        <v>26</v>
      </c>
      <c r="L354" t="s">
        <v>2215</v>
      </c>
      <c r="M354" t="s">
        <v>25</v>
      </c>
      <c r="N354" t="s">
        <v>2216</v>
      </c>
      <c r="O354" t="s">
        <v>2217</v>
      </c>
      <c r="P354" t="s">
        <v>2218</v>
      </c>
      <c r="Q354" t="s">
        <v>2219</v>
      </c>
      <c r="R354">
        <v>109296</v>
      </c>
      <c r="S354">
        <v>84730</v>
      </c>
      <c r="T354">
        <v>24566</v>
      </c>
      <c r="U354" t="s">
        <v>35</v>
      </c>
      <c r="V354" t="s">
        <v>2220</v>
      </c>
      <c r="W354" t="s">
        <v>2221</v>
      </c>
      <c r="X354" s="4">
        <v>1</v>
      </c>
      <c r="Y354" s="4"/>
      <c r="Z354">
        <f t="shared" si="20"/>
        <v>8</v>
      </c>
      <c r="AA354">
        <f t="shared" si="21"/>
        <v>6</v>
      </c>
      <c r="AB354" s="5">
        <f t="shared" si="22"/>
        <v>0.39043981481518131</v>
      </c>
      <c r="AC354" s="3">
        <f t="shared" si="23"/>
        <v>1.9328703703649808E-2</v>
      </c>
      <c r="AD354" t="str" cm="1">
        <f t="array" ref="AD354">IFERROR(_xlfn.IFS(
    AC354="", "",
    AC354*86400 &lt; 30, "1. 0s - &lt;30s",
    AC354*86400 &lt; 60, "2. 30s - &lt;1m",
    AC354*86400 &lt; 300, "3. 1m - &lt;5m",
    AC354*86400 &lt; 1800, "4. 5m - &lt;30m",
    TRUE, "5. &gt;= 30m"
),"6. Invalid (Order rejected)")</f>
        <v>4. 5m - &lt;30m</v>
      </c>
    </row>
    <row r="355" spans="1:30" x14ac:dyDescent="0.3">
      <c r="A355" t="s">
        <v>2222</v>
      </c>
      <c r="B355" t="s">
        <v>25</v>
      </c>
      <c r="C355">
        <v>43376946</v>
      </c>
      <c r="D355">
        <v>3187647</v>
      </c>
      <c r="E355" t="s">
        <v>25</v>
      </c>
      <c r="F355" t="s">
        <v>75</v>
      </c>
      <c r="G355" t="s">
        <v>360</v>
      </c>
      <c r="H355" t="s">
        <v>2223</v>
      </c>
      <c r="I355" t="s">
        <v>2224</v>
      </c>
      <c r="J355" t="s">
        <v>2225</v>
      </c>
      <c r="K355" t="s">
        <v>26</v>
      </c>
      <c r="L355" t="s">
        <v>25</v>
      </c>
      <c r="M355" t="s">
        <v>25</v>
      </c>
      <c r="N355" t="s">
        <v>2226</v>
      </c>
      <c r="O355" t="s">
        <v>2227</v>
      </c>
      <c r="P355" t="s">
        <v>2228</v>
      </c>
      <c r="Q355" t="s">
        <v>2229</v>
      </c>
      <c r="R355">
        <v>244512</v>
      </c>
      <c r="S355">
        <v>189553</v>
      </c>
      <c r="T355">
        <v>54959</v>
      </c>
      <c r="U355" t="s">
        <v>35</v>
      </c>
      <c r="V355" t="s">
        <v>2230</v>
      </c>
      <c r="W355" t="s">
        <v>2231</v>
      </c>
      <c r="X355" s="4">
        <v>1</v>
      </c>
      <c r="Y355" s="4"/>
      <c r="Z355">
        <f t="shared" si="20"/>
        <v>8</v>
      </c>
      <c r="AA355">
        <f t="shared" si="21"/>
        <v>6</v>
      </c>
      <c r="AB355" s="5">
        <f t="shared" si="22"/>
        <v>0.39468749999650754</v>
      </c>
      <c r="AC355" s="3" t="str">
        <f t="shared" si="23"/>
        <v>Order rejected, no time available</v>
      </c>
      <c r="AD355" t="str" cm="1">
        <f t="array" ref="AD355">IFERROR(_xlfn.IFS(
    AC355="", "",
    AC355*86400 &lt; 30, "1. 0s - &lt;30s",
    AC355*86400 &lt; 60, "2. 30s - &lt;1m",
    AC355*86400 &lt; 300, "3. 1m - &lt;5m",
    AC355*86400 &lt; 1800, "4. 5m - &lt;30m",
    TRUE, "5. &gt;= 30m"
),"6. Invalid (Order rejected)")</f>
        <v>6. Invalid (Order rejected)</v>
      </c>
    </row>
    <row r="356" spans="1:30" x14ac:dyDescent="0.3">
      <c r="A356" t="s">
        <v>2232</v>
      </c>
      <c r="B356" t="s">
        <v>25</v>
      </c>
      <c r="C356">
        <v>43376946</v>
      </c>
      <c r="D356">
        <v>4442770</v>
      </c>
      <c r="E356" t="s">
        <v>25</v>
      </c>
      <c r="F356" t="s">
        <v>75</v>
      </c>
      <c r="G356" t="s">
        <v>360</v>
      </c>
      <c r="H356" t="s">
        <v>2233</v>
      </c>
      <c r="I356" t="s">
        <v>2234</v>
      </c>
      <c r="J356" t="s">
        <v>2235</v>
      </c>
      <c r="K356" t="s">
        <v>26</v>
      </c>
      <c r="L356" t="s">
        <v>25</v>
      </c>
      <c r="M356" t="s">
        <v>25</v>
      </c>
      <c r="N356" t="s">
        <v>2236</v>
      </c>
      <c r="O356" t="s">
        <v>2237</v>
      </c>
      <c r="P356" t="s">
        <v>2238</v>
      </c>
      <c r="Q356" t="s">
        <v>2239</v>
      </c>
      <c r="R356">
        <v>207252</v>
      </c>
      <c r="S356">
        <v>160668</v>
      </c>
      <c r="T356">
        <v>46584</v>
      </c>
      <c r="U356" t="s">
        <v>35</v>
      </c>
      <c r="V356" t="s">
        <v>2240</v>
      </c>
      <c r="W356" t="s">
        <v>2241</v>
      </c>
      <c r="X356" s="4">
        <v>1</v>
      </c>
      <c r="Y356" s="4"/>
      <c r="Z356">
        <f t="shared" si="20"/>
        <v>8</v>
      </c>
      <c r="AA356">
        <f t="shared" si="21"/>
        <v>8</v>
      </c>
      <c r="AB356" s="5">
        <f t="shared" si="22"/>
        <v>0.32756944444554392</v>
      </c>
      <c r="AC356" s="3" t="str">
        <f t="shared" si="23"/>
        <v>Order rejected, no time available</v>
      </c>
      <c r="AD356" t="str" cm="1">
        <f t="array" ref="AD356">IFERROR(_xlfn.IFS(
    AC356="", "",
    AC356*86400 &lt; 30, "1. 0s - &lt;30s",
    AC356*86400 &lt; 60, "2. 30s - &lt;1m",
    AC356*86400 &lt; 300, "3. 1m - &lt;5m",
    AC356*86400 &lt; 1800, "4. 5m - &lt;30m",
    TRUE, "5. &gt;= 30m"
),"6. Invalid (Order rejected)")</f>
        <v>6. Invalid (Order rejected)</v>
      </c>
    </row>
    <row r="357" spans="1:30" hidden="1" x14ac:dyDescent="0.3">
      <c r="A357" t="s">
        <v>2242</v>
      </c>
      <c r="B357" t="s">
        <v>25</v>
      </c>
      <c r="C357">
        <v>43376946</v>
      </c>
      <c r="D357">
        <v>0</v>
      </c>
      <c r="E357" t="s">
        <v>25</v>
      </c>
      <c r="F357" t="s">
        <v>26</v>
      </c>
      <c r="G357" t="s">
        <v>27</v>
      </c>
      <c r="H357" t="s">
        <v>2243</v>
      </c>
      <c r="I357" t="s">
        <v>2244</v>
      </c>
      <c r="J357" t="s">
        <v>26</v>
      </c>
      <c r="K357" t="s">
        <v>26</v>
      </c>
      <c r="L357" t="s">
        <v>2245</v>
      </c>
      <c r="M357" t="s">
        <v>25</v>
      </c>
      <c r="N357" t="s">
        <v>2246</v>
      </c>
      <c r="O357" t="s">
        <v>2247</v>
      </c>
      <c r="P357" t="s">
        <v>2248</v>
      </c>
      <c r="Q357" t="s">
        <v>2249</v>
      </c>
      <c r="R357">
        <v>373896</v>
      </c>
      <c r="S357">
        <v>0</v>
      </c>
      <c r="T357">
        <v>373896</v>
      </c>
      <c r="U357" t="s">
        <v>35</v>
      </c>
      <c r="V357" t="s">
        <v>2250</v>
      </c>
      <c r="W357" t="s">
        <v>2251</v>
      </c>
      <c r="X357" s="4">
        <v>1</v>
      </c>
      <c r="Y357" s="4"/>
      <c r="Z357">
        <f t="shared" si="20"/>
        <v>8</v>
      </c>
      <c r="AA357">
        <f t="shared" si="21"/>
        <v>8</v>
      </c>
      <c r="AB357" s="5">
        <f t="shared" si="22"/>
        <v>0.32472222221986158</v>
      </c>
      <c r="AC357" s="3">
        <f t="shared" si="23"/>
        <v>8.98611111115315E-2</v>
      </c>
      <c r="AD357" t="str" cm="1">
        <f t="array" ref="AD357">IFERROR(_xlfn.IFS(
    AC357="", "",
    AC357*86400 &lt; 30, "1. 0s - &lt;30s",
    AC357*86400 &lt; 60, "2. 30s - &lt;1m",
    AC357*86400 &lt; 300, "3. 1m - &lt;5m",
    AC357*86400 &lt; 1800, "4. 5m - &lt;30m",
    TRUE, "5. &gt;= 30m"
),"6. Invalid (Order rejected)")</f>
        <v>5. &gt;= 30m</v>
      </c>
    </row>
    <row r="358" spans="1:30" x14ac:dyDescent="0.3">
      <c r="A358" t="s">
        <v>2252</v>
      </c>
      <c r="B358" t="s">
        <v>25</v>
      </c>
      <c r="C358">
        <v>43376946</v>
      </c>
      <c r="D358">
        <v>4830839</v>
      </c>
      <c r="E358" t="s">
        <v>25</v>
      </c>
      <c r="F358" t="s">
        <v>75</v>
      </c>
      <c r="G358" t="s">
        <v>360</v>
      </c>
      <c r="H358" t="s">
        <v>2253</v>
      </c>
      <c r="I358" t="s">
        <v>2254</v>
      </c>
      <c r="J358" t="s">
        <v>2255</v>
      </c>
      <c r="K358" t="s">
        <v>26</v>
      </c>
      <c r="L358" t="s">
        <v>25</v>
      </c>
      <c r="M358" t="s">
        <v>25</v>
      </c>
      <c r="N358" t="s">
        <v>2256</v>
      </c>
      <c r="O358" t="s">
        <v>2257</v>
      </c>
      <c r="P358" t="s">
        <v>2258</v>
      </c>
      <c r="Q358" t="s">
        <v>2259</v>
      </c>
      <c r="R358">
        <v>167616</v>
      </c>
      <c r="S358">
        <v>129941</v>
      </c>
      <c r="T358">
        <v>37675</v>
      </c>
      <c r="U358" t="s">
        <v>35</v>
      </c>
      <c r="V358" t="s">
        <v>2260</v>
      </c>
      <c r="W358" t="s">
        <v>2261</v>
      </c>
      <c r="X358" s="4">
        <v>1</v>
      </c>
      <c r="Y358" s="4"/>
      <c r="Z358">
        <f t="shared" si="20"/>
        <v>8</v>
      </c>
      <c r="AA358">
        <f t="shared" si="21"/>
        <v>8</v>
      </c>
      <c r="AB358" s="5">
        <f t="shared" si="22"/>
        <v>0.32539351852028631</v>
      </c>
      <c r="AC358" s="3" t="str">
        <f t="shared" si="23"/>
        <v>Order rejected, no time available</v>
      </c>
      <c r="AD358" t="str" cm="1">
        <f t="array" ref="AD358">IFERROR(_xlfn.IFS(
    AC358="", "",
    AC358*86400 &lt; 30, "1. 0s - &lt;30s",
    AC358*86400 &lt; 60, "2. 30s - &lt;1m",
    AC358*86400 &lt; 300, "3. 1m - &lt;5m",
    AC358*86400 &lt; 1800, "4. 5m - &lt;30m",
    TRUE, "5. &gt;= 30m"
),"6. Invalid (Order rejected)")</f>
        <v>6. Invalid (Order rejected)</v>
      </c>
    </row>
    <row r="359" spans="1:30" x14ac:dyDescent="0.3">
      <c r="A359" t="s">
        <v>2262</v>
      </c>
      <c r="B359" t="s">
        <v>25</v>
      </c>
      <c r="C359">
        <v>43376946</v>
      </c>
      <c r="D359">
        <v>4546762</v>
      </c>
      <c r="E359" t="s">
        <v>25</v>
      </c>
      <c r="F359" t="s">
        <v>75</v>
      </c>
      <c r="G359" t="s">
        <v>360</v>
      </c>
      <c r="H359" t="s">
        <v>2263</v>
      </c>
      <c r="I359" t="s">
        <v>2264</v>
      </c>
      <c r="J359" t="s">
        <v>2265</v>
      </c>
      <c r="K359" t="s">
        <v>26</v>
      </c>
      <c r="L359" t="s">
        <v>25</v>
      </c>
      <c r="M359" t="s">
        <v>25</v>
      </c>
      <c r="N359" t="s">
        <v>2266</v>
      </c>
      <c r="O359" t="s">
        <v>2267</v>
      </c>
      <c r="P359" t="s">
        <v>2268</v>
      </c>
      <c r="Q359" t="s">
        <v>2269</v>
      </c>
      <c r="R359">
        <v>277776</v>
      </c>
      <c r="S359">
        <v>215341</v>
      </c>
      <c r="T359">
        <v>62435</v>
      </c>
      <c r="U359" t="s">
        <v>35</v>
      </c>
      <c r="V359" t="s">
        <v>2270</v>
      </c>
      <c r="W359" t="s">
        <v>2271</v>
      </c>
      <c r="X359" s="4">
        <v>1</v>
      </c>
      <c r="Y359" s="4"/>
      <c r="Z359">
        <f t="shared" si="20"/>
        <v>8</v>
      </c>
      <c r="AA359">
        <f t="shared" si="21"/>
        <v>8</v>
      </c>
      <c r="AB359" s="5">
        <f t="shared" si="22"/>
        <v>0.33180555555736646</v>
      </c>
      <c r="AC359" s="3" t="str">
        <f t="shared" si="23"/>
        <v>Order rejected, no time available</v>
      </c>
      <c r="AD359" t="str" cm="1">
        <f t="array" ref="AD359">IFERROR(_xlfn.IFS(
    AC359="", "",
    AC359*86400 &lt; 30, "1. 0s - &lt;30s",
    AC359*86400 &lt; 60, "2. 30s - &lt;1m",
    AC359*86400 &lt; 300, "3. 1m - &lt;5m",
    AC359*86400 &lt; 1800, "4. 5m - &lt;30m",
    TRUE, "5. &gt;= 30m"
),"6. Invalid (Order rejected)")</f>
        <v>6. Invalid (Order rejected)</v>
      </c>
    </row>
    <row r="360" spans="1:30" x14ac:dyDescent="0.3">
      <c r="A360" t="s">
        <v>2272</v>
      </c>
      <c r="B360" t="s">
        <v>25</v>
      </c>
      <c r="C360">
        <v>43376946</v>
      </c>
      <c r="D360">
        <v>2628447</v>
      </c>
      <c r="E360" t="s">
        <v>25</v>
      </c>
      <c r="F360" t="s">
        <v>75</v>
      </c>
      <c r="G360" t="s">
        <v>360</v>
      </c>
      <c r="H360" t="s">
        <v>2273</v>
      </c>
      <c r="I360" t="s">
        <v>2274</v>
      </c>
      <c r="J360" t="s">
        <v>2275</v>
      </c>
      <c r="K360" t="s">
        <v>26</v>
      </c>
      <c r="L360" t="s">
        <v>25</v>
      </c>
      <c r="M360" t="s">
        <v>25</v>
      </c>
      <c r="N360" t="s">
        <v>2276</v>
      </c>
      <c r="O360" t="s">
        <v>2277</v>
      </c>
      <c r="P360" t="s">
        <v>2278</v>
      </c>
      <c r="Q360" t="s">
        <v>2279</v>
      </c>
      <c r="R360">
        <v>241056</v>
      </c>
      <c r="S360">
        <v>186874</v>
      </c>
      <c r="T360">
        <v>54182</v>
      </c>
      <c r="U360" t="s">
        <v>35</v>
      </c>
      <c r="V360" t="s">
        <v>2280</v>
      </c>
      <c r="W360" t="s">
        <v>2281</v>
      </c>
      <c r="X360" s="4">
        <v>1</v>
      </c>
      <c r="Y360" s="4"/>
      <c r="Z360">
        <f t="shared" si="20"/>
        <v>8</v>
      </c>
      <c r="AA360">
        <f t="shared" si="21"/>
        <v>8</v>
      </c>
      <c r="AB360" s="5">
        <f t="shared" si="22"/>
        <v>0.33030092592525762</v>
      </c>
      <c r="AC360" s="3" t="str">
        <f t="shared" si="23"/>
        <v>Order rejected, no time available</v>
      </c>
      <c r="AD360" t="str" cm="1">
        <f t="array" ref="AD360">IFERROR(_xlfn.IFS(
    AC360="", "",
    AC360*86400 &lt; 30, "1. 0s - &lt;30s",
    AC360*86400 &lt; 60, "2. 30s - &lt;1m",
    AC360*86400 &lt; 300, "3. 1m - &lt;5m",
    AC360*86400 &lt; 1800, "4. 5m - &lt;30m",
    TRUE, "5. &gt;= 30m"
),"6. Invalid (Order rejected)")</f>
        <v>6. Invalid (Order rejected)</v>
      </c>
    </row>
    <row r="361" spans="1:30" hidden="1" x14ac:dyDescent="0.3">
      <c r="A361" t="s">
        <v>2282</v>
      </c>
      <c r="B361" t="s">
        <v>25</v>
      </c>
      <c r="C361">
        <v>43376946</v>
      </c>
      <c r="D361">
        <v>4812588</v>
      </c>
      <c r="E361" t="s">
        <v>25</v>
      </c>
      <c r="F361" t="s">
        <v>75</v>
      </c>
      <c r="G361" t="s">
        <v>76</v>
      </c>
      <c r="H361" t="s">
        <v>2283</v>
      </c>
      <c r="I361" t="s">
        <v>2284</v>
      </c>
      <c r="J361" t="s">
        <v>2285</v>
      </c>
      <c r="K361" t="s">
        <v>26</v>
      </c>
      <c r="L361" t="s">
        <v>2286</v>
      </c>
      <c r="M361" t="s">
        <v>25</v>
      </c>
      <c r="N361" t="s">
        <v>2287</v>
      </c>
      <c r="O361" t="s">
        <v>2288</v>
      </c>
      <c r="P361" t="s">
        <v>2289</v>
      </c>
      <c r="Q361" t="s">
        <v>2290</v>
      </c>
      <c r="R361">
        <v>333180</v>
      </c>
      <c r="S361">
        <v>258292</v>
      </c>
      <c r="T361">
        <v>74888</v>
      </c>
      <c r="U361" t="s">
        <v>35</v>
      </c>
      <c r="V361" t="s">
        <v>2291</v>
      </c>
      <c r="W361" t="s">
        <v>2292</v>
      </c>
      <c r="X361" s="4">
        <v>1</v>
      </c>
      <c r="Y361" s="4"/>
      <c r="Z361">
        <f t="shared" si="20"/>
        <v>8</v>
      </c>
      <c r="AA361">
        <f t="shared" si="21"/>
        <v>9</v>
      </c>
      <c r="AB361" s="5">
        <f t="shared" si="22"/>
        <v>0.82913194444699911</v>
      </c>
      <c r="AC361" s="3">
        <f t="shared" si="23"/>
        <v>6.3425925909541547E-3</v>
      </c>
      <c r="AD361" t="str" cm="1">
        <f t="array" ref="AD361">IFERROR(_xlfn.IFS(
    AC361="", "",
    AC361*86400 &lt; 30, "1. 0s - &lt;30s",
    AC361*86400 &lt; 60, "2. 30s - &lt;1m",
    AC361*86400 &lt; 300, "3. 1m - &lt;5m",
    AC361*86400 &lt; 1800, "4. 5m - &lt;30m",
    TRUE, "5. &gt;= 30m"
),"6. Invalid (Order rejected)")</f>
        <v>4. 5m - &lt;30m</v>
      </c>
    </row>
    <row r="362" spans="1:30" hidden="1" x14ac:dyDescent="0.3">
      <c r="A362" t="s">
        <v>2293</v>
      </c>
      <c r="B362" t="s">
        <v>25</v>
      </c>
      <c r="C362">
        <v>43485077</v>
      </c>
      <c r="D362">
        <v>0</v>
      </c>
      <c r="E362" t="s">
        <v>25</v>
      </c>
      <c r="F362" t="s">
        <v>26</v>
      </c>
      <c r="G362" t="s">
        <v>27</v>
      </c>
      <c r="H362" t="s">
        <v>2294</v>
      </c>
      <c r="I362" t="s">
        <v>2295</v>
      </c>
      <c r="J362" t="s">
        <v>26</v>
      </c>
      <c r="K362" t="s">
        <v>26</v>
      </c>
      <c r="L362" t="s">
        <v>2296</v>
      </c>
      <c r="M362" t="s">
        <v>25</v>
      </c>
      <c r="N362" t="s">
        <v>1911</v>
      </c>
      <c r="O362" t="s">
        <v>1912</v>
      </c>
      <c r="P362" t="s">
        <v>2297</v>
      </c>
      <c r="Q362" t="s">
        <v>2298</v>
      </c>
      <c r="R362">
        <v>158760</v>
      </c>
      <c r="S362">
        <v>0</v>
      </c>
      <c r="T362">
        <v>158760</v>
      </c>
      <c r="U362" t="s">
        <v>35</v>
      </c>
      <c r="V362" t="s">
        <v>1915</v>
      </c>
      <c r="W362" t="s">
        <v>2299</v>
      </c>
      <c r="X362" s="4">
        <v>1</v>
      </c>
      <c r="Y362" s="4"/>
      <c r="Z362">
        <f t="shared" si="20"/>
        <v>8</v>
      </c>
      <c r="AA362">
        <f t="shared" si="21"/>
        <v>10</v>
      </c>
      <c r="AB362" s="5">
        <f t="shared" si="22"/>
        <v>0.30924768518161727</v>
      </c>
      <c r="AC362" s="3">
        <f t="shared" si="23"/>
        <v>9.0277777781011537E-2</v>
      </c>
      <c r="AD362" t="str" cm="1">
        <f t="array" ref="AD362">IFERROR(_xlfn.IFS(
    AC362="", "",
    AC362*86400 &lt; 30, "1. 0s - &lt;30s",
    AC362*86400 &lt; 60, "2. 30s - &lt;1m",
    AC362*86400 &lt; 300, "3. 1m - &lt;5m",
    AC362*86400 &lt; 1800, "4. 5m - &lt;30m",
    TRUE, "5. &gt;= 30m"
),"6. Invalid (Order rejected)")</f>
        <v>5. &gt;= 30m</v>
      </c>
    </row>
    <row r="363" spans="1:30" hidden="1" x14ac:dyDescent="0.3">
      <c r="A363" t="s">
        <v>2300</v>
      </c>
      <c r="B363" t="s">
        <v>25</v>
      </c>
      <c r="C363">
        <v>43485077</v>
      </c>
      <c r="D363">
        <v>0</v>
      </c>
      <c r="E363" t="s">
        <v>25</v>
      </c>
      <c r="F363" t="s">
        <v>26</v>
      </c>
      <c r="G363" t="s">
        <v>27</v>
      </c>
      <c r="H363" t="s">
        <v>2301</v>
      </c>
      <c r="I363" t="s">
        <v>2302</v>
      </c>
      <c r="J363" t="s">
        <v>26</v>
      </c>
      <c r="K363" t="s">
        <v>26</v>
      </c>
      <c r="L363" t="s">
        <v>2303</v>
      </c>
      <c r="M363" t="s">
        <v>25</v>
      </c>
      <c r="N363" t="s">
        <v>1911</v>
      </c>
      <c r="O363" t="s">
        <v>1912</v>
      </c>
      <c r="P363" t="s">
        <v>2304</v>
      </c>
      <c r="Q363" t="s">
        <v>2305</v>
      </c>
      <c r="R363">
        <v>177120</v>
      </c>
      <c r="S363">
        <v>0</v>
      </c>
      <c r="T363">
        <v>177120</v>
      </c>
      <c r="U363" t="s">
        <v>35</v>
      </c>
      <c r="V363" t="s">
        <v>1915</v>
      </c>
      <c r="W363" t="s">
        <v>2306</v>
      </c>
      <c r="X363" s="4">
        <v>1</v>
      </c>
      <c r="Y363" s="4"/>
      <c r="Z363">
        <f t="shared" si="20"/>
        <v>8</v>
      </c>
      <c r="AA363">
        <f t="shared" si="21"/>
        <v>10</v>
      </c>
      <c r="AB363" s="5">
        <f t="shared" si="22"/>
        <v>0.30978009258979</v>
      </c>
      <c r="AC363" s="3">
        <f t="shared" si="23"/>
        <v>0.1615046296356013</v>
      </c>
      <c r="AD363" t="str" cm="1">
        <f t="array" ref="AD363">IFERROR(_xlfn.IFS(
    AC363="", "",
    AC363*86400 &lt; 30, "1. 0s - &lt;30s",
    AC363*86400 &lt; 60, "2. 30s - &lt;1m",
    AC363*86400 &lt; 300, "3. 1m - &lt;5m",
    AC363*86400 &lt; 1800, "4. 5m - &lt;30m",
    TRUE, "5. &gt;= 30m"
),"6. Invalid (Order rejected)")</f>
        <v>5. &gt;= 30m</v>
      </c>
    </row>
    <row r="364" spans="1:30" hidden="1" x14ac:dyDescent="0.3">
      <c r="A364" t="s">
        <v>2307</v>
      </c>
      <c r="B364" t="s">
        <v>25</v>
      </c>
      <c r="C364">
        <v>43485077</v>
      </c>
      <c r="D364">
        <v>0</v>
      </c>
      <c r="E364" t="s">
        <v>25</v>
      </c>
      <c r="F364" t="s">
        <v>26</v>
      </c>
      <c r="G364" t="s">
        <v>27</v>
      </c>
      <c r="H364" t="s">
        <v>2308</v>
      </c>
      <c r="I364" t="s">
        <v>2309</v>
      </c>
      <c r="J364" t="s">
        <v>26</v>
      </c>
      <c r="K364" t="s">
        <v>26</v>
      </c>
      <c r="L364" t="s">
        <v>2310</v>
      </c>
      <c r="M364" t="s">
        <v>25</v>
      </c>
      <c r="N364" t="s">
        <v>2311</v>
      </c>
      <c r="O364" t="s">
        <v>2312</v>
      </c>
      <c r="P364" t="s">
        <v>2313</v>
      </c>
      <c r="Q364" t="s">
        <v>2314</v>
      </c>
      <c r="R364">
        <v>272052</v>
      </c>
      <c r="S364">
        <v>0</v>
      </c>
      <c r="T364">
        <v>272052</v>
      </c>
      <c r="U364" t="s">
        <v>35</v>
      </c>
      <c r="V364" t="s">
        <v>2315</v>
      </c>
      <c r="W364" t="s">
        <v>2316</v>
      </c>
      <c r="X364" s="4">
        <v>1</v>
      </c>
      <c r="Y364" s="4"/>
      <c r="Z364">
        <f t="shared" si="20"/>
        <v>8</v>
      </c>
      <c r="AA364">
        <f t="shared" si="21"/>
        <v>10</v>
      </c>
      <c r="AB364" s="5">
        <f t="shared" si="22"/>
        <v>0.30759259259502869</v>
      </c>
      <c r="AC364" s="3">
        <f t="shared" si="23"/>
        <v>9.0277777773735579E-2</v>
      </c>
      <c r="AD364" t="str" cm="1">
        <f t="array" ref="AD364">IFERROR(_xlfn.IFS(
    AC364="", "",
    AC364*86400 &lt; 30, "1. 0s - &lt;30s",
    AC364*86400 &lt; 60, "2. 30s - &lt;1m",
    AC364*86400 &lt; 300, "3. 1m - &lt;5m",
    AC364*86400 &lt; 1800, "4. 5m - &lt;30m",
    TRUE, "5. &gt;= 30m"
),"6. Invalid (Order rejected)")</f>
        <v>5. &gt;= 30m</v>
      </c>
    </row>
    <row r="365" spans="1:30" hidden="1" x14ac:dyDescent="0.3">
      <c r="A365" t="s">
        <v>2317</v>
      </c>
      <c r="B365" t="s">
        <v>25</v>
      </c>
      <c r="C365">
        <v>43485077</v>
      </c>
      <c r="D365">
        <v>3746341</v>
      </c>
      <c r="E365" t="s">
        <v>25</v>
      </c>
      <c r="F365" t="s">
        <v>75</v>
      </c>
      <c r="G365" t="s">
        <v>76</v>
      </c>
      <c r="H365" t="s">
        <v>2318</v>
      </c>
      <c r="I365" t="s">
        <v>2319</v>
      </c>
      <c r="J365" t="s">
        <v>2320</v>
      </c>
      <c r="K365" t="s">
        <v>26</v>
      </c>
      <c r="L365" t="s">
        <v>2321</v>
      </c>
      <c r="M365" t="s">
        <v>25</v>
      </c>
      <c r="N365" t="s">
        <v>760</v>
      </c>
      <c r="O365" t="s">
        <v>761</v>
      </c>
      <c r="P365" t="s">
        <v>2322</v>
      </c>
      <c r="Q365" t="s">
        <v>2323</v>
      </c>
      <c r="R365">
        <v>319248</v>
      </c>
      <c r="S365">
        <v>262049</v>
      </c>
      <c r="T365">
        <v>57199</v>
      </c>
      <c r="U365" t="s">
        <v>35</v>
      </c>
      <c r="V365" t="s">
        <v>762</v>
      </c>
      <c r="W365" t="s">
        <v>2324</v>
      </c>
      <c r="X365" s="4">
        <v>1</v>
      </c>
      <c r="Y365" s="4"/>
      <c r="Z365">
        <f t="shared" si="20"/>
        <v>8</v>
      </c>
      <c r="AA365">
        <f t="shared" si="21"/>
        <v>10</v>
      </c>
      <c r="AB365" s="5">
        <f t="shared" si="22"/>
        <v>0.30623842592467554</v>
      </c>
      <c r="AC365" s="3">
        <f t="shared" si="23"/>
        <v>2.4432870370219462E-2</v>
      </c>
      <c r="AD365" t="str" cm="1">
        <f t="array" ref="AD365">IFERROR(_xlfn.IFS(
    AC365="", "",
    AC365*86400 &lt; 30, "1. 0s - &lt;30s",
    AC365*86400 &lt; 60, "2. 30s - &lt;1m",
    AC365*86400 &lt; 300, "3. 1m - &lt;5m",
    AC365*86400 &lt; 1800, "4. 5m - &lt;30m",
    TRUE, "5. &gt;= 30m"
),"6. Invalid (Order rejected)")</f>
        <v>5. &gt;= 30m</v>
      </c>
    </row>
    <row r="366" spans="1:30" hidden="1" x14ac:dyDescent="0.3">
      <c r="A366" t="s">
        <v>2325</v>
      </c>
      <c r="B366" t="s">
        <v>25</v>
      </c>
      <c r="C366">
        <v>43485077</v>
      </c>
      <c r="D366">
        <v>0</v>
      </c>
      <c r="E366" t="s">
        <v>25</v>
      </c>
      <c r="F366" t="s">
        <v>26</v>
      </c>
      <c r="G366" t="s">
        <v>27</v>
      </c>
      <c r="H366" t="s">
        <v>2326</v>
      </c>
      <c r="I366" t="s">
        <v>2327</v>
      </c>
      <c r="J366" t="s">
        <v>26</v>
      </c>
      <c r="K366" t="s">
        <v>26</v>
      </c>
      <c r="L366" t="s">
        <v>2328</v>
      </c>
      <c r="M366" t="s">
        <v>25</v>
      </c>
      <c r="N366" t="s">
        <v>2329</v>
      </c>
      <c r="O366" t="s">
        <v>2330</v>
      </c>
      <c r="P366" t="s">
        <v>2331</v>
      </c>
      <c r="Q366" t="s">
        <v>2332</v>
      </c>
      <c r="R366">
        <v>213084</v>
      </c>
      <c r="S366">
        <v>0</v>
      </c>
      <c r="T366">
        <v>213084</v>
      </c>
      <c r="U366" t="s">
        <v>35</v>
      </c>
      <c r="V366" t="s">
        <v>2333</v>
      </c>
      <c r="W366" t="s">
        <v>2334</v>
      </c>
      <c r="X366" s="4">
        <v>1</v>
      </c>
      <c r="Y366" s="4"/>
      <c r="Z366">
        <f t="shared" si="20"/>
        <v>8</v>
      </c>
      <c r="AA366">
        <f t="shared" si="21"/>
        <v>10</v>
      </c>
      <c r="AB366" s="5">
        <f t="shared" si="22"/>
        <v>0.31024305555911269</v>
      </c>
      <c r="AC366" s="3">
        <f t="shared" si="23"/>
        <v>9.0277777773735579E-2</v>
      </c>
      <c r="AD366" t="str" cm="1">
        <f t="array" ref="AD366">IFERROR(_xlfn.IFS(
    AC366="", "",
    AC366*86400 &lt; 30, "1. 0s - &lt;30s",
    AC366*86400 &lt; 60, "2. 30s - &lt;1m",
    AC366*86400 &lt; 300, "3. 1m - &lt;5m",
    AC366*86400 &lt; 1800, "4. 5m - &lt;30m",
    TRUE, "5. &gt;= 30m"
),"6. Invalid (Order rejected)")</f>
        <v>5. &gt;= 30m</v>
      </c>
    </row>
    <row r="367" spans="1:30" hidden="1" x14ac:dyDescent="0.3">
      <c r="A367" t="s">
        <v>2335</v>
      </c>
      <c r="B367" t="s">
        <v>25</v>
      </c>
      <c r="C367">
        <v>43485077</v>
      </c>
      <c r="D367">
        <v>0</v>
      </c>
      <c r="E367" t="s">
        <v>25</v>
      </c>
      <c r="F367" t="s">
        <v>26</v>
      </c>
      <c r="G367" t="s">
        <v>27</v>
      </c>
      <c r="H367" t="s">
        <v>2336</v>
      </c>
      <c r="I367" t="s">
        <v>2337</v>
      </c>
      <c r="J367" t="s">
        <v>26</v>
      </c>
      <c r="K367" t="s">
        <v>26</v>
      </c>
      <c r="L367" t="s">
        <v>2338</v>
      </c>
      <c r="M367" t="s">
        <v>25</v>
      </c>
      <c r="N367" t="s">
        <v>760</v>
      </c>
      <c r="O367" t="s">
        <v>761</v>
      </c>
      <c r="P367" t="s">
        <v>2339</v>
      </c>
      <c r="Q367" t="s">
        <v>2340</v>
      </c>
      <c r="R367">
        <v>243324</v>
      </c>
      <c r="S367">
        <v>0</v>
      </c>
      <c r="T367">
        <v>243324</v>
      </c>
      <c r="U367" t="s">
        <v>35</v>
      </c>
      <c r="V367" t="s">
        <v>762</v>
      </c>
      <c r="W367" t="s">
        <v>2341</v>
      </c>
      <c r="X367" s="4">
        <v>1</v>
      </c>
      <c r="Y367" s="4"/>
      <c r="Z367">
        <f t="shared" si="20"/>
        <v>8</v>
      </c>
      <c r="AA367">
        <f t="shared" si="21"/>
        <v>10</v>
      </c>
      <c r="AB367" s="5">
        <f t="shared" si="22"/>
        <v>0.30648148147884058</v>
      </c>
      <c r="AC367" s="3">
        <f t="shared" si="23"/>
        <v>9.0277777781011537E-2</v>
      </c>
      <c r="AD367" t="str" cm="1">
        <f t="array" ref="AD367">IFERROR(_xlfn.IFS(
    AC367="", "",
    AC367*86400 &lt; 30, "1. 0s - &lt;30s",
    AC367*86400 &lt; 60, "2. 30s - &lt;1m",
    AC367*86400 &lt; 300, "3. 1m - &lt;5m",
    AC367*86400 &lt; 1800, "4. 5m - &lt;30m",
    TRUE, "5. &gt;= 30m"
),"6. Invalid (Order rejected)")</f>
        <v>5. &gt;= 30m</v>
      </c>
    </row>
    <row r="368" spans="1:30" hidden="1" x14ac:dyDescent="0.3">
      <c r="A368" t="s">
        <v>2342</v>
      </c>
      <c r="B368" t="s">
        <v>25</v>
      </c>
      <c r="C368">
        <v>43485077</v>
      </c>
      <c r="D368">
        <v>0</v>
      </c>
      <c r="E368" t="s">
        <v>25</v>
      </c>
      <c r="F368" t="s">
        <v>26</v>
      </c>
      <c r="G368" t="s">
        <v>27</v>
      </c>
      <c r="H368" t="s">
        <v>2343</v>
      </c>
      <c r="I368" t="s">
        <v>2344</v>
      </c>
      <c r="J368" t="s">
        <v>26</v>
      </c>
      <c r="K368" t="s">
        <v>26</v>
      </c>
      <c r="L368" t="s">
        <v>2345</v>
      </c>
      <c r="M368" t="s">
        <v>25</v>
      </c>
      <c r="N368" t="s">
        <v>1911</v>
      </c>
      <c r="O368" t="s">
        <v>1912</v>
      </c>
      <c r="P368" t="s">
        <v>2346</v>
      </c>
      <c r="Q368" t="s">
        <v>2347</v>
      </c>
      <c r="R368">
        <v>287712</v>
      </c>
      <c r="S368">
        <v>0</v>
      </c>
      <c r="T368">
        <v>287712</v>
      </c>
      <c r="U368" t="s">
        <v>35</v>
      </c>
      <c r="V368" t="s">
        <v>1915</v>
      </c>
      <c r="W368" t="s">
        <v>2348</v>
      </c>
      <c r="X368" s="4">
        <v>1</v>
      </c>
      <c r="Y368" s="4"/>
      <c r="Z368">
        <f t="shared" si="20"/>
        <v>8</v>
      </c>
      <c r="AA368">
        <f t="shared" si="21"/>
        <v>10</v>
      </c>
      <c r="AB368" s="5">
        <f t="shared" si="22"/>
        <v>0.30848379629605915</v>
      </c>
      <c r="AC368" s="3">
        <f t="shared" si="23"/>
        <v>9.0277777781011537E-2</v>
      </c>
      <c r="AD368" t="str" cm="1">
        <f t="array" ref="AD368">IFERROR(_xlfn.IFS(
    AC368="", "",
    AC368*86400 &lt; 30, "1. 0s - &lt;30s",
    AC368*86400 &lt; 60, "2. 30s - &lt;1m",
    AC368*86400 &lt; 300, "3. 1m - &lt;5m",
    AC368*86400 &lt; 1800, "4. 5m - &lt;30m",
    TRUE, "5. &gt;= 30m"
),"6. Invalid (Order rejected)")</f>
        <v>5. &gt;= 30m</v>
      </c>
    </row>
    <row r="369" spans="1:30" x14ac:dyDescent="0.3">
      <c r="A369" t="s">
        <v>2349</v>
      </c>
      <c r="B369" t="s">
        <v>25</v>
      </c>
      <c r="C369">
        <v>43485077</v>
      </c>
      <c r="D369">
        <v>3673691</v>
      </c>
      <c r="E369" t="s">
        <v>25</v>
      </c>
      <c r="F369" t="s">
        <v>75</v>
      </c>
      <c r="G369" t="s">
        <v>360</v>
      </c>
      <c r="H369" t="s">
        <v>2350</v>
      </c>
      <c r="I369" t="s">
        <v>2351</v>
      </c>
      <c r="J369" t="s">
        <v>2352</v>
      </c>
      <c r="K369" t="s">
        <v>2353</v>
      </c>
      <c r="L369" t="s">
        <v>25</v>
      </c>
      <c r="M369" t="s">
        <v>25</v>
      </c>
      <c r="N369" t="s">
        <v>2354</v>
      </c>
      <c r="O369" t="s">
        <v>2355</v>
      </c>
      <c r="P369" t="s">
        <v>2356</v>
      </c>
      <c r="Q369" t="s">
        <v>2357</v>
      </c>
      <c r="R369">
        <v>429732</v>
      </c>
      <c r="S369">
        <v>333142</v>
      </c>
      <c r="T369">
        <v>96590</v>
      </c>
      <c r="U369" t="s">
        <v>35</v>
      </c>
      <c r="V369" t="s">
        <v>2358</v>
      </c>
      <c r="W369" t="s">
        <v>2359</v>
      </c>
      <c r="X369" s="4">
        <v>1</v>
      </c>
      <c r="Y369" s="4"/>
      <c r="Z369">
        <f t="shared" si="20"/>
        <v>8</v>
      </c>
      <c r="AA369">
        <f t="shared" si="21"/>
        <v>10</v>
      </c>
      <c r="AB369" s="5">
        <f t="shared" si="22"/>
        <v>0.31113425926014315</v>
      </c>
      <c r="AC369" s="3" t="str">
        <f t="shared" si="23"/>
        <v>Order rejected, no time available</v>
      </c>
      <c r="AD369" t="str" cm="1">
        <f t="array" ref="AD369">IFERROR(_xlfn.IFS(
    AC369="", "",
    AC369*86400 &lt; 30, "1. 0s - &lt;30s",
    AC369*86400 &lt; 60, "2. 30s - &lt;1m",
    AC369*86400 &lt; 300, "3. 1m - &lt;5m",
    AC369*86400 &lt; 1800, "4. 5m - &lt;30m",
    TRUE, "5. &gt;= 30m"
),"6. Invalid (Order rejected)")</f>
        <v>6. Invalid (Order rejected)</v>
      </c>
    </row>
    <row r="370" spans="1:30" hidden="1" x14ac:dyDescent="0.3">
      <c r="A370" t="s">
        <v>2360</v>
      </c>
      <c r="B370" t="s">
        <v>25</v>
      </c>
      <c r="C370">
        <v>43485077</v>
      </c>
      <c r="D370">
        <v>0</v>
      </c>
      <c r="E370" t="s">
        <v>25</v>
      </c>
      <c r="F370" t="s">
        <v>26</v>
      </c>
      <c r="G370" t="s">
        <v>27</v>
      </c>
      <c r="H370" t="s">
        <v>2361</v>
      </c>
      <c r="I370" t="s">
        <v>2362</v>
      </c>
      <c r="J370" t="s">
        <v>26</v>
      </c>
      <c r="K370" t="s">
        <v>26</v>
      </c>
      <c r="L370" t="s">
        <v>2363</v>
      </c>
      <c r="M370" t="s">
        <v>25</v>
      </c>
      <c r="N370" t="s">
        <v>1113</v>
      </c>
      <c r="O370" t="s">
        <v>1114</v>
      </c>
      <c r="P370" t="s">
        <v>2313</v>
      </c>
      <c r="Q370" t="s">
        <v>2314</v>
      </c>
      <c r="R370">
        <v>246132</v>
      </c>
      <c r="S370">
        <v>0</v>
      </c>
      <c r="T370">
        <v>246132</v>
      </c>
      <c r="U370" t="s">
        <v>35</v>
      </c>
      <c r="V370" t="s">
        <v>1115</v>
      </c>
      <c r="W370" t="s">
        <v>2316</v>
      </c>
      <c r="X370" s="4">
        <v>1</v>
      </c>
      <c r="Y370" s="4"/>
      <c r="Z370">
        <f t="shared" si="20"/>
        <v>8</v>
      </c>
      <c r="AA370">
        <f t="shared" si="21"/>
        <v>10</v>
      </c>
      <c r="AB370" s="5">
        <f t="shared" si="22"/>
        <v>0.31952546296088258</v>
      </c>
      <c r="AC370" s="3">
        <f t="shared" si="23"/>
        <v>9.0266203704231884E-2</v>
      </c>
      <c r="AD370" t="str" cm="1">
        <f t="array" ref="AD370">IFERROR(_xlfn.IFS(
    AC370="", "",
    AC370*86400 &lt; 30, "1. 0s - &lt;30s",
    AC370*86400 &lt; 60, "2. 30s - &lt;1m",
    AC370*86400 &lt; 300, "3. 1m - &lt;5m",
    AC370*86400 &lt; 1800, "4. 5m - &lt;30m",
    TRUE, "5. &gt;= 30m"
),"6. Invalid (Order rejected)")</f>
        <v>5. &gt;= 30m</v>
      </c>
    </row>
    <row r="371" spans="1:30" x14ac:dyDescent="0.3">
      <c r="A371" t="s">
        <v>2364</v>
      </c>
      <c r="B371" t="s">
        <v>25</v>
      </c>
      <c r="C371">
        <v>43485077</v>
      </c>
      <c r="D371">
        <v>4135833</v>
      </c>
      <c r="E371" t="s">
        <v>25</v>
      </c>
      <c r="F371" t="s">
        <v>75</v>
      </c>
      <c r="G371" t="s">
        <v>360</v>
      </c>
      <c r="H371" t="s">
        <v>2365</v>
      </c>
      <c r="I371" t="s">
        <v>2366</v>
      </c>
      <c r="J371" t="s">
        <v>2367</v>
      </c>
      <c r="K371" t="s">
        <v>26</v>
      </c>
      <c r="L371" t="s">
        <v>25</v>
      </c>
      <c r="M371" t="s">
        <v>25</v>
      </c>
      <c r="N371" t="s">
        <v>2368</v>
      </c>
      <c r="O371" t="s">
        <v>2369</v>
      </c>
      <c r="P371" t="s">
        <v>2370</v>
      </c>
      <c r="Q371" t="s">
        <v>2371</v>
      </c>
      <c r="R371">
        <v>264600</v>
      </c>
      <c r="S371">
        <v>205126</v>
      </c>
      <c r="T371">
        <v>59474</v>
      </c>
      <c r="U371" t="s">
        <v>35</v>
      </c>
      <c r="V371" t="s">
        <v>2372</v>
      </c>
      <c r="W371" t="s">
        <v>2373</v>
      </c>
      <c r="X371" s="4">
        <v>1</v>
      </c>
      <c r="Y371" s="4"/>
      <c r="Z371">
        <f t="shared" si="20"/>
        <v>8</v>
      </c>
      <c r="AA371">
        <f t="shared" si="21"/>
        <v>10</v>
      </c>
      <c r="AB371" s="5">
        <f t="shared" si="22"/>
        <v>0.3125</v>
      </c>
      <c r="AC371" s="3" t="str">
        <f t="shared" si="23"/>
        <v>Order rejected, no time available</v>
      </c>
      <c r="AD371" t="str" cm="1">
        <f t="array" ref="AD371">IFERROR(_xlfn.IFS(
    AC371="", "",
    AC371*86400 &lt; 30, "1. 0s - &lt;30s",
    AC371*86400 &lt; 60, "2. 30s - &lt;1m",
    AC371*86400 &lt; 300, "3. 1m - &lt;5m",
    AC371*86400 &lt; 1800, "4. 5m - &lt;30m",
    TRUE, "5. &gt;= 30m"
),"6. Invalid (Order rejected)")</f>
        <v>6. Invalid (Order rejected)</v>
      </c>
    </row>
    <row r="372" spans="1:30" hidden="1" x14ac:dyDescent="0.3">
      <c r="A372" t="s">
        <v>2374</v>
      </c>
      <c r="B372" t="s">
        <v>25</v>
      </c>
      <c r="C372">
        <v>43485077</v>
      </c>
      <c r="D372">
        <v>0</v>
      </c>
      <c r="E372" t="s">
        <v>25</v>
      </c>
      <c r="F372" t="s">
        <v>26</v>
      </c>
      <c r="G372" t="s">
        <v>27</v>
      </c>
      <c r="H372" t="s">
        <v>2375</v>
      </c>
      <c r="I372" t="s">
        <v>2376</v>
      </c>
      <c r="J372" t="s">
        <v>26</v>
      </c>
      <c r="K372" t="s">
        <v>26</v>
      </c>
      <c r="L372" t="s">
        <v>2377</v>
      </c>
      <c r="M372" t="s">
        <v>25</v>
      </c>
      <c r="N372" t="s">
        <v>2378</v>
      </c>
      <c r="O372" t="s">
        <v>2379</v>
      </c>
      <c r="P372" t="s">
        <v>2356</v>
      </c>
      <c r="Q372" t="s">
        <v>2357</v>
      </c>
      <c r="R372">
        <v>222696</v>
      </c>
      <c r="S372">
        <v>0</v>
      </c>
      <c r="T372">
        <v>222696</v>
      </c>
      <c r="U372" t="s">
        <v>35</v>
      </c>
      <c r="V372" t="s">
        <v>2380</v>
      </c>
      <c r="W372" t="s">
        <v>2359</v>
      </c>
      <c r="X372" s="4">
        <v>1</v>
      </c>
      <c r="Y372" s="4"/>
      <c r="Z372">
        <f t="shared" si="20"/>
        <v>8</v>
      </c>
      <c r="AA372">
        <f t="shared" si="21"/>
        <v>10</v>
      </c>
      <c r="AB372" s="5">
        <f t="shared" si="22"/>
        <v>0.32129629629343981</v>
      </c>
      <c r="AC372" s="3">
        <f t="shared" si="23"/>
        <v>0.15319444445049157</v>
      </c>
      <c r="AD372" t="str" cm="1">
        <f t="array" ref="AD372">IFERROR(_xlfn.IFS(
    AC372="", "",
    AC372*86400 &lt; 30, "1. 0s - &lt;30s",
    AC372*86400 &lt; 60, "2. 30s - &lt;1m",
    AC372*86400 &lt; 300, "3. 1m - &lt;5m",
    AC372*86400 &lt; 1800, "4. 5m - &lt;30m",
    TRUE, "5. &gt;= 30m"
),"6. Invalid (Order rejected)")</f>
        <v>5. &gt;= 30m</v>
      </c>
    </row>
    <row r="373" spans="1:30" hidden="1" x14ac:dyDescent="0.3">
      <c r="A373" t="s">
        <v>2381</v>
      </c>
      <c r="B373" t="s">
        <v>25</v>
      </c>
      <c r="C373">
        <v>43485077</v>
      </c>
      <c r="D373">
        <v>0</v>
      </c>
      <c r="E373" t="s">
        <v>25</v>
      </c>
      <c r="F373" t="s">
        <v>26</v>
      </c>
      <c r="G373" t="s">
        <v>27</v>
      </c>
      <c r="H373" t="s">
        <v>2382</v>
      </c>
      <c r="I373" t="s">
        <v>2383</v>
      </c>
      <c r="J373" t="s">
        <v>26</v>
      </c>
      <c r="K373" t="s">
        <v>26</v>
      </c>
      <c r="L373" t="s">
        <v>2384</v>
      </c>
      <c r="M373" t="s">
        <v>25</v>
      </c>
      <c r="N373" t="s">
        <v>2385</v>
      </c>
      <c r="O373" t="s">
        <v>2386</v>
      </c>
      <c r="P373" t="s">
        <v>2304</v>
      </c>
      <c r="Q373" t="s">
        <v>2305</v>
      </c>
      <c r="R373">
        <v>165888</v>
      </c>
      <c r="S373">
        <v>0</v>
      </c>
      <c r="T373">
        <v>165888</v>
      </c>
      <c r="U373" t="s">
        <v>35</v>
      </c>
      <c r="V373" t="s">
        <v>2387</v>
      </c>
      <c r="W373" t="s">
        <v>2306</v>
      </c>
      <c r="X373" s="4">
        <v>1</v>
      </c>
      <c r="Y373" s="4"/>
      <c r="Z373">
        <f t="shared" si="20"/>
        <v>8</v>
      </c>
      <c r="AA373">
        <f t="shared" si="21"/>
        <v>10</v>
      </c>
      <c r="AB373" s="5">
        <f t="shared" si="22"/>
        <v>0.31353009259328246</v>
      </c>
      <c r="AC373" s="3">
        <f t="shared" si="23"/>
        <v>9.0266203704231884E-2</v>
      </c>
      <c r="AD373" t="str" cm="1">
        <f t="array" ref="AD373">IFERROR(_xlfn.IFS(
    AC373="", "",
    AC373*86400 &lt; 30, "1. 0s - &lt;30s",
    AC373*86400 &lt; 60, "2. 30s - &lt;1m",
    AC373*86400 &lt; 300, "3. 1m - &lt;5m",
    AC373*86400 &lt; 1800, "4. 5m - &lt;30m",
    TRUE, "5. &gt;= 30m"
),"6. Invalid (Order rejected)")</f>
        <v>5. &gt;= 30m</v>
      </c>
    </row>
    <row r="374" spans="1:30" hidden="1" x14ac:dyDescent="0.3">
      <c r="A374" t="s">
        <v>2388</v>
      </c>
      <c r="B374" t="s">
        <v>25</v>
      </c>
      <c r="C374">
        <v>43485077</v>
      </c>
      <c r="D374">
        <v>0</v>
      </c>
      <c r="E374" t="s">
        <v>25</v>
      </c>
      <c r="F374" t="s">
        <v>26</v>
      </c>
      <c r="G374" t="s">
        <v>27</v>
      </c>
      <c r="H374" t="s">
        <v>2389</v>
      </c>
      <c r="I374" t="s">
        <v>2390</v>
      </c>
      <c r="J374" t="s">
        <v>26</v>
      </c>
      <c r="K374" t="s">
        <v>26</v>
      </c>
      <c r="L374" t="s">
        <v>2391</v>
      </c>
      <c r="M374" t="s">
        <v>25</v>
      </c>
      <c r="N374" t="s">
        <v>2392</v>
      </c>
      <c r="O374" t="s">
        <v>2393</v>
      </c>
      <c r="P374" t="s">
        <v>2331</v>
      </c>
      <c r="Q374" t="s">
        <v>2332</v>
      </c>
      <c r="R374">
        <v>197640</v>
      </c>
      <c r="S374">
        <v>0</v>
      </c>
      <c r="T374">
        <v>197640</v>
      </c>
      <c r="U374" t="s">
        <v>35</v>
      </c>
      <c r="V374" t="s">
        <v>2394</v>
      </c>
      <c r="W374" t="s">
        <v>2334</v>
      </c>
      <c r="X374" s="4">
        <v>1</v>
      </c>
      <c r="Y374" s="4"/>
      <c r="Z374">
        <f t="shared" si="20"/>
        <v>8</v>
      </c>
      <c r="AA374">
        <f t="shared" si="21"/>
        <v>10</v>
      </c>
      <c r="AB374" s="5">
        <f t="shared" si="22"/>
        <v>0.31469907407154096</v>
      </c>
      <c r="AC374" s="3">
        <f t="shared" si="23"/>
        <v>9.0266203704231884E-2</v>
      </c>
      <c r="AD374" t="str" cm="1">
        <f t="array" ref="AD374">IFERROR(_xlfn.IFS(
    AC374="", "",
    AC374*86400 &lt; 30, "1. 0s - &lt;30s",
    AC374*86400 &lt; 60, "2. 30s - &lt;1m",
    AC374*86400 &lt; 300, "3. 1m - &lt;5m",
    AC374*86400 &lt; 1800, "4. 5m - &lt;30m",
    TRUE, "5. &gt;= 30m"
),"6. Invalid (Order rejected)")</f>
        <v>5. &gt;= 30m</v>
      </c>
    </row>
    <row r="375" spans="1:30" hidden="1" x14ac:dyDescent="0.3">
      <c r="A375" t="s">
        <v>2395</v>
      </c>
      <c r="B375" t="s">
        <v>25</v>
      </c>
      <c r="C375">
        <v>43485077</v>
      </c>
      <c r="D375">
        <v>0</v>
      </c>
      <c r="E375" t="s">
        <v>25</v>
      </c>
      <c r="F375" t="s">
        <v>26</v>
      </c>
      <c r="G375" t="s">
        <v>27</v>
      </c>
      <c r="H375" t="s">
        <v>2396</v>
      </c>
      <c r="I375" t="s">
        <v>2397</v>
      </c>
      <c r="J375" t="s">
        <v>26</v>
      </c>
      <c r="K375" t="s">
        <v>26</v>
      </c>
      <c r="L375" t="s">
        <v>2398</v>
      </c>
      <c r="M375" t="s">
        <v>25</v>
      </c>
      <c r="N375" t="s">
        <v>2399</v>
      </c>
      <c r="O375" t="s">
        <v>2400</v>
      </c>
      <c r="P375" t="s">
        <v>2401</v>
      </c>
      <c r="Q375" t="s">
        <v>2402</v>
      </c>
      <c r="R375">
        <v>228960</v>
      </c>
      <c r="S375">
        <v>0</v>
      </c>
      <c r="T375">
        <v>228960</v>
      </c>
      <c r="U375" t="s">
        <v>35</v>
      </c>
      <c r="V375" t="s">
        <v>2403</v>
      </c>
      <c r="W375" t="s">
        <v>2404</v>
      </c>
      <c r="X375" s="4">
        <v>1</v>
      </c>
      <c r="Y375" s="4"/>
      <c r="Z375">
        <f t="shared" si="20"/>
        <v>8</v>
      </c>
      <c r="AA375">
        <f t="shared" si="21"/>
        <v>10</v>
      </c>
      <c r="AB375" s="5">
        <f t="shared" si="22"/>
        <v>0.31578703703416977</v>
      </c>
      <c r="AC375" s="3">
        <f t="shared" si="23"/>
        <v>9.0277777781011537E-2</v>
      </c>
      <c r="AD375" t="str" cm="1">
        <f t="array" ref="AD375">IFERROR(_xlfn.IFS(
    AC375="", "",
    AC375*86400 &lt; 30, "1. 0s - &lt;30s",
    AC375*86400 &lt; 60, "2. 30s - &lt;1m",
    AC375*86400 &lt; 300, "3. 1m - &lt;5m",
    AC375*86400 &lt; 1800, "4. 5m - &lt;30m",
    TRUE, "5. &gt;= 30m"
),"6. Invalid (Order rejected)")</f>
        <v>5. &gt;= 30m</v>
      </c>
    </row>
    <row r="376" spans="1:30" hidden="1" x14ac:dyDescent="0.3">
      <c r="A376" t="s">
        <v>2405</v>
      </c>
      <c r="B376" t="s">
        <v>25</v>
      </c>
      <c r="C376">
        <v>43485077</v>
      </c>
      <c r="D376">
        <v>0</v>
      </c>
      <c r="E376" t="s">
        <v>25</v>
      </c>
      <c r="F376" t="s">
        <v>26</v>
      </c>
      <c r="G376" t="s">
        <v>27</v>
      </c>
      <c r="H376" t="s">
        <v>2406</v>
      </c>
      <c r="I376" t="s">
        <v>2407</v>
      </c>
      <c r="J376" t="s">
        <v>26</v>
      </c>
      <c r="K376" t="s">
        <v>26</v>
      </c>
      <c r="L376" t="s">
        <v>2408</v>
      </c>
      <c r="M376" t="s">
        <v>25</v>
      </c>
      <c r="N376" t="s">
        <v>1113</v>
      </c>
      <c r="O376" t="s">
        <v>1114</v>
      </c>
      <c r="P376" t="s">
        <v>2409</v>
      </c>
      <c r="Q376" t="s">
        <v>2410</v>
      </c>
      <c r="R376">
        <v>201744</v>
      </c>
      <c r="S376">
        <v>0</v>
      </c>
      <c r="T376">
        <v>201744</v>
      </c>
      <c r="U376" t="s">
        <v>35</v>
      </c>
      <c r="V376" t="s">
        <v>1115</v>
      </c>
      <c r="W376" t="s">
        <v>2411</v>
      </c>
      <c r="X376" s="4">
        <v>1</v>
      </c>
      <c r="Y376" s="4"/>
      <c r="Z376">
        <f t="shared" si="20"/>
        <v>8</v>
      </c>
      <c r="AA376">
        <f t="shared" si="21"/>
        <v>10</v>
      </c>
      <c r="AB376" s="5">
        <f t="shared" si="22"/>
        <v>0.31937499999912689</v>
      </c>
      <c r="AC376" s="3">
        <f t="shared" si="23"/>
        <v>9.0266203704231884E-2</v>
      </c>
      <c r="AD376" t="str" cm="1">
        <f t="array" ref="AD376">IFERROR(_xlfn.IFS(
    AC376="", "",
    AC376*86400 &lt; 30, "1. 0s - &lt;30s",
    AC376*86400 &lt; 60, "2. 30s - &lt;1m",
    AC376*86400 &lt; 300, "3. 1m - &lt;5m",
    AC376*86400 &lt; 1800, "4. 5m - &lt;30m",
    TRUE, "5. &gt;= 30m"
),"6. Invalid (Order rejected)")</f>
        <v>5. &gt;= 30m</v>
      </c>
    </row>
    <row r="377" spans="1:30" hidden="1" x14ac:dyDescent="0.3">
      <c r="A377" t="s">
        <v>2412</v>
      </c>
      <c r="B377" t="s">
        <v>25</v>
      </c>
      <c r="C377">
        <v>43376946</v>
      </c>
      <c r="D377">
        <v>0</v>
      </c>
      <c r="E377" t="s">
        <v>25</v>
      </c>
      <c r="F377" t="s">
        <v>26</v>
      </c>
      <c r="G377" t="s">
        <v>27</v>
      </c>
      <c r="H377" t="s">
        <v>2413</v>
      </c>
      <c r="I377" t="s">
        <v>2414</v>
      </c>
      <c r="J377" t="s">
        <v>26</v>
      </c>
      <c r="K377" t="s">
        <v>26</v>
      </c>
      <c r="L377" t="s">
        <v>2415</v>
      </c>
      <c r="M377" t="s">
        <v>25</v>
      </c>
      <c r="N377" t="s">
        <v>2287</v>
      </c>
      <c r="O377" t="s">
        <v>2288</v>
      </c>
      <c r="P377" t="s">
        <v>2416</v>
      </c>
      <c r="Q377" t="s">
        <v>2417</v>
      </c>
      <c r="R377">
        <v>269676</v>
      </c>
      <c r="S377">
        <v>0</v>
      </c>
      <c r="T377">
        <v>269676</v>
      </c>
      <c r="U377" t="s">
        <v>35</v>
      </c>
      <c r="V377" t="s">
        <v>2291</v>
      </c>
      <c r="W377" t="s">
        <v>2418</v>
      </c>
      <c r="X377" s="4">
        <v>1</v>
      </c>
      <c r="Y377" s="4"/>
      <c r="Z377">
        <f t="shared" si="20"/>
        <v>8</v>
      </c>
      <c r="AA377">
        <f t="shared" si="21"/>
        <v>10</v>
      </c>
      <c r="AB377" s="5">
        <f t="shared" si="22"/>
        <v>0.32016203703824431</v>
      </c>
      <c r="AC377" s="3">
        <f t="shared" si="23"/>
        <v>9.3842592592409346E-2</v>
      </c>
      <c r="AD377" t="str" cm="1">
        <f t="array" ref="AD377">IFERROR(_xlfn.IFS(
    AC377="", "",
    AC377*86400 &lt; 30, "1. 0s - &lt;30s",
    AC377*86400 &lt; 60, "2. 30s - &lt;1m",
    AC377*86400 &lt; 300, "3. 1m - &lt;5m",
    AC377*86400 &lt; 1800, "4. 5m - &lt;30m",
    TRUE, "5. &gt;= 30m"
),"6. Invalid (Order rejected)")</f>
        <v>5. &gt;= 30m</v>
      </c>
    </row>
    <row r="378" spans="1:30" hidden="1" x14ac:dyDescent="0.3">
      <c r="A378" t="s">
        <v>2419</v>
      </c>
      <c r="B378" t="s">
        <v>25</v>
      </c>
      <c r="C378">
        <v>43376946</v>
      </c>
      <c r="D378">
        <v>4411069</v>
      </c>
      <c r="E378" t="s">
        <v>25</v>
      </c>
      <c r="F378" t="s">
        <v>75</v>
      </c>
      <c r="G378" t="s">
        <v>76</v>
      </c>
      <c r="H378" t="s">
        <v>2420</v>
      </c>
      <c r="I378" t="s">
        <v>2421</v>
      </c>
      <c r="J378" t="s">
        <v>2422</v>
      </c>
      <c r="K378" t="s">
        <v>26</v>
      </c>
      <c r="L378" t="s">
        <v>2423</v>
      </c>
      <c r="M378" t="s">
        <v>25</v>
      </c>
      <c r="N378" t="s">
        <v>2424</v>
      </c>
      <c r="O378" t="s">
        <v>2425</v>
      </c>
      <c r="P378" t="s">
        <v>2426</v>
      </c>
      <c r="Q378" t="s">
        <v>2427</v>
      </c>
      <c r="R378">
        <v>354024</v>
      </c>
      <c r="S378">
        <v>274451</v>
      </c>
      <c r="T378">
        <v>79573</v>
      </c>
      <c r="U378" t="s">
        <v>35</v>
      </c>
      <c r="V378" t="s">
        <v>2428</v>
      </c>
      <c r="W378" t="s">
        <v>2429</v>
      </c>
      <c r="X378" s="4">
        <v>1</v>
      </c>
      <c r="Y378" s="4"/>
      <c r="Z378">
        <f t="shared" si="20"/>
        <v>8</v>
      </c>
      <c r="AA378">
        <f t="shared" si="21"/>
        <v>10</v>
      </c>
      <c r="AB378" s="5">
        <f t="shared" si="22"/>
        <v>0.3216203703705105</v>
      </c>
      <c r="AC378" s="3">
        <f t="shared" si="23"/>
        <v>1.8969907410792075E-2</v>
      </c>
      <c r="AD378" t="str" cm="1">
        <f t="array" ref="AD378">IFERROR(_xlfn.IFS(
    AC378="", "",
    AC378*86400 &lt; 30, "1. 0s - &lt;30s",
    AC378*86400 &lt; 60, "2. 30s - &lt;1m",
    AC378*86400 &lt; 300, "3. 1m - &lt;5m",
    AC378*86400 &lt; 1800, "4. 5m - &lt;30m",
    TRUE, "5. &gt;= 30m"
),"6. Invalid (Order rejected)")</f>
        <v>4. 5m - &lt;30m</v>
      </c>
    </row>
    <row r="379" spans="1:30" hidden="1" x14ac:dyDescent="0.3">
      <c r="A379" t="s">
        <v>2430</v>
      </c>
      <c r="B379" t="s">
        <v>25</v>
      </c>
      <c r="C379">
        <v>43485077</v>
      </c>
      <c r="D379">
        <v>0</v>
      </c>
      <c r="E379" t="s">
        <v>25</v>
      </c>
      <c r="F379" t="s">
        <v>26</v>
      </c>
      <c r="G379" t="s">
        <v>27</v>
      </c>
      <c r="H379" t="s">
        <v>2431</v>
      </c>
      <c r="I379" t="s">
        <v>2432</v>
      </c>
      <c r="J379" t="s">
        <v>26</v>
      </c>
      <c r="K379" t="s">
        <v>26</v>
      </c>
      <c r="L379" t="s">
        <v>2433</v>
      </c>
      <c r="M379" t="s">
        <v>25</v>
      </c>
      <c r="N379" t="s">
        <v>2434</v>
      </c>
      <c r="O379" t="s">
        <v>2435</v>
      </c>
      <c r="P379" t="s">
        <v>2346</v>
      </c>
      <c r="Q379" t="s">
        <v>2347</v>
      </c>
      <c r="R379">
        <v>250560</v>
      </c>
      <c r="S379">
        <v>0</v>
      </c>
      <c r="T379">
        <v>250560</v>
      </c>
      <c r="U379" t="s">
        <v>35</v>
      </c>
      <c r="V379" t="s">
        <v>2436</v>
      </c>
      <c r="W379" t="s">
        <v>2348</v>
      </c>
      <c r="X379" s="4">
        <v>1</v>
      </c>
      <c r="Y379" s="4"/>
      <c r="Z379">
        <f t="shared" si="20"/>
        <v>8</v>
      </c>
      <c r="AA379">
        <f t="shared" si="21"/>
        <v>10</v>
      </c>
      <c r="AB379" s="5">
        <f t="shared" si="22"/>
        <v>0.32436342592700385</v>
      </c>
      <c r="AC379" s="3">
        <f t="shared" si="23"/>
        <v>9.0277777773735579E-2</v>
      </c>
      <c r="AD379" t="str" cm="1">
        <f t="array" ref="AD379">IFERROR(_xlfn.IFS(
    AC379="", "",
    AC379*86400 &lt; 30, "1. 0s - &lt;30s",
    AC379*86400 &lt; 60, "2. 30s - &lt;1m",
    AC379*86400 &lt; 300, "3. 1m - &lt;5m",
    AC379*86400 &lt; 1800, "4. 5m - &lt;30m",
    TRUE, "5. &gt;= 30m"
),"6. Invalid (Order rejected)")</f>
        <v>5. &gt;= 30m</v>
      </c>
    </row>
    <row r="380" spans="1:30" hidden="1" x14ac:dyDescent="0.3">
      <c r="A380" t="s">
        <v>2437</v>
      </c>
      <c r="B380" t="s">
        <v>25</v>
      </c>
      <c r="C380">
        <v>43485077</v>
      </c>
      <c r="D380">
        <v>0</v>
      </c>
      <c r="E380" t="s">
        <v>25</v>
      </c>
      <c r="F380" t="s">
        <v>26</v>
      </c>
      <c r="G380" t="s">
        <v>27</v>
      </c>
      <c r="H380" t="s">
        <v>2438</v>
      </c>
      <c r="I380" t="s">
        <v>2439</v>
      </c>
      <c r="J380" t="s">
        <v>26</v>
      </c>
      <c r="K380" t="s">
        <v>26</v>
      </c>
      <c r="L380" t="s">
        <v>2440</v>
      </c>
      <c r="M380" t="s">
        <v>25</v>
      </c>
      <c r="N380" t="s">
        <v>2441</v>
      </c>
      <c r="O380" t="s">
        <v>2442</v>
      </c>
      <c r="P380" t="s">
        <v>2443</v>
      </c>
      <c r="Q380" t="s">
        <v>2444</v>
      </c>
      <c r="R380">
        <v>129384</v>
      </c>
      <c r="S380">
        <v>0</v>
      </c>
      <c r="T380">
        <v>129384</v>
      </c>
      <c r="U380" t="s">
        <v>35</v>
      </c>
      <c r="V380" t="s">
        <v>2445</v>
      </c>
      <c r="W380" t="s">
        <v>2446</v>
      </c>
      <c r="X380" s="4">
        <v>1</v>
      </c>
      <c r="Y380" s="4"/>
      <c r="Z380">
        <f t="shared" si="20"/>
        <v>8</v>
      </c>
      <c r="AA380">
        <f t="shared" si="21"/>
        <v>10</v>
      </c>
      <c r="AB380" s="5">
        <f t="shared" si="22"/>
        <v>0.32493055555823958</v>
      </c>
      <c r="AC380" s="3">
        <f t="shared" si="23"/>
        <v>9.0277777773735579E-2</v>
      </c>
      <c r="AD380" t="str" cm="1">
        <f t="array" ref="AD380">IFERROR(_xlfn.IFS(
    AC380="", "",
    AC380*86400 &lt; 30, "1. 0s - &lt;30s",
    AC380*86400 &lt; 60, "2. 30s - &lt;1m",
    AC380*86400 &lt; 300, "3. 1m - &lt;5m",
    AC380*86400 &lt; 1800, "4. 5m - &lt;30m",
    TRUE, "5. &gt;= 30m"
),"6. Invalid (Order rejected)")</f>
        <v>5. &gt;= 30m</v>
      </c>
    </row>
    <row r="381" spans="1:30" hidden="1" x14ac:dyDescent="0.3">
      <c r="A381" t="s">
        <v>2447</v>
      </c>
      <c r="B381" t="s">
        <v>25</v>
      </c>
      <c r="C381">
        <v>43485077</v>
      </c>
      <c r="D381">
        <v>0</v>
      </c>
      <c r="E381" t="s">
        <v>25</v>
      </c>
      <c r="F381" t="s">
        <v>26</v>
      </c>
      <c r="G381" t="s">
        <v>27</v>
      </c>
      <c r="H381" t="s">
        <v>2448</v>
      </c>
      <c r="I381" t="s">
        <v>2449</v>
      </c>
      <c r="J381" t="s">
        <v>26</v>
      </c>
      <c r="K381" t="s">
        <v>26</v>
      </c>
      <c r="L381" t="s">
        <v>2450</v>
      </c>
      <c r="M381" t="s">
        <v>25</v>
      </c>
      <c r="N381" t="s">
        <v>2392</v>
      </c>
      <c r="O381" t="s">
        <v>2393</v>
      </c>
      <c r="P381" t="s">
        <v>2451</v>
      </c>
      <c r="Q381" t="s">
        <v>2452</v>
      </c>
      <c r="R381">
        <v>170964</v>
      </c>
      <c r="S381">
        <v>0</v>
      </c>
      <c r="T381">
        <v>170964</v>
      </c>
      <c r="U381" t="s">
        <v>35</v>
      </c>
      <c r="V381" t="s">
        <v>2394</v>
      </c>
      <c r="W381" t="s">
        <v>2453</v>
      </c>
      <c r="X381" s="4">
        <v>1</v>
      </c>
      <c r="Y381" s="4"/>
      <c r="Z381">
        <f t="shared" si="20"/>
        <v>8</v>
      </c>
      <c r="AA381">
        <f t="shared" si="21"/>
        <v>10</v>
      </c>
      <c r="AB381" s="5">
        <f t="shared" si="22"/>
        <v>0.315011574071832</v>
      </c>
      <c r="AC381" s="3">
        <f t="shared" si="23"/>
        <v>9.0266203704231884E-2</v>
      </c>
      <c r="AD381" t="str" cm="1">
        <f t="array" ref="AD381">IFERROR(_xlfn.IFS(
    AC381="", "",
    AC381*86400 &lt; 30, "1. 0s - &lt;30s",
    AC381*86400 &lt; 60, "2. 30s - &lt;1m",
    AC381*86400 &lt; 300, "3. 1m - &lt;5m",
    AC381*86400 &lt; 1800, "4. 5m - &lt;30m",
    TRUE, "5. &gt;= 30m"
),"6. Invalid (Order rejected)")</f>
        <v>5. &gt;= 30m</v>
      </c>
    </row>
    <row r="382" spans="1:30" hidden="1" x14ac:dyDescent="0.3">
      <c r="A382" t="s">
        <v>2454</v>
      </c>
      <c r="B382" t="s">
        <v>25</v>
      </c>
      <c r="C382">
        <v>43485077</v>
      </c>
      <c r="D382">
        <v>0</v>
      </c>
      <c r="E382" t="s">
        <v>25</v>
      </c>
      <c r="F382" t="s">
        <v>26</v>
      </c>
      <c r="G382" t="s">
        <v>27</v>
      </c>
      <c r="H382" t="s">
        <v>2455</v>
      </c>
      <c r="I382" t="s">
        <v>2456</v>
      </c>
      <c r="J382" t="s">
        <v>26</v>
      </c>
      <c r="K382" t="s">
        <v>26</v>
      </c>
      <c r="L382" t="s">
        <v>2457</v>
      </c>
      <c r="M382" t="s">
        <v>25</v>
      </c>
      <c r="N382" t="s">
        <v>2399</v>
      </c>
      <c r="O382" t="s">
        <v>2400</v>
      </c>
      <c r="P382" t="s">
        <v>2322</v>
      </c>
      <c r="Q382" t="s">
        <v>2323</v>
      </c>
      <c r="R382">
        <v>287712</v>
      </c>
      <c r="S382">
        <v>0</v>
      </c>
      <c r="T382">
        <v>287712</v>
      </c>
      <c r="U382" t="s">
        <v>35</v>
      </c>
      <c r="V382" t="s">
        <v>2403</v>
      </c>
      <c r="W382" t="s">
        <v>2324</v>
      </c>
      <c r="X382" s="4">
        <v>1</v>
      </c>
      <c r="Y382" s="4"/>
      <c r="Z382">
        <f t="shared" si="20"/>
        <v>8</v>
      </c>
      <c r="AA382">
        <f t="shared" si="21"/>
        <v>10</v>
      </c>
      <c r="AB382" s="5">
        <f t="shared" si="22"/>
        <v>0.31546296296437504</v>
      </c>
      <c r="AC382" s="3">
        <f t="shared" si="23"/>
        <v>9.0277777773735579E-2</v>
      </c>
      <c r="AD382" t="str" cm="1">
        <f t="array" ref="AD382">IFERROR(_xlfn.IFS(
    AC382="", "",
    AC382*86400 &lt; 30, "1. 0s - &lt;30s",
    AC382*86400 &lt; 60, "2. 30s - &lt;1m",
    AC382*86400 &lt; 300, "3. 1m - &lt;5m",
    AC382*86400 &lt; 1800, "4. 5m - &lt;30m",
    TRUE, "5. &gt;= 30m"
),"6. Invalid (Order rejected)")</f>
        <v>5. &gt;= 30m</v>
      </c>
    </row>
    <row r="383" spans="1:30" hidden="1" x14ac:dyDescent="0.3">
      <c r="A383" t="s">
        <v>2458</v>
      </c>
      <c r="B383" t="s">
        <v>25</v>
      </c>
      <c r="C383">
        <v>43485077</v>
      </c>
      <c r="D383">
        <v>0</v>
      </c>
      <c r="E383" t="s">
        <v>25</v>
      </c>
      <c r="F383" t="s">
        <v>26</v>
      </c>
      <c r="G383" t="s">
        <v>27</v>
      </c>
      <c r="H383" t="s">
        <v>2459</v>
      </c>
      <c r="I383" t="s">
        <v>2460</v>
      </c>
      <c r="J383" t="s">
        <v>26</v>
      </c>
      <c r="K383" t="s">
        <v>26</v>
      </c>
      <c r="L383" t="s">
        <v>2461</v>
      </c>
      <c r="M383" t="s">
        <v>25</v>
      </c>
      <c r="N383" t="s">
        <v>2462</v>
      </c>
      <c r="O383" t="s">
        <v>2463</v>
      </c>
      <c r="P383" t="s">
        <v>2346</v>
      </c>
      <c r="Q383" t="s">
        <v>2347</v>
      </c>
      <c r="R383">
        <v>274104</v>
      </c>
      <c r="S383">
        <v>0</v>
      </c>
      <c r="T383">
        <v>274104</v>
      </c>
      <c r="U383" t="s">
        <v>35</v>
      </c>
      <c r="V383" t="s">
        <v>2464</v>
      </c>
      <c r="W383" t="s">
        <v>2348</v>
      </c>
      <c r="X383" s="4">
        <v>1</v>
      </c>
      <c r="Y383" s="4"/>
      <c r="Z383">
        <f t="shared" si="20"/>
        <v>8</v>
      </c>
      <c r="AA383">
        <f t="shared" si="21"/>
        <v>10</v>
      </c>
      <c r="AB383" s="5">
        <f t="shared" si="22"/>
        <v>0.31663194444263354</v>
      </c>
      <c r="AC383" s="3">
        <f t="shared" si="23"/>
        <v>9.0266203704231884E-2</v>
      </c>
      <c r="AD383" t="str" cm="1">
        <f t="array" ref="AD383">IFERROR(_xlfn.IFS(
    AC383="", "",
    AC383*86400 &lt; 30, "1. 0s - &lt;30s",
    AC383*86400 &lt; 60, "2. 30s - &lt;1m",
    AC383*86400 &lt; 300, "3. 1m - &lt;5m",
    AC383*86400 &lt; 1800, "4. 5m - &lt;30m",
    TRUE, "5. &gt;= 30m"
),"6. Invalid (Order rejected)")</f>
        <v>5. &gt;= 30m</v>
      </c>
    </row>
    <row r="384" spans="1:30" hidden="1" x14ac:dyDescent="0.3">
      <c r="A384" t="s">
        <v>2465</v>
      </c>
      <c r="B384" t="s">
        <v>25</v>
      </c>
      <c r="C384">
        <v>43485077</v>
      </c>
      <c r="D384">
        <v>0</v>
      </c>
      <c r="E384" t="s">
        <v>25</v>
      </c>
      <c r="F384" t="s">
        <v>26</v>
      </c>
      <c r="G384" t="s">
        <v>27</v>
      </c>
      <c r="H384" t="s">
        <v>2466</v>
      </c>
      <c r="I384" t="s">
        <v>2467</v>
      </c>
      <c r="J384" t="s">
        <v>26</v>
      </c>
      <c r="K384" t="s">
        <v>26</v>
      </c>
      <c r="L384" t="s">
        <v>2468</v>
      </c>
      <c r="M384" t="s">
        <v>25</v>
      </c>
      <c r="N384" t="s">
        <v>1113</v>
      </c>
      <c r="O384" t="s">
        <v>1114</v>
      </c>
      <c r="P384" t="s">
        <v>2346</v>
      </c>
      <c r="Q384" t="s">
        <v>2347</v>
      </c>
      <c r="R384">
        <v>376056</v>
      </c>
      <c r="S384">
        <v>0</v>
      </c>
      <c r="T384">
        <v>376056</v>
      </c>
      <c r="U384" t="s">
        <v>35</v>
      </c>
      <c r="V384" t="s">
        <v>1115</v>
      </c>
      <c r="W384" t="s">
        <v>2348</v>
      </c>
      <c r="X384" s="4">
        <v>1</v>
      </c>
      <c r="Y384" s="4"/>
      <c r="Z384">
        <f t="shared" si="20"/>
        <v>8</v>
      </c>
      <c r="AA384">
        <f t="shared" si="21"/>
        <v>10</v>
      </c>
      <c r="AB384" s="5">
        <f t="shared" si="22"/>
        <v>0.31966435185313458</v>
      </c>
      <c r="AC384" s="3">
        <f t="shared" si="23"/>
        <v>9.0277777773735579E-2</v>
      </c>
      <c r="AD384" t="str" cm="1">
        <f t="array" ref="AD384">IFERROR(_xlfn.IFS(
    AC384="", "",
    AC384*86400 &lt; 30, "1. 0s - &lt;30s",
    AC384*86400 &lt; 60, "2. 30s - &lt;1m",
    AC384*86400 &lt; 300, "3. 1m - &lt;5m",
    AC384*86400 &lt; 1800, "4. 5m - &lt;30m",
    TRUE, "5. &gt;= 30m"
),"6. Invalid (Order rejected)")</f>
        <v>5. &gt;= 30m</v>
      </c>
    </row>
    <row r="385" spans="1:30" hidden="1" x14ac:dyDescent="0.3">
      <c r="A385" t="s">
        <v>2469</v>
      </c>
      <c r="B385" t="s">
        <v>25</v>
      </c>
      <c r="C385">
        <v>43485077</v>
      </c>
      <c r="D385">
        <v>0</v>
      </c>
      <c r="E385" t="s">
        <v>25</v>
      </c>
      <c r="F385" t="s">
        <v>26</v>
      </c>
      <c r="G385" t="s">
        <v>27</v>
      </c>
      <c r="H385" t="s">
        <v>2470</v>
      </c>
      <c r="I385" t="s">
        <v>2471</v>
      </c>
      <c r="J385" t="s">
        <v>26</v>
      </c>
      <c r="K385" t="s">
        <v>26</v>
      </c>
      <c r="L385" t="s">
        <v>2472</v>
      </c>
      <c r="M385" t="s">
        <v>25</v>
      </c>
      <c r="N385" t="s">
        <v>2462</v>
      </c>
      <c r="O385" t="s">
        <v>2463</v>
      </c>
      <c r="P385" t="s">
        <v>2313</v>
      </c>
      <c r="Q385" t="s">
        <v>2314</v>
      </c>
      <c r="R385">
        <v>248508</v>
      </c>
      <c r="S385">
        <v>0</v>
      </c>
      <c r="T385">
        <v>248508</v>
      </c>
      <c r="U385" t="s">
        <v>35</v>
      </c>
      <c r="V385" t="s">
        <v>2464</v>
      </c>
      <c r="W385" t="s">
        <v>2316</v>
      </c>
      <c r="X385" s="4">
        <v>1</v>
      </c>
      <c r="Y385" s="4"/>
      <c r="Z385">
        <f t="shared" si="20"/>
        <v>8</v>
      </c>
      <c r="AA385">
        <f t="shared" si="21"/>
        <v>10</v>
      </c>
      <c r="AB385" s="5">
        <f t="shared" si="22"/>
        <v>0.3164583333345945</v>
      </c>
      <c r="AC385" s="3">
        <f t="shared" si="23"/>
        <v>9.0277777773735579E-2</v>
      </c>
      <c r="AD385" t="str" cm="1">
        <f t="array" ref="AD385">IFERROR(_xlfn.IFS(
    AC385="", "",
    AC385*86400 &lt; 30, "1. 0s - &lt;30s",
    AC385*86400 &lt; 60, "2. 30s - &lt;1m",
    AC385*86400 &lt; 300, "3. 1m - &lt;5m",
    AC385*86400 &lt; 1800, "4. 5m - &lt;30m",
    TRUE, "5. &gt;= 30m"
),"6. Invalid (Order rejected)")</f>
        <v>5. &gt;= 30m</v>
      </c>
    </row>
    <row r="386" spans="1:30" hidden="1" x14ac:dyDescent="0.3">
      <c r="A386" t="s">
        <v>2473</v>
      </c>
      <c r="B386" t="s">
        <v>25</v>
      </c>
      <c r="C386">
        <v>43376946</v>
      </c>
      <c r="D386">
        <v>0</v>
      </c>
      <c r="E386" t="s">
        <v>2474</v>
      </c>
      <c r="F386" t="s">
        <v>26</v>
      </c>
      <c r="G386" t="s">
        <v>27</v>
      </c>
      <c r="H386" t="s">
        <v>2475</v>
      </c>
      <c r="I386" t="s">
        <v>2476</v>
      </c>
      <c r="J386" t="s">
        <v>26</v>
      </c>
      <c r="K386" t="s">
        <v>26</v>
      </c>
      <c r="L386" t="s">
        <v>2477</v>
      </c>
      <c r="M386" t="s">
        <v>25</v>
      </c>
      <c r="N386" t="s">
        <v>2478</v>
      </c>
      <c r="O386" t="s">
        <v>2479</v>
      </c>
      <c r="P386" t="s">
        <v>2480</v>
      </c>
      <c r="Q386" t="s">
        <v>2481</v>
      </c>
      <c r="R386">
        <v>250884</v>
      </c>
      <c r="S386">
        <v>0</v>
      </c>
      <c r="T386">
        <v>250884</v>
      </c>
      <c r="U386" t="s">
        <v>35</v>
      </c>
      <c r="V386" t="s">
        <v>2482</v>
      </c>
      <c r="W386" t="s">
        <v>2483</v>
      </c>
      <c r="X386" s="4">
        <v>1</v>
      </c>
      <c r="Y386" s="4"/>
      <c r="Z386">
        <f t="shared" si="20"/>
        <v>8</v>
      </c>
      <c r="AA386">
        <f t="shared" si="21"/>
        <v>10</v>
      </c>
      <c r="AB386" s="5">
        <f t="shared" si="22"/>
        <v>0.32349537037225673</v>
      </c>
      <c r="AC386" s="3">
        <f t="shared" si="23"/>
        <v>0.10333333333255723</v>
      </c>
      <c r="AD386" t="str" cm="1">
        <f t="array" ref="AD386">IFERROR(_xlfn.IFS(
    AC386="", "",
    AC386*86400 &lt; 30, "1. 0s - &lt;30s",
    AC386*86400 &lt; 60, "2. 30s - &lt;1m",
    AC386*86400 &lt; 300, "3. 1m - &lt;5m",
    AC386*86400 &lt; 1800, "4. 5m - &lt;30m",
    TRUE, "5. &gt;= 30m"
),"6. Invalid (Order rejected)")</f>
        <v>5. &gt;= 30m</v>
      </c>
    </row>
    <row r="387" spans="1:30" hidden="1" x14ac:dyDescent="0.3">
      <c r="A387" t="s">
        <v>2484</v>
      </c>
      <c r="B387" t="s">
        <v>25</v>
      </c>
      <c r="C387">
        <v>43485077</v>
      </c>
      <c r="D387">
        <v>0</v>
      </c>
      <c r="E387" t="s">
        <v>25</v>
      </c>
      <c r="F387" t="s">
        <v>26</v>
      </c>
      <c r="G387" t="s">
        <v>27</v>
      </c>
      <c r="H387" t="s">
        <v>2485</v>
      </c>
      <c r="I387" t="s">
        <v>2486</v>
      </c>
      <c r="J387" t="s">
        <v>26</v>
      </c>
      <c r="K387" t="s">
        <v>26</v>
      </c>
      <c r="L387" t="s">
        <v>2487</v>
      </c>
      <c r="M387" t="s">
        <v>25</v>
      </c>
      <c r="N387" t="s">
        <v>2399</v>
      </c>
      <c r="O387" t="s">
        <v>2400</v>
      </c>
      <c r="P387" t="s">
        <v>2409</v>
      </c>
      <c r="Q387" t="s">
        <v>2410</v>
      </c>
      <c r="R387">
        <v>278748</v>
      </c>
      <c r="S387">
        <v>0</v>
      </c>
      <c r="T387">
        <v>278748</v>
      </c>
      <c r="U387" t="s">
        <v>35</v>
      </c>
      <c r="V387" t="s">
        <v>2403</v>
      </c>
      <c r="W387" t="s">
        <v>2411</v>
      </c>
      <c r="X387" s="4">
        <v>1</v>
      </c>
      <c r="Y387" s="4"/>
      <c r="Z387">
        <f t="shared" ref="Z387:Z450" si="24">MONTH(H387)</f>
        <v>8</v>
      </c>
      <c r="AA387">
        <f t="shared" ref="AA387:AA450" si="25">DAY(H387)</f>
        <v>10</v>
      </c>
      <c r="AB387" s="5">
        <f t="shared" ref="AB387:AB450" si="26">MOD(H387, 1)</f>
        <v>0.31594907407270512</v>
      </c>
      <c r="AC387" s="3">
        <f t="shared" ref="AC387:AC450" si="27">IFERROR(IF(M387="",L387-H387,M387-H387),"Order rejected, no time available")</f>
        <v>9.0277777781011537E-2</v>
      </c>
      <c r="AD387" t="str" cm="1">
        <f t="array" ref="AD387">IFERROR(_xlfn.IFS(
    AC387="", "",
    AC387*86400 &lt; 30, "1. 0s - &lt;30s",
    AC387*86400 &lt; 60, "2. 30s - &lt;1m",
    AC387*86400 &lt; 300, "3. 1m - &lt;5m",
    AC387*86400 &lt; 1800, "4. 5m - &lt;30m",
    TRUE, "5. &gt;= 30m"
),"6. Invalid (Order rejected)")</f>
        <v>5. &gt;= 30m</v>
      </c>
    </row>
    <row r="388" spans="1:30" hidden="1" x14ac:dyDescent="0.3">
      <c r="A388" t="s">
        <v>2488</v>
      </c>
      <c r="B388" t="s">
        <v>25</v>
      </c>
      <c r="C388">
        <v>43485077</v>
      </c>
      <c r="D388">
        <v>0</v>
      </c>
      <c r="E388" t="s">
        <v>25</v>
      </c>
      <c r="F388" t="s">
        <v>26</v>
      </c>
      <c r="G388" t="s">
        <v>27</v>
      </c>
      <c r="H388" t="s">
        <v>2489</v>
      </c>
      <c r="I388" t="s">
        <v>2490</v>
      </c>
      <c r="J388" t="s">
        <v>26</v>
      </c>
      <c r="K388" t="s">
        <v>26</v>
      </c>
      <c r="L388" t="s">
        <v>2491</v>
      </c>
      <c r="M388" t="s">
        <v>25</v>
      </c>
      <c r="N388" t="s">
        <v>2492</v>
      </c>
      <c r="O388" t="s">
        <v>2493</v>
      </c>
      <c r="P388" t="s">
        <v>2370</v>
      </c>
      <c r="Q388" t="s">
        <v>2371</v>
      </c>
      <c r="R388">
        <v>258012</v>
      </c>
      <c r="S388">
        <v>0</v>
      </c>
      <c r="T388">
        <v>258012</v>
      </c>
      <c r="U388" t="s">
        <v>35</v>
      </c>
      <c r="V388" t="s">
        <v>2494</v>
      </c>
      <c r="W388" t="s">
        <v>2373</v>
      </c>
      <c r="X388" s="4">
        <v>1</v>
      </c>
      <c r="Y388" s="4"/>
      <c r="Z388">
        <f t="shared" si="24"/>
        <v>8</v>
      </c>
      <c r="AA388">
        <f t="shared" si="25"/>
        <v>10</v>
      </c>
      <c r="AB388" s="5">
        <f t="shared" si="26"/>
        <v>0.31999999999970896</v>
      </c>
      <c r="AC388" s="3">
        <f t="shared" si="27"/>
        <v>9.0266203704231884E-2</v>
      </c>
      <c r="AD388" t="str" cm="1">
        <f t="array" ref="AD388">IFERROR(_xlfn.IFS(
    AC388="", "",
    AC388*86400 &lt; 30, "1. 0s - &lt;30s",
    AC388*86400 &lt; 60, "2. 30s - &lt;1m",
    AC388*86400 &lt; 300, "3. 1m - &lt;5m",
    AC388*86400 &lt; 1800, "4. 5m - &lt;30m",
    TRUE, "5. &gt;= 30m"
),"6. Invalid (Order rejected)")</f>
        <v>5. &gt;= 30m</v>
      </c>
    </row>
    <row r="389" spans="1:30" hidden="1" x14ac:dyDescent="0.3">
      <c r="A389" t="s">
        <v>2495</v>
      </c>
      <c r="B389" t="s">
        <v>25</v>
      </c>
      <c r="C389">
        <v>43485077</v>
      </c>
      <c r="D389">
        <v>0</v>
      </c>
      <c r="E389" t="s">
        <v>25</v>
      </c>
      <c r="F389" t="s">
        <v>26</v>
      </c>
      <c r="G389" t="s">
        <v>27</v>
      </c>
      <c r="H389" t="s">
        <v>2496</v>
      </c>
      <c r="I389" t="s">
        <v>2497</v>
      </c>
      <c r="J389" t="s">
        <v>26</v>
      </c>
      <c r="K389" t="s">
        <v>26</v>
      </c>
      <c r="L389" t="s">
        <v>2498</v>
      </c>
      <c r="M389" t="s">
        <v>25</v>
      </c>
      <c r="N389" t="s">
        <v>2378</v>
      </c>
      <c r="O389" t="s">
        <v>2379</v>
      </c>
      <c r="P389" t="s">
        <v>2499</v>
      </c>
      <c r="Q389" t="s">
        <v>2500</v>
      </c>
      <c r="R389">
        <v>198720</v>
      </c>
      <c r="S389">
        <v>0</v>
      </c>
      <c r="T389">
        <v>198720</v>
      </c>
      <c r="U389" t="s">
        <v>35</v>
      </c>
      <c r="V389" t="s">
        <v>2380</v>
      </c>
      <c r="W389" t="s">
        <v>2501</v>
      </c>
      <c r="X389" s="4">
        <v>1</v>
      </c>
      <c r="Y389" s="4"/>
      <c r="Z389">
        <f t="shared" si="24"/>
        <v>8</v>
      </c>
      <c r="AA389">
        <f t="shared" si="25"/>
        <v>10</v>
      </c>
      <c r="AB389" s="5">
        <f t="shared" si="26"/>
        <v>0.32097222222364508</v>
      </c>
      <c r="AC389" s="3">
        <f t="shared" si="27"/>
        <v>9.0277777773735579E-2</v>
      </c>
      <c r="AD389" t="str" cm="1">
        <f t="array" ref="AD389">IFERROR(_xlfn.IFS(
    AC389="", "",
    AC389*86400 &lt; 30, "1. 0s - &lt;30s",
    AC389*86400 &lt; 60, "2. 30s - &lt;1m",
    AC389*86400 &lt; 300, "3. 1m - &lt;5m",
    AC389*86400 &lt; 1800, "4. 5m - &lt;30m",
    TRUE, "5. &gt;= 30m"
),"6. Invalid (Order rejected)")</f>
        <v>5. &gt;= 30m</v>
      </c>
    </row>
    <row r="390" spans="1:30" hidden="1" x14ac:dyDescent="0.3">
      <c r="A390" t="s">
        <v>2502</v>
      </c>
      <c r="B390" t="s">
        <v>25</v>
      </c>
      <c r="C390">
        <v>43485077</v>
      </c>
      <c r="D390">
        <v>0</v>
      </c>
      <c r="E390" t="s">
        <v>25</v>
      </c>
      <c r="F390" t="s">
        <v>26</v>
      </c>
      <c r="G390" t="s">
        <v>27</v>
      </c>
      <c r="H390" t="s">
        <v>2503</v>
      </c>
      <c r="I390" t="s">
        <v>2504</v>
      </c>
      <c r="J390" t="s">
        <v>26</v>
      </c>
      <c r="K390" t="s">
        <v>26</v>
      </c>
      <c r="L390" t="s">
        <v>2505</v>
      </c>
      <c r="M390" t="s">
        <v>25</v>
      </c>
      <c r="N390" t="s">
        <v>2506</v>
      </c>
      <c r="O390" t="s">
        <v>2507</v>
      </c>
      <c r="P390" t="s">
        <v>2499</v>
      </c>
      <c r="Q390" t="s">
        <v>2500</v>
      </c>
      <c r="R390">
        <v>168588</v>
      </c>
      <c r="S390">
        <v>0</v>
      </c>
      <c r="T390">
        <v>168588</v>
      </c>
      <c r="U390" t="s">
        <v>35</v>
      </c>
      <c r="V390" t="s">
        <v>2508</v>
      </c>
      <c r="W390" t="s">
        <v>2501</v>
      </c>
      <c r="X390" s="4">
        <v>1</v>
      </c>
      <c r="Y390" s="4"/>
      <c r="Z390">
        <f t="shared" si="24"/>
        <v>8</v>
      </c>
      <c r="AA390">
        <f t="shared" si="25"/>
        <v>10</v>
      </c>
      <c r="AB390" s="5">
        <f t="shared" si="26"/>
        <v>0.31806712962861639</v>
      </c>
      <c r="AC390" s="3">
        <f t="shared" si="27"/>
        <v>9.0277777781011537E-2</v>
      </c>
      <c r="AD390" t="str" cm="1">
        <f t="array" ref="AD390">IFERROR(_xlfn.IFS(
    AC390="", "",
    AC390*86400 &lt; 30, "1. 0s - &lt;30s",
    AC390*86400 &lt; 60, "2. 30s - &lt;1m",
    AC390*86400 &lt; 300, "3. 1m - &lt;5m",
    AC390*86400 &lt; 1800, "4. 5m - &lt;30m",
    TRUE, "5. &gt;= 30m"
),"6. Invalid (Order rejected)")</f>
        <v>5. &gt;= 30m</v>
      </c>
    </row>
    <row r="391" spans="1:30" hidden="1" x14ac:dyDescent="0.3">
      <c r="A391" t="s">
        <v>2509</v>
      </c>
      <c r="B391" t="s">
        <v>25</v>
      </c>
      <c r="C391">
        <v>43485077</v>
      </c>
      <c r="D391">
        <v>0</v>
      </c>
      <c r="E391" t="s">
        <v>25</v>
      </c>
      <c r="F391" t="s">
        <v>26</v>
      </c>
      <c r="G391" t="s">
        <v>27</v>
      </c>
      <c r="H391" t="s">
        <v>2510</v>
      </c>
      <c r="I391" t="s">
        <v>2511</v>
      </c>
      <c r="J391" t="s">
        <v>26</v>
      </c>
      <c r="K391" t="s">
        <v>26</v>
      </c>
      <c r="L391" t="s">
        <v>2512</v>
      </c>
      <c r="M391" t="s">
        <v>25</v>
      </c>
      <c r="N391" t="s">
        <v>2441</v>
      </c>
      <c r="O391" t="s">
        <v>2442</v>
      </c>
      <c r="P391" t="s">
        <v>2331</v>
      </c>
      <c r="Q391" t="s">
        <v>2332</v>
      </c>
      <c r="R391">
        <v>166860</v>
      </c>
      <c r="S391">
        <v>0</v>
      </c>
      <c r="T391">
        <v>166860</v>
      </c>
      <c r="U391" t="s">
        <v>35</v>
      </c>
      <c r="V391" t="s">
        <v>2445</v>
      </c>
      <c r="W391" t="s">
        <v>2334</v>
      </c>
      <c r="X391" s="4">
        <v>1</v>
      </c>
      <c r="Y391" s="4"/>
      <c r="Z391">
        <f t="shared" si="24"/>
        <v>8</v>
      </c>
      <c r="AA391">
        <f t="shared" si="25"/>
        <v>10</v>
      </c>
      <c r="AB391" s="5">
        <f t="shared" si="26"/>
        <v>0.32526620370481396</v>
      </c>
      <c r="AC391" s="3">
        <f t="shared" si="27"/>
        <v>9.0266203704231884E-2</v>
      </c>
      <c r="AD391" t="str" cm="1">
        <f t="array" ref="AD391">IFERROR(_xlfn.IFS(
    AC391="", "",
    AC391*86400 &lt; 30, "1. 0s - &lt;30s",
    AC391*86400 &lt; 60, "2. 30s - &lt;1m",
    AC391*86400 &lt; 300, "3. 1m - &lt;5m",
    AC391*86400 &lt; 1800, "4. 5m - &lt;30m",
    TRUE, "5. &gt;= 30m"
),"6. Invalid (Order rejected)")</f>
        <v>5. &gt;= 30m</v>
      </c>
    </row>
    <row r="392" spans="1:30" hidden="1" x14ac:dyDescent="0.3">
      <c r="A392" t="s">
        <v>2513</v>
      </c>
      <c r="B392" t="s">
        <v>25</v>
      </c>
      <c r="C392">
        <v>43485077</v>
      </c>
      <c r="D392">
        <v>0</v>
      </c>
      <c r="E392" t="s">
        <v>25</v>
      </c>
      <c r="F392" t="s">
        <v>26</v>
      </c>
      <c r="G392" t="s">
        <v>27</v>
      </c>
      <c r="H392" t="s">
        <v>2514</v>
      </c>
      <c r="I392" t="s">
        <v>2515</v>
      </c>
      <c r="J392" t="s">
        <v>26</v>
      </c>
      <c r="K392" t="s">
        <v>26</v>
      </c>
      <c r="L392" t="s">
        <v>2516</v>
      </c>
      <c r="M392" t="s">
        <v>25</v>
      </c>
      <c r="N392" t="s">
        <v>2492</v>
      </c>
      <c r="O392" t="s">
        <v>2493</v>
      </c>
      <c r="P392" t="s">
        <v>2443</v>
      </c>
      <c r="Q392" t="s">
        <v>2444</v>
      </c>
      <c r="R392">
        <v>143208</v>
      </c>
      <c r="S392">
        <v>0</v>
      </c>
      <c r="T392">
        <v>143208</v>
      </c>
      <c r="U392" t="s">
        <v>35</v>
      </c>
      <c r="V392" t="s">
        <v>2494</v>
      </c>
      <c r="W392" t="s">
        <v>2446</v>
      </c>
      <c r="X392" s="4">
        <v>1</v>
      </c>
      <c r="Y392" s="4"/>
      <c r="Z392">
        <f t="shared" si="24"/>
        <v>8</v>
      </c>
      <c r="AA392">
        <f t="shared" si="25"/>
        <v>10</v>
      </c>
      <c r="AB392" s="5">
        <f t="shared" si="26"/>
        <v>0.32033564814628335</v>
      </c>
      <c r="AC392" s="3">
        <f t="shared" si="27"/>
        <v>9.0277777781011537E-2</v>
      </c>
      <c r="AD392" t="str" cm="1">
        <f t="array" ref="AD392">IFERROR(_xlfn.IFS(
    AC392="", "",
    AC392*86400 &lt; 30, "1. 0s - &lt;30s",
    AC392*86400 &lt; 60, "2. 30s - &lt;1m",
    AC392*86400 &lt; 300, "3. 1m - &lt;5m",
    AC392*86400 &lt; 1800, "4. 5m - &lt;30m",
    TRUE, "5. &gt;= 30m"
),"6. Invalid (Order rejected)")</f>
        <v>5. &gt;= 30m</v>
      </c>
    </row>
    <row r="393" spans="1:30" hidden="1" x14ac:dyDescent="0.3">
      <c r="A393" t="s">
        <v>2517</v>
      </c>
      <c r="B393" t="s">
        <v>25</v>
      </c>
      <c r="C393">
        <v>43485077</v>
      </c>
      <c r="D393">
        <v>0</v>
      </c>
      <c r="E393" t="s">
        <v>25</v>
      </c>
      <c r="F393" t="s">
        <v>26</v>
      </c>
      <c r="G393" t="s">
        <v>27</v>
      </c>
      <c r="H393" t="s">
        <v>2518</v>
      </c>
      <c r="I393" t="s">
        <v>2519</v>
      </c>
      <c r="J393" t="s">
        <v>26</v>
      </c>
      <c r="K393" t="s">
        <v>26</v>
      </c>
      <c r="L393" t="s">
        <v>2520</v>
      </c>
      <c r="M393" t="s">
        <v>25</v>
      </c>
      <c r="N393" t="s">
        <v>2378</v>
      </c>
      <c r="O393" t="s">
        <v>2379</v>
      </c>
      <c r="P393" t="s">
        <v>2451</v>
      </c>
      <c r="Q393" t="s">
        <v>2452</v>
      </c>
      <c r="R393">
        <v>160272</v>
      </c>
      <c r="S393">
        <v>0</v>
      </c>
      <c r="T393">
        <v>160272</v>
      </c>
      <c r="U393" t="s">
        <v>35</v>
      </c>
      <c r="V393" t="s">
        <v>2380</v>
      </c>
      <c r="W393" t="s">
        <v>2453</v>
      </c>
      <c r="X393" s="4">
        <v>1</v>
      </c>
      <c r="Y393" s="4"/>
      <c r="Z393">
        <f t="shared" si="24"/>
        <v>8</v>
      </c>
      <c r="AA393">
        <f t="shared" si="25"/>
        <v>10</v>
      </c>
      <c r="AB393" s="5">
        <f t="shared" si="26"/>
        <v>0.32112268518540077</v>
      </c>
      <c r="AC393" s="3">
        <f t="shared" si="27"/>
        <v>9.0277777781011537E-2</v>
      </c>
      <c r="AD393" t="str" cm="1">
        <f t="array" ref="AD393">IFERROR(_xlfn.IFS(
    AC393="", "",
    AC393*86400 &lt; 30, "1. 0s - &lt;30s",
    AC393*86400 &lt; 60, "2. 30s - &lt;1m",
    AC393*86400 &lt; 300, "3. 1m - &lt;5m",
    AC393*86400 &lt; 1800, "4. 5m - &lt;30m",
    TRUE, "5. &gt;= 30m"
),"6. Invalid (Order rejected)")</f>
        <v>5. &gt;= 30m</v>
      </c>
    </row>
    <row r="394" spans="1:30" hidden="1" x14ac:dyDescent="0.3">
      <c r="A394" t="s">
        <v>2521</v>
      </c>
      <c r="B394" t="s">
        <v>25</v>
      </c>
      <c r="C394">
        <v>43485077</v>
      </c>
      <c r="D394">
        <v>0</v>
      </c>
      <c r="E394" t="s">
        <v>25</v>
      </c>
      <c r="F394" t="s">
        <v>26</v>
      </c>
      <c r="G394" t="s">
        <v>27</v>
      </c>
      <c r="H394" t="s">
        <v>2522</v>
      </c>
      <c r="I394" t="s">
        <v>2523</v>
      </c>
      <c r="J394" t="s">
        <v>26</v>
      </c>
      <c r="K394" t="s">
        <v>26</v>
      </c>
      <c r="L394" t="s">
        <v>2524</v>
      </c>
      <c r="M394" t="s">
        <v>25</v>
      </c>
      <c r="N394" t="s">
        <v>2434</v>
      </c>
      <c r="O394" t="s">
        <v>2435</v>
      </c>
      <c r="P394" t="s">
        <v>2313</v>
      </c>
      <c r="Q394" t="s">
        <v>2314</v>
      </c>
      <c r="R394">
        <v>224964</v>
      </c>
      <c r="S394">
        <v>0</v>
      </c>
      <c r="T394">
        <v>224964</v>
      </c>
      <c r="U394" t="s">
        <v>35</v>
      </c>
      <c r="V394" t="s">
        <v>2436</v>
      </c>
      <c r="W394" t="s">
        <v>2316</v>
      </c>
      <c r="X394" s="4">
        <v>1</v>
      </c>
      <c r="Y394" s="4"/>
      <c r="Z394">
        <f t="shared" si="24"/>
        <v>8</v>
      </c>
      <c r="AA394">
        <f t="shared" si="25"/>
        <v>10</v>
      </c>
      <c r="AB394" s="5">
        <f t="shared" si="26"/>
        <v>0.32422453703475185</v>
      </c>
      <c r="AC394" s="3">
        <f t="shared" si="27"/>
        <v>9.0266203704231884E-2</v>
      </c>
      <c r="AD394" t="str" cm="1">
        <f t="array" ref="AD394">IFERROR(_xlfn.IFS(
    AC394="", "",
    AC394*86400 &lt; 30, "1. 0s - &lt;30s",
    AC394*86400 &lt; 60, "2. 30s - &lt;1m",
    AC394*86400 &lt; 300, "3. 1m - &lt;5m",
    AC394*86400 &lt; 1800, "4. 5m - &lt;30m",
    TRUE, "5. &gt;= 30m"
),"6. Invalid (Order rejected)")</f>
        <v>5. &gt;= 30m</v>
      </c>
    </row>
    <row r="395" spans="1:30" hidden="1" x14ac:dyDescent="0.3">
      <c r="A395" t="s">
        <v>2525</v>
      </c>
      <c r="B395" t="s">
        <v>25</v>
      </c>
      <c r="C395">
        <v>43485077</v>
      </c>
      <c r="D395">
        <v>4767625</v>
      </c>
      <c r="E395" t="s">
        <v>25</v>
      </c>
      <c r="F395" t="s">
        <v>75</v>
      </c>
      <c r="G395" t="s">
        <v>491</v>
      </c>
      <c r="H395" t="s">
        <v>2526</v>
      </c>
      <c r="I395" t="s">
        <v>2527</v>
      </c>
      <c r="J395" t="s">
        <v>2528</v>
      </c>
      <c r="K395" t="s">
        <v>26</v>
      </c>
      <c r="L395" t="s">
        <v>2529</v>
      </c>
      <c r="M395" t="s">
        <v>25</v>
      </c>
      <c r="N395" t="s">
        <v>2530</v>
      </c>
      <c r="O395" t="s">
        <v>2531</v>
      </c>
      <c r="P395" t="s">
        <v>2339</v>
      </c>
      <c r="Q395" t="s">
        <v>2340</v>
      </c>
      <c r="R395">
        <v>194940</v>
      </c>
      <c r="S395">
        <v>151124</v>
      </c>
      <c r="T395">
        <v>43816</v>
      </c>
      <c r="U395" t="s">
        <v>35</v>
      </c>
      <c r="V395" t="s">
        <v>2532</v>
      </c>
      <c r="W395" t="s">
        <v>2341</v>
      </c>
      <c r="X395" s="4">
        <v>1</v>
      </c>
      <c r="Y395" s="4"/>
      <c r="Z395">
        <f t="shared" si="24"/>
        <v>8</v>
      </c>
      <c r="AA395">
        <f t="shared" si="25"/>
        <v>10</v>
      </c>
      <c r="AB395" s="5">
        <f t="shared" si="26"/>
        <v>0.32361111111094942</v>
      </c>
      <c r="AC395" s="3">
        <f t="shared" si="27"/>
        <v>10.007627314815181</v>
      </c>
      <c r="AD395" t="str" cm="1">
        <f t="array" ref="AD395">IFERROR(_xlfn.IFS(
    AC395="", "",
    AC395*86400 &lt; 30, "1. 0s - &lt;30s",
    AC395*86400 &lt; 60, "2. 30s - &lt;1m",
    AC395*86400 &lt; 300, "3. 1m - &lt;5m",
    AC395*86400 &lt; 1800, "4. 5m - &lt;30m",
    TRUE, "5. &gt;= 30m"
),"6. Invalid (Order rejected)")</f>
        <v>5. &gt;= 30m</v>
      </c>
    </row>
    <row r="396" spans="1:30" hidden="1" x14ac:dyDescent="0.3">
      <c r="A396" t="s">
        <v>2533</v>
      </c>
      <c r="B396" t="s">
        <v>25</v>
      </c>
      <c r="C396">
        <v>43485077</v>
      </c>
      <c r="D396">
        <v>0</v>
      </c>
      <c r="E396" t="s">
        <v>25</v>
      </c>
      <c r="F396" t="s">
        <v>26</v>
      </c>
      <c r="G396" t="s">
        <v>27</v>
      </c>
      <c r="H396" t="s">
        <v>2534</v>
      </c>
      <c r="I396" t="s">
        <v>2528</v>
      </c>
      <c r="J396" t="s">
        <v>26</v>
      </c>
      <c r="K396" t="s">
        <v>26</v>
      </c>
      <c r="L396" t="s">
        <v>2535</v>
      </c>
      <c r="M396" t="s">
        <v>25</v>
      </c>
      <c r="N396" t="s">
        <v>2434</v>
      </c>
      <c r="O396" t="s">
        <v>2435</v>
      </c>
      <c r="P396" t="s">
        <v>2370</v>
      </c>
      <c r="Q396" t="s">
        <v>2371</v>
      </c>
      <c r="R396">
        <v>153468</v>
      </c>
      <c r="S396">
        <v>0</v>
      </c>
      <c r="T396">
        <v>153468</v>
      </c>
      <c r="U396" t="s">
        <v>35</v>
      </c>
      <c r="V396" t="s">
        <v>2436</v>
      </c>
      <c r="W396" t="s">
        <v>2373</v>
      </c>
      <c r="X396" s="4">
        <v>1</v>
      </c>
      <c r="Y396" s="4"/>
      <c r="Z396">
        <f t="shared" si="24"/>
        <v>8</v>
      </c>
      <c r="AA396">
        <f t="shared" si="25"/>
        <v>10</v>
      </c>
      <c r="AB396" s="5">
        <f t="shared" si="26"/>
        <v>0.32451388888875954</v>
      </c>
      <c r="AC396" s="3">
        <f t="shared" si="27"/>
        <v>9.0266203704231884E-2</v>
      </c>
      <c r="AD396" t="str" cm="1">
        <f t="array" ref="AD396">IFERROR(_xlfn.IFS(
    AC396="", "",
    AC396*86400 &lt; 30, "1. 0s - &lt;30s",
    AC396*86400 &lt; 60, "2. 30s - &lt;1m",
    AC396*86400 &lt; 300, "3. 1m - &lt;5m",
    AC396*86400 &lt; 1800, "4. 5m - &lt;30m",
    TRUE, "5. &gt;= 30m"
),"6. Invalid (Order rejected)")</f>
        <v>5. &gt;= 30m</v>
      </c>
    </row>
    <row r="397" spans="1:30" hidden="1" x14ac:dyDescent="0.3">
      <c r="A397" t="s">
        <v>2536</v>
      </c>
      <c r="B397" t="s">
        <v>25</v>
      </c>
      <c r="C397">
        <v>43376946</v>
      </c>
      <c r="D397">
        <v>0</v>
      </c>
      <c r="E397" t="s">
        <v>25</v>
      </c>
      <c r="F397" t="s">
        <v>26</v>
      </c>
      <c r="G397" t="s">
        <v>27</v>
      </c>
      <c r="H397" t="s">
        <v>2537</v>
      </c>
      <c r="I397" t="s">
        <v>2538</v>
      </c>
      <c r="J397" t="s">
        <v>26</v>
      </c>
      <c r="K397" t="s">
        <v>26</v>
      </c>
      <c r="L397" t="s">
        <v>2539</v>
      </c>
      <c r="M397" t="s">
        <v>25</v>
      </c>
      <c r="N397" t="s">
        <v>2540</v>
      </c>
      <c r="O397" t="s">
        <v>2541</v>
      </c>
      <c r="P397" t="s">
        <v>2542</v>
      </c>
      <c r="Q397" t="s">
        <v>2543</v>
      </c>
      <c r="R397">
        <v>235548</v>
      </c>
      <c r="S397">
        <v>0</v>
      </c>
      <c r="T397">
        <v>235548</v>
      </c>
      <c r="U397" t="s">
        <v>35</v>
      </c>
      <c r="V397" t="s">
        <v>2260</v>
      </c>
      <c r="W397" t="s">
        <v>2544</v>
      </c>
      <c r="X397" s="4">
        <v>1</v>
      </c>
      <c r="Y397" s="4"/>
      <c r="Z397">
        <f t="shared" si="24"/>
        <v>8</v>
      </c>
      <c r="AA397">
        <f t="shared" si="25"/>
        <v>10</v>
      </c>
      <c r="AB397" s="5">
        <f t="shared" si="26"/>
        <v>0.33037037037138361</v>
      </c>
      <c r="AC397" s="3">
        <f t="shared" si="27"/>
        <v>0.10233796296233777</v>
      </c>
      <c r="AD397" t="str" cm="1">
        <f t="array" ref="AD397">IFERROR(_xlfn.IFS(
    AC397="", "",
    AC397*86400 &lt; 30, "1. 0s - &lt;30s",
    AC397*86400 &lt; 60, "2. 30s - &lt;1m",
    AC397*86400 &lt; 300, "3. 1m - &lt;5m",
    AC397*86400 &lt; 1800, "4. 5m - &lt;30m",
    TRUE, "5. &gt;= 30m"
),"6. Invalid (Order rejected)")</f>
        <v>5. &gt;= 30m</v>
      </c>
    </row>
    <row r="398" spans="1:30" hidden="1" x14ac:dyDescent="0.3">
      <c r="A398" t="s">
        <v>2545</v>
      </c>
      <c r="B398" t="s">
        <v>25</v>
      </c>
      <c r="C398">
        <v>43376946</v>
      </c>
      <c r="D398">
        <v>0</v>
      </c>
      <c r="E398" t="s">
        <v>25</v>
      </c>
      <c r="F398" t="s">
        <v>26</v>
      </c>
      <c r="G398" t="s">
        <v>27</v>
      </c>
      <c r="H398" t="s">
        <v>2546</v>
      </c>
      <c r="I398" t="s">
        <v>2547</v>
      </c>
      <c r="J398" t="s">
        <v>26</v>
      </c>
      <c r="K398" t="s">
        <v>26</v>
      </c>
      <c r="L398" t="s">
        <v>2548</v>
      </c>
      <c r="M398" t="s">
        <v>25</v>
      </c>
      <c r="N398" t="s">
        <v>2549</v>
      </c>
      <c r="O398" t="s">
        <v>2550</v>
      </c>
      <c r="P398" t="s">
        <v>2551</v>
      </c>
      <c r="Q398" t="s">
        <v>2552</v>
      </c>
      <c r="R398">
        <v>228096</v>
      </c>
      <c r="S398">
        <v>0</v>
      </c>
      <c r="T398">
        <v>228096</v>
      </c>
      <c r="U398" t="s">
        <v>35</v>
      </c>
      <c r="V398" t="s">
        <v>2553</v>
      </c>
      <c r="W398" t="s">
        <v>2554</v>
      </c>
      <c r="X398" s="4">
        <v>1</v>
      </c>
      <c r="Y398" s="4"/>
      <c r="Z398">
        <f t="shared" si="24"/>
        <v>8</v>
      </c>
      <c r="AA398">
        <f t="shared" si="25"/>
        <v>10</v>
      </c>
      <c r="AB398" s="5">
        <f t="shared" si="26"/>
        <v>0.33207175925781485</v>
      </c>
      <c r="AC398" s="3">
        <f t="shared" si="27"/>
        <v>9.0150462965539191E-2</v>
      </c>
      <c r="AD398" t="str" cm="1">
        <f t="array" ref="AD398">IFERROR(_xlfn.IFS(
    AC398="", "",
    AC398*86400 &lt; 30, "1. 0s - &lt;30s",
    AC398*86400 &lt; 60, "2. 30s - &lt;1m",
    AC398*86400 &lt; 300, "3. 1m - &lt;5m",
    AC398*86400 &lt; 1800, "4. 5m - &lt;30m",
    TRUE, "5. &gt;= 30m"
),"6. Invalid (Order rejected)")</f>
        <v>5. &gt;= 30m</v>
      </c>
    </row>
    <row r="399" spans="1:30" hidden="1" x14ac:dyDescent="0.3">
      <c r="A399" t="s">
        <v>2555</v>
      </c>
      <c r="B399" t="s">
        <v>25</v>
      </c>
      <c r="C399">
        <v>43485077</v>
      </c>
      <c r="D399">
        <v>0</v>
      </c>
      <c r="E399" t="s">
        <v>25</v>
      </c>
      <c r="F399" t="s">
        <v>26</v>
      </c>
      <c r="G399" t="s">
        <v>27</v>
      </c>
      <c r="H399" t="s">
        <v>2556</v>
      </c>
      <c r="I399" t="s">
        <v>2557</v>
      </c>
      <c r="J399" t="s">
        <v>26</v>
      </c>
      <c r="K399" t="s">
        <v>26</v>
      </c>
      <c r="L399" t="s">
        <v>2558</v>
      </c>
      <c r="M399" t="s">
        <v>25</v>
      </c>
      <c r="N399" t="s">
        <v>2492</v>
      </c>
      <c r="O399" t="s">
        <v>2493</v>
      </c>
      <c r="P399" t="s">
        <v>2559</v>
      </c>
      <c r="Q399" t="s">
        <v>2560</v>
      </c>
      <c r="R399">
        <v>179172</v>
      </c>
      <c r="S399">
        <v>0</v>
      </c>
      <c r="T399">
        <v>179172</v>
      </c>
      <c r="U399" t="s">
        <v>35</v>
      </c>
      <c r="V399" t="s">
        <v>2494</v>
      </c>
      <c r="W399" t="s">
        <v>2561</v>
      </c>
      <c r="X399" s="4">
        <v>1</v>
      </c>
      <c r="Y399" s="4"/>
      <c r="Z399">
        <f t="shared" si="24"/>
        <v>8</v>
      </c>
      <c r="AA399">
        <f t="shared" si="25"/>
        <v>10</v>
      </c>
      <c r="AB399" s="5">
        <f t="shared" si="26"/>
        <v>0.33252314815035788</v>
      </c>
      <c r="AC399" s="3">
        <f t="shared" si="27"/>
        <v>9.0277777773735579E-2</v>
      </c>
      <c r="AD399" t="str" cm="1">
        <f t="array" ref="AD399">IFERROR(_xlfn.IFS(
    AC399="", "",
    AC399*86400 &lt; 30, "1. 0s - &lt;30s",
    AC399*86400 &lt; 60, "2. 30s - &lt;1m",
    AC399*86400 &lt; 300, "3. 1m - &lt;5m",
    AC399*86400 &lt; 1800, "4. 5m - &lt;30m",
    TRUE, "5. &gt;= 30m"
),"6. Invalid (Order rejected)")</f>
        <v>5. &gt;= 30m</v>
      </c>
    </row>
    <row r="400" spans="1:30" hidden="1" x14ac:dyDescent="0.3">
      <c r="A400" t="s">
        <v>2562</v>
      </c>
      <c r="B400" t="s">
        <v>25</v>
      </c>
      <c r="C400">
        <v>43376946</v>
      </c>
      <c r="D400">
        <v>0</v>
      </c>
      <c r="E400" t="s">
        <v>2563</v>
      </c>
      <c r="F400" t="s">
        <v>26</v>
      </c>
      <c r="G400" t="s">
        <v>27</v>
      </c>
      <c r="H400" t="s">
        <v>2564</v>
      </c>
      <c r="I400" t="s">
        <v>2565</v>
      </c>
      <c r="J400" t="s">
        <v>26</v>
      </c>
      <c r="K400" t="s">
        <v>26</v>
      </c>
      <c r="L400" t="s">
        <v>2566</v>
      </c>
      <c r="M400" t="s">
        <v>25</v>
      </c>
      <c r="N400" t="s">
        <v>2567</v>
      </c>
      <c r="O400" t="s">
        <v>2568</v>
      </c>
      <c r="P400" t="s">
        <v>2569</v>
      </c>
      <c r="Q400" t="s">
        <v>2570</v>
      </c>
      <c r="R400">
        <v>200988</v>
      </c>
      <c r="S400">
        <v>0</v>
      </c>
      <c r="T400">
        <v>200988</v>
      </c>
      <c r="U400" t="s">
        <v>35</v>
      </c>
      <c r="V400" t="s">
        <v>2189</v>
      </c>
      <c r="W400" t="s">
        <v>2571</v>
      </c>
      <c r="X400" s="4">
        <v>1</v>
      </c>
      <c r="Y400" s="4"/>
      <c r="Z400">
        <f t="shared" si="24"/>
        <v>8</v>
      </c>
      <c r="AA400">
        <f t="shared" si="25"/>
        <v>10</v>
      </c>
      <c r="AB400" s="5">
        <f t="shared" si="26"/>
        <v>0.32601851852086838</v>
      </c>
      <c r="AC400" s="3">
        <f t="shared" si="27"/>
        <v>8.9953703703940846E-2</v>
      </c>
      <c r="AD400" t="str" cm="1">
        <f t="array" ref="AD400">IFERROR(_xlfn.IFS(
    AC400="", "",
    AC400*86400 &lt; 30, "1. 0s - &lt;30s",
    AC400*86400 &lt; 60, "2. 30s - &lt;1m",
    AC400*86400 &lt; 300, "3. 1m - &lt;5m",
    AC400*86400 &lt; 1800, "4. 5m - &lt;30m",
    TRUE, "5. &gt;= 30m"
),"6. Invalid (Order rejected)")</f>
        <v>5. &gt;= 30m</v>
      </c>
    </row>
    <row r="401" spans="1:30" x14ac:dyDescent="0.3">
      <c r="A401" t="s">
        <v>2572</v>
      </c>
      <c r="B401" t="s">
        <v>25</v>
      </c>
      <c r="C401">
        <v>43485077</v>
      </c>
      <c r="D401">
        <v>3887328</v>
      </c>
      <c r="E401" t="s">
        <v>25</v>
      </c>
      <c r="F401" t="s">
        <v>75</v>
      </c>
      <c r="G401" t="s">
        <v>360</v>
      </c>
      <c r="H401" t="s">
        <v>2573</v>
      </c>
      <c r="I401" t="s">
        <v>2574</v>
      </c>
      <c r="J401" t="s">
        <v>2575</v>
      </c>
      <c r="K401" t="s">
        <v>26</v>
      </c>
      <c r="L401" t="s">
        <v>25</v>
      </c>
      <c r="M401" t="s">
        <v>25</v>
      </c>
      <c r="N401" t="s">
        <v>2576</v>
      </c>
      <c r="O401" t="s">
        <v>2577</v>
      </c>
      <c r="P401" t="s">
        <v>2578</v>
      </c>
      <c r="Q401" t="s">
        <v>2579</v>
      </c>
      <c r="R401">
        <v>176364</v>
      </c>
      <c r="S401">
        <v>136723</v>
      </c>
      <c r="T401">
        <v>39641</v>
      </c>
      <c r="U401" t="s">
        <v>35</v>
      </c>
      <c r="V401" t="s">
        <v>2445</v>
      </c>
      <c r="W401" t="s">
        <v>2580</v>
      </c>
      <c r="X401" s="4">
        <v>1</v>
      </c>
      <c r="Y401" s="4"/>
      <c r="Z401">
        <f t="shared" si="24"/>
        <v>8</v>
      </c>
      <c r="AA401">
        <f t="shared" si="25"/>
        <v>10</v>
      </c>
      <c r="AB401" s="5">
        <f t="shared" si="26"/>
        <v>0.32719907407590654</v>
      </c>
      <c r="AC401" s="3" t="str">
        <f t="shared" si="27"/>
        <v>Order rejected, no time available</v>
      </c>
      <c r="AD401" t="str" cm="1">
        <f t="array" ref="AD401">IFERROR(_xlfn.IFS(
    AC401="", "",
    AC401*86400 &lt; 30, "1. 0s - &lt;30s",
    AC401*86400 &lt; 60, "2. 30s - &lt;1m",
    AC401*86400 &lt; 300, "3. 1m - &lt;5m",
    AC401*86400 &lt; 1800, "4. 5m - &lt;30m",
    TRUE, "5. &gt;= 30m"
),"6. Invalid (Order rejected)")</f>
        <v>6. Invalid (Order rejected)</v>
      </c>
    </row>
    <row r="402" spans="1:30" hidden="1" x14ac:dyDescent="0.3">
      <c r="A402" t="s">
        <v>2581</v>
      </c>
      <c r="B402" t="s">
        <v>25</v>
      </c>
      <c r="C402">
        <v>43376946</v>
      </c>
      <c r="D402">
        <v>4411069</v>
      </c>
      <c r="E402" t="s">
        <v>25</v>
      </c>
      <c r="F402" t="s">
        <v>75</v>
      </c>
      <c r="G402" t="s">
        <v>76</v>
      </c>
      <c r="H402" t="s">
        <v>2582</v>
      </c>
      <c r="I402" t="s">
        <v>2583</v>
      </c>
      <c r="J402" t="s">
        <v>2584</v>
      </c>
      <c r="K402" t="s">
        <v>26</v>
      </c>
      <c r="L402" t="s">
        <v>2585</v>
      </c>
      <c r="M402" t="s">
        <v>25</v>
      </c>
      <c r="N402" t="s">
        <v>2540</v>
      </c>
      <c r="O402" t="s">
        <v>2541</v>
      </c>
      <c r="P402" t="s">
        <v>2542</v>
      </c>
      <c r="Q402" t="s">
        <v>2543</v>
      </c>
      <c r="R402">
        <v>235548</v>
      </c>
      <c r="S402">
        <v>182604</v>
      </c>
      <c r="T402">
        <v>52944</v>
      </c>
      <c r="U402" t="s">
        <v>35</v>
      </c>
      <c r="V402" t="s">
        <v>2260</v>
      </c>
      <c r="W402" t="s">
        <v>2544</v>
      </c>
      <c r="X402" s="4">
        <v>1</v>
      </c>
      <c r="Y402" s="4"/>
      <c r="Z402">
        <f t="shared" si="24"/>
        <v>8</v>
      </c>
      <c r="AA402">
        <f t="shared" si="25"/>
        <v>10</v>
      </c>
      <c r="AB402" s="5">
        <f t="shared" si="26"/>
        <v>0.32952546296291985</v>
      </c>
      <c r="AC402" s="3">
        <f t="shared" si="27"/>
        <v>6.7129629314877093E-4</v>
      </c>
      <c r="AD402" t="str" cm="1">
        <f t="array" ref="AD402">IFERROR(_xlfn.IFS(
    AC402="", "",
    AC402*86400 &lt; 30, "1. 0s - &lt;30s",
    AC402*86400 &lt; 60, "2. 30s - &lt;1m",
    AC402*86400 &lt; 300, "3. 1m - &lt;5m",
    AC402*86400 &lt; 1800, "4. 5m - &lt;30m",
    TRUE, "5. &gt;= 30m"
),"6. Invalid (Order rejected)")</f>
        <v>2. 30s - &lt;1m</v>
      </c>
    </row>
    <row r="403" spans="1:30" x14ac:dyDescent="0.3">
      <c r="A403" t="s">
        <v>2586</v>
      </c>
      <c r="B403" t="s">
        <v>25</v>
      </c>
      <c r="C403">
        <v>43376946</v>
      </c>
      <c r="D403">
        <v>4174846</v>
      </c>
      <c r="E403" t="s">
        <v>25</v>
      </c>
      <c r="F403" t="s">
        <v>75</v>
      </c>
      <c r="G403" t="s">
        <v>360</v>
      </c>
      <c r="H403" t="s">
        <v>2587</v>
      </c>
      <c r="I403" t="s">
        <v>2588</v>
      </c>
      <c r="J403" t="s">
        <v>2589</v>
      </c>
      <c r="K403" t="s">
        <v>26</v>
      </c>
      <c r="L403" t="s">
        <v>25</v>
      </c>
      <c r="M403" t="s">
        <v>25</v>
      </c>
      <c r="N403" t="s">
        <v>2590</v>
      </c>
      <c r="O403" t="s">
        <v>2591</v>
      </c>
      <c r="P403" t="s">
        <v>2592</v>
      </c>
      <c r="Q403" t="s">
        <v>2593</v>
      </c>
      <c r="R403">
        <v>324000</v>
      </c>
      <c r="S403">
        <v>251175</v>
      </c>
      <c r="T403">
        <v>72825</v>
      </c>
      <c r="U403" t="s">
        <v>35</v>
      </c>
      <c r="V403" t="s">
        <v>2594</v>
      </c>
      <c r="W403" t="s">
        <v>2595</v>
      </c>
      <c r="X403" s="4">
        <v>1</v>
      </c>
      <c r="Y403" s="4"/>
      <c r="Z403">
        <f t="shared" si="24"/>
        <v>8</v>
      </c>
      <c r="AA403">
        <f t="shared" si="25"/>
        <v>10</v>
      </c>
      <c r="AB403" s="5">
        <f t="shared" si="26"/>
        <v>0.32503472222015262</v>
      </c>
      <c r="AC403" s="3" t="str">
        <f t="shared" si="27"/>
        <v>Order rejected, no time available</v>
      </c>
      <c r="AD403" t="str" cm="1">
        <f t="array" ref="AD403">IFERROR(_xlfn.IFS(
    AC403="", "",
    AC403*86400 &lt; 30, "1. 0s - &lt;30s",
    AC403*86400 &lt; 60, "2. 30s - &lt;1m",
    AC403*86400 &lt; 300, "3. 1m - &lt;5m",
    AC403*86400 &lt; 1800, "4. 5m - &lt;30m",
    TRUE, "5. &gt;= 30m"
),"6. Invalid (Order rejected)")</f>
        <v>6. Invalid (Order rejected)</v>
      </c>
    </row>
    <row r="404" spans="1:30" hidden="1" x14ac:dyDescent="0.3">
      <c r="A404" t="s">
        <v>2596</v>
      </c>
      <c r="B404" t="s">
        <v>25</v>
      </c>
      <c r="C404">
        <v>43485077</v>
      </c>
      <c r="D404">
        <v>4580625</v>
      </c>
      <c r="E404" t="s">
        <v>25</v>
      </c>
      <c r="F404" t="s">
        <v>75</v>
      </c>
      <c r="G404" t="s">
        <v>491</v>
      </c>
      <c r="H404" t="s">
        <v>2597</v>
      </c>
      <c r="I404" t="s">
        <v>2598</v>
      </c>
      <c r="J404" t="s">
        <v>2599</v>
      </c>
      <c r="K404" t="s">
        <v>26</v>
      </c>
      <c r="L404" t="s">
        <v>2600</v>
      </c>
      <c r="M404" t="s">
        <v>25</v>
      </c>
      <c r="N404" t="s">
        <v>2601</v>
      </c>
      <c r="O404" t="s">
        <v>2602</v>
      </c>
      <c r="P404" t="s">
        <v>2603</v>
      </c>
      <c r="Q404" t="s">
        <v>2604</v>
      </c>
      <c r="R404">
        <v>111456</v>
      </c>
      <c r="S404">
        <v>86404</v>
      </c>
      <c r="T404">
        <v>25052</v>
      </c>
      <c r="U404" t="s">
        <v>35</v>
      </c>
      <c r="V404" t="s">
        <v>2605</v>
      </c>
      <c r="W404" t="s">
        <v>2606</v>
      </c>
      <c r="X404" s="4">
        <v>1</v>
      </c>
      <c r="Y404" s="4"/>
      <c r="Z404">
        <f t="shared" si="24"/>
        <v>8</v>
      </c>
      <c r="AA404">
        <f t="shared" si="25"/>
        <v>10</v>
      </c>
      <c r="AB404" s="5">
        <f t="shared" si="26"/>
        <v>0.32620370370568708</v>
      </c>
      <c r="AC404" s="3">
        <f t="shared" si="27"/>
        <v>10.007129629630072</v>
      </c>
      <c r="AD404" t="str" cm="1">
        <f t="array" ref="AD404">IFERROR(_xlfn.IFS(
    AC404="", "",
    AC404*86400 &lt; 30, "1. 0s - &lt;30s",
    AC404*86400 &lt; 60, "2. 30s - &lt;1m",
    AC404*86400 &lt; 300, "3. 1m - &lt;5m",
    AC404*86400 &lt; 1800, "4. 5m - &lt;30m",
    TRUE, "5. &gt;= 30m"
),"6. Invalid (Order rejected)")</f>
        <v>5. &gt;= 30m</v>
      </c>
    </row>
    <row r="405" spans="1:30" hidden="1" x14ac:dyDescent="0.3">
      <c r="A405" t="s">
        <v>2607</v>
      </c>
      <c r="B405" t="s">
        <v>25</v>
      </c>
      <c r="C405">
        <v>43485077</v>
      </c>
      <c r="D405">
        <v>0</v>
      </c>
      <c r="E405" t="s">
        <v>25</v>
      </c>
      <c r="F405" t="s">
        <v>26</v>
      </c>
      <c r="G405" t="s">
        <v>27</v>
      </c>
      <c r="H405" t="s">
        <v>2608</v>
      </c>
      <c r="I405" t="s">
        <v>2609</v>
      </c>
      <c r="J405" t="s">
        <v>26</v>
      </c>
      <c r="K405" t="s">
        <v>26</v>
      </c>
      <c r="L405" t="s">
        <v>2610</v>
      </c>
      <c r="M405" t="s">
        <v>25</v>
      </c>
      <c r="N405" t="s">
        <v>2576</v>
      </c>
      <c r="O405" t="s">
        <v>2577</v>
      </c>
      <c r="P405" t="s">
        <v>2611</v>
      </c>
      <c r="Q405" t="s">
        <v>2612</v>
      </c>
      <c r="R405">
        <v>145260</v>
      </c>
      <c r="S405">
        <v>0</v>
      </c>
      <c r="T405">
        <v>145260</v>
      </c>
      <c r="U405" t="s">
        <v>35</v>
      </c>
      <c r="V405" t="s">
        <v>2445</v>
      </c>
      <c r="W405" t="s">
        <v>2613</v>
      </c>
      <c r="X405" s="4">
        <v>1</v>
      </c>
      <c r="Y405" s="4"/>
      <c r="Z405">
        <f t="shared" si="24"/>
        <v>8</v>
      </c>
      <c r="AA405">
        <f t="shared" si="25"/>
        <v>10</v>
      </c>
      <c r="AB405" s="5">
        <f t="shared" si="26"/>
        <v>0.32699074073752854</v>
      </c>
      <c r="AC405" s="3">
        <f t="shared" si="27"/>
        <v>9.0266203704231884E-2</v>
      </c>
      <c r="AD405" t="str" cm="1">
        <f t="array" ref="AD405">IFERROR(_xlfn.IFS(
    AC405="", "",
    AC405*86400 &lt; 30, "1. 0s - &lt;30s",
    AC405*86400 &lt; 60, "2. 30s - &lt;1m",
    AC405*86400 &lt; 300, "3. 1m - &lt;5m",
    AC405*86400 &lt; 1800, "4. 5m - &lt;30m",
    TRUE, "5. &gt;= 30m"
),"6. Invalid (Order rejected)")</f>
        <v>5. &gt;= 30m</v>
      </c>
    </row>
    <row r="406" spans="1:30" hidden="1" x14ac:dyDescent="0.3">
      <c r="A406" t="s">
        <v>2614</v>
      </c>
      <c r="B406" t="s">
        <v>25</v>
      </c>
      <c r="C406">
        <v>43485077</v>
      </c>
      <c r="D406">
        <v>0</v>
      </c>
      <c r="E406" t="s">
        <v>25</v>
      </c>
      <c r="F406" t="s">
        <v>26</v>
      </c>
      <c r="G406" t="s">
        <v>27</v>
      </c>
      <c r="H406" t="s">
        <v>2615</v>
      </c>
      <c r="I406" t="s">
        <v>2616</v>
      </c>
      <c r="J406" t="s">
        <v>26</v>
      </c>
      <c r="K406" t="s">
        <v>26</v>
      </c>
      <c r="L406" t="s">
        <v>2617</v>
      </c>
      <c r="M406" t="s">
        <v>25</v>
      </c>
      <c r="N406" t="s">
        <v>2618</v>
      </c>
      <c r="O406" t="s">
        <v>2619</v>
      </c>
      <c r="P406" t="s">
        <v>2620</v>
      </c>
      <c r="Q406" t="s">
        <v>2621</v>
      </c>
      <c r="R406">
        <v>9289296</v>
      </c>
      <c r="S406">
        <v>0</v>
      </c>
      <c r="T406">
        <v>9289296</v>
      </c>
      <c r="U406" t="s">
        <v>35</v>
      </c>
      <c r="V406" t="s">
        <v>2622</v>
      </c>
      <c r="W406" t="s">
        <v>2623</v>
      </c>
      <c r="X406" s="4">
        <v>1</v>
      </c>
      <c r="Y406" s="4"/>
      <c r="Z406">
        <f t="shared" si="24"/>
        <v>8</v>
      </c>
      <c r="AA406">
        <f t="shared" si="25"/>
        <v>10</v>
      </c>
      <c r="AB406" s="5">
        <f t="shared" si="26"/>
        <v>0.32777777777664596</v>
      </c>
      <c r="AC406" s="3">
        <f t="shared" si="27"/>
        <v>0.11118055555562023</v>
      </c>
      <c r="AD406" t="str" cm="1">
        <f t="array" ref="AD406">IFERROR(_xlfn.IFS(
    AC406="", "",
    AC406*86400 &lt; 30, "1. 0s - &lt;30s",
    AC406*86400 &lt; 60, "2. 30s - &lt;1m",
    AC406*86400 &lt; 300, "3. 1m - &lt;5m",
    AC406*86400 &lt; 1800, "4. 5m - &lt;30m",
    TRUE, "5. &gt;= 30m"
),"6. Invalid (Order rejected)")</f>
        <v>5. &gt;= 30m</v>
      </c>
    </row>
    <row r="407" spans="1:30" hidden="1" x14ac:dyDescent="0.3">
      <c r="A407" t="s">
        <v>2624</v>
      </c>
      <c r="B407" t="s">
        <v>25</v>
      </c>
      <c r="C407">
        <v>43485077</v>
      </c>
      <c r="D407">
        <v>0</v>
      </c>
      <c r="E407" t="s">
        <v>25</v>
      </c>
      <c r="F407" t="s">
        <v>26</v>
      </c>
      <c r="G407" t="s">
        <v>27</v>
      </c>
      <c r="H407" t="s">
        <v>2625</v>
      </c>
      <c r="I407" t="s">
        <v>2626</v>
      </c>
      <c r="J407" t="s">
        <v>26</v>
      </c>
      <c r="K407" t="s">
        <v>26</v>
      </c>
      <c r="L407" t="s">
        <v>2627</v>
      </c>
      <c r="M407" t="s">
        <v>25</v>
      </c>
      <c r="N407" t="s">
        <v>2492</v>
      </c>
      <c r="O407" t="s">
        <v>2493</v>
      </c>
      <c r="P407" t="s">
        <v>2628</v>
      </c>
      <c r="Q407" t="s">
        <v>2629</v>
      </c>
      <c r="R407">
        <v>174420</v>
      </c>
      <c r="S407">
        <v>0</v>
      </c>
      <c r="T407">
        <v>174420</v>
      </c>
      <c r="U407" t="s">
        <v>35</v>
      </c>
      <c r="V407" t="s">
        <v>2494</v>
      </c>
      <c r="W407" t="s">
        <v>2630</v>
      </c>
      <c r="X407" s="4">
        <v>1</v>
      </c>
      <c r="Y407" s="4"/>
      <c r="Z407">
        <f t="shared" si="24"/>
        <v>8</v>
      </c>
      <c r="AA407">
        <f t="shared" si="25"/>
        <v>10</v>
      </c>
      <c r="AB407" s="5">
        <f t="shared" si="26"/>
        <v>0.33341435185138835</v>
      </c>
      <c r="AC407" s="3">
        <f t="shared" si="27"/>
        <v>9.0277777781011537E-2</v>
      </c>
      <c r="AD407" t="str" cm="1">
        <f t="array" ref="AD407">IFERROR(_xlfn.IFS(
    AC407="", "",
    AC407*86400 &lt; 30, "1. 0s - &lt;30s",
    AC407*86400 &lt; 60, "2. 30s - &lt;1m",
    AC407*86400 &lt; 300, "3. 1m - &lt;5m",
    AC407*86400 &lt; 1800, "4. 5m - &lt;30m",
    TRUE, "5. &gt;= 30m"
),"6. Invalid (Order rejected)")</f>
        <v>5. &gt;= 30m</v>
      </c>
    </row>
    <row r="408" spans="1:30" hidden="1" x14ac:dyDescent="0.3">
      <c r="A408" t="s">
        <v>2631</v>
      </c>
      <c r="B408" t="s">
        <v>25</v>
      </c>
      <c r="C408">
        <v>43485077</v>
      </c>
      <c r="D408">
        <v>0</v>
      </c>
      <c r="E408" t="s">
        <v>25</v>
      </c>
      <c r="F408" t="s">
        <v>26</v>
      </c>
      <c r="G408" t="s">
        <v>27</v>
      </c>
      <c r="H408" t="s">
        <v>2632</v>
      </c>
      <c r="I408" t="s">
        <v>2633</v>
      </c>
      <c r="J408" t="s">
        <v>26</v>
      </c>
      <c r="K408" t="s">
        <v>26</v>
      </c>
      <c r="L408" t="s">
        <v>2634</v>
      </c>
      <c r="M408" t="s">
        <v>25</v>
      </c>
      <c r="N408" t="s">
        <v>2492</v>
      </c>
      <c r="O408" t="s">
        <v>2493</v>
      </c>
      <c r="P408" t="s">
        <v>2603</v>
      </c>
      <c r="Q408" t="s">
        <v>2604</v>
      </c>
      <c r="R408">
        <v>160812</v>
      </c>
      <c r="S408">
        <v>0</v>
      </c>
      <c r="T408">
        <v>160812</v>
      </c>
      <c r="U408" t="s">
        <v>35</v>
      </c>
      <c r="V408" t="s">
        <v>2494</v>
      </c>
      <c r="W408" t="s">
        <v>2606</v>
      </c>
      <c r="X408" s="4">
        <v>1</v>
      </c>
      <c r="Y408" s="4"/>
      <c r="Z408">
        <f t="shared" si="24"/>
        <v>8</v>
      </c>
      <c r="AA408">
        <f t="shared" si="25"/>
        <v>10</v>
      </c>
      <c r="AB408" s="5">
        <f t="shared" si="26"/>
        <v>0.33361111111298669</v>
      </c>
      <c r="AC408" s="3">
        <f t="shared" si="27"/>
        <v>9.0289351850515231E-2</v>
      </c>
      <c r="AD408" t="str" cm="1">
        <f t="array" ref="AD408">IFERROR(_xlfn.IFS(
    AC408="", "",
    AC408*86400 &lt; 30, "1. 0s - &lt;30s",
    AC408*86400 &lt; 60, "2. 30s - &lt;1m",
    AC408*86400 &lt; 300, "3. 1m - &lt;5m",
    AC408*86400 &lt; 1800, "4. 5m - &lt;30m",
    TRUE, "5. &gt;= 30m"
),"6. Invalid (Order rejected)")</f>
        <v>5. &gt;= 30m</v>
      </c>
    </row>
    <row r="409" spans="1:30" hidden="1" x14ac:dyDescent="0.3">
      <c r="A409" t="s">
        <v>2635</v>
      </c>
      <c r="B409" t="s">
        <v>25</v>
      </c>
      <c r="C409">
        <v>43485077</v>
      </c>
      <c r="D409">
        <v>0</v>
      </c>
      <c r="E409" t="s">
        <v>25</v>
      </c>
      <c r="F409" t="s">
        <v>26</v>
      </c>
      <c r="G409" t="s">
        <v>27</v>
      </c>
      <c r="H409" t="s">
        <v>2636</v>
      </c>
      <c r="I409" t="s">
        <v>2637</v>
      </c>
      <c r="J409" t="s">
        <v>26</v>
      </c>
      <c r="K409" t="s">
        <v>26</v>
      </c>
      <c r="L409" t="s">
        <v>2638</v>
      </c>
      <c r="M409" t="s">
        <v>25</v>
      </c>
      <c r="N409" t="s">
        <v>2492</v>
      </c>
      <c r="O409" t="s">
        <v>2493</v>
      </c>
      <c r="P409" t="s">
        <v>2639</v>
      </c>
      <c r="Q409" t="s">
        <v>2640</v>
      </c>
      <c r="R409">
        <v>165240</v>
      </c>
      <c r="S409">
        <v>0</v>
      </c>
      <c r="T409">
        <v>165240</v>
      </c>
      <c r="U409" t="s">
        <v>35</v>
      </c>
      <c r="V409" t="s">
        <v>2494</v>
      </c>
      <c r="W409" t="s">
        <v>2641</v>
      </c>
      <c r="X409" s="4">
        <v>1</v>
      </c>
      <c r="Y409" s="4"/>
      <c r="Z409">
        <f t="shared" si="24"/>
        <v>8</v>
      </c>
      <c r="AA409">
        <f t="shared" si="25"/>
        <v>10</v>
      </c>
      <c r="AB409" s="5">
        <f t="shared" si="26"/>
        <v>0.33413194444437977</v>
      </c>
      <c r="AC409" s="3">
        <f t="shared" si="27"/>
        <v>9.0277777781011537E-2</v>
      </c>
      <c r="AD409" t="str" cm="1">
        <f t="array" ref="AD409">IFERROR(_xlfn.IFS(
    AC409="", "",
    AC409*86400 &lt; 30, "1. 0s - &lt;30s",
    AC409*86400 &lt; 60, "2. 30s - &lt;1m",
    AC409*86400 &lt; 300, "3. 1m - &lt;5m",
    AC409*86400 &lt; 1800, "4. 5m - &lt;30m",
    TRUE, "5. &gt;= 30m"
),"6. Invalid (Order rejected)")</f>
        <v>5. &gt;= 30m</v>
      </c>
    </row>
    <row r="410" spans="1:30" hidden="1" x14ac:dyDescent="0.3">
      <c r="A410" t="s">
        <v>2642</v>
      </c>
      <c r="B410" t="s">
        <v>25</v>
      </c>
      <c r="C410">
        <v>43485077</v>
      </c>
      <c r="D410">
        <v>0</v>
      </c>
      <c r="E410" t="s">
        <v>25</v>
      </c>
      <c r="F410" t="s">
        <v>26</v>
      </c>
      <c r="G410" t="s">
        <v>27</v>
      </c>
      <c r="H410" t="s">
        <v>2643</v>
      </c>
      <c r="I410" t="s">
        <v>2644</v>
      </c>
      <c r="J410" t="s">
        <v>26</v>
      </c>
      <c r="K410" t="s">
        <v>26</v>
      </c>
      <c r="L410" t="s">
        <v>2645</v>
      </c>
      <c r="M410" t="s">
        <v>25</v>
      </c>
      <c r="N410" t="s">
        <v>2601</v>
      </c>
      <c r="O410" t="s">
        <v>2602</v>
      </c>
      <c r="P410" t="s">
        <v>2646</v>
      </c>
      <c r="Q410" t="s">
        <v>2647</v>
      </c>
      <c r="R410">
        <v>132516</v>
      </c>
      <c r="S410">
        <v>0</v>
      </c>
      <c r="T410">
        <v>132516</v>
      </c>
      <c r="U410" t="s">
        <v>35</v>
      </c>
      <c r="V410" t="s">
        <v>2605</v>
      </c>
      <c r="W410" t="s">
        <v>2648</v>
      </c>
      <c r="X410" s="4">
        <v>1</v>
      </c>
      <c r="Y410" s="4"/>
      <c r="Z410">
        <f t="shared" si="24"/>
        <v>8</v>
      </c>
      <c r="AA410">
        <f t="shared" si="25"/>
        <v>10</v>
      </c>
      <c r="AB410" s="5">
        <f t="shared" si="26"/>
        <v>0.32581018518249039</v>
      </c>
      <c r="AC410" s="3">
        <f t="shared" si="27"/>
        <v>9.0266203704231884E-2</v>
      </c>
      <c r="AD410" t="str" cm="1">
        <f t="array" ref="AD410">IFERROR(_xlfn.IFS(
    AC410="", "",
    AC410*86400 &lt; 30, "1. 0s - &lt;30s",
    AC410*86400 &lt; 60, "2. 30s - &lt;1m",
    AC410*86400 &lt; 300, "3. 1m - &lt;5m",
    AC410*86400 &lt; 1800, "4. 5m - &lt;30m",
    TRUE, "5. &gt;= 30m"
),"6. Invalid (Order rejected)")</f>
        <v>5. &gt;= 30m</v>
      </c>
    </row>
    <row r="411" spans="1:30" hidden="1" x14ac:dyDescent="0.3">
      <c r="A411" t="s">
        <v>2649</v>
      </c>
      <c r="B411" t="s">
        <v>25</v>
      </c>
      <c r="C411">
        <v>43485077</v>
      </c>
      <c r="D411">
        <v>0</v>
      </c>
      <c r="E411" t="s">
        <v>25</v>
      </c>
      <c r="F411" t="s">
        <v>26</v>
      </c>
      <c r="G411" t="s">
        <v>27</v>
      </c>
      <c r="H411" t="s">
        <v>2519</v>
      </c>
      <c r="I411" t="s">
        <v>2650</v>
      </c>
      <c r="J411" t="s">
        <v>26</v>
      </c>
      <c r="K411" t="s">
        <v>26</v>
      </c>
      <c r="L411" t="s">
        <v>2651</v>
      </c>
      <c r="M411" t="s">
        <v>25</v>
      </c>
      <c r="N411" t="s">
        <v>2652</v>
      </c>
      <c r="O411" t="s">
        <v>2653</v>
      </c>
      <c r="P411" t="s">
        <v>2654</v>
      </c>
      <c r="Q411" t="s">
        <v>2655</v>
      </c>
      <c r="R411">
        <v>786672</v>
      </c>
      <c r="S411">
        <v>0</v>
      </c>
      <c r="T411">
        <v>786672</v>
      </c>
      <c r="U411" t="s">
        <v>35</v>
      </c>
      <c r="V411" t="s">
        <v>2656</v>
      </c>
      <c r="W411" t="s">
        <v>2657</v>
      </c>
      <c r="X411" s="4">
        <v>1</v>
      </c>
      <c r="Y411" s="4"/>
      <c r="Z411">
        <f t="shared" si="24"/>
        <v>8</v>
      </c>
      <c r="AA411">
        <f t="shared" si="25"/>
        <v>10</v>
      </c>
      <c r="AB411" s="5">
        <f t="shared" si="26"/>
        <v>0.32806712963065365</v>
      </c>
      <c r="AC411" s="3">
        <f t="shared" si="27"/>
        <v>9.0277777773735579E-2</v>
      </c>
      <c r="AD411" t="str" cm="1">
        <f t="array" ref="AD411">IFERROR(_xlfn.IFS(
    AC411="", "",
    AC411*86400 &lt; 30, "1. 0s - &lt;30s",
    AC411*86400 &lt; 60, "2. 30s - &lt;1m",
    AC411*86400 &lt; 300, "3. 1m - &lt;5m",
    AC411*86400 &lt; 1800, "4. 5m - &lt;30m",
    TRUE, "5. &gt;= 30m"
),"6. Invalid (Order rejected)")</f>
        <v>5. &gt;= 30m</v>
      </c>
    </row>
    <row r="412" spans="1:30" hidden="1" x14ac:dyDescent="0.3">
      <c r="A412" t="s">
        <v>2658</v>
      </c>
      <c r="B412" t="s">
        <v>25</v>
      </c>
      <c r="C412">
        <v>43376946</v>
      </c>
      <c r="D412">
        <v>0</v>
      </c>
      <c r="E412" t="s">
        <v>25</v>
      </c>
      <c r="F412" t="s">
        <v>26</v>
      </c>
      <c r="G412" t="s">
        <v>27</v>
      </c>
      <c r="H412" t="s">
        <v>2659</v>
      </c>
      <c r="I412" t="s">
        <v>2660</v>
      </c>
      <c r="J412" t="s">
        <v>26</v>
      </c>
      <c r="K412" t="s">
        <v>26</v>
      </c>
      <c r="L412" t="s">
        <v>2661</v>
      </c>
      <c r="M412" t="s">
        <v>25</v>
      </c>
      <c r="N412" t="s">
        <v>2662</v>
      </c>
      <c r="O412" t="s">
        <v>2663</v>
      </c>
      <c r="P412" t="s">
        <v>2664</v>
      </c>
      <c r="Q412" t="s">
        <v>2665</v>
      </c>
      <c r="R412">
        <v>289764</v>
      </c>
      <c r="S412">
        <v>0</v>
      </c>
      <c r="T412">
        <v>289764</v>
      </c>
      <c r="U412" t="s">
        <v>35</v>
      </c>
      <c r="V412" t="s">
        <v>2666</v>
      </c>
      <c r="W412" t="s">
        <v>2667</v>
      </c>
      <c r="X412" s="4">
        <v>1</v>
      </c>
      <c r="Y412" s="4"/>
      <c r="Z412">
        <f t="shared" si="24"/>
        <v>8</v>
      </c>
      <c r="AA412">
        <f t="shared" si="25"/>
        <v>10</v>
      </c>
      <c r="AB412" s="5">
        <f t="shared" si="26"/>
        <v>0.33480324073752854</v>
      </c>
      <c r="AC412" s="3">
        <f t="shared" si="27"/>
        <v>0.11429398148175096</v>
      </c>
      <c r="AD412" t="str" cm="1">
        <f t="array" ref="AD412">IFERROR(_xlfn.IFS(
    AC412="", "",
    AC412*86400 &lt; 30, "1. 0s - &lt;30s",
    AC412*86400 &lt; 60, "2. 30s - &lt;1m",
    AC412*86400 &lt; 300, "3. 1m - &lt;5m",
    AC412*86400 &lt; 1800, "4. 5m - &lt;30m",
    TRUE, "5. &gt;= 30m"
),"6. Invalid (Order rejected)")</f>
        <v>5. &gt;= 30m</v>
      </c>
    </row>
    <row r="413" spans="1:30" hidden="1" x14ac:dyDescent="0.3">
      <c r="A413" t="s">
        <v>2668</v>
      </c>
      <c r="B413" t="s">
        <v>25</v>
      </c>
      <c r="C413">
        <v>43485077</v>
      </c>
      <c r="D413">
        <v>0</v>
      </c>
      <c r="E413" t="s">
        <v>25</v>
      </c>
      <c r="F413" t="s">
        <v>26</v>
      </c>
      <c r="G413" t="s">
        <v>27</v>
      </c>
      <c r="H413" t="s">
        <v>2669</v>
      </c>
      <c r="I413" t="s">
        <v>2670</v>
      </c>
      <c r="J413" t="s">
        <v>26</v>
      </c>
      <c r="K413" t="s">
        <v>26</v>
      </c>
      <c r="L413" t="s">
        <v>2671</v>
      </c>
      <c r="M413" t="s">
        <v>25</v>
      </c>
      <c r="N413" t="s">
        <v>2492</v>
      </c>
      <c r="O413" t="s">
        <v>2493</v>
      </c>
      <c r="P413" t="s">
        <v>2646</v>
      </c>
      <c r="Q413" t="s">
        <v>2647</v>
      </c>
      <c r="R413">
        <v>162108</v>
      </c>
      <c r="S413">
        <v>0</v>
      </c>
      <c r="T413">
        <v>162108</v>
      </c>
      <c r="U413" t="s">
        <v>35</v>
      </c>
      <c r="V413" t="s">
        <v>2494</v>
      </c>
      <c r="W413" t="s">
        <v>2648</v>
      </c>
      <c r="X413" s="4">
        <v>1</v>
      </c>
      <c r="Y413" s="4"/>
      <c r="Z413">
        <f t="shared" si="24"/>
        <v>8</v>
      </c>
      <c r="AA413">
        <f t="shared" si="25"/>
        <v>10</v>
      </c>
      <c r="AB413" s="5">
        <f t="shared" si="26"/>
        <v>0.33319444444350665</v>
      </c>
      <c r="AC413" s="3">
        <f t="shared" si="27"/>
        <v>9.0277777781011537E-2</v>
      </c>
      <c r="AD413" t="str" cm="1">
        <f t="array" ref="AD413">IFERROR(_xlfn.IFS(
    AC413="", "",
    AC413*86400 &lt; 30, "1. 0s - &lt;30s",
    AC413*86400 &lt; 60, "2. 30s - &lt;1m",
    AC413*86400 &lt; 300, "3. 1m - &lt;5m",
    AC413*86400 &lt; 1800, "4. 5m - &lt;30m",
    TRUE, "5. &gt;= 30m"
),"6. Invalid (Order rejected)")</f>
        <v>5. &gt;= 30m</v>
      </c>
    </row>
    <row r="414" spans="1:30" hidden="1" x14ac:dyDescent="0.3">
      <c r="A414" t="s">
        <v>2672</v>
      </c>
      <c r="B414" t="s">
        <v>25</v>
      </c>
      <c r="C414">
        <v>43485077</v>
      </c>
      <c r="D414">
        <v>0</v>
      </c>
      <c r="E414" t="s">
        <v>25</v>
      </c>
      <c r="F414" t="s">
        <v>26</v>
      </c>
      <c r="G414" t="s">
        <v>27</v>
      </c>
      <c r="H414" t="s">
        <v>2673</v>
      </c>
      <c r="I414" t="s">
        <v>2674</v>
      </c>
      <c r="J414" t="s">
        <v>26</v>
      </c>
      <c r="K414" t="s">
        <v>26</v>
      </c>
      <c r="L414" t="s">
        <v>2675</v>
      </c>
      <c r="M414" t="s">
        <v>25</v>
      </c>
      <c r="N414" t="s">
        <v>2492</v>
      </c>
      <c r="O414" t="s">
        <v>2493</v>
      </c>
      <c r="P414" t="s">
        <v>2611</v>
      </c>
      <c r="Q414" t="s">
        <v>2612</v>
      </c>
      <c r="R414">
        <v>156816</v>
      </c>
      <c r="S414">
        <v>0</v>
      </c>
      <c r="T414">
        <v>156816</v>
      </c>
      <c r="U414" t="s">
        <v>35</v>
      </c>
      <c r="V414" t="s">
        <v>2494</v>
      </c>
      <c r="W414" t="s">
        <v>2613</v>
      </c>
      <c r="X414" s="4">
        <v>1</v>
      </c>
      <c r="Y414" s="4"/>
      <c r="Z414">
        <f t="shared" si="24"/>
        <v>8</v>
      </c>
      <c r="AA414">
        <f t="shared" si="25"/>
        <v>10</v>
      </c>
      <c r="AB414" s="5">
        <f t="shared" si="26"/>
        <v>0.33435185185226146</v>
      </c>
      <c r="AC414" s="3">
        <f t="shared" si="27"/>
        <v>9.0289351850515231E-2</v>
      </c>
      <c r="AD414" t="str" cm="1">
        <f t="array" ref="AD414">IFERROR(_xlfn.IFS(
    AC414="", "",
    AC414*86400 &lt; 30, "1. 0s - &lt;30s",
    AC414*86400 &lt; 60, "2. 30s - &lt;1m",
    AC414*86400 &lt; 300, "3. 1m - &lt;5m",
    AC414*86400 &lt; 1800, "4. 5m - &lt;30m",
    TRUE, "5. &gt;= 30m"
),"6. Invalid (Order rejected)")</f>
        <v>5. &gt;= 30m</v>
      </c>
    </row>
    <row r="415" spans="1:30" hidden="1" x14ac:dyDescent="0.3">
      <c r="A415" t="s">
        <v>2676</v>
      </c>
      <c r="B415" t="s">
        <v>25</v>
      </c>
      <c r="C415">
        <v>43485077</v>
      </c>
      <c r="D415">
        <v>0</v>
      </c>
      <c r="E415" t="s">
        <v>25</v>
      </c>
      <c r="F415" t="s">
        <v>26</v>
      </c>
      <c r="G415" t="s">
        <v>27</v>
      </c>
      <c r="H415" t="s">
        <v>2677</v>
      </c>
      <c r="I415" t="s">
        <v>2678</v>
      </c>
      <c r="J415" t="s">
        <v>26</v>
      </c>
      <c r="K415" t="s">
        <v>26</v>
      </c>
      <c r="L415" t="s">
        <v>2679</v>
      </c>
      <c r="M415" t="s">
        <v>25</v>
      </c>
      <c r="N415" t="s">
        <v>2492</v>
      </c>
      <c r="O415" t="s">
        <v>2493</v>
      </c>
      <c r="P415" t="s">
        <v>2680</v>
      </c>
      <c r="Q415" t="s">
        <v>2681</v>
      </c>
      <c r="R415">
        <v>245052</v>
      </c>
      <c r="S415">
        <v>0</v>
      </c>
      <c r="T415">
        <v>245052</v>
      </c>
      <c r="U415" t="s">
        <v>35</v>
      </c>
      <c r="V415" t="s">
        <v>2494</v>
      </c>
      <c r="W415" t="s">
        <v>2682</v>
      </c>
      <c r="X415" s="4">
        <v>1</v>
      </c>
      <c r="Y415" s="4"/>
      <c r="Z415">
        <f t="shared" si="24"/>
        <v>8</v>
      </c>
      <c r="AA415">
        <f t="shared" si="25"/>
        <v>10</v>
      </c>
      <c r="AB415" s="5">
        <f t="shared" si="26"/>
        <v>0.33457175926014315</v>
      </c>
      <c r="AC415" s="3">
        <f t="shared" si="27"/>
        <v>9.0277777773735579E-2</v>
      </c>
      <c r="AD415" t="str" cm="1">
        <f t="array" ref="AD415">IFERROR(_xlfn.IFS(
    AC415="", "",
    AC415*86400 &lt; 30, "1. 0s - &lt;30s",
    AC415*86400 &lt; 60, "2. 30s - &lt;1m",
    AC415*86400 &lt; 300, "3. 1m - &lt;5m",
    AC415*86400 &lt; 1800, "4. 5m - &lt;30m",
    TRUE, "5. &gt;= 30m"
),"6. Invalid (Order rejected)")</f>
        <v>5. &gt;= 30m</v>
      </c>
    </row>
    <row r="416" spans="1:30" hidden="1" x14ac:dyDescent="0.3">
      <c r="A416" t="s">
        <v>2683</v>
      </c>
      <c r="B416" t="s">
        <v>25</v>
      </c>
      <c r="C416">
        <v>43485077</v>
      </c>
      <c r="D416">
        <v>0</v>
      </c>
      <c r="E416" t="s">
        <v>25</v>
      </c>
      <c r="F416" t="s">
        <v>26</v>
      </c>
      <c r="G416" t="s">
        <v>27</v>
      </c>
      <c r="H416" t="s">
        <v>2684</v>
      </c>
      <c r="I416" t="s">
        <v>2685</v>
      </c>
      <c r="J416" t="s">
        <v>26</v>
      </c>
      <c r="K416" t="s">
        <v>26</v>
      </c>
      <c r="L416" t="s">
        <v>2686</v>
      </c>
      <c r="M416" t="s">
        <v>25</v>
      </c>
      <c r="N416" t="s">
        <v>2492</v>
      </c>
      <c r="O416" t="s">
        <v>2493</v>
      </c>
      <c r="P416" t="s">
        <v>2687</v>
      </c>
      <c r="Q416" t="s">
        <v>2688</v>
      </c>
      <c r="R416">
        <v>208548</v>
      </c>
      <c r="S416">
        <v>0</v>
      </c>
      <c r="T416">
        <v>208548</v>
      </c>
      <c r="U416" t="s">
        <v>35</v>
      </c>
      <c r="V416" t="s">
        <v>2494</v>
      </c>
      <c r="W416" t="s">
        <v>2689</v>
      </c>
      <c r="X416" s="4">
        <v>1</v>
      </c>
      <c r="Y416" s="4"/>
      <c r="Z416">
        <f t="shared" si="24"/>
        <v>8</v>
      </c>
      <c r="AA416">
        <f t="shared" si="25"/>
        <v>10</v>
      </c>
      <c r="AB416" s="5">
        <f t="shared" si="26"/>
        <v>0.33526620370685123</v>
      </c>
      <c r="AC416" s="3">
        <f t="shared" si="27"/>
        <v>9.0277777773735579E-2</v>
      </c>
      <c r="AD416" t="str" cm="1">
        <f t="array" ref="AD416">IFERROR(_xlfn.IFS(
    AC416="", "",
    AC416*86400 &lt; 30, "1. 0s - &lt;30s",
    AC416*86400 &lt; 60, "2. 30s - &lt;1m",
    AC416*86400 &lt; 300, "3. 1m - &lt;5m",
    AC416*86400 &lt; 1800, "4. 5m - &lt;30m",
    TRUE, "5. &gt;= 30m"
),"6. Invalid (Order rejected)")</f>
        <v>5. &gt;= 30m</v>
      </c>
    </row>
    <row r="417" spans="1:30" hidden="1" x14ac:dyDescent="0.3">
      <c r="A417" t="s">
        <v>2690</v>
      </c>
      <c r="B417" t="s">
        <v>25</v>
      </c>
      <c r="C417">
        <v>43485077</v>
      </c>
      <c r="D417">
        <v>0</v>
      </c>
      <c r="E417" t="s">
        <v>25</v>
      </c>
      <c r="F417" t="s">
        <v>26</v>
      </c>
      <c r="G417" t="s">
        <v>27</v>
      </c>
      <c r="H417" t="s">
        <v>2691</v>
      </c>
      <c r="I417" t="s">
        <v>2692</v>
      </c>
      <c r="J417" t="s">
        <v>26</v>
      </c>
      <c r="K417" t="s">
        <v>26</v>
      </c>
      <c r="L417" t="s">
        <v>2693</v>
      </c>
      <c r="M417" t="s">
        <v>25</v>
      </c>
      <c r="N417" t="s">
        <v>2694</v>
      </c>
      <c r="O417" t="s">
        <v>2695</v>
      </c>
      <c r="P417" t="s">
        <v>2559</v>
      </c>
      <c r="Q417" t="s">
        <v>2560</v>
      </c>
      <c r="R417">
        <v>199368</v>
      </c>
      <c r="S417">
        <v>0</v>
      </c>
      <c r="T417">
        <v>199368</v>
      </c>
      <c r="U417" t="s">
        <v>35</v>
      </c>
      <c r="V417" t="s">
        <v>2656</v>
      </c>
      <c r="W417" t="s">
        <v>2561</v>
      </c>
      <c r="X417" s="4">
        <v>1</v>
      </c>
      <c r="Y417" s="4"/>
      <c r="Z417">
        <f t="shared" si="24"/>
        <v>8</v>
      </c>
      <c r="AA417">
        <f t="shared" si="25"/>
        <v>10</v>
      </c>
      <c r="AB417" s="5">
        <f t="shared" si="26"/>
        <v>0.33574074073840166</v>
      </c>
      <c r="AC417" s="3">
        <f t="shared" si="27"/>
        <v>9.0277777781011537E-2</v>
      </c>
      <c r="AD417" t="str" cm="1">
        <f t="array" ref="AD417">IFERROR(_xlfn.IFS(
    AC417="", "",
    AC417*86400 &lt; 30, "1. 0s - &lt;30s",
    AC417*86400 &lt; 60, "2. 30s - &lt;1m",
    AC417*86400 &lt; 300, "3. 1m - &lt;5m",
    AC417*86400 &lt; 1800, "4. 5m - &lt;30m",
    TRUE, "5. &gt;= 30m"
),"6. Invalid (Order rejected)")</f>
        <v>5. &gt;= 30m</v>
      </c>
    </row>
    <row r="418" spans="1:30" hidden="1" x14ac:dyDescent="0.3">
      <c r="A418" t="s">
        <v>2696</v>
      </c>
      <c r="B418" t="s">
        <v>25</v>
      </c>
      <c r="C418">
        <v>43485077</v>
      </c>
      <c r="D418">
        <v>0</v>
      </c>
      <c r="E418" t="s">
        <v>25</v>
      </c>
      <c r="F418" t="s">
        <v>26</v>
      </c>
      <c r="G418" t="s">
        <v>27</v>
      </c>
      <c r="H418" t="s">
        <v>2697</v>
      </c>
      <c r="I418" t="s">
        <v>2698</v>
      </c>
      <c r="J418" t="s">
        <v>26</v>
      </c>
      <c r="K418" t="s">
        <v>26</v>
      </c>
      <c r="L418" t="s">
        <v>2699</v>
      </c>
      <c r="M418" t="s">
        <v>25</v>
      </c>
      <c r="N418" t="s">
        <v>2694</v>
      </c>
      <c r="O418" t="s">
        <v>2695</v>
      </c>
      <c r="P418" t="s">
        <v>2680</v>
      </c>
      <c r="Q418" t="s">
        <v>2681</v>
      </c>
      <c r="R418">
        <v>265788</v>
      </c>
      <c r="S418">
        <v>0</v>
      </c>
      <c r="T418">
        <v>265788</v>
      </c>
      <c r="U418" t="s">
        <v>35</v>
      </c>
      <c r="V418" t="s">
        <v>2656</v>
      </c>
      <c r="W418" t="s">
        <v>2682</v>
      </c>
      <c r="X418" s="4">
        <v>1</v>
      </c>
      <c r="Y418" s="4"/>
      <c r="Z418">
        <f t="shared" si="24"/>
        <v>8</v>
      </c>
      <c r="AA418">
        <f t="shared" si="25"/>
        <v>10</v>
      </c>
      <c r="AB418" s="5">
        <f t="shared" si="26"/>
        <v>0.33802083333284827</v>
      </c>
      <c r="AC418" s="3">
        <f t="shared" si="27"/>
        <v>9.0277777781011537E-2</v>
      </c>
      <c r="AD418" t="str" cm="1">
        <f t="array" ref="AD418">IFERROR(_xlfn.IFS(
    AC418="", "",
    AC418*86400 &lt; 30, "1. 0s - &lt;30s",
    AC418*86400 &lt; 60, "2. 30s - &lt;1m",
    AC418*86400 &lt; 300, "3. 1m - &lt;5m",
    AC418*86400 &lt; 1800, "4. 5m - &lt;30m",
    TRUE, "5. &gt;= 30m"
),"6. Invalid (Order rejected)")</f>
        <v>5. &gt;= 30m</v>
      </c>
    </row>
    <row r="419" spans="1:30" hidden="1" x14ac:dyDescent="0.3">
      <c r="A419" t="s">
        <v>2700</v>
      </c>
      <c r="B419" t="s">
        <v>25</v>
      </c>
      <c r="C419">
        <v>43485077</v>
      </c>
      <c r="D419">
        <v>0</v>
      </c>
      <c r="E419" t="s">
        <v>25</v>
      </c>
      <c r="F419" t="s">
        <v>26</v>
      </c>
      <c r="G419" t="s">
        <v>27</v>
      </c>
      <c r="H419" t="s">
        <v>2701</v>
      </c>
      <c r="I419" t="s">
        <v>2702</v>
      </c>
      <c r="J419" t="s">
        <v>26</v>
      </c>
      <c r="K419" t="s">
        <v>26</v>
      </c>
      <c r="L419" t="s">
        <v>2703</v>
      </c>
      <c r="M419" t="s">
        <v>25</v>
      </c>
      <c r="N419" t="s">
        <v>2694</v>
      </c>
      <c r="O419" t="s">
        <v>2695</v>
      </c>
      <c r="P419" t="s">
        <v>2704</v>
      </c>
      <c r="Q419" t="s">
        <v>2705</v>
      </c>
      <c r="R419">
        <v>182520</v>
      </c>
      <c r="S419">
        <v>0</v>
      </c>
      <c r="T419">
        <v>182520</v>
      </c>
      <c r="U419" t="s">
        <v>35</v>
      </c>
      <c r="V419" t="s">
        <v>2656</v>
      </c>
      <c r="W419" t="s">
        <v>2706</v>
      </c>
      <c r="X419" s="4">
        <v>1</v>
      </c>
      <c r="Y419" s="4"/>
      <c r="Z419">
        <f t="shared" si="24"/>
        <v>8</v>
      </c>
      <c r="AA419">
        <f t="shared" si="25"/>
        <v>10</v>
      </c>
      <c r="AB419" s="5">
        <f t="shared" si="26"/>
        <v>0.33833333333313931</v>
      </c>
      <c r="AC419" s="3">
        <f t="shared" si="27"/>
        <v>9.0277777781011537E-2</v>
      </c>
      <c r="AD419" t="str" cm="1">
        <f t="array" ref="AD419">IFERROR(_xlfn.IFS(
    AC419="", "",
    AC419*86400 &lt; 30, "1. 0s - &lt;30s",
    AC419*86400 &lt; 60, "2. 30s - &lt;1m",
    AC419*86400 &lt; 300, "3. 1m - &lt;5m",
    AC419*86400 &lt; 1800, "4. 5m - &lt;30m",
    TRUE, "5. &gt;= 30m"
),"6. Invalid (Order rejected)")</f>
        <v>5. &gt;= 30m</v>
      </c>
    </row>
    <row r="420" spans="1:30" hidden="1" x14ac:dyDescent="0.3">
      <c r="A420" t="s">
        <v>2707</v>
      </c>
      <c r="B420" t="s">
        <v>25</v>
      </c>
      <c r="C420">
        <v>43485077</v>
      </c>
      <c r="D420">
        <v>0</v>
      </c>
      <c r="E420" t="s">
        <v>25</v>
      </c>
      <c r="F420" t="s">
        <v>26</v>
      </c>
      <c r="G420" t="s">
        <v>27</v>
      </c>
      <c r="H420" t="s">
        <v>2708</v>
      </c>
      <c r="I420" t="s">
        <v>2709</v>
      </c>
      <c r="J420" t="s">
        <v>26</v>
      </c>
      <c r="K420" t="s">
        <v>26</v>
      </c>
      <c r="L420" t="s">
        <v>2710</v>
      </c>
      <c r="M420" t="s">
        <v>25</v>
      </c>
      <c r="N420" t="s">
        <v>2694</v>
      </c>
      <c r="O420" t="s">
        <v>2695</v>
      </c>
      <c r="P420" t="s">
        <v>2711</v>
      </c>
      <c r="Q420" t="s">
        <v>2712</v>
      </c>
      <c r="R420">
        <v>221940</v>
      </c>
      <c r="S420">
        <v>0</v>
      </c>
      <c r="T420">
        <v>221940</v>
      </c>
      <c r="U420" t="s">
        <v>35</v>
      </c>
      <c r="V420" t="s">
        <v>2656</v>
      </c>
      <c r="W420" t="s">
        <v>2713</v>
      </c>
      <c r="X420" s="4">
        <v>1</v>
      </c>
      <c r="Y420" s="4"/>
      <c r="Z420">
        <f t="shared" si="24"/>
        <v>8</v>
      </c>
      <c r="AA420">
        <f t="shared" si="25"/>
        <v>10</v>
      </c>
      <c r="AB420" s="5">
        <f t="shared" si="26"/>
        <v>0.336041666669189</v>
      </c>
      <c r="AC420" s="3">
        <f t="shared" si="27"/>
        <v>9.0277777773735579E-2</v>
      </c>
      <c r="AD420" t="str" cm="1">
        <f t="array" ref="AD420">IFERROR(_xlfn.IFS(
    AC420="", "",
    AC420*86400 &lt; 30, "1. 0s - &lt;30s",
    AC420*86400 &lt; 60, "2. 30s - &lt;1m",
    AC420*86400 &lt; 300, "3. 1m - &lt;5m",
    AC420*86400 &lt; 1800, "4. 5m - &lt;30m",
    TRUE, "5. &gt;= 30m"
),"6. Invalid (Order rejected)")</f>
        <v>5. &gt;= 30m</v>
      </c>
    </row>
    <row r="421" spans="1:30" x14ac:dyDescent="0.3">
      <c r="A421" t="s">
        <v>2714</v>
      </c>
      <c r="B421" t="s">
        <v>25</v>
      </c>
      <c r="C421">
        <v>43485077</v>
      </c>
      <c r="D421">
        <v>3056385</v>
      </c>
      <c r="E421" t="s">
        <v>25</v>
      </c>
      <c r="F421" t="s">
        <v>75</v>
      </c>
      <c r="G421" t="s">
        <v>360</v>
      </c>
      <c r="H421" t="s">
        <v>2715</v>
      </c>
      <c r="I421" t="s">
        <v>2716</v>
      </c>
      <c r="J421" t="s">
        <v>2717</v>
      </c>
      <c r="K421" t="s">
        <v>26</v>
      </c>
      <c r="L421" t="s">
        <v>25</v>
      </c>
      <c r="M421" t="s">
        <v>25</v>
      </c>
      <c r="N421" t="s">
        <v>2694</v>
      </c>
      <c r="O421" t="s">
        <v>2695</v>
      </c>
      <c r="P421" t="s">
        <v>2718</v>
      </c>
      <c r="Q421" t="s">
        <v>2719</v>
      </c>
      <c r="R421">
        <v>174744</v>
      </c>
      <c r="S421">
        <v>135467</v>
      </c>
      <c r="T421">
        <v>39277</v>
      </c>
      <c r="U421" t="s">
        <v>35</v>
      </c>
      <c r="V421" t="s">
        <v>2656</v>
      </c>
      <c r="W421" t="s">
        <v>2720</v>
      </c>
      <c r="X421" s="4">
        <v>1</v>
      </c>
      <c r="Y421" s="4"/>
      <c r="Z421">
        <f t="shared" si="24"/>
        <v>8</v>
      </c>
      <c r="AA421">
        <f t="shared" si="25"/>
        <v>10</v>
      </c>
      <c r="AB421" s="5">
        <f t="shared" si="26"/>
        <v>0.33859953703358769</v>
      </c>
      <c r="AC421" s="3" t="str">
        <f t="shared" si="27"/>
        <v>Order rejected, no time available</v>
      </c>
      <c r="AD421" t="str" cm="1">
        <f t="array" ref="AD421">IFERROR(_xlfn.IFS(
    AC421="", "",
    AC421*86400 &lt; 30, "1. 0s - &lt;30s",
    AC421*86400 &lt; 60, "2. 30s - &lt;1m",
    AC421*86400 &lt; 300, "3. 1m - &lt;5m",
    AC421*86400 &lt; 1800, "4. 5m - &lt;30m",
    TRUE, "5. &gt;= 30m"
),"6. Invalid (Order rejected)")</f>
        <v>6. Invalid (Order rejected)</v>
      </c>
    </row>
    <row r="422" spans="1:30" x14ac:dyDescent="0.3">
      <c r="A422" t="s">
        <v>2721</v>
      </c>
      <c r="B422" t="s">
        <v>25</v>
      </c>
      <c r="C422">
        <v>43485077</v>
      </c>
      <c r="D422">
        <v>3589394</v>
      </c>
      <c r="E422" t="s">
        <v>25</v>
      </c>
      <c r="F422" t="s">
        <v>75</v>
      </c>
      <c r="G422" t="s">
        <v>360</v>
      </c>
      <c r="H422" t="s">
        <v>2722</v>
      </c>
      <c r="I422" t="s">
        <v>2723</v>
      </c>
      <c r="J422" t="s">
        <v>2724</v>
      </c>
      <c r="K422" t="s">
        <v>26</v>
      </c>
      <c r="L422" t="s">
        <v>25</v>
      </c>
      <c r="M422" t="s">
        <v>25</v>
      </c>
      <c r="N422" t="s">
        <v>2725</v>
      </c>
      <c r="O422" t="s">
        <v>2726</v>
      </c>
      <c r="P422" t="s">
        <v>2646</v>
      </c>
      <c r="Q422" t="s">
        <v>2647</v>
      </c>
      <c r="R422">
        <v>168156</v>
      </c>
      <c r="S422">
        <v>138028</v>
      </c>
      <c r="T422">
        <v>30128</v>
      </c>
      <c r="U422" t="s">
        <v>35</v>
      </c>
      <c r="V422" t="s">
        <v>2622</v>
      </c>
      <c r="W422" t="s">
        <v>2648</v>
      </c>
      <c r="X422" s="4">
        <v>1</v>
      </c>
      <c r="Y422" s="4"/>
      <c r="Z422">
        <f t="shared" si="24"/>
        <v>8</v>
      </c>
      <c r="AA422">
        <f t="shared" si="25"/>
        <v>10</v>
      </c>
      <c r="AB422" s="5">
        <f t="shared" si="26"/>
        <v>0.34039351851970423</v>
      </c>
      <c r="AC422" s="3" t="str">
        <f t="shared" si="27"/>
        <v>Order rejected, no time available</v>
      </c>
      <c r="AD422" t="str" cm="1">
        <f t="array" ref="AD422">IFERROR(_xlfn.IFS(
    AC422="", "",
    AC422*86400 &lt; 30, "1. 0s - &lt;30s",
    AC422*86400 &lt; 60, "2. 30s - &lt;1m",
    AC422*86400 &lt; 300, "3. 1m - &lt;5m",
    AC422*86400 &lt; 1800, "4. 5m - &lt;30m",
    TRUE, "5. &gt;= 30m"
),"6. Invalid (Order rejected)")</f>
        <v>6. Invalid (Order rejected)</v>
      </c>
    </row>
    <row r="423" spans="1:30" hidden="1" x14ac:dyDescent="0.3">
      <c r="A423" t="s">
        <v>2727</v>
      </c>
      <c r="B423" t="s">
        <v>25</v>
      </c>
      <c r="C423">
        <v>43485077</v>
      </c>
      <c r="D423">
        <v>0</v>
      </c>
      <c r="E423" t="s">
        <v>25</v>
      </c>
      <c r="F423" t="s">
        <v>26</v>
      </c>
      <c r="G423" t="s">
        <v>27</v>
      </c>
      <c r="H423" t="s">
        <v>2728</v>
      </c>
      <c r="I423" t="s">
        <v>2729</v>
      </c>
      <c r="J423" t="s">
        <v>26</v>
      </c>
      <c r="K423" t="s">
        <v>26</v>
      </c>
      <c r="L423" t="s">
        <v>2730</v>
      </c>
      <c r="M423" t="s">
        <v>25</v>
      </c>
      <c r="N423" t="s">
        <v>2694</v>
      </c>
      <c r="O423" t="s">
        <v>2695</v>
      </c>
      <c r="P423" t="s">
        <v>2646</v>
      </c>
      <c r="Q423" t="s">
        <v>2647</v>
      </c>
      <c r="R423">
        <v>187596</v>
      </c>
      <c r="S423">
        <v>0</v>
      </c>
      <c r="T423">
        <v>187596</v>
      </c>
      <c r="U423" t="s">
        <v>35</v>
      </c>
      <c r="V423" t="s">
        <v>2656</v>
      </c>
      <c r="W423" t="s">
        <v>2648</v>
      </c>
      <c r="X423" s="4">
        <v>1</v>
      </c>
      <c r="Y423" s="4"/>
      <c r="Z423">
        <f t="shared" si="24"/>
        <v>8</v>
      </c>
      <c r="AA423">
        <f t="shared" si="25"/>
        <v>10</v>
      </c>
      <c r="AB423" s="5">
        <f t="shared" si="26"/>
        <v>0.33677083333168412</v>
      </c>
      <c r="AC423" s="3">
        <f t="shared" si="27"/>
        <v>9.0277777781011537E-2</v>
      </c>
      <c r="AD423" t="str" cm="1">
        <f t="array" ref="AD423">IFERROR(_xlfn.IFS(
    AC423="", "",
    AC423*86400 &lt; 30, "1. 0s - &lt;30s",
    AC423*86400 &lt; 60, "2. 30s - &lt;1m",
    AC423*86400 &lt; 300, "3. 1m - &lt;5m",
    AC423*86400 &lt; 1800, "4. 5m - &lt;30m",
    TRUE, "5. &gt;= 30m"
),"6. Invalid (Order rejected)")</f>
        <v>5. &gt;= 30m</v>
      </c>
    </row>
    <row r="424" spans="1:30" x14ac:dyDescent="0.3">
      <c r="A424" t="s">
        <v>2731</v>
      </c>
      <c r="B424" t="s">
        <v>25</v>
      </c>
      <c r="C424">
        <v>43485077</v>
      </c>
      <c r="D424">
        <v>4300716</v>
      </c>
      <c r="E424" t="s">
        <v>25</v>
      </c>
      <c r="F424" t="s">
        <v>75</v>
      </c>
      <c r="G424" t="s">
        <v>360</v>
      </c>
      <c r="H424" t="s">
        <v>2732</v>
      </c>
      <c r="I424" t="s">
        <v>2733</v>
      </c>
      <c r="J424" t="s">
        <v>2734</v>
      </c>
      <c r="K424" t="s">
        <v>26</v>
      </c>
      <c r="L424" t="s">
        <v>25</v>
      </c>
      <c r="M424" t="s">
        <v>25</v>
      </c>
      <c r="N424" t="s">
        <v>2725</v>
      </c>
      <c r="O424" t="s">
        <v>2726</v>
      </c>
      <c r="P424" t="s">
        <v>2711</v>
      </c>
      <c r="Q424" t="s">
        <v>2712</v>
      </c>
      <c r="R424">
        <v>196020</v>
      </c>
      <c r="S424">
        <v>151961</v>
      </c>
      <c r="T424">
        <v>44059</v>
      </c>
      <c r="U424" t="s">
        <v>35</v>
      </c>
      <c r="V424" t="s">
        <v>2622</v>
      </c>
      <c r="W424" t="s">
        <v>2713</v>
      </c>
      <c r="X424" s="4">
        <v>1</v>
      </c>
      <c r="Y424" s="4"/>
      <c r="Z424">
        <f t="shared" si="24"/>
        <v>8</v>
      </c>
      <c r="AA424">
        <f t="shared" si="25"/>
        <v>10</v>
      </c>
      <c r="AB424" s="5">
        <f t="shared" si="26"/>
        <v>0.33994212962716119</v>
      </c>
      <c r="AC424" s="3" t="str">
        <f t="shared" si="27"/>
        <v>Order rejected, no time available</v>
      </c>
      <c r="AD424" t="str" cm="1">
        <f t="array" ref="AD424">IFERROR(_xlfn.IFS(
    AC424="", "",
    AC424*86400 &lt; 30, "1. 0s - &lt;30s",
    AC424*86400 &lt; 60, "2. 30s - &lt;1m",
    AC424*86400 &lt; 300, "3. 1m - &lt;5m",
    AC424*86400 &lt; 1800, "4. 5m - &lt;30m",
    TRUE, "5. &gt;= 30m"
),"6. Invalid (Order rejected)")</f>
        <v>6. Invalid (Order rejected)</v>
      </c>
    </row>
    <row r="425" spans="1:30" hidden="1" x14ac:dyDescent="0.3">
      <c r="A425" t="s">
        <v>2735</v>
      </c>
      <c r="B425" t="s">
        <v>25</v>
      </c>
      <c r="C425">
        <v>43485077</v>
      </c>
      <c r="D425">
        <v>0</v>
      </c>
      <c r="E425" t="s">
        <v>25</v>
      </c>
      <c r="F425" t="s">
        <v>26</v>
      </c>
      <c r="G425" t="s">
        <v>27</v>
      </c>
      <c r="H425" t="s">
        <v>2736</v>
      </c>
      <c r="I425" t="s">
        <v>2737</v>
      </c>
      <c r="J425" t="s">
        <v>26</v>
      </c>
      <c r="K425" t="s">
        <v>26</v>
      </c>
      <c r="L425" t="s">
        <v>2738</v>
      </c>
      <c r="M425" t="s">
        <v>25</v>
      </c>
      <c r="N425" t="s">
        <v>2725</v>
      </c>
      <c r="O425" t="s">
        <v>2726</v>
      </c>
      <c r="P425" t="s">
        <v>2603</v>
      </c>
      <c r="Q425" t="s">
        <v>2604</v>
      </c>
      <c r="R425">
        <v>160812</v>
      </c>
      <c r="S425">
        <v>0</v>
      </c>
      <c r="T425">
        <v>160812</v>
      </c>
      <c r="U425" t="s">
        <v>35</v>
      </c>
      <c r="V425" t="s">
        <v>2622</v>
      </c>
      <c r="W425" t="s">
        <v>2606</v>
      </c>
      <c r="X425" s="4">
        <v>1</v>
      </c>
      <c r="Y425" s="4"/>
      <c r="Z425">
        <f t="shared" si="24"/>
        <v>8</v>
      </c>
      <c r="AA425">
        <f t="shared" si="25"/>
        <v>10</v>
      </c>
      <c r="AB425" s="5">
        <f t="shared" si="26"/>
        <v>0.34092592592787696</v>
      </c>
      <c r="AC425" s="3">
        <f t="shared" si="27"/>
        <v>9.0289351850515231E-2</v>
      </c>
      <c r="AD425" t="str" cm="1">
        <f t="array" ref="AD425">IFERROR(_xlfn.IFS(
    AC425="", "",
    AC425*86400 &lt; 30, "1. 0s - &lt;30s",
    AC425*86400 &lt; 60, "2. 30s - &lt;1m",
    AC425*86400 &lt; 300, "3. 1m - &lt;5m",
    AC425*86400 &lt; 1800, "4. 5m - &lt;30m",
    TRUE, "5. &gt;= 30m"
),"6. Invalid (Order rejected)")</f>
        <v>5. &gt;= 30m</v>
      </c>
    </row>
    <row r="426" spans="1:30" hidden="1" x14ac:dyDescent="0.3">
      <c r="A426" t="s">
        <v>2739</v>
      </c>
      <c r="B426" t="s">
        <v>25</v>
      </c>
      <c r="C426">
        <v>43485077</v>
      </c>
      <c r="D426">
        <v>0</v>
      </c>
      <c r="E426" t="s">
        <v>25</v>
      </c>
      <c r="F426" t="s">
        <v>26</v>
      </c>
      <c r="G426" t="s">
        <v>27</v>
      </c>
      <c r="H426" t="s">
        <v>2740</v>
      </c>
      <c r="I426" t="s">
        <v>2741</v>
      </c>
      <c r="J426" t="s">
        <v>26</v>
      </c>
      <c r="K426" t="s">
        <v>26</v>
      </c>
      <c r="L426" t="s">
        <v>2742</v>
      </c>
      <c r="M426" t="s">
        <v>25</v>
      </c>
      <c r="N426" t="s">
        <v>2725</v>
      </c>
      <c r="O426" t="s">
        <v>2726</v>
      </c>
      <c r="P426" t="s">
        <v>2743</v>
      </c>
      <c r="Q426" t="s">
        <v>2744</v>
      </c>
      <c r="R426">
        <v>193536</v>
      </c>
      <c r="S426">
        <v>0</v>
      </c>
      <c r="T426">
        <v>193536</v>
      </c>
      <c r="U426" t="s">
        <v>35</v>
      </c>
      <c r="V426" t="s">
        <v>2622</v>
      </c>
      <c r="W426" t="s">
        <v>2745</v>
      </c>
      <c r="X426" s="4">
        <v>1</v>
      </c>
      <c r="Y426" s="4"/>
      <c r="Z426">
        <f t="shared" si="24"/>
        <v>8</v>
      </c>
      <c r="AA426">
        <f t="shared" si="25"/>
        <v>10</v>
      </c>
      <c r="AB426" s="5">
        <f t="shared" si="26"/>
        <v>0.3425810185217415</v>
      </c>
      <c r="AC426" s="3">
        <f t="shared" si="27"/>
        <v>9.0277777773735579E-2</v>
      </c>
      <c r="AD426" t="str" cm="1">
        <f t="array" ref="AD426">IFERROR(_xlfn.IFS(
    AC426="", "",
    AC426*86400 &lt; 30, "1. 0s - &lt;30s",
    AC426*86400 &lt; 60, "2. 30s - &lt;1m",
    AC426*86400 &lt; 300, "3. 1m - &lt;5m",
    AC426*86400 &lt; 1800, "4. 5m - &lt;30m",
    TRUE, "5. &gt;= 30m"
),"6. Invalid (Order rejected)")</f>
        <v>5. &gt;= 30m</v>
      </c>
    </row>
    <row r="427" spans="1:30" hidden="1" x14ac:dyDescent="0.3">
      <c r="A427" t="s">
        <v>2746</v>
      </c>
      <c r="B427" t="s">
        <v>25</v>
      </c>
      <c r="C427">
        <v>43485077</v>
      </c>
      <c r="D427">
        <v>0</v>
      </c>
      <c r="E427" t="s">
        <v>25</v>
      </c>
      <c r="F427" t="s">
        <v>26</v>
      </c>
      <c r="G427" t="s">
        <v>27</v>
      </c>
      <c r="H427" t="s">
        <v>2747</v>
      </c>
      <c r="I427" t="s">
        <v>2748</v>
      </c>
      <c r="J427" t="s">
        <v>26</v>
      </c>
      <c r="K427" t="s">
        <v>26</v>
      </c>
      <c r="L427" t="s">
        <v>2749</v>
      </c>
      <c r="M427" t="s">
        <v>25</v>
      </c>
      <c r="N427" t="s">
        <v>2725</v>
      </c>
      <c r="O427" t="s">
        <v>2726</v>
      </c>
      <c r="P427" t="s">
        <v>2718</v>
      </c>
      <c r="Q427" t="s">
        <v>2719</v>
      </c>
      <c r="R427">
        <v>155628</v>
      </c>
      <c r="S427">
        <v>0</v>
      </c>
      <c r="T427">
        <v>155628</v>
      </c>
      <c r="U427" t="s">
        <v>35</v>
      </c>
      <c r="V427" t="s">
        <v>2622</v>
      </c>
      <c r="W427" t="s">
        <v>2720</v>
      </c>
      <c r="X427" s="4">
        <v>1</v>
      </c>
      <c r="Y427" s="4"/>
      <c r="Z427">
        <f t="shared" si="24"/>
        <v>8</v>
      </c>
      <c r="AA427">
        <f t="shared" si="25"/>
        <v>10</v>
      </c>
      <c r="AB427" s="5">
        <f t="shared" si="26"/>
        <v>0.34238425926014315</v>
      </c>
      <c r="AC427" s="3">
        <f t="shared" si="27"/>
        <v>9.0289351850515231E-2</v>
      </c>
      <c r="AD427" t="str" cm="1">
        <f t="array" ref="AD427">IFERROR(_xlfn.IFS(
    AC427="", "",
    AC427*86400 &lt; 30, "1. 0s - &lt;30s",
    AC427*86400 &lt; 60, "2. 30s - &lt;1m",
    AC427*86400 &lt; 300, "3. 1m - &lt;5m",
    AC427*86400 &lt; 1800, "4. 5m - &lt;30m",
    TRUE, "5. &gt;= 30m"
),"6. Invalid (Order rejected)")</f>
        <v>5. &gt;= 30m</v>
      </c>
    </row>
    <row r="428" spans="1:30" hidden="1" x14ac:dyDescent="0.3">
      <c r="A428" t="s">
        <v>2750</v>
      </c>
      <c r="B428" t="s">
        <v>25</v>
      </c>
      <c r="C428">
        <v>43485077</v>
      </c>
      <c r="D428">
        <v>0</v>
      </c>
      <c r="E428" t="s">
        <v>25</v>
      </c>
      <c r="F428" t="s">
        <v>26</v>
      </c>
      <c r="G428" t="s">
        <v>27</v>
      </c>
      <c r="H428" t="s">
        <v>2751</v>
      </c>
      <c r="I428" t="s">
        <v>2752</v>
      </c>
      <c r="J428" t="s">
        <v>26</v>
      </c>
      <c r="K428" t="s">
        <v>26</v>
      </c>
      <c r="L428" t="s">
        <v>2753</v>
      </c>
      <c r="M428" t="s">
        <v>25</v>
      </c>
      <c r="N428" t="s">
        <v>2725</v>
      </c>
      <c r="O428" t="s">
        <v>2726</v>
      </c>
      <c r="P428" t="s">
        <v>2680</v>
      </c>
      <c r="Q428" t="s">
        <v>2681</v>
      </c>
      <c r="R428">
        <v>245052</v>
      </c>
      <c r="S428">
        <v>0</v>
      </c>
      <c r="T428">
        <v>245052</v>
      </c>
      <c r="U428" t="s">
        <v>35</v>
      </c>
      <c r="V428" t="s">
        <v>2622</v>
      </c>
      <c r="W428" t="s">
        <v>2682</v>
      </c>
      <c r="X428" s="4">
        <v>1</v>
      </c>
      <c r="Y428" s="4"/>
      <c r="Z428">
        <f t="shared" si="24"/>
        <v>8</v>
      </c>
      <c r="AA428">
        <f t="shared" si="25"/>
        <v>10</v>
      </c>
      <c r="AB428" s="5">
        <f t="shared" si="26"/>
        <v>0.34194444444437977</v>
      </c>
      <c r="AC428" s="3">
        <f t="shared" si="27"/>
        <v>9.0277777781011537E-2</v>
      </c>
      <c r="AD428" t="str" cm="1">
        <f t="array" ref="AD428">IFERROR(_xlfn.IFS(
    AC428="", "",
    AC428*86400 &lt; 30, "1. 0s - &lt;30s",
    AC428*86400 &lt; 60, "2. 30s - &lt;1m",
    AC428*86400 &lt; 300, "3. 1m - &lt;5m",
    AC428*86400 &lt; 1800, "4. 5m - &lt;30m",
    TRUE, "5. &gt;= 30m"
),"6. Invalid (Order rejected)")</f>
        <v>5. &gt;= 30m</v>
      </c>
    </row>
    <row r="429" spans="1:30" hidden="1" x14ac:dyDescent="0.3">
      <c r="A429" t="s">
        <v>2754</v>
      </c>
      <c r="B429" t="s">
        <v>25</v>
      </c>
      <c r="C429">
        <v>43376946</v>
      </c>
      <c r="D429">
        <v>0</v>
      </c>
      <c r="E429" t="s">
        <v>25</v>
      </c>
      <c r="F429" t="s">
        <v>26</v>
      </c>
      <c r="G429" t="s">
        <v>27</v>
      </c>
      <c r="H429" t="s">
        <v>2755</v>
      </c>
      <c r="I429" t="s">
        <v>2756</v>
      </c>
      <c r="J429" t="s">
        <v>26</v>
      </c>
      <c r="K429" t="s">
        <v>26</v>
      </c>
      <c r="L429" t="s">
        <v>2757</v>
      </c>
      <c r="M429" t="s">
        <v>25</v>
      </c>
      <c r="N429" t="s">
        <v>2758</v>
      </c>
      <c r="O429" t="s">
        <v>2759</v>
      </c>
      <c r="P429" t="s">
        <v>2760</v>
      </c>
      <c r="Q429" t="s">
        <v>2761</v>
      </c>
      <c r="R429">
        <v>314928</v>
      </c>
      <c r="S429">
        <v>0</v>
      </c>
      <c r="T429">
        <v>314928</v>
      </c>
      <c r="U429" t="s">
        <v>35</v>
      </c>
      <c r="V429" t="s">
        <v>2762</v>
      </c>
      <c r="W429" t="s">
        <v>2763</v>
      </c>
      <c r="X429" s="4">
        <v>1</v>
      </c>
      <c r="Y429" s="4"/>
      <c r="Z429">
        <f t="shared" si="24"/>
        <v>8</v>
      </c>
      <c r="AA429">
        <f t="shared" si="25"/>
        <v>10</v>
      </c>
      <c r="AB429" s="5">
        <f t="shared" si="26"/>
        <v>0.34589120370219462</v>
      </c>
      <c r="AC429" s="3">
        <f t="shared" si="27"/>
        <v>9.6030092594446614E-2</v>
      </c>
      <c r="AD429" t="str" cm="1">
        <f t="array" ref="AD429">IFERROR(_xlfn.IFS(
    AC429="", "",
    AC429*86400 &lt; 30, "1. 0s - &lt;30s",
    AC429*86400 &lt; 60, "2. 30s - &lt;1m",
    AC429*86400 &lt; 300, "3. 1m - &lt;5m",
    AC429*86400 &lt; 1800, "4. 5m - &lt;30m",
    TRUE, "5. &gt;= 30m"
),"6. Invalid (Order rejected)")</f>
        <v>5. &gt;= 30m</v>
      </c>
    </row>
    <row r="430" spans="1:30" hidden="1" x14ac:dyDescent="0.3">
      <c r="A430" t="s">
        <v>2764</v>
      </c>
      <c r="B430" t="s">
        <v>25</v>
      </c>
      <c r="C430">
        <v>43376946</v>
      </c>
      <c r="D430">
        <v>4411069</v>
      </c>
      <c r="E430" t="s">
        <v>25</v>
      </c>
      <c r="F430" t="s">
        <v>75</v>
      </c>
      <c r="G430" t="s">
        <v>76</v>
      </c>
      <c r="H430" t="s">
        <v>2765</v>
      </c>
      <c r="I430" t="s">
        <v>2766</v>
      </c>
      <c r="J430" t="s">
        <v>2767</v>
      </c>
      <c r="K430" t="s">
        <v>26</v>
      </c>
      <c r="L430" t="s">
        <v>2768</v>
      </c>
      <c r="M430" t="s">
        <v>25</v>
      </c>
      <c r="N430" t="s">
        <v>2769</v>
      </c>
      <c r="O430" t="s">
        <v>2770</v>
      </c>
      <c r="P430" t="s">
        <v>2771</v>
      </c>
      <c r="Q430" t="s">
        <v>2772</v>
      </c>
      <c r="R430">
        <v>327672</v>
      </c>
      <c r="S430">
        <v>254022</v>
      </c>
      <c r="T430">
        <v>73650</v>
      </c>
      <c r="U430" t="s">
        <v>35</v>
      </c>
      <c r="V430" t="s">
        <v>2773</v>
      </c>
      <c r="W430" t="s">
        <v>2774</v>
      </c>
      <c r="X430" s="4">
        <v>1</v>
      </c>
      <c r="Y430" s="4"/>
      <c r="Z430">
        <f t="shared" si="24"/>
        <v>8</v>
      </c>
      <c r="AA430">
        <f t="shared" si="25"/>
        <v>10</v>
      </c>
      <c r="AB430" s="5">
        <f t="shared" si="26"/>
        <v>0.367222222223063</v>
      </c>
      <c r="AC430" s="3">
        <f t="shared" si="27"/>
        <v>1.2881944443506654E-2</v>
      </c>
      <c r="AD430" t="str" cm="1">
        <f t="array" ref="AD430">IFERROR(_xlfn.IFS(
    AC430="", "",
    AC430*86400 &lt; 30, "1. 0s - &lt;30s",
    AC430*86400 &lt; 60, "2. 30s - &lt;1m",
    AC430*86400 &lt; 300, "3. 1m - &lt;5m",
    AC430*86400 &lt; 1800, "4. 5m - &lt;30m",
    TRUE, "5. &gt;= 30m"
),"6. Invalid (Order rejected)")</f>
        <v>4. 5m - &lt;30m</v>
      </c>
    </row>
    <row r="431" spans="1:30" hidden="1" x14ac:dyDescent="0.3">
      <c r="A431" t="s">
        <v>2775</v>
      </c>
      <c r="B431" t="s">
        <v>25</v>
      </c>
      <c r="C431">
        <v>43376946</v>
      </c>
      <c r="D431">
        <v>4411069</v>
      </c>
      <c r="E431" t="s">
        <v>25</v>
      </c>
      <c r="F431" t="s">
        <v>75</v>
      </c>
      <c r="G431" t="s">
        <v>76</v>
      </c>
      <c r="H431" t="s">
        <v>2776</v>
      </c>
      <c r="I431" t="s">
        <v>2777</v>
      </c>
      <c r="J431" t="s">
        <v>2778</v>
      </c>
      <c r="K431" t="s">
        <v>26</v>
      </c>
      <c r="L431" t="s">
        <v>2779</v>
      </c>
      <c r="M431" t="s">
        <v>25</v>
      </c>
      <c r="N431" t="s">
        <v>2780</v>
      </c>
      <c r="O431" t="s">
        <v>2781</v>
      </c>
      <c r="P431" t="s">
        <v>2782</v>
      </c>
      <c r="Q431" t="s">
        <v>2783</v>
      </c>
      <c r="R431">
        <v>368928</v>
      </c>
      <c r="S431">
        <v>286005</v>
      </c>
      <c r="T431">
        <v>82923</v>
      </c>
      <c r="U431" t="s">
        <v>35</v>
      </c>
      <c r="V431" t="s">
        <v>2784</v>
      </c>
      <c r="W431" t="s">
        <v>2785</v>
      </c>
      <c r="X431" s="4">
        <v>1</v>
      </c>
      <c r="Y431" s="4"/>
      <c r="Z431">
        <f t="shared" si="24"/>
        <v>8</v>
      </c>
      <c r="AA431">
        <f t="shared" si="25"/>
        <v>10</v>
      </c>
      <c r="AB431" s="5">
        <f t="shared" si="26"/>
        <v>0.36789351851621177</v>
      </c>
      <c r="AC431" s="3">
        <f t="shared" si="27"/>
        <v>1.0185185237787664E-3</v>
      </c>
      <c r="AD431" t="str" cm="1">
        <f t="array" ref="AD431">IFERROR(_xlfn.IFS(
    AC431="", "",
    AC431*86400 &lt; 30, "1. 0s - &lt;30s",
    AC431*86400 &lt; 60, "2. 30s - &lt;1m",
    AC431*86400 &lt; 300, "3. 1m - &lt;5m",
    AC431*86400 &lt; 1800, "4. 5m - &lt;30m",
    TRUE, "5. &gt;= 30m"
),"6. Invalid (Order rejected)")</f>
        <v>3. 1m - &lt;5m</v>
      </c>
    </row>
    <row r="432" spans="1:30" x14ac:dyDescent="0.3">
      <c r="A432" t="s">
        <v>2786</v>
      </c>
      <c r="B432" t="s">
        <v>25</v>
      </c>
      <c r="C432">
        <v>43376946</v>
      </c>
      <c r="D432">
        <v>4442770</v>
      </c>
      <c r="E432" t="s">
        <v>25</v>
      </c>
      <c r="F432" t="s">
        <v>75</v>
      </c>
      <c r="G432" t="s">
        <v>360</v>
      </c>
      <c r="H432" t="s">
        <v>2787</v>
      </c>
      <c r="I432" t="s">
        <v>2788</v>
      </c>
      <c r="J432" t="s">
        <v>2789</v>
      </c>
      <c r="K432" t="s">
        <v>26</v>
      </c>
      <c r="L432" t="s">
        <v>25</v>
      </c>
      <c r="M432" t="s">
        <v>25</v>
      </c>
      <c r="N432" t="s">
        <v>2769</v>
      </c>
      <c r="O432" t="s">
        <v>2770</v>
      </c>
      <c r="P432" t="s">
        <v>2771</v>
      </c>
      <c r="Q432" t="s">
        <v>2772</v>
      </c>
      <c r="R432">
        <v>273564</v>
      </c>
      <c r="S432">
        <v>212075</v>
      </c>
      <c r="T432">
        <v>61489</v>
      </c>
      <c r="U432" t="s">
        <v>35</v>
      </c>
      <c r="V432" t="s">
        <v>2773</v>
      </c>
      <c r="W432" t="s">
        <v>2774</v>
      </c>
      <c r="X432" s="4">
        <v>1</v>
      </c>
      <c r="Y432" s="4"/>
      <c r="Z432">
        <f t="shared" si="24"/>
        <v>8</v>
      </c>
      <c r="AA432">
        <f t="shared" si="25"/>
        <v>10</v>
      </c>
      <c r="AB432" s="5">
        <f t="shared" si="26"/>
        <v>0.38021990740526235</v>
      </c>
      <c r="AC432" s="3" t="str">
        <f t="shared" si="27"/>
        <v>Order rejected, no time available</v>
      </c>
      <c r="AD432" t="str" cm="1">
        <f t="array" ref="AD432">IFERROR(_xlfn.IFS(
    AC432="", "",
    AC432*86400 &lt; 30, "1. 0s - &lt;30s",
    AC432*86400 &lt; 60, "2. 30s - &lt;1m",
    AC432*86400 &lt; 300, "3. 1m - &lt;5m",
    AC432*86400 &lt; 1800, "4. 5m - &lt;30m",
    TRUE, "5. &gt;= 30m"
),"6. Invalid (Order rejected)")</f>
        <v>6. Invalid (Order rejected)</v>
      </c>
    </row>
    <row r="433" spans="1:30" hidden="1" x14ac:dyDescent="0.3">
      <c r="A433" t="s">
        <v>2790</v>
      </c>
      <c r="B433" t="s">
        <v>25</v>
      </c>
      <c r="C433">
        <v>43512432</v>
      </c>
      <c r="D433">
        <v>0</v>
      </c>
      <c r="E433" t="s">
        <v>25</v>
      </c>
      <c r="F433" t="s">
        <v>26</v>
      </c>
      <c r="G433" t="s">
        <v>27</v>
      </c>
      <c r="H433" t="s">
        <v>2791</v>
      </c>
      <c r="I433" t="s">
        <v>2792</v>
      </c>
      <c r="J433" t="s">
        <v>26</v>
      </c>
      <c r="K433" t="s">
        <v>26</v>
      </c>
      <c r="L433" t="s">
        <v>2793</v>
      </c>
      <c r="M433" t="s">
        <v>25</v>
      </c>
      <c r="N433" t="s">
        <v>1838</v>
      </c>
      <c r="O433" t="s">
        <v>1839</v>
      </c>
      <c r="P433" t="s">
        <v>2794</v>
      </c>
      <c r="Q433" t="s">
        <v>2795</v>
      </c>
      <c r="R433">
        <v>253692</v>
      </c>
      <c r="S433">
        <v>0</v>
      </c>
      <c r="T433">
        <v>253692</v>
      </c>
      <c r="U433" t="s">
        <v>35</v>
      </c>
      <c r="V433" t="s">
        <v>1842</v>
      </c>
      <c r="W433" t="s">
        <v>2796</v>
      </c>
      <c r="X433" s="4">
        <v>1</v>
      </c>
      <c r="Y433" s="4"/>
      <c r="Z433">
        <f t="shared" si="24"/>
        <v>8</v>
      </c>
      <c r="AA433">
        <f t="shared" si="25"/>
        <v>11</v>
      </c>
      <c r="AB433" s="5">
        <f t="shared" si="26"/>
        <v>0.29328703703504289</v>
      </c>
      <c r="AC433" s="3">
        <f t="shared" si="27"/>
        <v>9.0266203704231884E-2</v>
      </c>
      <c r="AD433" t="str" cm="1">
        <f t="array" ref="AD433">IFERROR(_xlfn.IFS(
    AC433="", "",
    AC433*86400 &lt; 30, "1. 0s - &lt;30s",
    AC433*86400 &lt; 60, "2. 30s - &lt;1m",
    AC433*86400 &lt; 300, "3. 1m - &lt;5m",
    AC433*86400 &lt; 1800, "4. 5m - &lt;30m",
    TRUE, "5. &gt;= 30m"
),"6. Invalid (Order rejected)")</f>
        <v>5. &gt;= 30m</v>
      </c>
    </row>
    <row r="434" spans="1:30" hidden="1" x14ac:dyDescent="0.3">
      <c r="A434" t="s">
        <v>2797</v>
      </c>
      <c r="B434" t="s">
        <v>25</v>
      </c>
      <c r="C434">
        <v>43512432</v>
      </c>
      <c r="D434">
        <v>0</v>
      </c>
      <c r="E434" t="s">
        <v>25</v>
      </c>
      <c r="F434" t="s">
        <v>26</v>
      </c>
      <c r="G434" t="s">
        <v>27</v>
      </c>
      <c r="H434" t="s">
        <v>2798</v>
      </c>
      <c r="I434" t="s">
        <v>2799</v>
      </c>
      <c r="J434" t="s">
        <v>26</v>
      </c>
      <c r="K434" t="s">
        <v>26</v>
      </c>
      <c r="L434" t="s">
        <v>2800</v>
      </c>
      <c r="M434" t="s">
        <v>25</v>
      </c>
      <c r="N434" t="s">
        <v>2801</v>
      </c>
      <c r="O434" t="s">
        <v>2802</v>
      </c>
      <c r="P434" t="s">
        <v>2803</v>
      </c>
      <c r="Q434" t="s">
        <v>2804</v>
      </c>
      <c r="R434">
        <v>269676</v>
      </c>
      <c r="S434">
        <v>0</v>
      </c>
      <c r="T434">
        <v>269676</v>
      </c>
      <c r="U434" t="s">
        <v>35</v>
      </c>
      <c r="V434" t="s">
        <v>2805</v>
      </c>
      <c r="W434" t="s">
        <v>2806</v>
      </c>
      <c r="X434" s="4">
        <v>1</v>
      </c>
      <c r="Y434" s="4"/>
      <c r="Z434">
        <f t="shared" si="24"/>
        <v>8</v>
      </c>
      <c r="AA434">
        <f t="shared" si="25"/>
        <v>11</v>
      </c>
      <c r="AB434" s="5">
        <f t="shared" si="26"/>
        <v>0.29535879629838746</v>
      </c>
      <c r="AC434" s="3">
        <f t="shared" si="27"/>
        <v>9.0266203704231884E-2</v>
      </c>
      <c r="AD434" t="str" cm="1">
        <f t="array" ref="AD434">IFERROR(_xlfn.IFS(
    AC434="", "",
    AC434*86400 &lt; 30, "1. 0s - &lt;30s",
    AC434*86400 &lt; 60, "2. 30s - &lt;1m",
    AC434*86400 &lt; 300, "3. 1m - &lt;5m",
    AC434*86400 &lt; 1800, "4. 5m - &lt;30m",
    TRUE, "5. &gt;= 30m"
),"6. Invalid (Order rejected)")</f>
        <v>5. &gt;= 30m</v>
      </c>
    </row>
    <row r="435" spans="1:30" hidden="1" x14ac:dyDescent="0.3">
      <c r="A435" t="s">
        <v>2807</v>
      </c>
      <c r="B435" t="s">
        <v>25</v>
      </c>
      <c r="C435">
        <v>43512432</v>
      </c>
      <c r="D435">
        <v>0</v>
      </c>
      <c r="E435" t="s">
        <v>25</v>
      </c>
      <c r="F435" t="s">
        <v>26</v>
      </c>
      <c r="G435" t="s">
        <v>27</v>
      </c>
      <c r="H435" t="s">
        <v>2808</v>
      </c>
      <c r="I435" t="s">
        <v>2809</v>
      </c>
      <c r="J435" t="s">
        <v>26</v>
      </c>
      <c r="K435" t="s">
        <v>26</v>
      </c>
      <c r="L435" t="s">
        <v>2810</v>
      </c>
      <c r="M435" t="s">
        <v>25</v>
      </c>
      <c r="N435" t="s">
        <v>2811</v>
      </c>
      <c r="O435" t="s">
        <v>2812</v>
      </c>
      <c r="P435" t="s">
        <v>1503</v>
      </c>
      <c r="Q435" t="s">
        <v>1504</v>
      </c>
      <c r="R435">
        <v>152496</v>
      </c>
      <c r="S435">
        <v>0</v>
      </c>
      <c r="T435">
        <v>152496</v>
      </c>
      <c r="U435" t="s">
        <v>35</v>
      </c>
      <c r="V435" t="s">
        <v>2813</v>
      </c>
      <c r="W435" t="s">
        <v>2814</v>
      </c>
      <c r="X435" s="4">
        <v>1</v>
      </c>
      <c r="Y435" s="4"/>
      <c r="Z435">
        <f t="shared" si="24"/>
        <v>8</v>
      </c>
      <c r="AA435">
        <f t="shared" si="25"/>
        <v>11</v>
      </c>
      <c r="AB435" s="5">
        <f t="shared" si="26"/>
        <v>0.29930555555620231</v>
      </c>
      <c r="AC435" s="3">
        <f t="shared" si="27"/>
        <v>9.0266203704231884E-2</v>
      </c>
      <c r="AD435" t="str" cm="1">
        <f t="array" ref="AD435">IFERROR(_xlfn.IFS(
    AC435="", "",
    AC435*86400 &lt; 30, "1. 0s - &lt;30s",
    AC435*86400 &lt; 60, "2. 30s - &lt;1m",
    AC435*86400 &lt; 300, "3. 1m - &lt;5m",
    AC435*86400 &lt; 1800, "4. 5m - &lt;30m",
    TRUE, "5. &gt;= 30m"
),"6. Invalid (Order rejected)")</f>
        <v>5. &gt;= 30m</v>
      </c>
    </row>
    <row r="436" spans="1:30" hidden="1" x14ac:dyDescent="0.3">
      <c r="A436" t="s">
        <v>2815</v>
      </c>
      <c r="B436" t="s">
        <v>25</v>
      </c>
      <c r="C436">
        <v>43512432</v>
      </c>
      <c r="D436">
        <v>0</v>
      </c>
      <c r="E436" t="s">
        <v>25</v>
      </c>
      <c r="F436" t="s">
        <v>26</v>
      </c>
      <c r="G436" t="s">
        <v>27</v>
      </c>
      <c r="H436" t="s">
        <v>2816</v>
      </c>
      <c r="I436" t="s">
        <v>2817</v>
      </c>
      <c r="J436" t="s">
        <v>26</v>
      </c>
      <c r="K436" t="s">
        <v>26</v>
      </c>
      <c r="L436" t="s">
        <v>2818</v>
      </c>
      <c r="M436" t="s">
        <v>25</v>
      </c>
      <c r="N436" t="s">
        <v>2811</v>
      </c>
      <c r="O436" t="s">
        <v>2812</v>
      </c>
      <c r="P436" t="s">
        <v>2443</v>
      </c>
      <c r="Q436" t="s">
        <v>2444</v>
      </c>
      <c r="R436">
        <v>178740</v>
      </c>
      <c r="S436">
        <v>0</v>
      </c>
      <c r="T436">
        <v>178740</v>
      </c>
      <c r="U436" t="s">
        <v>35</v>
      </c>
      <c r="V436" t="s">
        <v>2813</v>
      </c>
      <c r="W436" t="s">
        <v>2446</v>
      </c>
      <c r="X436" s="4">
        <v>1</v>
      </c>
      <c r="Y436" s="4"/>
      <c r="Z436">
        <f t="shared" si="24"/>
        <v>8</v>
      </c>
      <c r="AA436">
        <f t="shared" si="25"/>
        <v>11</v>
      </c>
      <c r="AB436" s="5">
        <f t="shared" si="26"/>
        <v>0.29866898147884058</v>
      </c>
      <c r="AC436" s="3">
        <f t="shared" si="27"/>
        <v>9.0277777781011537E-2</v>
      </c>
      <c r="AD436" t="str" cm="1">
        <f t="array" ref="AD436">IFERROR(_xlfn.IFS(
    AC436="", "",
    AC436*86400 &lt; 30, "1. 0s - &lt;30s",
    AC436*86400 &lt; 60, "2. 30s - &lt;1m",
    AC436*86400 &lt; 300, "3. 1m - &lt;5m",
    AC436*86400 &lt; 1800, "4. 5m - &lt;30m",
    TRUE, "5. &gt;= 30m"
),"6. Invalid (Order rejected)")</f>
        <v>5. &gt;= 30m</v>
      </c>
    </row>
    <row r="437" spans="1:30" hidden="1" x14ac:dyDescent="0.3">
      <c r="A437" t="s">
        <v>2819</v>
      </c>
      <c r="B437" t="s">
        <v>25</v>
      </c>
      <c r="C437">
        <v>43512432</v>
      </c>
      <c r="D437">
        <v>3746341</v>
      </c>
      <c r="E437" t="s">
        <v>25</v>
      </c>
      <c r="F437" t="s">
        <v>75</v>
      </c>
      <c r="G437" t="s">
        <v>76</v>
      </c>
      <c r="H437" t="s">
        <v>2820</v>
      </c>
      <c r="I437" t="s">
        <v>2821</v>
      </c>
      <c r="J437" t="s">
        <v>2822</v>
      </c>
      <c r="K437" t="s">
        <v>26</v>
      </c>
      <c r="L437" t="s">
        <v>2823</v>
      </c>
      <c r="M437" t="s">
        <v>25</v>
      </c>
      <c r="N437" t="s">
        <v>1838</v>
      </c>
      <c r="O437" t="s">
        <v>1839</v>
      </c>
      <c r="P437" t="s">
        <v>2824</v>
      </c>
      <c r="Q437" t="s">
        <v>2825</v>
      </c>
      <c r="R437">
        <v>338796</v>
      </c>
      <c r="S437">
        <v>278095</v>
      </c>
      <c r="T437">
        <v>60701</v>
      </c>
      <c r="U437" t="s">
        <v>35</v>
      </c>
      <c r="V437" t="s">
        <v>1842</v>
      </c>
      <c r="W437" t="s">
        <v>2826</v>
      </c>
      <c r="X437" s="4">
        <v>1</v>
      </c>
      <c r="Y437" s="4"/>
      <c r="Z437">
        <f t="shared" si="24"/>
        <v>8</v>
      </c>
      <c r="AA437">
        <f t="shared" si="25"/>
        <v>11</v>
      </c>
      <c r="AB437" s="5">
        <f t="shared" si="26"/>
        <v>0.29209490741050104</v>
      </c>
      <c r="AC437" s="3">
        <f t="shared" si="27"/>
        <v>9.2708333322661929E-3</v>
      </c>
      <c r="AD437" t="str" cm="1">
        <f t="array" ref="AD437">IFERROR(_xlfn.IFS(
    AC437="", "",
    AC437*86400 &lt; 30, "1. 0s - &lt;30s",
    AC437*86400 &lt; 60, "2. 30s - &lt;1m",
    AC437*86400 &lt; 300, "3. 1m - &lt;5m",
    AC437*86400 &lt; 1800, "4. 5m - &lt;30m",
    TRUE, "5. &gt;= 30m"
),"6. Invalid (Order rejected)")</f>
        <v>4. 5m - &lt;30m</v>
      </c>
    </row>
    <row r="438" spans="1:30" hidden="1" x14ac:dyDescent="0.3">
      <c r="A438" t="s">
        <v>2827</v>
      </c>
      <c r="B438" t="s">
        <v>25</v>
      </c>
      <c r="C438">
        <v>43512432</v>
      </c>
      <c r="D438">
        <v>0</v>
      </c>
      <c r="E438" t="s">
        <v>25</v>
      </c>
      <c r="F438" t="s">
        <v>26</v>
      </c>
      <c r="G438" t="s">
        <v>27</v>
      </c>
      <c r="H438" t="s">
        <v>2828</v>
      </c>
      <c r="I438" t="s">
        <v>2829</v>
      </c>
      <c r="J438" t="s">
        <v>26</v>
      </c>
      <c r="K438" t="s">
        <v>26</v>
      </c>
      <c r="L438" t="s">
        <v>2830</v>
      </c>
      <c r="M438" t="s">
        <v>25</v>
      </c>
      <c r="N438" t="s">
        <v>2831</v>
      </c>
      <c r="O438" t="s">
        <v>2832</v>
      </c>
      <c r="P438" t="s">
        <v>2833</v>
      </c>
      <c r="Q438" t="s">
        <v>2834</v>
      </c>
      <c r="R438">
        <v>331776</v>
      </c>
      <c r="S438">
        <v>0</v>
      </c>
      <c r="T438">
        <v>331776</v>
      </c>
      <c r="U438" t="s">
        <v>35</v>
      </c>
      <c r="V438" t="s">
        <v>2835</v>
      </c>
      <c r="W438" t="s">
        <v>2836</v>
      </c>
      <c r="X438" s="4">
        <v>1</v>
      </c>
      <c r="Y438" s="4"/>
      <c r="Z438">
        <f t="shared" si="24"/>
        <v>8</v>
      </c>
      <c r="AA438">
        <f t="shared" si="25"/>
        <v>11</v>
      </c>
      <c r="AB438" s="5">
        <f t="shared" si="26"/>
        <v>0.30032407407270512</v>
      </c>
      <c r="AC438" s="3">
        <f t="shared" si="27"/>
        <v>0.11420138888934162</v>
      </c>
      <c r="AD438" t="str" cm="1">
        <f t="array" ref="AD438">IFERROR(_xlfn.IFS(
    AC438="", "",
    AC438*86400 &lt; 30, "1. 0s - &lt;30s",
    AC438*86400 &lt; 60, "2. 30s - &lt;1m",
    AC438*86400 &lt; 300, "3. 1m - &lt;5m",
    AC438*86400 &lt; 1800, "4. 5m - &lt;30m",
    TRUE, "5. &gt;= 30m"
),"6. Invalid (Order rejected)")</f>
        <v>5. &gt;= 30m</v>
      </c>
    </row>
    <row r="439" spans="1:30" hidden="1" x14ac:dyDescent="0.3">
      <c r="A439" t="s">
        <v>2837</v>
      </c>
      <c r="B439" t="s">
        <v>25</v>
      </c>
      <c r="C439">
        <v>43512432</v>
      </c>
      <c r="D439">
        <v>0</v>
      </c>
      <c r="E439" t="s">
        <v>25</v>
      </c>
      <c r="F439" t="s">
        <v>26</v>
      </c>
      <c r="G439" t="s">
        <v>27</v>
      </c>
      <c r="H439" t="s">
        <v>2838</v>
      </c>
      <c r="I439" t="s">
        <v>2839</v>
      </c>
      <c r="J439" t="s">
        <v>26</v>
      </c>
      <c r="K439" t="s">
        <v>26</v>
      </c>
      <c r="L439" t="s">
        <v>2840</v>
      </c>
      <c r="M439" t="s">
        <v>25</v>
      </c>
      <c r="N439" t="s">
        <v>1838</v>
      </c>
      <c r="O439" t="s">
        <v>1839</v>
      </c>
      <c r="P439" t="s">
        <v>2841</v>
      </c>
      <c r="Q439" t="s">
        <v>2842</v>
      </c>
      <c r="R439">
        <v>313632</v>
      </c>
      <c r="S439">
        <v>0</v>
      </c>
      <c r="T439">
        <v>313632</v>
      </c>
      <c r="U439" t="s">
        <v>35</v>
      </c>
      <c r="V439" t="s">
        <v>1842</v>
      </c>
      <c r="W439" t="s">
        <v>2843</v>
      </c>
      <c r="X439" s="4">
        <v>1</v>
      </c>
      <c r="Y439" s="4"/>
      <c r="Z439">
        <f t="shared" si="24"/>
        <v>8</v>
      </c>
      <c r="AA439">
        <f t="shared" si="25"/>
        <v>11</v>
      </c>
      <c r="AB439" s="5">
        <f t="shared" si="26"/>
        <v>0.29261574074189411</v>
      </c>
      <c r="AC439" s="3">
        <f t="shared" si="27"/>
        <v>9.0266203704231884E-2</v>
      </c>
      <c r="AD439" t="str" cm="1">
        <f t="array" ref="AD439">IFERROR(_xlfn.IFS(
    AC439="", "",
    AC439*86400 &lt; 30, "1. 0s - &lt;30s",
    AC439*86400 &lt; 60, "2. 30s - &lt;1m",
    AC439*86400 &lt; 300, "3. 1m - &lt;5m",
    AC439*86400 &lt; 1800, "4. 5m - &lt;30m",
    TRUE, "5. &gt;= 30m"
),"6. Invalid (Order rejected)")</f>
        <v>5. &gt;= 30m</v>
      </c>
    </row>
    <row r="440" spans="1:30" hidden="1" x14ac:dyDescent="0.3">
      <c r="A440" t="s">
        <v>2844</v>
      </c>
      <c r="B440" t="s">
        <v>25</v>
      </c>
      <c r="C440">
        <v>43512432</v>
      </c>
      <c r="D440">
        <v>0</v>
      </c>
      <c r="E440" t="s">
        <v>25</v>
      </c>
      <c r="F440" t="s">
        <v>26</v>
      </c>
      <c r="G440" t="s">
        <v>27</v>
      </c>
      <c r="H440" t="s">
        <v>2845</v>
      </c>
      <c r="I440" t="s">
        <v>2846</v>
      </c>
      <c r="J440" t="s">
        <v>26</v>
      </c>
      <c r="K440" t="s">
        <v>26</v>
      </c>
      <c r="L440" t="s">
        <v>2847</v>
      </c>
      <c r="M440" t="s">
        <v>25</v>
      </c>
      <c r="N440" t="s">
        <v>2831</v>
      </c>
      <c r="O440" t="s">
        <v>2832</v>
      </c>
      <c r="P440" t="s">
        <v>2794</v>
      </c>
      <c r="Q440" t="s">
        <v>2795</v>
      </c>
      <c r="R440">
        <v>247752</v>
      </c>
      <c r="S440">
        <v>0</v>
      </c>
      <c r="T440">
        <v>247752</v>
      </c>
      <c r="U440" t="s">
        <v>35</v>
      </c>
      <c r="V440" t="s">
        <v>2835</v>
      </c>
      <c r="W440" t="s">
        <v>2796</v>
      </c>
      <c r="X440" s="4">
        <v>1</v>
      </c>
      <c r="Y440" s="4"/>
      <c r="Z440">
        <f t="shared" si="24"/>
        <v>8</v>
      </c>
      <c r="AA440">
        <f t="shared" si="25"/>
        <v>11</v>
      </c>
      <c r="AB440" s="5">
        <f t="shared" si="26"/>
        <v>0.30018518518772908</v>
      </c>
      <c r="AC440" s="3">
        <f t="shared" si="27"/>
        <v>9.0266203704231884E-2</v>
      </c>
      <c r="AD440" t="str" cm="1">
        <f t="array" ref="AD440">IFERROR(_xlfn.IFS(
    AC440="", "",
    AC440*86400 &lt; 30, "1. 0s - &lt;30s",
    AC440*86400 &lt; 60, "2. 30s - &lt;1m",
    AC440*86400 &lt; 300, "3. 1m - &lt;5m",
    AC440*86400 &lt; 1800, "4. 5m - &lt;30m",
    TRUE, "5. &gt;= 30m"
),"6. Invalid (Order rejected)")</f>
        <v>5. &gt;= 30m</v>
      </c>
    </row>
    <row r="441" spans="1:30" hidden="1" x14ac:dyDescent="0.3">
      <c r="A441" t="s">
        <v>2848</v>
      </c>
      <c r="B441" t="s">
        <v>25</v>
      </c>
      <c r="C441">
        <v>43512432</v>
      </c>
      <c r="D441">
        <v>0</v>
      </c>
      <c r="E441" t="s">
        <v>25</v>
      </c>
      <c r="F441" t="s">
        <v>26</v>
      </c>
      <c r="G441" t="s">
        <v>27</v>
      </c>
      <c r="H441" t="s">
        <v>2849</v>
      </c>
      <c r="I441" t="s">
        <v>2850</v>
      </c>
      <c r="J441" t="s">
        <v>26</v>
      </c>
      <c r="K441" t="s">
        <v>26</v>
      </c>
      <c r="L441" t="s">
        <v>2851</v>
      </c>
      <c r="M441" t="s">
        <v>25</v>
      </c>
      <c r="N441" t="s">
        <v>1838</v>
      </c>
      <c r="O441" t="s">
        <v>1839</v>
      </c>
      <c r="P441" t="s">
        <v>2833</v>
      </c>
      <c r="Q441" t="s">
        <v>2834</v>
      </c>
      <c r="R441">
        <v>246132</v>
      </c>
      <c r="S441">
        <v>0</v>
      </c>
      <c r="T441">
        <v>246132</v>
      </c>
      <c r="U441" t="s">
        <v>35</v>
      </c>
      <c r="V441" t="s">
        <v>1842</v>
      </c>
      <c r="W441" t="s">
        <v>2836</v>
      </c>
      <c r="X441" s="4">
        <v>1</v>
      </c>
      <c r="Y441" s="4"/>
      <c r="Z441">
        <f t="shared" si="24"/>
        <v>8</v>
      </c>
      <c r="AA441">
        <f t="shared" si="25"/>
        <v>11</v>
      </c>
      <c r="AB441" s="5">
        <f t="shared" si="26"/>
        <v>0.29405092592787696</v>
      </c>
      <c r="AC441" s="3">
        <f t="shared" si="27"/>
        <v>9.0266203704231884E-2</v>
      </c>
      <c r="AD441" t="str" cm="1">
        <f t="array" ref="AD441">IFERROR(_xlfn.IFS(
    AC441="", "",
    AC441*86400 &lt; 30, "1. 0s - &lt;30s",
    AC441*86400 &lt; 60, "2. 30s - &lt;1m",
    AC441*86400 &lt; 300, "3. 1m - &lt;5m",
    AC441*86400 &lt; 1800, "4. 5m - &lt;30m",
    TRUE, "5. &gt;= 30m"
),"6. Invalid (Order rejected)")</f>
        <v>5. &gt;= 30m</v>
      </c>
    </row>
    <row r="442" spans="1:30" hidden="1" x14ac:dyDescent="0.3">
      <c r="A442" t="s">
        <v>2852</v>
      </c>
      <c r="B442" t="s">
        <v>25</v>
      </c>
      <c r="C442">
        <v>43512432</v>
      </c>
      <c r="D442">
        <v>0</v>
      </c>
      <c r="E442" t="s">
        <v>25</v>
      </c>
      <c r="F442" t="s">
        <v>26</v>
      </c>
      <c r="G442" t="s">
        <v>27</v>
      </c>
      <c r="H442" t="s">
        <v>2853</v>
      </c>
      <c r="I442" t="s">
        <v>2854</v>
      </c>
      <c r="J442" t="s">
        <v>26</v>
      </c>
      <c r="K442" t="s">
        <v>26</v>
      </c>
      <c r="L442" t="s">
        <v>2855</v>
      </c>
      <c r="M442" t="s">
        <v>25</v>
      </c>
      <c r="N442" t="s">
        <v>2801</v>
      </c>
      <c r="O442" t="s">
        <v>2802</v>
      </c>
      <c r="P442" t="s">
        <v>2856</v>
      </c>
      <c r="Q442" t="s">
        <v>2857</v>
      </c>
      <c r="R442">
        <v>280908</v>
      </c>
      <c r="S442">
        <v>0</v>
      </c>
      <c r="T442">
        <v>280908</v>
      </c>
      <c r="U442" t="s">
        <v>35</v>
      </c>
      <c r="V442" t="s">
        <v>2805</v>
      </c>
      <c r="W442" t="s">
        <v>2858</v>
      </c>
      <c r="X442" s="4">
        <v>1</v>
      </c>
      <c r="Y442" s="4"/>
      <c r="Z442">
        <f t="shared" si="24"/>
        <v>8</v>
      </c>
      <c r="AA442">
        <f t="shared" si="25"/>
        <v>11</v>
      </c>
      <c r="AB442" s="5">
        <f t="shared" si="26"/>
        <v>0.29581018518365454</v>
      </c>
      <c r="AC442" s="3">
        <f t="shared" si="27"/>
        <v>9.0266203704231884E-2</v>
      </c>
      <c r="AD442" t="str" cm="1">
        <f t="array" ref="AD442">IFERROR(_xlfn.IFS(
    AC442="", "",
    AC442*86400 &lt; 30, "1. 0s - &lt;30s",
    AC442*86400 &lt; 60, "2. 30s - &lt;1m",
    AC442*86400 &lt; 300, "3. 1m - &lt;5m",
    AC442*86400 &lt; 1800, "4. 5m - &lt;30m",
    TRUE, "5. &gt;= 30m"
),"6. Invalid (Order rejected)")</f>
        <v>5. &gt;= 30m</v>
      </c>
    </row>
    <row r="443" spans="1:30" hidden="1" x14ac:dyDescent="0.3">
      <c r="A443" t="s">
        <v>2859</v>
      </c>
      <c r="B443" t="s">
        <v>25</v>
      </c>
      <c r="C443">
        <v>43512432</v>
      </c>
      <c r="D443">
        <v>0</v>
      </c>
      <c r="E443" t="s">
        <v>25</v>
      </c>
      <c r="F443" t="s">
        <v>26</v>
      </c>
      <c r="G443" t="s">
        <v>27</v>
      </c>
      <c r="H443" t="s">
        <v>2860</v>
      </c>
      <c r="I443" t="s">
        <v>2861</v>
      </c>
      <c r="J443" t="s">
        <v>26</v>
      </c>
      <c r="K443" t="s">
        <v>26</v>
      </c>
      <c r="L443" t="s">
        <v>2862</v>
      </c>
      <c r="M443" t="s">
        <v>25</v>
      </c>
      <c r="N443" t="s">
        <v>2801</v>
      </c>
      <c r="O443" t="s">
        <v>2802</v>
      </c>
      <c r="P443" t="s">
        <v>2863</v>
      </c>
      <c r="Q443" t="s">
        <v>2864</v>
      </c>
      <c r="R443">
        <v>177012</v>
      </c>
      <c r="S443">
        <v>0</v>
      </c>
      <c r="T443">
        <v>177012</v>
      </c>
      <c r="U443" t="s">
        <v>35</v>
      </c>
      <c r="V443" t="s">
        <v>2805</v>
      </c>
      <c r="W443" t="s">
        <v>2865</v>
      </c>
      <c r="X443" s="4">
        <v>1</v>
      </c>
      <c r="Y443" s="4"/>
      <c r="Z443">
        <f t="shared" si="24"/>
        <v>8</v>
      </c>
      <c r="AA443">
        <f t="shared" si="25"/>
        <v>11</v>
      </c>
      <c r="AB443" s="5">
        <f t="shared" si="26"/>
        <v>0.29732638888526708</v>
      </c>
      <c r="AC443" s="3">
        <f t="shared" si="27"/>
        <v>9.0266203704231884E-2</v>
      </c>
      <c r="AD443" t="str" cm="1">
        <f t="array" ref="AD443">IFERROR(_xlfn.IFS(
    AC443="", "",
    AC443*86400 &lt; 30, "1. 0s - &lt;30s",
    AC443*86400 &lt; 60, "2. 30s - &lt;1m",
    AC443*86400 &lt; 300, "3. 1m - &lt;5m",
    AC443*86400 &lt; 1800, "4. 5m - &lt;30m",
    TRUE, "5. &gt;= 30m"
),"6. Invalid (Order rejected)")</f>
        <v>5. &gt;= 30m</v>
      </c>
    </row>
    <row r="444" spans="1:30" hidden="1" x14ac:dyDescent="0.3">
      <c r="A444" t="s">
        <v>2866</v>
      </c>
      <c r="B444" t="s">
        <v>25</v>
      </c>
      <c r="C444">
        <v>43512432</v>
      </c>
      <c r="D444">
        <v>0</v>
      </c>
      <c r="E444" t="s">
        <v>25</v>
      </c>
      <c r="F444" t="s">
        <v>26</v>
      </c>
      <c r="G444" t="s">
        <v>27</v>
      </c>
      <c r="H444" t="s">
        <v>2867</v>
      </c>
      <c r="I444" t="s">
        <v>2868</v>
      </c>
      <c r="J444" t="s">
        <v>26</v>
      </c>
      <c r="K444" t="s">
        <v>26</v>
      </c>
      <c r="L444" t="s">
        <v>2869</v>
      </c>
      <c r="M444" t="s">
        <v>25</v>
      </c>
      <c r="N444" t="s">
        <v>2811</v>
      </c>
      <c r="O444" t="s">
        <v>2812</v>
      </c>
      <c r="P444" t="s">
        <v>2870</v>
      </c>
      <c r="Q444" t="s">
        <v>2871</v>
      </c>
      <c r="R444">
        <v>214164</v>
      </c>
      <c r="S444">
        <v>0</v>
      </c>
      <c r="T444">
        <v>214164</v>
      </c>
      <c r="U444" t="s">
        <v>35</v>
      </c>
      <c r="V444" t="s">
        <v>2813</v>
      </c>
      <c r="W444" t="s">
        <v>2872</v>
      </c>
      <c r="X444" s="4">
        <v>1</v>
      </c>
      <c r="Y444" s="4"/>
      <c r="Z444">
        <f t="shared" si="24"/>
        <v>8</v>
      </c>
      <c r="AA444">
        <f t="shared" si="25"/>
        <v>11</v>
      </c>
      <c r="AB444" s="5">
        <f t="shared" si="26"/>
        <v>0.29888888888672227</v>
      </c>
      <c r="AC444" s="3">
        <f t="shared" si="27"/>
        <v>9.0277777781011537E-2</v>
      </c>
      <c r="AD444" t="str" cm="1">
        <f t="array" ref="AD444">IFERROR(_xlfn.IFS(
    AC444="", "",
    AC444*86400 &lt; 30, "1. 0s - &lt;30s",
    AC444*86400 &lt; 60, "2. 30s - &lt;1m",
    AC444*86400 &lt; 300, "3. 1m - &lt;5m",
    AC444*86400 &lt; 1800, "4. 5m - &lt;30m",
    TRUE, "5. &gt;= 30m"
),"6. Invalid (Order rejected)")</f>
        <v>5. &gt;= 30m</v>
      </c>
    </row>
    <row r="445" spans="1:30" hidden="1" x14ac:dyDescent="0.3">
      <c r="A445" t="s">
        <v>2873</v>
      </c>
      <c r="B445" t="s">
        <v>25</v>
      </c>
      <c r="C445">
        <v>43512432</v>
      </c>
      <c r="D445">
        <v>0</v>
      </c>
      <c r="E445" t="s">
        <v>25</v>
      </c>
      <c r="F445" t="s">
        <v>26</v>
      </c>
      <c r="G445" t="s">
        <v>27</v>
      </c>
      <c r="H445" t="s">
        <v>2874</v>
      </c>
      <c r="I445" t="s">
        <v>2875</v>
      </c>
      <c r="J445" t="s">
        <v>26</v>
      </c>
      <c r="K445" t="s">
        <v>26</v>
      </c>
      <c r="L445" t="s">
        <v>2876</v>
      </c>
      <c r="M445" t="s">
        <v>25</v>
      </c>
      <c r="N445" t="s">
        <v>2877</v>
      </c>
      <c r="O445" t="s">
        <v>2878</v>
      </c>
      <c r="P445" t="s">
        <v>2443</v>
      </c>
      <c r="Q445" t="s">
        <v>2444</v>
      </c>
      <c r="R445">
        <v>166968</v>
      </c>
      <c r="S445">
        <v>0</v>
      </c>
      <c r="T445">
        <v>166968</v>
      </c>
      <c r="U445" t="s">
        <v>35</v>
      </c>
      <c r="V445" t="s">
        <v>2879</v>
      </c>
      <c r="W445" t="s">
        <v>2446</v>
      </c>
      <c r="X445" s="4">
        <v>1</v>
      </c>
      <c r="Y445" s="4"/>
      <c r="Z445">
        <f t="shared" si="24"/>
        <v>8</v>
      </c>
      <c r="AA445">
        <f t="shared" si="25"/>
        <v>11</v>
      </c>
      <c r="AB445" s="5">
        <f t="shared" si="26"/>
        <v>0.30202546296641231</v>
      </c>
      <c r="AC445" s="3">
        <f t="shared" si="27"/>
        <v>0.14776620369957527</v>
      </c>
      <c r="AD445" t="str" cm="1">
        <f t="array" ref="AD445">IFERROR(_xlfn.IFS(
    AC445="", "",
    AC445*86400 &lt; 30, "1. 0s - &lt;30s",
    AC445*86400 &lt; 60, "2. 30s - &lt;1m",
    AC445*86400 &lt; 300, "3. 1m - &lt;5m",
    AC445*86400 &lt; 1800, "4. 5m - &lt;30m",
    TRUE, "5. &gt;= 30m"
),"6. Invalid (Order rejected)")</f>
        <v>5. &gt;= 30m</v>
      </c>
    </row>
    <row r="446" spans="1:30" hidden="1" x14ac:dyDescent="0.3">
      <c r="A446" t="s">
        <v>2880</v>
      </c>
      <c r="B446" t="s">
        <v>25</v>
      </c>
      <c r="C446">
        <v>43512432</v>
      </c>
      <c r="D446">
        <v>0</v>
      </c>
      <c r="E446" t="s">
        <v>25</v>
      </c>
      <c r="F446" t="s">
        <v>26</v>
      </c>
      <c r="G446" t="s">
        <v>27</v>
      </c>
      <c r="H446" t="s">
        <v>2881</v>
      </c>
      <c r="I446" t="s">
        <v>2882</v>
      </c>
      <c r="J446" t="s">
        <v>26</v>
      </c>
      <c r="K446" t="s">
        <v>26</v>
      </c>
      <c r="L446" t="s">
        <v>2883</v>
      </c>
      <c r="M446" t="s">
        <v>25</v>
      </c>
      <c r="N446" t="s">
        <v>2884</v>
      </c>
      <c r="O446" t="s">
        <v>2885</v>
      </c>
      <c r="P446" t="s">
        <v>2794</v>
      </c>
      <c r="Q446" t="s">
        <v>2795</v>
      </c>
      <c r="R446">
        <v>326808</v>
      </c>
      <c r="S446">
        <v>0</v>
      </c>
      <c r="T446">
        <v>326808</v>
      </c>
      <c r="U446" t="s">
        <v>35</v>
      </c>
      <c r="V446" t="s">
        <v>2886</v>
      </c>
      <c r="W446" t="s">
        <v>2796</v>
      </c>
      <c r="X446" s="4">
        <v>1</v>
      </c>
      <c r="Y446" s="4"/>
      <c r="Z446">
        <f t="shared" si="24"/>
        <v>8</v>
      </c>
      <c r="AA446">
        <f t="shared" si="25"/>
        <v>11</v>
      </c>
      <c r="AB446" s="5">
        <f t="shared" si="26"/>
        <v>0.30614583333226619</v>
      </c>
      <c r="AC446" s="3">
        <f t="shared" si="27"/>
        <v>0.15582175926101627</v>
      </c>
      <c r="AD446" t="str" cm="1">
        <f t="array" ref="AD446">IFERROR(_xlfn.IFS(
    AC446="", "",
    AC446*86400 &lt; 30, "1. 0s - &lt;30s",
    AC446*86400 &lt; 60, "2. 30s - &lt;1m",
    AC446*86400 &lt; 300, "3. 1m - &lt;5m",
    AC446*86400 &lt; 1800, "4. 5m - &lt;30m",
    TRUE, "5. &gt;= 30m"
),"6. Invalid (Order rejected)")</f>
        <v>5. &gt;= 30m</v>
      </c>
    </row>
    <row r="447" spans="1:30" hidden="1" x14ac:dyDescent="0.3">
      <c r="A447" t="s">
        <v>2887</v>
      </c>
      <c r="B447" t="s">
        <v>25</v>
      </c>
      <c r="C447">
        <v>43512432</v>
      </c>
      <c r="D447">
        <v>0</v>
      </c>
      <c r="E447" t="s">
        <v>25</v>
      </c>
      <c r="F447" t="s">
        <v>26</v>
      </c>
      <c r="G447" t="s">
        <v>27</v>
      </c>
      <c r="H447" t="s">
        <v>2888</v>
      </c>
      <c r="I447" t="s">
        <v>2889</v>
      </c>
      <c r="J447" t="s">
        <v>26</v>
      </c>
      <c r="K447" t="s">
        <v>26</v>
      </c>
      <c r="L447" t="s">
        <v>2890</v>
      </c>
      <c r="M447" t="s">
        <v>25</v>
      </c>
      <c r="N447" t="s">
        <v>496</v>
      </c>
      <c r="O447" t="s">
        <v>497</v>
      </c>
      <c r="P447" t="s">
        <v>2443</v>
      </c>
      <c r="Q447" t="s">
        <v>2444</v>
      </c>
      <c r="R447">
        <v>150984</v>
      </c>
      <c r="S447">
        <v>0</v>
      </c>
      <c r="T447">
        <v>150984</v>
      </c>
      <c r="U447" t="s">
        <v>35</v>
      </c>
      <c r="V447" t="s">
        <v>500</v>
      </c>
      <c r="W447" t="s">
        <v>2446</v>
      </c>
      <c r="X447" s="4">
        <v>1</v>
      </c>
      <c r="Y447" s="4"/>
      <c r="Z447">
        <f t="shared" si="24"/>
        <v>8</v>
      </c>
      <c r="AA447">
        <f t="shared" si="25"/>
        <v>11</v>
      </c>
      <c r="AB447" s="5">
        <f t="shared" si="26"/>
        <v>0.30820601851883112</v>
      </c>
      <c r="AC447" s="3">
        <f t="shared" si="27"/>
        <v>9.0833333335467614E-2</v>
      </c>
      <c r="AD447" t="str" cm="1">
        <f t="array" ref="AD447">IFERROR(_xlfn.IFS(
    AC447="", "",
    AC447*86400 &lt; 30, "1. 0s - &lt;30s",
    AC447*86400 &lt; 60, "2. 30s - &lt;1m",
    AC447*86400 &lt; 300, "3. 1m - &lt;5m",
    AC447*86400 &lt; 1800, "4. 5m - &lt;30m",
    TRUE, "5. &gt;= 30m"
),"6. Invalid (Order rejected)")</f>
        <v>5. &gt;= 30m</v>
      </c>
    </row>
    <row r="448" spans="1:30" hidden="1" x14ac:dyDescent="0.3">
      <c r="A448" t="s">
        <v>2891</v>
      </c>
      <c r="B448" t="s">
        <v>25</v>
      </c>
      <c r="C448">
        <v>43512432</v>
      </c>
      <c r="D448">
        <v>0</v>
      </c>
      <c r="E448" t="s">
        <v>25</v>
      </c>
      <c r="F448" t="s">
        <v>26</v>
      </c>
      <c r="G448" t="s">
        <v>27</v>
      </c>
      <c r="H448" t="s">
        <v>2892</v>
      </c>
      <c r="I448" t="s">
        <v>2893</v>
      </c>
      <c r="J448" t="s">
        <v>26</v>
      </c>
      <c r="K448" t="s">
        <v>26</v>
      </c>
      <c r="L448" t="s">
        <v>2894</v>
      </c>
      <c r="M448" t="s">
        <v>25</v>
      </c>
      <c r="N448" t="s">
        <v>2811</v>
      </c>
      <c r="O448" t="s">
        <v>2812</v>
      </c>
      <c r="P448" t="s">
        <v>2895</v>
      </c>
      <c r="Q448" t="s">
        <v>2896</v>
      </c>
      <c r="R448">
        <v>155304</v>
      </c>
      <c r="S448">
        <v>0</v>
      </c>
      <c r="T448">
        <v>155304</v>
      </c>
      <c r="U448" t="s">
        <v>35</v>
      </c>
      <c r="V448" t="s">
        <v>2813</v>
      </c>
      <c r="W448" t="s">
        <v>2897</v>
      </c>
      <c r="X448" s="4">
        <v>1</v>
      </c>
      <c r="Y448" s="4"/>
      <c r="Z448">
        <f t="shared" si="24"/>
        <v>8</v>
      </c>
      <c r="AA448">
        <f t="shared" si="25"/>
        <v>11</v>
      </c>
      <c r="AB448" s="5">
        <f t="shared" si="26"/>
        <v>0.29774305555474712</v>
      </c>
      <c r="AC448" s="3">
        <f t="shared" si="27"/>
        <v>9.0266203704231884E-2</v>
      </c>
      <c r="AD448" t="str" cm="1">
        <f t="array" ref="AD448">IFERROR(_xlfn.IFS(
    AC448="", "",
    AC448*86400 &lt; 30, "1. 0s - &lt;30s",
    AC448*86400 &lt; 60, "2. 30s - &lt;1m",
    AC448*86400 &lt; 300, "3. 1m - &lt;5m",
    AC448*86400 &lt; 1800, "4. 5m - &lt;30m",
    TRUE, "5. &gt;= 30m"
),"6. Invalid (Order rejected)")</f>
        <v>5. &gt;= 30m</v>
      </c>
    </row>
    <row r="449" spans="1:30" hidden="1" x14ac:dyDescent="0.3">
      <c r="A449" t="s">
        <v>2898</v>
      </c>
      <c r="B449" t="s">
        <v>25</v>
      </c>
      <c r="C449">
        <v>43512432</v>
      </c>
      <c r="D449">
        <v>0</v>
      </c>
      <c r="E449" t="s">
        <v>25</v>
      </c>
      <c r="F449" t="s">
        <v>26</v>
      </c>
      <c r="G449" t="s">
        <v>27</v>
      </c>
      <c r="H449" t="s">
        <v>2899</v>
      </c>
      <c r="I449" t="s">
        <v>2900</v>
      </c>
      <c r="J449" t="s">
        <v>26</v>
      </c>
      <c r="K449" t="s">
        <v>26</v>
      </c>
      <c r="L449" t="s">
        <v>2901</v>
      </c>
      <c r="M449" t="s">
        <v>25</v>
      </c>
      <c r="N449" t="s">
        <v>2902</v>
      </c>
      <c r="O449" t="s">
        <v>2903</v>
      </c>
      <c r="P449" t="s">
        <v>2870</v>
      </c>
      <c r="Q449" t="s">
        <v>2871</v>
      </c>
      <c r="R449">
        <v>192132</v>
      </c>
      <c r="S449">
        <v>0</v>
      </c>
      <c r="T449">
        <v>192132</v>
      </c>
      <c r="U449" t="s">
        <v>35</v>
      </c>
      <c r="V449" t="s">
        <v>2904</v>
      </c>
      <c r="W449" t="s">
        <v>2872</v>
      </c>
      <c r="X449" s="4">
        <v>1</v>
      </c>
      <c r="Y449" s="4"/>
      <c r="Z449">
        <f t="shared" si="24"/>
        <v>8</v>
      </c>
      <c r="AA449">
        <f t="shared" si="25"/>
        <v>11</v>
      </c>
      <c r="AB449" s="5">
        <f t="shared" si="26"/>
        <v>0.30851851851912215</v>
      </c>
      <c r="AC449" s="3">
        <f t="shared" si="27"/>
        <v>9.0266203704231884E-2</v>
      </c>
      <c r="AD449" t="str" cm="1">
        <f t="array" ref="AD449">IFERROR(_xlfn.IFS(
    AC449="", "",
    AC449*86400 &lt; 30, "1. 0s - &lt;30s",
    AC449*86400 &lt; 60, "2. 30s - &lt;1m",
    AC449*86400 &lt; 300, "3. 1m - &lt;5m",
    AC449*86400 &lt; 1800, "4. 5m - &lt;30m",
    TRUE, "5. &gt;= 30m"
),"6. Invalid (Order rejected)")</f>
        <v>5. &gt;= 30m</v>
      </c>
    </row>
    <row r="450" spans="1:30" hidden="1" x14ac:dyDescent="0.3">
      <c r="A450" t="s">
        <v>2905</v>
      </c>
      <c r="B450" t="s">
        <v>25</v>
      </c>
      <c r="C450">
        <v>43512432</v>
      </c>
      <c r="D450">
        <v>0</v>
      </c>
      <c r="E450" t="s">
        <v>25</v>
      </c>
      <c r="F450" t="s">
        <v>26</v>
      </c>
      <c r="G450" t="s">
        <v>27</v>
      </c>
      <c r="H450" t="s">
        <v>2906</v>
      </c>
      <c r="I450" t="s">
        <v>2907</v>
      </c>
      <c r="J450" t="s">
        <v>26</v>
      </c>
      <c r="K450" t="s">
        <v>26</v>
      </c>
      <c r="L450" t="s">
        <v>2908</v>
      </c>
      <c r="M450" t="s">
        <v>25</v>
      </c>
      <c r="N450" t="s">
        <v>2902</v>
      </c>
      <c r="O450" t="s">
        <v>2903</v>
      </c>
      <c r="P450" t="s">
        <v>1503</v>
      </c>
      <c r="Q450" t="s">
        <v>1504</v>
      </c>
      <c r="R450">
        <v>128304</v>
      </c>
      <c r="S450">
        <v>0</v>
      </c>
      <c r="T450">
        <v>128304</v>
      </c>
      <c r="U450" t="s">
        <v>35</v>
      </c>
      <c r="V450" t="s">
        <v>2904</v>
      </c>
      <c r="W450" t="s">
        <v>2814</v>
      </c>
      <c r="X450" s="4">
        <v>1</v>
      </c>
      <c r="Y450" s="4"/>
      <c r="Z450">
        <f t="shared" si="24"/>
        <v>8</v>
      </c>
      <c r="AA450">
        <f t="shared" si="25"/>
        <v>11</v>
      </c>
      <c r="AB450" s="5">
        <f t="shared" si="26"/>
        <v>0.3086805555576575</v>
      </c>
      <c r="AC450" s="3">
        <f t="shared" si="27"/>
        <v>0.11440972222044365</v>
      </c>
      <c r="AD450" t="str" cm="1">
        <f t="array" ref="AD450">IFERROR(_xlfn.IFS(
    AC450="", "",
    AC450*86400 &lt; 30, "1. 0s - &lt;30s",
    AC450*86400 &lt; 60, "2. 30s - &lt;1m",
    AC450*86400 &lt; 300, "3. 1m - &lt;5m",
    AC450*86400 &lt; 1800, "4. 5m - &lt;30m",
    TRUE, "5. &gt;= 30m"
),"6. Invalid (Order rejected)")</f>
        <v>5. &gt;= 30m</v>
      </c>
    </row>
    <row r="451" spans="1:30" x14ac:dyDescent="0.3">
      <c r="A451" t="s">
        <v>2909</v>
      </c>
      <c r="B451" t="s">
        <v>25</v>
      </c>
      <c r="C451">
        <v>43512432</v>
      </c>
      <c r="D451">
        <v>4605008</v>
      </c>
      <c r="E451" t="s">
        <v>25</v>
      </c>
      <c r="F451" t="s">
        <v>75</v>
      </c>
      <c r="G451" t="s">
        <v>360</v>
      </c>
      <c r="H451" t="s">
        <v>2910</v>
      </c>
      <c r="I451" t="s">
        <v>2911</v>
      </c>
      <c r="J451" t="s">
        <v>2912</v>
      </c>
      <c r="K451" t="s">
        <v>26</v>
      </c>
      <c r="L451" t="s">
        <v>25</v>
      </c>
      <c r="M451" t="s">
        <v>25</v>
      </c>
      <c r="N451" t="s">
        <v>2902</v>
      </c>
      <c r="O451" t="s">
        <v>2903</v>
      </c>
      <c r="P451" t="s">
        <v>2824</v>
      </c>
      <c r="Q451" t="s">
        <v>2825</v>
      </c>
      <c r="R451">
        <v>225936</v>
      </c>
      <c r="S451">
        <v>175153</v>
      </c>
      <c r="T451">
        <v>50783</v>
      </c>
      <c r="U451" t="s">
        <v>35</v>
      </c>
      <c r="V451" t="s">
        <v>2904</v>
      </c>
      <c r="W451" t="s">
        <v>2826</v>
      </c>
      <c r="X451" s="4">
        <v>1</v>
      </c>
      <c r="Y451" s="4"/>
      <c r="Z451">
        <f t="shared" ref="Z451:Z514" si="28">MONTH(H451)</f>
        <v>8</v>
      </c>
      <c r="AA451">
        <f t="shared" ref="AA451:AA514" si="29">DAY(H451)</f>
        <v>11</v>
      </c>
      <c r="AB451" s="5">
        <f t="shared" ref="AB451:AB514" si="30">MOD(H451, 1)</f>
        <v>0.30883101851941319</v>
      </c>
      <c r="AC451" s="3" t="str">
        <f t="shared" ref="AC451:AC514" si="31">IFERROR(IF(M451="",L451-H451,M451-H451),"Order rejected, no time available")</f>
        <v>Order rejected, no time available</v>
      </c>
      <c r="AD451" t="str" cm="1">
        <f t="array" ref="AD451">IFERROR(_xlfn.IFS(
    AC451="", "",
    AC451*86400 &lt; 30, "1. 0s - &lt;30s",
    AC451*86400 &lt; 60, "2. 30s - &lt;1m",
    AC451*86400 &lt; 300, "3. 1m - &lt;5m",
    AC451*86400 &lt; 1800, "4. 5m - &lt;30m",
    TRUE, "5. &gt;= 30m"
),"6. Invalid (Order rejected)")</f>
        <v>6. Invalid (Order rejected)</v>
      </c>
    </row>
    <row r="452" spans="1:30" hidden="1" x14ac:dyDescent="0.3">
      <c r="A452" t="s">
        <v>2913</v>
      </c>
      <c r="B452" t="s">
        <v>25</v>
      </c>
      <c r="C452">
        <v>43512432</v>
      </c>
      <c r="D452">
        <v>0</v>
      </c>
      <c r="E452" t="s">
        <v>25</v>
      </c>
      <c r="F452" t="s">
        <v>26</v>
      </c>
      <c r="G452" t="s">
        <v>27</v>
      </c>
      <c r="H452" t="s">
        <v>2914</v>
      </c>
      <c r="I452" t="s">
        <v>2915</v>
      </c>
      <c r="J452" t="s">
        <v>26</v>
      </c>
      <c r="K452" t="s">
        <v>26</v>
      </c>
      <c r="L452" t="s">
        <v>2916</v>
      </c>
      <c r="M452" t="s">
        <v>25</v>
      </c>
      <c r="N452" t="s">
        <v>1447</v>
      </c>
      <c r="O452" t="s">
        <v>1448</v>
      </c>
      <c r="P452" t="s">
        <v>2824</v>
      </c>
      <c r="Q452" t="s">
        <v>2825</v>
      </c>
      <c r="R452">
        <v>241920</v>
      </c>
      <c r="S452">
        <v>0</v>
      </c>
      <c r="T452">
        <v>241920</v>
      </c>
      <c r="U452" t="s">
        <v>35</v>
      </c>
      <c r="V452" t="s">
        <v>1451</v>
      </c>
      <c r="W452" t="s">
        <v>2826</v>
      </c>
      <c r="X452" s="4">
        <v>1</v>
      </c>
      <c r="Y452" s="4"/>
      <c r="Z452">
        <f t="shared" si="28"/>
        <v>8</v>
      </c>
      <c r="AA452">
        <f t="shared" si="29"/>
        <v>11</v>
      </c>
      <c r="AB452" s="5">
        <f t="shared" si="30"/>
        <v>0.30269675925956108</v>
      </c>
      <c r="AC452" s="3">
        <f t="shared" si="31"/>
        <v>9.0266203704231884E-2</v>
      </c>
      <c r="AD452" t="str" cm="1">
        <f t="array" ref="AD452">IFERROR(_xlfn.IFS(
    AC452="", "",
    AC452*86400 &lt; 30, "1. 0s - &lt;30s",
    AC452*86400 &lt; 60, "2. 30s - &lt;1m",
    AC452*86400 &lt; 300, "3. 1m - &lt;5m",
    AC452*86400 &lt; 1800, "4. 5m - &lt;30m",
    TRUE, "5. &gt;= 30m"
),"6. Invalid (Order rejected)")</f>
        <v>5. &gt;= 30m</v>
      </c>
    </row>
    <row r="453" spans="1:30" hidden="1" x14ac:dyDescent="0.3">
      <c r="A453" t="s">
        <v>2917</v>
      </c>
      <c r="B453" t="s">
        <v>25</v>
      </c>
      <c r="C453">
        <v>43512432</v>
      </c>
      <c r="D453">
        <v>0</v>
      </c>
      <c r="E453" t="s">
        <v>25</v>
      </c>
      <c r="F453" t="s">
        <v>26</v>
      </c>
      <c r="G453" t="s">
        <v>27</v>
      </c>
      <c r="H453" t="s">
        <v>2918</v>
      </c>
      <c r="I453" t="s">
        <v>2919</v>
      </c>
      <c r="J453" t="s">
        <v>26</v>
      </c>
      <c r="K453" t="s">
        <v>26</v>
      </c>
      <c r="L453" t="s">
        <v>2920</v>
      </c>
      <c r="M453" t="s">
        <v>25</v>
      </c>
      <c r="N453" t="s">
        <v>2921</v>
      </c>
      <c r="O453" t="s">
        <v>2922</v>
      </c>
      <c r="P453" t="s">
        <v>2803</v>
      </c>
      <c r="Q453" t="s">
        <v>2804</v>
      </c>
      <c r="R453">
        <v>254556</v>
      </c>
      <c r="S453">
        <v>0</v>
      </c>
      <c r="T453">
        <v>254556</v>
      </c>
      <c r="U453" t="s">
        <v>35</v>
      </c>
      <c r="V453" t="s">
        <v>2923</v>
      </c>
      <c r="W453" t="s">
        <v>2806</v>
      </c>
      <c r="X453" s="4">
        <v>1</v>
      </c>
      <c r="Y453" s="4"/>
      <c r="Z453">
        <f t="shared" si="28"/>
        <v>8</v>
      </c>
      <c r="AA453">
        <f t="shared" si="29"/>
        <v>11</v>
      </c>
      <c r="AB453" s="5">
        <f t="shared" si="30"/>
        <v>0.30391203703766223</v>
      </c>
      <c r="AC453" s="3">
        <f t="shared" si="31"/>
        <v>9.0266203704231884E-2</v>
      </c>
      <c r="AD453" t="str" cm="1">
        <f t="array" ref="AD453">IFERROR(_xlfn.IFS(
    AC453="", "",
    AC453*86400 &lt; 30, "1. 0s - &lt;30s",
    AC453*86400 &lt; 60, "2. 30s - &lt;1m",
    AC453*86400 &lt; 300, "3. 1m - &lt;5m",
    AC453*86400 &lt; 1800, "4. 5m - &lt;30m",
    TRUE, "5. &gt;= 30m"
),"6. Invalid (Order rejected)")</f>
        <v>5. &gt;= 30m</v>
      </c>
    </row>
    <row r="454" spans="1:30" hidden="1" x14ac:dyDescent="0.3">
      <c r="A454" t="s">
        <v>2924</v>
      </c>
      <c r="B454" t="s">
        <v>25</v>
      </c>
      <c r="C454">
        <v>43512432</v>
      </c>
      <c r="D454">
        <v>0</v>
      </c>
      <c r="E454" t="s">
        <v>25</v>
      </c>
      <c r="F454" t="s">
        <v>26</v>
      </c>
      <c r="G454" t="s">
        <v>27</v>
      </c>
      <c r="H454" t="s">
        <v>2925</v>
      </c>
      <c r="I454" t="s">
        <v>2926</v>
      </c>
      <c r="J454" t="s">
        <v>26</v>
      </c>
      <c r="K454" t="s">
        <v>26</v>
      </c>
      <c r="L454" t="s">
        <v>2927</v>
      </c>
      <c r="M454" t="s">
        <v>25</v>
      </c>
      <c r="N454" t="s">
        <v>2884</v>
      </c>
      <c r="O454" t="s">
        <v>2885</v>
      </c>
      <c r="P454" t="s">
        <v>2841</v>
      </c>
      <c r="Q454" t="s">
        <v>2842</v>
      </c>
      <c r="R454">
        <v>228528</v>
      </c>
      <c r="S454">
        <v>0</v>
      </c>
      <c r="T454">
        <v>228528</v>
      </c>
      <c r="U454" t="s">
        <v>35</v>
      </c>
      <c r="V454" t="s">
        <v>2886</v>
      </c>
      <c r="W454" t="s">
        <v>2843</v>
      </c>
      <c r="X454" s="4">
        <v>1</v>
      </c>
      <c r="Y454" s="4"/>
      <c r="Z454">
        <f t="shared" si="28"/>
        <v>8</v>
      </c>
      <c r="AA454">
        <f t="shared" si="29"/>
        <v>11</v>
      </c>
      <c r="AB454" s="5">
        <f t="shared" si="30"/>
        <v>0.30600694444729015</v>
      </c>
      <c r="AC454" s="3">
        <f t="shared" si="31"/>
        <v>9.0266203704231884E-2</v>
      </c>
      <c r="AD454" t="str" cm="1">
        <f t="array" ref="AD454">IFERROR(_xlfn.IFS(
    AC454="", "",
    AC454*86400 &lt; 30, "1. 0s - &lt;30s",
    AC454*86400 &lt; 60, "2. 30s - &lt;1m",
    AC454*86400 &lt; 300, "3. 1m - &lt;5m",
    AC454*86400 &lt; 1800, "4. 5m - &lt;30m",
    TRUE, "5. &gt;= 30m"
),"6. Invalid (Order rejected)")</f>
        <v>5. &gt;= 30m</v>
      </c>
    </row>
    <row r="455" spans="1:30" hidden="1" x14ac:dyDescent="0.3">
      <c r="A455" t="s">
        <v>2928</v>
      </c>
      <c r="B455" t="s">
        <v>25</v>
      </c>
      <c r="C455">
        <v>43512432</v>
      </c>
      <c r="D455">
        <v>0</v>
      </c>
      <c r="E455" t="s">
        <v>25</v>
      </c>
      <c r="F455" t="s">
        <v>26</v>
      </c>
      <c r="G455" t="s">
        <v>27</v>
      </c>
      <c r="H455" t="s">
        <v>2929</v>
      </c>
      <c r="I455" t="s">
        <v>2930</v>
      </c>
      <c r="J455" t="s">
        <v>26</v>
      </c>
      <c r="K455" t="s">
        <v>26</v>
      </c>
      <c r="L455" t="s">
        <v>2931</v>
      </c>
      <c r="M455" t="s">
        <v>25</v>
      </c>
      <c r="N455" t="s">
        <v>2932</v>
      </c>
      <c r="O455" t="s">
        <v>2933</v>
      </c>
      <c r="P455" t="s">
        <v>2856</v>
      </c>
      <c r="Q455" t="s">
        <v>2857</v>
      </c>
      <c r="R455">
        <v>357048</v>
      </c>
      <c r="S455">
        <v>0</v>
      </c>
      <c r="T455">
        <v>357048</v>
      </c>
      <c r="U455" t="s">
        <v>35</v>
      </c>
      <c r="V455" t="s">
        <v>2934</v>
      </c>
      <c r="W455" t="s">
        <v>2858</v>
      </c>
      <c r="X455" s="4">
        <v>1</v>
      </c>
      <c r="Y455" s="4"/>
      <c r="Z455">
        <f t="shared" si="28"/>
        <v>8</v>
      </c>
      <c r="AA455">
        <f t="shared" si="29"/>
        <v>11</v>
      </c>
      <c r="AB455" s="5">
        <f t="shared" si="30"/>
        <v>0.307164351848769</v>
      </c>
      <c r="AC455" s="3">
        <f t="shared" si="31"/>
        <v>9.0266203704231884E-2</v>
      </c>
      <c r="AD455" t="str" cm="1">
        <f t="array" ref="AD455">IFERROR(_xlfn.IFS(
    AC455="", "",
    AC455*86400 &lt; 30, "1. 0s - &lt;30s",
    AC455*86400 &lt; 60, "2. 30s - &lt;1m",
    AC455*86400 &lt; 300, "3. 1m - &lt;5m",
    AC455*86400 &lt; 1800, "4. 5m - &lt;30m",
    TRUE, "5. &gt;= 30m"
),"6. Invalid (Order rejected)")</f>
        <v>5. &gt;= 30m</v>
      </c>
    </row>
    <row r="456" spans="1:30" x14ac:dyDescent="0.3">
      <c r="A456" t="s">
        <v>2935</v>
      </c>
      <c r="B456" t="s">
        <v>25</v>
      </c>
      <c r="C456">
        <v>43512432</v>
      </c>
      <c r="D456">
        <v>698521</v>
      </c>
      <c r="E456" t="s">
        <v>25</v>
      </c>
      <c r="F456" t="s">
        <v>75</v>
      </c>
      <c r="G456" t="s">
        <v>360</v>
      </c>
      <c r="H456" t="s">
        <v>2936</v>
      </c>
      <c r="I456" t="s">
        <v>2937</v>
      </c>
      <c r="J456" t="s">
        <v>2938</v>
      </c>
      <c r="K456" t="s">
        <v>26</v>
      </c>
      <c r="L456" t="s">
        <v>25</v>
      </c>
      <c r="M456" t="s">
        <v>25</v>
      </c>
      <c r="N456" t="s">
        <v>441</v>
      </c>
      <c r="O456" t="s">
        <v>442</v>
      </c>
      <c r="P456" t="s">
        <v>2833</v>
      </c>
      <c r="Q456" t="s">
        <v>2834</v>
      </c>
      <c r="R456">
        <v>321840</v>
      </c>
      <c r="S456">
        <v>249500</v>
      </c>
      <c r="T456">
        <v>72340</v>
      </c>
      <c r="U456" t="s">
        <v>35</v>
      </c>
      <c r="V456" t="s">
        <v>445</v>
      </c>
      <c r="W456" t="s">
        <v>2836</v>
      </c>
      <c r="X456" s="4">
        <v>1</v>
      </c>
      <c r="Y456" s="4"/>
      <c r="Z456">
        <f t="shared" si="28"/>
        <v>8</v>
      </c>
      <c r="AA456">
        <f t="shared" si="29"/>
        <v>11</v>
      </c>
      <c r="AB456" s="5">
        <f t="shared" si="30"/>
        <v>0.30333333333692281</v>
      </c>
      <c r="AC456" s="3" t="str">
        <f t="shared" si="31"/>
        <v>Order rejected, no time available</v>
      </c>
      <c r="AD456" t="str" cm="1">
        <f t="array" ref="AD456">IFERROR(_xlfn.IFS(
    AC456="", "",
    AC456*86400 &lt; 30, "1. 0s - &lt;30s",
    AC456*86400 &lt; 60, "2. 30s - &lt;1m",
    AC456*86400 &lt; 300, "3. 1m - &lt;5m",
    AC456*86400 &lt; 1800, "4. 5m - &lt;30m",
    TRUE, "5. &gt;= 30m"
),"6. Invalid (Order rejected)")</f>
        <v>6. Invalid (Order rejected)</v>
      </c>
    </row>
    <row r="457" spans="1:30" hidden="1" x14ac:dyDescent="0.3">
      <c r="A457" t="s">
        <v>2939</v>
      </c>
      <c r="B457" t="s">
        <v>25</v>
      </c>
      <c r="C457">
        <v>43512432</v>
      </c>
      <c r="D457">
        <v>0</v>
      </c>
      <c r="E457" t="s">
        <v>25</v>
      </c>
      <c r="F457" t="s">
        <v>26</v>
      </c>
      <c r="G457" t="s">
        <v>27</v>
      </c>
      <c r="H457" t="s">
        <v>2940</v>
      </c>
      <c r="I457" t="s">
        <v>2941</v>
      </c>
      <c r="J457" t="s">
        <v>26</v>
      </c>
      <c r="K457" t="s">
        <v>26</v>
      </c>
      <c r="L457" t="s">
        <v>2942</v>
      </c>
      <c r="M457" t="s">
        <v>25</v>
      </c>
      <c r="N457" t="s">
        <v>2943</v>
      </c>
      <c r="O457" t="s">
        <v>2944</v>
      </c>
      <c r="P457" t="s">
        <v>2833</v>
      </c>
      <c r="Q457" t="s">
        <v>2834</v>
      </c>
      <c r="R457">
        <v>229716</v>
      </c>
      <c r="S457">
        <v>0</v>
      </c>
      <c r="T457">
        <v>229716</v>
      </c>
      <c r="U457" t="s">
        <v>35</v>
      </c>
      <c r="V457" t="s">
        <v>2945</v>
      </c>
      <c r="W457" t="s">
        <v>2836</v>
      </c>
      <c r="X457" s="4">
        <v>1</v>
      </c>
      <c r="Y457" s="4"/>
      <c r="Z457">
        <f t="shared" si="28"/>
        <v>8</v>
      </c>
      <c r="AA457">
        <f t="shared" si="29"/>
        <v>11</v>
      </c>
      <c r="AB457" s="5">
        <f t="shared" si="30"/>
        <v>0.30645833333255723</v>
      </c>
      <c r="AC457" s="3">
        <f t="shared" si="31"/>
        <v>9.0266203704231884E-2</v>
      </c>
      <c r="AD457" t="str" cm="1">
        <f t="array" ref="AD457">IFERROR(_xlfn.IFS(
    AC457="", "",
    AC457*86400 &lt; 30, "1. 0s - &lt;30s",
    AC457*86400 &lt; 60, "2. 30s - &lt;1m",
    AC457*86400 &lt; 300, "3. 1m - &lt;5m",
    AC457*86400 &lt; 1800, "4. 5m - &lt;30m",
    TRUE, "5. &gt;= 30m"
),"6. Invalid (Order rejected)")</f>
        <v>5. &gt;= 30m</v>
      </c>
    </row>
    <row r="458" spans="1:30" hidden="1" x14ac:dyDescent="0.3">
      <c r="A458" t="s">
        <v>2946</v>
      </c>
      <c r="B458" t="s">
        <v>25</v>
      </c>
      <c r="C458">
        <v>43512432</v>
      </c>
      <c r="D458">
        <v>0</v>
      </c>
      <c r="E458" t="s">
        <v>25</v>
      </c>
      <c r="F458" t="s">
        <v>26</v>
      </c>
      <c r="G458" t="s">
        <v>27</v>
      </c>
      <c r="H458" t="s">
        <v>2947</v>
      </c>
      <c r="I458" t="s">
        <v>2948</v>
      </c>
      <c r="J458" t="s">
        <v>26</v>
      </c>
      <c r="K458" t="s">
        <v>26</v>
      </c>
      <c r="L458" t="s">
        <v>2949</v>
      </c>
      <c r="M458" t="s">
        <v>25</v>
      </c>
      <c r="N458" t="s">
        <v>2932</v>
      </c>
      <c r="O458" t="s">
        <v>2933</v>
      </c>
      <c r="P458" t="s">
        <v>2950</v>
      </c>
      <c r="Q458" t="s">
        <v>2951</v>
      </c>
      <c r="R458">
        <v>184572</v>
      </c>
      <c r="S458">
        <v>0</v>
      </c>
      <c r="T458">
        <v>184572</v>
      </c>
      <c r="U458" t="s">
        <v>35</v>
      </c>
      <c r="V458" t="s">
        <v>2934</v>
      </c>
      <c r="W458" t="s">
        <v>2952</v>
      </c>
      <c r="X458" s="4">
        <v>1</v>
      </c>
      <c r="Y458" s="4"/>
      <c r="Z458">
        <f t="shared" si="28"/>
        <v>8</v>
      </c>
      <c r="AA458">
        <f t="shared" si="29"/>
        <v>11</v>
      </c>
      <c r="AB458" s="5">
        <f t="shared" si="30"/>
        <v>0.30744212962599704</v>
      </c>
      <c r="AC458" s="3">
        <f t="shared" si="31"/>
        <v>9.0266203704231884E-2</v>
      </c>
      <c r="AD458" t="str" cm="1">
        <f t="array" ref="AD458">IFERROR(_xlfn.IFS(
    AC458="", "",
    AC458*86400 &lt; 30, "1. 0s - &lt;30s",
    AC458*86400 &lt; 60, "2. 30s - &lt;1m",
    AC458*86400 &lt; 300, "3. 1m - &lt;5m",
    AC458*86400 &lt; 1800, "4. 5m - &lt;30m",
    TRUE, "5. &gt;= 30m"
),"6. Invalid (Order rejected)")</f>
        <v>5. &gt;= 30m</v>
      </c>
    </row>
    <row r="459" spans="1:30" hidden="1" x14ac:dyDescent="0.3">
      <c r="A459" t="s">
        <v>2953</v>
      </c>
      <c r="B459" t="s">
        <v>25</v>
      </c>
      <c r="C459">
        <v>43512432</v>
      </c>
      <c r="D459">
        <v>0</v>
      </c>
      <c r="E459" t="s">
        <v>25</v>
      </c>
      <c r="F459" t="s">
        <v>26</v>
      </c>
      <c r="G459" t="s">
        <v>27</v>
      </c>
      <c r="H459" t="s">
        <v>2954</v>
      </c>
      <c r="I459" t="s">
        <v>2955</v>
      </c>
      <c r="J459" t="s">
        <v>26</v>
      </c>
      <c r="K459" t="s">
        <v>26</v>
      </c>
      <c r="L459" t="s">
        <v>2956</v>
      </c>
      <c r="M459" t="s">
        <v>25</v>
      </c>
      <c r="N459" t="s">
        <v>496</v>
      </c>
      <c r="O459" t="s">
        <v>497</v>
      </c>
      <c r="P459" t="s">
        <v>2895</v>
      </c>
      <c r="Q459" t="s">
        <v>2896</v>
      </c>
      <c r="R459">
        <v>189972</v>
      </c>
      <c r="S459">
        <v>0</v>
      </c>
      <c r="T459">
        <v>189972</v>
      </c>
      <c r="U459" t="s">
        <v>35</v>
      </c>
      <c r="V459" t="s">
        <v>500</v>
      </c>
      <c r="W459" t="s">
        <v>2897</v>
      </c>
      <c r="X459" s="4">
        <v>1</v>
      </c>
      <c r="Y459" s="4"/>
      <c r="Z459">
        <f t="shared" si="28"/>
        <v>8</v>
      </c>
      <c r="AA459">
        <f t="shared" si="29"/>
        <v>11</v>
      </c>
      <c r="AB459" s="5">
        <f t="shared" si="30"/>
        <v>0.30806712962657912</v>
      </c>
      <c r="AC459" s="3">
        <f t="shared" si="31"/>
        <v>9.0277777781011537E-2</v>
      </c>
      <c r="AD459" t="str" cm="1">
        <f t="array" ref="AD459">IFERROR(_xlfn.IFS(
    AC459="", "",
    AC459*86400 &lt; 30, "1. 0s - &lt;30s",
    AC459*86400 &lt; 60, "2. 30s - &lt;1m",
    AC459*86400 &lt; 300, "3. 1m - &lt;5m",
    AC459*86400 &lt; 1800, "4. 5m - &lt;30m",
    TRUE, "5. &gt;= 30m"
),"6. Invalid (Order rejected)")</f>
        <v>5. &gt;= 30m</v>
      </c>
    </row>
    <row r="460" spans="1:30" hidden="1" x14ac:dyDescent="0.3">
      <c r="A460" t="s">
        <v>2957</v>
      </c>
      <c r="B460" t="s">
        <v>25</v>
      </c>
      <c r="C460">
        <v>43512432</v>
      </c>
      <c r="D460">
        <v>0</v>
      </c>
      <c r="E460" t="s">
        <v>25</v>
      </c>
      <c r="F460" t="s">
        <v>26</v>
      </c>
      <c r="G460" t="s">
        <v>27</v>
      </c>
      <c r="H460" t="s">
        <v>2958</v>
      </c>
      <c r="I460" t="s">
        <v>2959</v>
      </c>
      <c r="J460" t="s">
        <v>26</v>
      </c>
      <c r="K460" t="s">
        <v>26</v>
      </c>
      <c r="L460" t="s">
        <v>2960</v>
      </c>
      <c r="M460" t="s">
        <v>25</v>
      </c>
      <c r="N460" t="s">
        <v>2831</v>
      </c>
      <c r="O460" t="s">
        <v>2832</v>
      </c>
      <c r="P460" t="s">
        <v>2841</v>
      </c>
      <c r="Q460" t="s">
        <v>2842</v>
      </c>
      <c r="R460">
        <v>307692</v>
      </c>
      <c r="S460">
        <v>0</v>
      </c>
      <c r="T460">
        <v>307692</v>
      </c>
      <c r="U460" t="s">
        <v>35</v>
      </c>
      <c r="V460" t="s">
        <v>2835</v>
      </c>
      <c r="W460" t="s">
        <v>2843</v>
      </c>
      <c r="X460" s="4">
        <v>1</v>
      </c>
      <c r="Y460" s="4"/>
      <c r="Z460">
        <f t="shared" si="28"/>
        <v>8</v>
      </c>
      <c r="AA460">
        <f t="shared" si="29"/>
        <v>11</v>
      </c>
      <c r="AB460" s="5">
        <f t="shared" si="30"/>
        <v>0.30005787037225673</v>
      </c>
      <c r="AC460" s="3">
        <f t="shared" si="31"/>
        <v>9.0266203704231884E-2</v>
      </c>
      <c r="AD460" t="str" cm="1">
        <f t="array" ref="AD460">IFERROR(_xlfn.IFS(
    AC460="", "",
    AC460*86400 &lt; 30, "1. 0s - &lt;30s",
    AC460*86400 &lt; 60, "2. 30s - &lt;1m",
    AC460*86400 &lt; 300, "3. 1m - &lt;5m",
    AC460*86400 &lt; 1800, "4. 5m - &lt;30m",
    TRUE, "5. &gt;= 30m"
),"6. Invalid (Order rejected)")</f>
        <v>5. &gt;= 30m</v>
      </c>
    </row>
    <row r="461" spans="1:30" hidden="1" x14ac:dyDescent="0.3">
      <c r="A461" t="s">
        <v>2961</v>
      </c>
      <c r="B461" t="s">
        <v>25</v>
      </c>
      <c r="C461">
        <v>43512432</v>
      </c>
      <c r="D461">
        <v>0</v>
      </c>
      <c r="E461" t="s">
        <v>25</v>
      </c>
      <c r="F461" t="s">
        <v>26</v>
      </c>
      <c r="G461" t="s">
        <v>27</v>
      </c>
      <c r="H461" t="s">
        <v>2962</v>
      </c>
      <c r="I461" t="s">
        <v>2963</v>
      </c>
      <c r="J461" t="s">
        <v>26</v>
      </c>
      <c r="K461" t="s">
        <v>26</v>
      </c>
      <c r="L461" t="s">
        <v>2964</v>
      </c>
      <c r="M461" t="s">
        <v>25</v>
      </c>
      <c r="N461" t="s">
        <v>2921</v>
      </c>
      <c r="O461" t="s">
        <v>2922</v>
      </c>
      <c r="P461" t="s">
        <v>2965</v>
      </c>
      <c r="Q461" t="s">
        <v>2966</v>
      </c>
      <c r="R461">
        <v>226260</v>
      </c>
      <c r="S461">
        <v>0</v>
      </c>
      <c r="T461">
        <v>226260</v>
      </c>
      <c r="U461" t="s">
        <v>35</v>
      </c>
      <c r="V461" t="s">
        <v>2923</v>
      </c>
      <c r="W461" t="s">
        <v>2967</v>
      </c>
      <c r="X461" s="4">
        <v>1</v>
      </c>
      <c r="Y461" s="4"/>
      <c r="Z461">
        <f t="shared" si="28"/>
        <v>8</v>
      </c>
      <c r="AA461">
        <f t="shared" si="29"/>
        <v>11</v>
      </c>
      <c r="AB461" s="5">
        <f t="shared" si="30"/>
        <v>0.30420138889166992</v>
      </c>
      <c r="AC461" s="3">
        <f t="shared" si="31"/>
        <v>9.0266203704231884E-2</v>
      </c>
      <c r="AD461" t="str" cm="1">
        <f t="array" ref="AD461">IFERROR(_xlfn.IFS(
    AC461="", "",
    AC461*86400 &lt; 30, "1. 0s - &lt;30s",
    AC461*86400 &lt; 60, "2. 30s - &lt;1m",
    AC461*86400 &lt; 300, "3. 1m - &lt;5m",
    AC461*86400 &lt; 1800, "4. 5m - &lt;30m",
    TRUE, "5. &gt;= 30m"
),"6. Invalid (Order rejected)")</f>
        <v>5. &gt;= 30m</v>
      </c>
    </row>
    <row r="462" spans="1:30" hidden="1" x14ac:dyDescent="0.3">
      <c r="A462" t="s">
        <v>2968</v>
      </c>
      <c r="B462" t="s">
        <v>25</v>
      </c>
      <c r="C462">
        <v>43512432</v>
      </c>
      <c r="D462">
        <v>0</v>
      </c>
      <c r="E462" t="s">
        <v>25</v>
      </c>
      <c r="F462" t="s">
        <v>26</v>
      </c>
      <c r="G462" t="s">
        <v>27</v>
      </c>
      <c r="H462" t="s">
        <v>2969</v>
      </c>
      <c r="I462" t="s">
        <v>2970</v>
      </c>
      <c r="J462" t="s">
        <v>26</v>
      </c>
      <c r="K462" t="s">
        <v>26</v>
      </c>
      <c r="L462" t="s">
        <v>2971</v>
      </c>
      <c r="M462" t="s">
        <v>25</v>
      </c>
      <c r="N462" t="s">
        <v>2932</v>
      </c>
      <c r="O462" t="s">
        <v>2933</v>
      </c>
      <c r="P462" t="s">
        <v>2965</v>
      </c>
      <c r="Q462" t="s">
        <v>2966</v>
      </c>
      <c r="R462">
        <v>209628</v>
      </c>
      <c r="S462">
        <v>0</v>
      </c>
      <c r="T462">
        <v>209628</v>
      </c>
      <c r="U462" t="s">
        <v>35</v>
      </c>
      <c r="V462" t="s">
        <v>2934</v>
      </c>
      <c r="W462" t="s">
        <v>2967</v>
      </c>
      <c r="X462" s="4">
        <v>1</v>
      </c>
      <c r="Y462" s="4"/>
      <c r="Z462">
        <f t="shared" si="28"/>
        <v>8</v>
      </c>
      <c r="AA462">
        <f t="shared" si="29"/>
        <v>11</v>
      </c>
      <c r="AB462" s="5">
        <f t="shared" si="30"/>
        <v>0.30731481481780065</v>
      </c>
      <c r="AC462" s="3">
        <f t="shared" si="31"/>
        <v>9.0266203704231884E-2</v>
      </c>
      <c r="AD462" t="str" cm="1">
        <f t="array" ref="AD462">IFERROR(_xlfn.IFS(
    AC462="", "",
    AC462*86400 &lt; 30, "1. 0s - &lt;30s",
    AC462*86400 &lt; 60, "2. 30s - &lt;1m",
    AC462*86400 &lt; 300, "3. 1m - &lt;5m",
    AC462*86400 &lt; 1800, "4. 5m - &lt;30m",
    TRUE, "5. &gt;= 30m"
),"6. Invalid (Order rejected)")</f>
        <v>5. &gt;= 30m</v>
      </c>
    </row>
    <row r="463" spans="1:30" hidden="1" x14ac:dyDescent="0.3">
      <c r="A463" t="s">
        <v>2972</v>
      </c>
      <c r="B463" t="s">
        <v>25</v>
      </c>
      <c r="C463">
        <v>43512432</v>
      </c>
      <c r="D463">
        <v>0</v>
      </c>
      <c r="E463" t="s">
        <v>25</v>
      </c>
      <c r="F463" t="s">
        <v>26</v>
      </c>
      <c r="G463" t="s">
        <v>27</v>
      </c>
      <c r="H463" t="s">
        <v>2973</v>
      </c>
      <c r="I463" t="s">
        <v>2974</v>
      </c>
      <c r="J463" t="s">
        <v>26</v>
      </c>
      <c r="K463" t="s">
        <v>26</v>
      </c>
      <c r="L463" t="s">
        <v>2975</v>
      </c>
      <c r="M463" t="s">
        <v>25</v>
      </c>
      <c r="N463" t="s">
        <v>2902</v>
      </c>
      <c r="O463" t="s">
        <v>2903</v>
      </c>
      <c r="P463" t="s">
        <v>2841</v>
      </c>
      <c r="Q463" t="s">
        <v>2842</v>
      </c>
      <c r="R463">
        <v>404568</v>
      </c>
      <c r="S463">
        <v>0</v>
      </c>
      <c r="T463">
        <v>404568</v>
      </c>
      <c r="U463" t="s">
        <v>35</v>
      </c>
      <c r="V463" t="s">
        <v>2904</v>
      </c>
      <c r="W463" t="s">
        <v>2843</v>
      </c>
      <c r="X463" s="4">
        <v>1</v>
      </c>
      <c r="Y463" s="4"/>
      <c r="Z463">
        <f t="shared" si="28"/>
        <v>8</v>
      </c>
      <c r="AA463">
        <f t="shared" si="29"/>
        <v>11</v>
      </c>
      <c r="AB463" s="5">
        <f t="shared" si="30"/>
        <v>0.30898148148116888</v>
      </c>
      <c r="AC463" s="3">
        <f t="shared" si="31"/>
        <v>9.0266203704231884E-2</v>
      </c>
      <c r="AD463" t="str" cm="1">
        <f t="array" ref="AD463">IFERROR(_xlfn.IFS(
    AC463="", "",
    AC463*86400 &lt; 30, "1. 0s - &lt;30s",
    AC463*86400 &lt; 60, "2. 30s - &lt;1m",
    AC463*86400 &lt; 300, "3. 1m - &lt;5m",
    AC463*86400 &lt; 1800, "4. 5m - &lt;30m",
    TRUE, "5. &gt;= 30m"
),"6. Invalid (Order rejected)")</f>
        <v>5. &gt;= 30m</v>
      </c>
    </row>
    <row r="464" spans="1:30" hidden="1" x14ac:dyDescent="0.3">
      <c r="A464" t="s">
        <v>2976</v>
      </c>
      <c r="B464" t="s">
        <v>25</v>
      </c>
      <c r="C464">
        <v>43512432</v>
      </c>
      <c r="D464">
        <v>0</v>
      </c>
      <c r="E464" t="s">
        <v>25</v>
      </c>
      <c r="F464" t="s">
        <v>26</v>
      </c>
      <c r="G464" t="s">
        <v>27</v>
      </c>
      <c r="H464" t="s">
        <v>2977</v>
      </c>
      <c r="I464" t="s">
        <v>2978</v>
      </c>
      <c r="J464" t="s">
        <v>26</v>
      </c>
      <c r="K464" t="s">
        <v>26</v>
      </c>
      <c r="L464" t="s">
        <v>2979</v>
      </c>
      <c r="M464" t="s">
        <v>25</v>
      </c>
      <c r="N464" t="s">
        <v>1674</v>
      </c>
      <c r="O464" t="s">
        <v>1675</v>
      </c>
      <c r="P464" t="s">
        <v>2965</v>
      </c>
      <c r="Q464" t="s">
        <v>2966</v>
      </c>
      <c r="R464">
        <v>242892</v>
      </c>
      <c r="S464">
        <v>0</v>
      </c>
      <c r="T464">
        <v>242892</v>
      </c>
      <c r="U464" t="s">
        <v>35</v>
      </c>
      <c r="V464" t="s">
        <v>1678</v>
      </c>
      <c r="W464" t="s">
        <v>2967</v>
      </c>
      <c r="X464" s="4">
        <v>1</v>
      </c>
      <c r="Y464" s="4"/>
      <c r="Z464">
        <f t="shared" si="28"/>
        <v>8</v>
      </c>
      <c r="AA464">
        <f t="shared" si="29"/>
        <v>11</v>
      </c>
      <c r="AB464" s="5">
        <f t="shared" si="30"/>
        <v>0.31017361111298669</v>
      </c>
      <c r="AC464" s="3">
        <f t="shared" si="31"/>
        <v>9.0277777773735579E-2</v>
      </c>
      <c r="AD464" t="str" cm="1">
        <f t="array" ref="AD464">IFERROR(_xlfn.IFS(
    AC464="", "",
    AC464*86400 &lt; 30, "1. 0s - &lt;30s",
    AC464*86400 &lt; 60, "2. 30s - &lt;1m",
    AC464*86400 &lt; 300, "3. 1m - &lt;5m",
    AC464*86400 &lt; 1800, "4. 5m - &lt;30m",
    TRUE, "5. &gt;= 30m"
),"6. Invalid (Order rejected)")</f>
        <v>5. &gt;= 30m</v>
      </c>
    </row>
    <row r="465" spans="1:30" hidden="1" x14ac:dyDescent="0.3">
      <c r="A465" t="s">
        <v>2980</v>
      </c>
      <c r="B465" t="s">
        <v>25</v>
      </c>
      <c r="C465">
        <v>43512432</v>
      </c>
      <c r="D465">
        <v>0</v>
      </c>
      <c r="E465" t="s">
        <v>25</v>
      </c>
      <c r="F465" t="s">
        <v>26</v>
      </c>
      <c r="G465" t="s">
        <v>27</v>
      </c>
      <c r="H465" t="s">
        <v>2981</v>
      </c>
      <c r="I465" t="s">
        <v>2982</v>
      </c>
      <c r="J465" t="s">
        <v>26</v>
      </c>
      <c r="K465" t="s">
        <v>26</v>
      </c>
      <c r="L465" t="s">
        <v>2983</v>
      </c>
      <c r="M465" t="s">
        <v>25</v>
      </c>
      <c r="N465" t="s">
        <v>1702</v>
      </c>
      <c r="O465" t="s">
        <v>1703</v>
      </c>
      <c r="P465" t="s">
        <v>2863</v>
      </c>
      <c r="Q465" t="s">
        <v>2864</v>
      </c>
      <c r="R465">
        <v>190620</v>
      </c>
      <c r="S465">
        <v>0</v>
      </c>
      <c r="T465">
        <v>190620</v>
      </c>
      <c r="U465" t="s">
        <v>35</v>
      </c>
      <c r="V465" t="s">
        <v>1706</v>
      </c>
      <c r="W465" t="s">
        <v>2865</v>
      </c>
      <c r="X465" s="4">
        <v>1</v>
      </c>
      <c r="Y465" s="4"/>
      <c r="Z465">
        <f t="shared" si="28"/>
        <v>8</v>
      </c>
      <c r="AA465">
        <f t="shared" si="29"/>
        <v>11</v>
      </c>
      <c r="AB465" s="5">
        <f t="shared" si="30"/>
        <v>0.31074074074422242</v>
      </c>
      <c r="AC465" s="3">
        <f t="shared" si="31"/>
        <v>9.0266203696955927E-2</v>
      </c>
      <c r="AD465" t="str" cm="1">
        <f t="array" ref="AD465">IFERROR(_xlfn.IFS(
    AC465="", "",
    AC465*86400 &lt; 30, "1. 0s - &lt;30s",
    AC465*86400 &lt; 60, "2. 30s - &lt;1m",
    AC465*86400 &lt; 300, "3. 1m - &lt;5m",
    AC465*86400 &lt; 1800, "4. 5m - &lt;30m",
    TRUE, "5. &gt;= 30m"
),"6. Invalid (Order rejected)")</f>
        <v>5. &gt;= 30m</v>
      </c>
    </row>
    <row r="466" spans="1:30" hidden="1" x14ac:dyDescent="0.3">
      <c r="A466" t="s">
        <v>2984</v>
      </c>
      <c r="B466" t="s">
        <v>25</v>
      </c>
      <c r="C466">
        <v>43512432</v>
      </c>
      <c r="D466">
        <v>0</v>
      </c>
      <c r="E466" t="s">
        <v>25</v>
      </c>
      <c r="F466" t="s">
        <v>26</v>
      </c>
      <c r="G466" t="s">
        <v>27</v>
      </c>
      <c r="H466" t="s">
        <v>2985</v>
      </c>
      <c r="I466" t="s">
        <v>2986</v>
      </c>
      <c r="J466" t="s">
        <v>26</v>
      </c>
      <c r="K466" t="s">
        <v>26</v>
      </c>
      <c r="L466" t="s">
        <v>2987</v>
      </c>
      <c r="M466" t="s">
        <v>25</v>
      </c>
      <c r="N466" t="s">
        <v>2877</v>
      </c>
      <c r="O466" t="s">
        <v>2878</v>
      </c>
      <c r="P466" t="s">
        <v>2863</v>
      </c>
      <c r="Q466" t="s">
        <v>2864</v>
      </c>
      <c r="R466">
        <v>156492</v>
      </c>
      <c r="S466">
        <v>0</v>
      </c>
      <c r="T466">
        <v>156492</v>
      </c>
      <c r="U466" t="s">
        <v>35</v>
      </c>
      <c r="V466" t="s">
        <v>2879</v>
      </c>
      <c r="W466" t="s">
        <v>2865</v>
      </c>
      <c r="X466" s="4">
        <v>1</v>
      </c>
      <c r="Y466" s="4"/>
      <c r="Z466">
        <f t="shared" si="28"/>
        <v>8</v>
      </c>
      <c r="AA466">
        <f t="shared" si="29"/>
        <v>11</v>
      </c>
      <c r="AB466" s="5">
        <f t="shared" si="30"/>
        <v>0.30175925925868796</v>
      </c>
      <c r="AC466" s="3">
        <f t="shared" si="31"/>
        <v>9.0266203704231884E-2</v>
      </c>
      <c r="AD466" t="str" cm="1">
        <f t="array" ref="AD466">IFERROR(_xlfn.IFS(
    AC466="", "",
    AC466*86400 &lt; 30, "1. 0s - &lt;30s",
    AC466*86400 &lt; 60, "2. 30s - &lt;1m",
    AC466*86400 &lt; 300, "3. 1m - &lt;5m",
    AC466*86400 &lt; 1800, "4. 5m - &lt;30m",
    TRUE, "5. &gt;= 30m"
),"6. Invalid (Order rejected)")</f>
        <v>5. &gt;= 30m</v>
      </c>
    </row>
    <row r="467" spans="1:30" hidden="1" x14ac:dyDescent="0.3">
      <c r="A467" t="s">
        <v>2988</v>
      </c>
      <c r="B467" t="s">
        <v>25</v>
      </c>
      <c r="C467">
        <v>43512432</v>
      </c>
      <c r="D467">
        <v>2852976</v>
      </c>
      <c r="E467" t="s">
        <v>25</v>
      </c>
      <c r="F467" t="s">
        <v>75</v>
      </c>
      <c r="G467" t="s">
        <v>76</v>
      </c>
      <c r="H467" t="s">
        <v>2989</v>
      </c>
      <c r="I467" t="s">
        <v>2990</v>
      </c>
      <c r="J467" t="s">
        <v>2948</v>
      </c>
      <c r="K467" t="s">
        <v>26</v>
      </c>
      <c r="L467" t="s">
        <v>2991</v>
      </c>
      <c r="M467" t="s">
        <v>25</v>
      </c>
      <c r="N467" t="s">
        <v>2992</v>
      </c>
      <c r="O467" t="s">
        <v>2993</v>
      </c>
      <c r="P467" t="s">
        <v>2895</v>
      </c>
      <c r="Q467" t="s">
        <v>2896</v>
      </c>
      <c r="R467">
        <v>230904</v>
      </c>
      <c r="S467">
        <v>189534</v>
      </c>
      <c r="T467">
        <v>41370</v>
      </c>
      <c r="U467" t="s">
        <v>35</v>
      </c>
      <c r="V467" t="s">
        <v>2994</v>
      </c>
      <c r="W467" t="s">
        <v>2897</v>
      </c>
      <c r="X467" s="4">
        <v>1</v>
      </c>
      <c r="Y467" s="4"/>
      <c r="Z467">
        <f t="shared" si="28"/>
        <v>8</v>
      </c>
      <c r="AA467">
        <f t="shared" si="29"/>
        <v>11</v>
      </c>
      <c r="AB467" s="5">
        <f t="shared" si="30"/>
        <v>0.31393518518598285</v>
      </c>
      <c r="AC467" s="3">
        <f t="shared" si="31"/>
        <v>2.268518517666962E-3</v>
      </c>
      <c r="AD467" t="str" cm="1">
        <f t="array" ref="AD467">IFERROR(_xlfn.IFS(
    AC467="", "",
    AC467*86400 &lt; 30, "1. 0s - &lt;30s",
    AC467*86400 &lt; 60, "2. 30s - &lt;1m",
    AC467*86400 &lt; 300, "3. 1m - &lt;5m",
    AC467*86400 &lt; 1800, "4. 5m - &lt;30m",
    TRUE, "5. &gt;= 30m"
),"6. Invalid (Order rejected)")</f>
        <v>3. 1m - &lt;5m</v>
      </c>
    </row>
    <row r="468" spans="1:30" hidden="1" x14ac:dyDescent="0.3">
      <c r="A468" t="s">
        <v>2995</v>
      </c>
      <c r="B468" t="s">
        <v>25</v>
      </c>
      <c r="C468">
        <v>43512432</v>
      </c>
      <c r="D468">
        <v>0</v>
      </c>
      <c r="E468" t="s">
        <v>25</v>
      </c>
      <c r="F468" t="s">
        <v>26</v>
      </c>
      <c r="G468" t="s">
        <v>27</v>
      </c>
      <c r="H468" t="s">
        <v>2996</v>
      </c>
      <c r="I468" t="s">
        <v>2997</v>
      </c>
      <c r="J468" t="s">
        <v>26</v>
      </c>
      <c r="K468" t="s">
        <v>26</v>
      </c>
      <c r="L468" t="s">
        <v>2998</v>
      </c>
      <c r="M468" t="s">
        <v>25</v>
      </c>
      <c r="N468" t="s">
        <v>2999</v>
      </c>
      <c r="O468" t="s">
        <v>3000</v>
      </c>
      <c r="P468" t="s">
        <v>3001</v>
      </c>
      <c r="Q468" t="s">
        <v>3002</v>
      </c>
      <c r="R468">
        <v>219348</v>
      </c>
      <c r="S468">
        <v>0</v>
      </c>
      <c r="T468">
        <v>219348</v>
      </c>
      <c r="U468" t="s">
        <v>35</v>
      </c>
      <c r="V468" t="s">
        <v>3003</v>
      </c>
      <c r="W468" t="s">
        <v>3004</v>
      </c>
      <c r="X468" s="4">
        <v>1</v>
      </c>
      <c r="Y468" s="4"/>
      <c r="Z468">
        <f t="shared" si="28"/>
        <v>8</v>
      </c>
      <c r="AA468">
        <f t="shared" si="29"/>
        <v>11</v>
      </c>
      <c r="AB468" s="5">
        <f t="shared" si="30"/>
        <v>0.30061342592671281</v>
      </c>
      <c r="AC468" s="3">
        <f t="shared" si="31"/>
        <v>9.0266203704231884E-2</v>
      </c>
      <c r="AD468" t="str" cm="1">
        <f t="array" ref="AD468">IFERROR(_xlfn.IFS(
    AC468="", "",
    AC468*86400 &lt; 30, "1. 0s - &lt;30s",
    AC468*86400 &lt; 60, "2. 30s - &lt;1m",
    AC468*86400 &lt; 300, "3. 1m - &lt;5m",
    AC468*86400 &lt; 1800, "4. 5m - &lt;30m",
    TRUE, "5. &gt;= 30m"
),"6. Invalid (Order rejected)")</f>
        <v>5. &gt;= 30m</v>
      </c>
    </row>
    <row r="469" spans="1:30" hidden="1" x14ac:dyDescent="0.3">
      <c r="A469" t="s">
        <v>3005</v>
      </c>
      <c r="B469" t="s">
        <v>25</v>
      </c>
      <c r="C469">
        <v>43512432</v>
      </c>
      <c r="D469">
        <v>0</v>
      </c>
      <c r="E469" t="s">
        <v>25</v>
      </c>
      <c r="F469" t="s">
        <v>26</v>
      </c>
      <c r="G469" t="s">
        <v>27</v>
      </c>
      <c r="H469" t="s">
        <v>3006</v>
      </c>
      <c r="I469" t="s">
        <v>3007</v>
      </c>
      <c r="J469" t="s">
        <v>26</v>
      </c>
      <c r="K469" t="s">
        <v>26</v>
      </c>
      <c r="L469" t="s">
        <v>3008</v>
      </c>
      <c r="M469" t="s">
        <v>25</v>
      </c>
      <c r="N469" t="s">
        <v>1447</v>
      </c>
      <c r="O469" t="s">
        <v>1448</v>
      </c>
      <c r="P469" t="s">
        <v>2870</v>
      </c>
      <c r="Q469" t="s">
        <v>2871</v>
      </c>
      <c r="R469">
        <v>146556</v>
      </c>
      <c r="S469">
        <v>0</v>
      </c>
      <c r="T469">
        <v>146556</v>
      </c>
      <c r="U469" t="s">
        <v>35</v>
      </c>
      <c r="V469" t="s">
        <v>1451</v>
      </c>
      <c r="W469" t="s">
        <v>2872</v>
      </c>
      <c r="X469" s="4">
        <v>1</v>
      </c>
      <c r="Y469" s="4"/>
      <c r="Z469">
        <f t="shared" si="28"/>
        <v>8</v>
      </c>
      <c r="AA469">
        <f t="shared" si="29"/>
        <v>11</v>
      </c>
      <c r="AB469" s="5">
        <f t="shared" si="30"/>
        <v>0.30237268518249039</v>
      </c>
      <c r="AC469" s="3">
        <f t="shared" si="31"/>
        <v>9.0266203704231884E-2</v>
      </c>
      <c r="AD469" t="str" cm="1">
        <f t="array" ref="AD469">IFERROR(_xlfn.IFS(
    AC469="", "",
    AC469*86400 &lt; 30, "1. 0s - &lt;30s",
    AC469*86400 &lt; 60, "2. 30s - &lt;1m",
    AC469*86400 &lt; 300, "3. 1m - &lt;5m",
    AC469*86400 &lt; 1800, "4. 5m - &lt;30m",
    TRUE, "5. &gt;= 30m"
),"6. Invalid (Order rejected)")</f>
        <v>5. &gt;= 30m</v>
      </c>
    </row>
    <row r="470" spans="1:30" hidden="1" x14ac:dyDescent="0.3">
      <c r="A470" t="s">
        <v>3009</v>
      </c>
      <c r="B470" t="s">
        <v>25</v>
      </c>
      <c r="C470">
        <v>43512432</v>
      </c>
      <c r="D470">
        <v>0</v>
      </c>
      <c r="E470" t="s">
        <v>25</v>
      </c>
      <c r="F470" t="s">
        <v>26</v>
      </c>
      <c r="G470" t="s">
        <v>27</v>
      </c>
      <c r="H470" t="s">
        <v>3010</v>
      </c>
      <c r="I470" t="s">
        <v>3011</v>
      </c>
      <c r="J470" t="s">
        <v>26</v>
      </c>
      <c r="K470" t="s">
        <v>26</v>
      </c>
      <c r="L470" t="s">
        <v>3012</v>
      </c>
      <c r="M470" t="s">
        <v>25</v>
      </c>
      <c r="N470" t="s">
        <v>1447</v>
      </c>
      <c r="O470" t="s">
        <v>1448</v>
      </c>
      <c r="P470" t="s">
        <v>1503</v>
      </c>
      <c r="Q470" t="s">
        <v>1504</v>
      </c>
      <c r="R470">
        <v>136620</v>
      </c>
      <c r="S470">
        <v>0</v>
      </c>
      <c r="T470">
        <v>136620</v>
      </c>
      <c r="U470" t="s">
        <v>35</v>
      </c>
      <c r="V470" t="s">
        <v>1451</v>
      </c>
      <c r="W470" t="s">
        <v>2814</v>
      </c>
      <c r="X470" s="4">
        <v>1</v>
      </c>
      <c r="Y470" s="4"/>
      <c r="Z470">
        <f t="shared" si="28"/>
        <v>8</v>
      </c>
      <c r="AA470">
        <f t="shared" si="29"/>
        <v>11</v>
      </c>
      <c r="AB470" s="5">
        <f t="shared" si="30"/>
        <v>0.30251157407474238</v>
      </c>
      <c r="AC470" s="3">
        <f t="shared" si="31"/>
        <v>0.18005787036963739</v>
      </c>
      <c r="AD470" t="str" cm="1">
        <f t="array" ref="AD470">IFERROR(_xlfn.IFS(
    AC470="", "",
    AC470*86400 &lt; 30, "1. 0s - &lt;30s",
    AC470*86400 &lt; 60, "2. 30s - &lt;1m",
    AC470*86400 &lt; 300, "3. 1m - &lt;5m",
    AC470*86400 &lt; 1800, "4. 5m - &lt;30m",
    TRUE, "5. &gt;= 30m"
),"6. Invalid (Order rejected)")</f>
        <v>5. &gt;= 30m</v>
      </c>
    </row>
    <row r="471" spans="1:30" hidden="1" x14ac:dyDescent="0.3">
      <c r="A471" t="s">
        <v>3013</v>
      </c>
      <c r="B471" t="s">
        <v>25</v>
      </c>
      <c r="C471">
        <v>43512432</v>
      </c>
      <c r="D471">
        <v>0</v>
      </c>
      <c r="E471" t="s">
        <v>25</v>
      </c>
      <c r="F471" t="s">
        <v>26</v>
      </c>
      <c r="G471" t="s">
        <v>27</v>
      </c>
      <c r="H471" t="s">
        <v>3014</v>
      </c>
      <c r="I471" t="s">
        <v>3015</v>
      </c>
      <c r="J471" t="s">
        <v>26</v>
      </c>
      <c r="K471" t="s">
        <v>26</v>
      </c>
      <c r="L471" t="s">
        <v>3016</v>
      </c>
      <c r="M471" t="s">
        <v>25</v>
      </c>
      <c r="N471" t="s">
        <v>2932</v>
      </c>
      <c r="O471" t="s">
        <v>2933</v>
      </c>
      <c r="P471" t="s">
        <v>3017</v>
      </c>
      <c r="Q471" t="s">
        <v>3018</v>
      </c>
      <c r="R471">
        <v>186516</v>
      </c>
      <c r="S471">
        <v>0</v>
      </c>
      <c r="T471">
        <v>186516</v>
      </c>
      <c r="U471" t="s">
        <v>35</v>
      </c>
      <c r="V471" t="s">
        <v>2934</v>
      </c>
      <c r="W471" t="s">
        <v>3019</v>
      </c>
      <c r="X471" s="4">
        <v>1</v>
      </c>
      <c r="Y471" s="4"/>
      <c r="Z471">
        <f t="shared" si="28"/>
        <v>8</v>
      </c>
      <c r="AA471">
        <f t="shared" si="29"/>
        <v>11</v>
      </c>
      <c r="AB471" s="5">
        <f t="shared" si="30"/>
        <v>0.30759259259502869</v>
      </c>
      <c r="AC471" s="3">
        <f t="shared" si="31"/>
        <v>9.0266203704231884E-2</v>
      </c>
      <c r="AD471" t="str" cm="1">
        <f t="array" ref="AD471">IFERROR(_xlfn.IFS(
    AC471="", "",
    AC471*86400 &lt; 30, "1. 0s - &lt;30s",
    AC471*86400 &lt; 60, "2. 30s - &lt;1m",
    AC471*86400 &lt; 300, "3. 1m - &lt;5m",
    AC471*86400 &lt; 1800, "4. 5m - &lt;30m",
    TRUE, "5. &gt;= 30m"
),"6. Invalid (Order rejected)")</f>
        <v>5. &gt;= 30m</v>
      </c>
    </row>
    <row r="472" spans="1:30" hidden="1" x14ac:dyDescent="0.3">
      <c r="A472" t="s">
        <v>3020</v>
      </c>
      <c r="B472" t="s">
        <v>25</v>
      </c>
      <c r="C472">
        <v>43512432</v>
      </c>
      <c r="D472">
        <v>0</v>
      </c>
      <c r="E472" t="s">
        <v>25</v>
      </c>
      <c r="F472" t="s">
        <v>26</v>
      </c>
      <c r="G472" t="s">
        <v>27</v>
      </c>
      <c r="H472" t="s">
        <v>3021</v>
      </c>
      <c r="I472" t="s">
        <v>3022</v>
      </c>
      <c r="J472" t="s">
        <v>26</v>
      </c>
      <c r="K472" t="s">
        <v>26</v>
      </c>
      <c r="L472" t="s">
        <v>3023</v>
      </c>
      <c r="M472" t="s">
        <v>25</v>
      </c>
      <c r="N472" t="s">
        <v>1848</v>
      </c>
      <c r="O472" t="s">
        <v>1849</v>
      </c>
      <c r="P472" t="s">
        <v>3017</v>
      </c>
      <c r="Q472" t="s">
        <v>3018</v>
      </c>
      <c r="R472">
        <v>199260</v>
      </c>
      <c r="S472">
        <v>0</v>
      </c>
      <c r="T472">
        <v>199260</v>
      </c>
      <c r="U472" t="s">
        <v>35</v>
      </c>
      <c r="V472" t="s">
        <v>1852</v>
      </c>
      <c r="W472" t="s">
        <v>3019</v>
      </c>
      <c r="X472" s="4">
        <v>1</v>
      </c>
      <c r="Y472" s="4"/>
      <c r="Z472">
        <f t="shared" si="28"/>
        <v>8</v>
      </c>
      <c r="AA472">
        <f t="shared" si="29"/>
        <v>11</v>
      </c>
      <c r="AB472" s="5">
        <f t="shared" si="30"/>
        <v>0.30149305555823958</v>
      </c>
      <c r="AC472" s="3">
        <f t="shared" si="31"/>
        <v>9.0266203704231884E-2</v>
      </c>
      <c r="AD472" t="str" cm="1">
        <f t="array" ref="AD472">IFERROR(_xlfn.IFS(
    AC472="", "",
    AC472*86400 &lt; 30, "1. 0s - &lt;30s",
    AC472*86400 &lt; 60, "2. 30s - &lt;1m",
    AC472*86400 &lt; 300, "3. 1m - &lt;5m",
    AC472*86400 &lt; 1800, "4. 5m - &lt;30m",
    TRUE, "5. &gt;= 30m"
),"6. Invalid (Order rejected)")</f>
        <v>5. &gt;= 30m</v>
      </c>
    </row>
    <row r="473" spans="1:30" hidden="1" x14ac:dyDescent="0.3">
      <c r="A473" t="s">
        <v>3024</v>
      </c>
      <c r="B473" t="s">
        <v>25</v>
      </c>
      <c r="C473">
        <v>43512432</v>
      </c>
      <c r="D473">
        <v>0</v>
      </c>
      <c r="E473" t="s">
        <v>25</v>
      </c>
      <c r="F473" t="s">
        <v>26</v>
      </c>
      <c r="G473" t="s">
        <v>27</v>
      </c>
      <c r="H473" t="s">
        <v>3025</v>
      </c>
      <c r="I473" t="s">
        <v>3026</v>
      </c>
      <c r="J473" t="s">
        <v>26</v>
      </c>
      <c r="K473" t="s">
        <v>26</v>
      </c>
      <c r="L473" t="s">
        <v>3027</v>
      </c>
      <c r="M473" t="s">
        <v>25</v>
      </c>
      <c r="N473" t="s">
        <v>1674</v>
      </c>
      <c r="O473" t="s">
        <v>1675</v>
      </c>
      <c r="P473" t="s">
        <v>2950</v>
      </c>
      <c r="Q473" t="s">
        <v>2951</v>
      </c>
      <c r="R473">
        <v>256392</v>
      </c>
      <c r="S473">
        <v>0</v>
      </c>
      <c r="T473">
        <v>256392</v>
      </c>
      <c r="U473" t="s">
        <v>35</v>
      </c>
      <c r="V473" t="s">
        <v>1678</v>
      </c>
      <c r="W473" t="s">
        <v>2952</v>
      </c>
      <c r="X473" s="4">
        <v>1</v>
      </c>
      <c r="Y473" s="4"/>
      <c r="Z473">
        <f t="shared" si="28"/>
        <v>8</v>
      </c>
      <c r="AA473">
        <f t="shared" si="29"/>
        <v>11</v>
      </c>
      <c r="AB473" s="5">
        <f t="shared" si="30"/>
        <v>0.31031249999796273</v>
      </c>
      <c r="AC473" s="3">
        <f t="shared" si="31"/>
        <v>9.0277777781011537E-2</v>
      </c>
      <c r="AD473" t="str" cm="1">
        <f t="array" ref="AD473">IFERROR(_xlfn.IFS(
    AC473="", "",
    AC473*86400 &lt; 30, "1. 0s - &lt;30s",
    AC473*86400 &lt; 60, "2. 30s - &lt;1m",
    AC473*86400 &lt; 300, "3. 1m - &lt;5m",
    AC473*86400 &lt; 1800, "4. 5m - &lt;30m",
    TRUE, "5. &gt;= 30m"
),"6. Invalid (Order rejected)")</f>
        <v>5. &gt;= 30m</v>
      </c>
    </row>
    <row r="474" spans="1:30" hidden="1" x14ac:dyDescent="0.3">
      <c r="A474" t="s">
        <v>3028</v>
      </c>
      <c r="B474" t="s">
        <v>25</v>
      </c>
      <c r="C474">
        <v>43512432</v>
      </c>
      <c r="D474">
        <v>0</v>
      </c>
      <c r="E474" t="s">
        <v>25</v>
      </c>
      <c r="F474" t="s">
        <v>26</v>
      </c>
      <c r="G474" t="s">
        <v>27</v>
      </c>
      <c r="H474" t="s">
        <v>3029</v>
      </c>
      <c r="I474" t="s">
        <v>3030</v>
      </c>
      <c r="J474" t="s">
        <v>26</v>
      </c>
      <c r="K474" t="s">
        <v>26</v>
      </c>
      <c r="L474" t="s">
        <v>3031</v>
      </c>
      <c r="M474" t="s">
        <v>25</v>
      </c>
      <c r="N474" t="s">
        <v>3032</v>
      </c>
      <c r="O474" t="s">
        <v>3033</v>
      </c>
      <c r="P474" t="s">
        <v>56</v>
      </c>
      <c r="Q474" t="s">
        <v>57</v>
      </c>
      <c r="R474">
        <v>126360</v>
      </c>
      <c r="S474">
        <v>0</v>
      </c>
      <c r="T474">
        <v>126360</v>
      </c>
      <c r="U474" t="s">
        <v>35</v>
      </c>
      <c r="V474" t="s">
        <v>3034</v>
      </c>
      <c r="W474" t="s">
        <v>58</v>
      </c>
      <c r="X474" s="4">
        <v>1</v>
      </c>
      <c r="Y474" s="4"/>
      <c r="Z474">
        <f t="shared" si="28"/>
        <v>8</v>
      </c>
      <c r="AA474">
        <f t="shared" si="29"/>
        <v>11</v>
      </c>
      <c r="AB474" s="5">
        <f t="shared" si="30"/>
        <v>0.31601851851883112</v>
      </c>
      <c r="AC474" s="3">
        <f t="shared" si="31"/>
        <v>9.0277777781011537E-2</v>
      </c>
      <c r="AD474" t="str" cm="1">
        <f t="array" ref="AD474">IFERROR(_xlfn.IFS(
    AC474="", "",
    AC474*86400 &lt; 30, "1. 0s - &lt;30s",
    AC474*86400 &lt; 60, "2. 30s - &lt;1m",
    AC474*86400 &lt; 300, "3. 1m - &lt;5m",
    AC474*86400 &lt; 1800, "4. 5m - &lt;30m",
    TRUE, "5. &gt;= 30m"
),"6. Invalid (Order rejected)")</f>
        <v>5. &gt;= 30m</v>
      </c>
    </row>
    <row r="475" spans="1:30" hidden="1" x14ac:dyDescent="0.3">
      <c r="A475" t="s">
        <v>3035</v>
      </c>
      <c r="B475" t="s">
        <v>25</v>
      </c>
      <c r="C475">
        <v>43512432</v>
      </c>
      <c r="D475">
        <v>0</v>
      </c>
      <c r="E475" t="s">
        <v>25</v>
      </c>
      <c r="F475" t="s">
        <v>26</v>
      </c>
      <c r="G475" t="s">
        <v>27</v>
      </c>
      <c r="H475" t="s">
        <v>3036</v>
      </c>
      <c r="I475" t="s">
        <v>3037</v>
      </c>
      <c r="J475" t="s">
        <v>26</v>
      </c>
      <c r="K475" t="s">
        <v>26</v>
      </c>
      <c r="L475" t="s">
        <v>3038</v>
      </c>
      <c r="M475" t="s">
        <v>25</v>
      </c>
      <c r="N475" t="s">
        <v>3039</v>
      </c>
      <c r="O475" t="s">
        <v>3040</v>
      </c>
      <c r="P475" t="s">
        <v>3001</v>
      </c>
      <c r="Q475" t="s">
        <v>3002</v>
      </c>
      <c r="R475">
        <v>278100</v>
      </c>
      <c r="S475">
        <v>0</v>
      </c>
      <c r="T475">
        <v>278100</v>
      </c>
      <c r="U475" t="s">
        <v>35</v>
      </c>
      <c r="V475" t="s">
        <v>3041</v>
      </c>
      <c r="W475" t="s">
        <v>3004</v>
      </c>
      <c r="X475" s="4">
        <v>1</v>
      </c>
      <c r="Y475" s="4"/>
      <c r="Z475">
        <f t="shared" si="28"/>
        <v>8</v>
      </c>
      <c r="AA475">
        <f t="shared" si="29"/>
        <v>11</v>
      </c>
      <c r="AB475" s="5">
        <f t="shared" si="30"/>
        <v>0.30957175925868796</v>
      </c>
      <c r="AC475" s="3">
        <f t="shared" si="31"/>
        <v>9.0266203704231884E-2</v>
      </c>
      <c r="AD475" t="str" cm="1">
        <f t="array" ref="AD475">IFERROR(_xlfn.IFS(
    AC475="", "",
    AC475*86400 &lt; 30, "1. 0s - &lt;30s",
    AC475*86400 &lt; 60, "2. 30s - &lt;1m",
    AC475*86400 &lt; 300, "3. 1m - &lt;5m",
    AC475*86400 &lt; 1800, "4. 5m - &lt;30m",
    TRUE, "5. &gt;= 30m"
),"6. Invalid (Order rejected)")</f>
        <v>5. &gt;= 30m</v>
      </c>
    </row>
    <row r="476" spans="1:30" x14ac:dyDescent="0.3">
      <c r="A476" t="s">
        <v>3042</v>
      </c>
      <c r="B476" t="s">
        <v>25</v>
      </c>
      <c r="C476">
        <v>43512432</v>
      </c>
      <c r="D476">
        <v>4424389</v>
      </c>
      <c r="E476" t="s">
        <v>25</v>
      </c>
      <c r="F476" t="s">
        <v>75</v>
      </c>
      <c r="G476" t="s">
        <v>360</v>
      </c>
      <c r="H476" t="s">
        <v>3043</v>
      </c>
      <c r="I476" t="s">
        <v>3044</v>
      </c>
      <c r="J476" t="s">
        <v>3045</v>
      </c>
      <c r="K476" t="s">
        <v>26</v>
      </c>
      <c r="L476" t="s">
        <v>25</v>
      </c>
      <c r="M476" t="s">
        <v>25</v>
      </c>
      <c r="N476" t="s">
        <v>3046</v>
      </c>
      <c r="O476" t="s">
        <v>3047</v>
      </c>
      <c r="P476" t="s">
        <v>3017</v>
      </c>
      <c r="Q476" t="s">
        <v>3018</v>
      </c>
      <c r="R476">
        <v>211248</v>
      </c>
      <c r="S476">
        <v>163766</v>
      </c>
      <c r="T476">
        <v>47482</v>
      </c>
      <c r="U476" t="s">
        <v>35</v>
      </c>
      <c r="V476" t="s">
        <v>3048</v>
      </c>
      <c r="W476" t="s">
        <v>3019</v>
      </c>
      <c r="X476" s="4">
        <v>1</v>
      </c>
      <c r="Y476" s="4"/>
      <c r="Z476">
        <f t="shared" si="28"/>
        <v>8</v>
      </c>
      <c r="AA476">
        <f t="shared" si="29"/>
        <v>11</v>
      </c>
      <c r="AB476" s="5">
        <f t="shared" si="30"/>
        <v>0.31348379629343981</v>
      </c>
      <c r="AC476" s="3" t="str">
        <f t="shared" si="31"/>
        <v>Order rejected, no time available</v>
      </c>
      <c r="AD476" t="str" cm="1">
        <f t="array" ref="AD476">IFERROR(_xlfn.IFS(
    AC476="", "",
    AC476*86400 &lt; 30, "1. 0s - &lt;30s",
    AC476*86400 &lt; 60, "2. 30s - &lt;1m",
    AC476*86400 &lt; 300, "3. 1m - &lt;5m",
    AC476*86400 &lt; 1800, "4. 5m - &lt;30m",
    TRUE, "5. &gt;= 30m"
),"6. Invalid (Order rejected)")</f>
        <v>6. Invalid (Order rejected)</v>
      </c>
    </row>
    <row r="477" spans="1:30" hidden="1" x14ac:dyDescent="0.3">
      <c r="A477" t="s">
        <v>3049</v>
      </c>
      <c r="B477" t="s">
        <v>25</v>
      </c>
      <c r="C477">
        <v>43512432</v>
      </c>
      <c r="D477">
        <v>4621283</v>
      </c>
      <c r="E477" t="s">
        <v>25</v>
      </c>
      <c r="F477" t="s">
        <v>75</v>
      </c>
      <c r="G477" t="s">
        <v>409</v>
      </c>
      <c r="H477" t="s">
        <v>3050</v>
      </c>
      <c r="I477" t="s">
        <v>3051</v>
      </c>
      <c r="J477" t="s">
        <v>3052</v>
      </c>
      <c r="K477" t="s">
        <v>3053</v>
      </c>
      <c r="L477" t="s">
        <v>25</v>
      </c>
      <c r="M477" t="s">
        <v>3054</v>
      </c>
      <c r="N477" t="s">
        <v>3046</v>
      </c>
      <c r="O477" t="s">
        <v>3047</v>
      </c>
      <c r="P477" t="s">
        <v>2856</v>
      </c>
      <c r="Q477" t="s">
        <v>2857</v>
      </c>
      <c r="R477">
        <v>299376</v>
      </c>
      <c r="S477">
        <v>232086</v>
      </c>
      <c r="T477">
        <v>67290</v>
      </c>
      <c r="U477" t="s">
        <v>35</v>
      </c>
      <c r="V477" t="s">
        <v>3048</v>
      </c>
      <c r="W477" t="s">
        <v>2858</v>
      </c>
      <c r="X477" s="4">
        <v>1</v>
      </c>
      <c r="Y477" s="4"/>
      <c r="Z477">
        <f t="shared" si="28"/>
        <v>8</v>
      </c>
      <c r="AA477">
        <f t="shared" si="29"/>
        <v>11</v>
      </c>
      <c r="AB477" s="5">
        <f t="shared" si="30"/>
        <v>0.31304398148495238</v>
      </c>
      <c r="AC477" s="3">
        <f t="shared" si="31"/>
        <v>5.8582754629605915</v>
      </c>
      <c r="AD477" t="str" cm="1">
        <f t="array" ref="AD477">IFERROR(_xlfn.IFS(
    AC477="", "",
    AC477*86400 &lt; 30, "1. 0s - &lt;30s",
    AC477*86400 &lt; 60, "2. 30s - &lt;1m",
    AC477*86400 &lt; 300, "3. 1m - &lt;5m",
    AC477*86400 &lt; 1800, "4. 5m - &lt;30m",
    TRUE, "5. &gt;= 30m"
),"6. Invalid (Order rejected)")</f>
        <v>5. &gt;= 30m</v>
      </c>
    </row>
    <row r="478" spans="1:30" hidden="1" x14ac:dyDescent="0.3">
      <c r="A478" t="s">
        <v>3055</v>
      </c>
      <c r="B478" t="s">
        <v>25</v>
      </c>
      <c r="C478">
        <v>43512432</v>
      </c>
      <c r="D478">
        <v>3339481</v>
      </c>
      <c r="E478" t="s">
        <v>25</v>
      </c>
      <c r="F478" t="s">
        <v>75</v>
      </c>
      <c r="G478" t="s">
        <v>491</v>
      </c>
      <c r="H478" t="s">
        <v>3056</v>
      </c>
      <c r="I478" t="s">
        <v>3057</v>
      </c>
      <c r="J478" t="s">
        <v>3058</v>
      </c>
      <c r="K478" t="s">
        <v>3059</v>
      </c>
      <c r="L478" t="s">
        <v>3060</v>
      </c>
      <c r="M478" t="s">
        <v>25</v>
      </c>
      <c r="N478" t="s">
        <v>3061</v>
      </c>
      <c r="O478" t="s">
        <v>3062</v>
      </c>
      <c r="P478" t="s">
        <v>147</v>
      </c>
      <c r="Q478" t="s">
        <v>148</v>
      </c>
      <c r="R478">
        <v>162108</v>
      </c>
      <c r="S478">
        <v>125671</v>
      </c>
      <c r="T478">
        <v>36437</v>
      </c>
      <c r="U478" t="s">
        <v>35</v>
      </c>
      <c r="V478" t="s">
        <v>3063</v>
      </c>
      <c r="W478" t="s">
        <v>149</v>
      </c>
      <c r="X478" s="4">
        <v>1</v>
      </c>
      <c r="Y478" s="4"/>
      <c r="Z478">
        <f t="shared" si="28"/>
        <v>8</v>
      </c>
      <c r="AA478">
        <f t="shared" si="29"/>
        <v>11</v>
      </c>
      <c r="AB478" s="5">
        <f t="shared" si="30"/>
        <v>0.31679398148116888</v>
      </c>
      <c r="AC478" s="3">
        <f t="shared" si="31"/>
        <v>10.007627314815181</v>
      </c>
      <c r="AD478" t="str" cm="1">
        <f t="array" ref="AD478">IFERROR(_xlfn.IFS(
    AC478="", "",
    AC478*86400 &lt; 30, "1. 0s - &lt;30s",
    AC478*86400 &lt; 60, "2. 30s - &lt;1m",
    AC478*86400 &lt; 300, "3. 1m - &lt;5m",
    AC478*86400 &lt; 1800, "4. 5m - &lt;30m",
    TRUE, "5. &gt;= 30m"
),"6. Invalid (Order rejected)")</f>
        <v>5. &gt;= 30m</v>
      </c>
    </row>
    <row r="479" spans="1:30" hidden="1" x14ac:dyDescent="0.3">
      <c r="A479" t="s">
        <v>3064</v>
      </c>
      <c r="B479" t="s">
        <v>25</v>
      </c>
      <c r="C479">
        <v>43512432</v>
      </c>
      <c r="D479">
        <v>0</v>
      </c>
      <c r="E479" t="s">
        <v>25</v>
      </c>
      <c r="F479" t="s">
        <v>26</v>
      </c>
      <c r="G479" t="s">
        <v>27</v>
      </c>
      <c r="H479" t="s">
        <v>3065</v>
      </c>
      <c r="I479" t="s">
        <v>3066</v>
      </c>
      <c r="J479" t="s">
        <v>26</v>
      </c>
      <c r="K479" t="s">
        <v>26</v>
      </c>
      <c r="L479" t="s">
        <v>3067</v>
      </c>
      <c r="M479" t="s">
        <v>25</v>
      </c>
      <c r="N479" t="s">
        <v>3068</v>
      </c>
      <c r="O479" t="s">
        <v>3069</v>
      </c>
      <c r="P479" t="s">
        <v>3070</v>
      </c>
      <c r="Q479" t="s">
        <v>3071</v>
      </c>
      <c r="R479">
        <v>448848</v>
      </c>
      <c r="S479">
        <v>0</v>
      </c>
      <c r="T479">
        <v>448848</v>
      </c>
      <c r="U479" t="s">
        <v>35</v>
      </c>
      <c r="V479" t="s">
        <v>3072</v>
      </c>
      <c r="W479" t="s">
        <v>3073</v>
      </c>
      <c r="X479" s="4">
        <v>1</v>
      </c>
      <c r="Y479" s="4"/>
      <c r="Z479">
        <f t="shared" si="28"/>
        <v>8</v>
      </c>
      <c r="AA479">
        <f t="shared" si="29"/>
        <v>11</v>
      </c>
      <c r="AB479" s="5">
        <f t="shared" si="30"/>
        <v>0.31892361111385981</v>
      </c>
      <c r="AC479" s="3">
        <f t="shared" si="31"/>
        <v>9.0266203704231884E-2</v>
      </c>
      <c r="AD479" t="str" cm="1">
        <f t="array" ref="AD479">IFERROR(_xlfn.IFS(
    AC479="", "",
    AC479*86400 &lt; 30, "1. 0s - &lt;30s",
    AC479*86400 &lt; 60, "2. 30s - &lt;1m",
    AC479*86400 &lt; 300, "3. 1m - &lt;5m",
    AC479*86400 &lt; 1800, "4. 5m - &lt;30m",
    TRUE, "5. &gt;= 30m"
),"6. Invalid (Order rejected)")</f>
        <v>5. &gt;= 30m</v>
      </c>
    </row>
    <row r="480" spans="1:30" hidden="1" x14ac:dyDescent="0.3">
      <c r="A480" t="s">
        <v>3074</v>
      </c>
      <c r="B480" t="s">
        <v>25</v>
      </c>
      <c r="C480">
        <v>43512432</v>
      </c>
      <c r="D480">
        <v>0</v>
      </c>
      <c r="E480" t="s">
        <v>25</v>
      </c>
      <c r="F480" t="s">
        <v>26</v>
      </c>
      <c r="G480" t="s">
        <v>27</v>
      </c>
      <c r="H480" t="s">
        <v>3075</v>
      </c>
      <c r="I480" t="s">
        <v>3076</v>
      </c>
      <c r="J480" t="s">
        <v>26</v>
      </c>
      <c r="K480" t="s">
        <v>26</v>
      </c>
      <c r="L480" t="s">
        <v>3077</v>
      </c>
      <c r="M480" t="s">
        <v>25</v>
      </c>
      <c r="N480" t="s">
        <v>1702</v>
      </c>
      <c r="O480" t="s">
        <v>1703</v>
      </c>
      <c r="P480" t="s">
        <v>3017</v>
      </c>
      <c r="Q480" t="s">
        <v>3018</v>
      </c>
      <c r="R480">
        <v>189108</v>
      </c>
      <c r="S480">
        <v>0</v>
      </c>
      <c r="T480">
        <v>189108</v>
      </c>
      <c r="U480" t="s">
        <v>35</v>
      </c>
      <c r="V480" t="s">
        <v>1706</v>
      </c>
      <c r="W480" t="s">
        <v>3019</v>
      </c>
      <c r="X480" s="4">
        <v>1</v>
      </c>
      <c r="Y480" s="4"/>
      <c r="Z480">
        <f t="shared" si="28"/>
        <v>8</v>
      </c>
      <c r="AA480">
        <f t="shared" si="29"/>
        <v>11</v>
      </c>
      <c r="AB480" s="5">
        <f t="shared" si="30"/>
        <v>0.31059027777519077</v>
      </c>
      <c r="AC480" s="3">
        <f t="shared" si="31"/>
        <v>9.0277777781011537E-2</v>
      </c>
      <c r="AD480" t="str" cm="1">
        <f t="array" ref="AD480">IFERROR(_xlfn.IFS(
    AC480="", "",
    AC480*86400 &lt; 30, "1. 0s - &lt;30s",
    AC480*86400 &lt; 60, "2. 30s - &lt;1m",
    AC480*86400 &lt; 300, "3. 1m - &lt;5m",
    AC480*86400 &lt; 1800, "4. 5m - &lt;30m",
    TRUE, "5. &gt;= 30m"
),"6. Invalid (Order rejected)")</f>
        <v>5. &gt;= 30m</v>
      </c>
    </row>
    <row r="481" spans="1:30" hidden="1" x14ac:dyDescent="0.3">
      <c r="A481" t="s">
        <v>3078</v>
      </c>
      <c r="B481" t="s">
        <v>25</v>
      </c>
      <c r="C481">
        <v>43512432</v>
      </c>
      <c r="D481">
        <v>3242149</v>
      </c>
      <c r="E481" t="s">
        <v>25</v>
      </c>
      <c r="F481" t="s">
        <v>75</v>
      </c>
      <c r="G481" t="s">
        <v>76</v>
      </c>
      <c r="H481" t="s">
        <v>3079</v>
      </c>
      <c r="I481" t="s">
        <v>3080</v>
      </c>
      <c r="J481" t="s">
        <v>3081</v>
      </c>
      <c r="K481" t="s">
        <v>26</v>
      </c>
      <c r="L481" t="s">
        <v>3082</v>
      </c>
      <c r="M481" t="s">
        <v>25</v>
      </c>
      <c r="N481" t="s">
        <v>1716</v>
      </c>
      <c r="O481" t="s">
        <v>1717</v>
      </c>
      <c r="P481" t="s">
        <v>2841</v>
      </c>
      <c r="Q481" t="s">
        <v>2842</v>
      </c>
      <c r="R481">
        <v>227232</v>
      </c>
      <c r="S481">
        <v>186520</v>
      </c>
      <c r="T481">
        <v>40712</v>
      </c>
      <c r="U481" t="s">
        <v>35</v>
      </c>
      <c r="V481" t="s">
        <v>1720</v>
      </c>
      <c r="W481" t="s">
        <v>2843</v>
      </c>
      <c r="X481" s="4">
        <v>1</v>
      </c>
      <c r="Y481" s="4"/>
      <c r="Z481">
        <f t="shared" si="28"/>
        <v>8</v>
      </c>
      <c r="AA481">
        <f t="shared" si="29"/>
        <v>11</v>
      </c>
      <c r="AB481" s="5">
        <f t="shared" si="30"/>
        <v>0.31199074073811062</v>
      </c>
      <c r="AC481" s="3">
        <f t="shared" si="31"/>
        <v>0.13314814815385034</v>
      </c>
      <c r="AD481" t="str" cm="1">
        <f t="array" ref="AD481">IFERROR(_xlfn.IFS(
    AC481="", "",
    AC481*86400 &lt; 30, "1. 0s - &lt;30s",
    AC481*86400 &lt; 60, "2. 30s - &lt;1m",
    AC481*86400 &lt; 300, "3. 1m - &lt;5m",
    AC481*86400 &lt; 1800, "4. 5m - &lt;30m",
    TRUE, "5. &gt;= 30m"
),"6. Invalid (Order rejected)")</f>
        <v>5. &gt;= 30m</v>
      </c>
    </row>
    <row r="482" spans="1:30" x14ac:dyDescent="0.3">
      <c r="A482" t="s">
        <v>3083</v>
      </c>
      <c r="B482" t="s">
        <v>25</v>
      </c>
      <c r="C482">
        <v>43512432</v>
      </c>
      <c r="D482">
        <v>4845523</v>
      </c>
      <c r="E482" t="s">
        <v>25</v>
      </c>
      <c r="F482" t="s">
        <v>75</v>
      </c>
      <c r="G482" t="s">
        <v>360</v>
      </c>
      <c r="H482" t="s">
        <v>3084</v>
      </c>
      <c r="I482" t="s">
        <v>3085</v>
      </c>
      <c r="J482" t="s">
        <v>3086</v>
      </c>
      <c r="K482" t="s">
        <v>3087</v>
      </c>
      <c r="L482" t="s">
        <v>25</v>
      </c>
      <c r="M482" t="s">
        <v>25</v>
      </c>
      <c r="N482" t="s">
        <v>3032</v>
      </c>
      <c r="O482" t="s">
        <v>3033</v>
      </c>
      <c r="P482" t="s">
        <v>169</v>
      </c>
      <c r="Q482" t="s">
        <v>170</v>
      </c>
      <c r="R482">
        <v>215568</v>
      </c>
      <c r="S482">
        <v>167115</v>
      </c>
      <c r="T482">
        <v>48453</v>
      </c>
      <c r="U482" t="s">
        <v>35</v>
      </c>
      <c r="V482" t="s">
        <v>3034</v>
      </c>
      <c r="W482" t="s">
        <v>171</v>
      </c>
      <c r="X482" s="4">
        <v>1</v>
      </c>
      <c r="Y482" s="4"/>
      <c r="Z482">
        <f t="shared" si="28"/>
        <v>8</v>
      </c>
      <c r="AA482">
        <f t="shared" si="29"/>
        <v>11</v>
      </c>
      <c r="AB482" s="5">
        <f t="shared" si="30"/>
        <v>0.31550925925694173</v>
      </c>
      <c r="AC482" s="3" t="str">
        <f t="shared" si="31"/>
        <v>Order rejected, no time available</v>
      </c>
      <c r="AD482" t="str" cm="1">
        <f t="array" ref="AD482">IFERROR(_xlfn.IFS(
    AC482="", "",
    AC482*86400 &lt; 30, "1. 0s - &lt;30s",
    AC482*86400 &lt; 60, "2. 30s - &lt;1m",
    AC482*86400 &lt; 300, "3. 1m - &lt;5m",
    AC482*86400 &lt; 1800, "4. 5m - &lt;30m",
    TRUE, "5. &gt;= 30m"
),"6. Invalid (Order rejected)")</f>
        <v>6. Invalid (Order rejected)</v>
      </c>
    </row>
    <row r="483" spans="1:30" hidden="1" x14ac:dyDescent="0.3">
      <c r="A483" t="s">
        <v>3088</v>
      </c>
      <c r="B483" t="s">
        <v>25</v>
      </c>
      <c r="C483">
        <v>43512432</v>
      </c>
      <c r="D483">
        <v>4639085</v>
      </c>
      <c r="E483" t="s">
        <v>25</v>
      </c>
      <c r="F483" t="s">
        <v>75</v>
      </c>
      <c r="G483" t="s">
        <v>76</v>
      </c>
      <c r="H483" t="s">
        <v>3089</v>
      </c>
      <c r="I483" t="s">
        <v>3090</v>
      </c>
      <c r="J483" t="s">
        <v>3091</v>
      </c>
      <c r="K483" t="s">
        <v>26</v>
      </c>
      <c r="L483" t="s">
        <v>3092</v>
      </c>
      <c r="M483" t="s">
        <v>25</v>
      </c>
      <c r="N483" t="s">
        <v>3093</v>
      </c>
      <c r="O483" t="s">
        <v>3094</v>
      </c>
      <c r="P483" t="s">
        <v>2870</v>
      </c>
      <c r="Q483" t="s">
        <v>2871</v>
      </c>
      <c r="R483">
        <v>166968</v>
      </c>
      <c r="S483">
        <v>129439</v>
      </c>
      <c r="T483">
        <v>37529</v>
      </c>
      <c r="U483" t="s">
        <v>35</v>
      </c>
      <c r="V483" t="s">
        <v>3095</v>
      </c>
      <c r="W483" t="s">
        <v>2872</v>
      </c>
      <c r="X483" s="4">
        <v>1</v>
      </c>
      <c r="Y483" s="4"/>
      <c r="Z483">
        <f t="shared" si="28"/>
        <v>8</v>
      </c>
      <c r="AA483">
        <f t="shared" si="29"/>
        <v>11</v>
      </c>
      <c r="AB483" s="5">
        <f t="shared" si="30"/>
        <v>0.31446759259415558</v>
      </c>
      <c r="AC483" s="3">
        <f t="shared" si="31"/>
        <v>0.54431712962832535</v>
      </c>
      <c r="AD483" t="str" cm="1">
        <f t="array" ref="AD483">IFERROR(_xlfn.IFS(
    AC483="", "",
    AC483*86400 &lt; 30, "1. 0s - &lt;30s",
    AC483*86400 &lt; 60, "2. 30s - &lt;1m",
    AC483*86400 &lt; 300, "3. 1m - &lt;5m",
    AC483*86400 &lt; 1800, "4. 5m - &lt;30m",
    TRUE, "5. &gt;= 30m"
),"6. Invalid (Order rejected)")</f>
        <v>5. &gt;= 30m</v>
      </c>
    </row>
    <row r="484" spans="1:30" hidden="1" x14ac:dyDescent="0.3">
      <c r="A484" t="s">
        <v>3096</v>
      </c>
      <c r="B484" t="s">
        <v>25</v>
      </c>
      <c r="C484">
        <v>43512432</v>
      </c>
      <c r="D484">
        <v>4621283</v>
      </c>
      <c r="E484" t="s">
        <v>25</v>
      </c>
      <c r="F484" t="s">
        <v>75</v>
      </c>
      <c r="G484" t="s">
        <v>409</v>
      </c>
      <c r="H484" t="s">
        <v>3097</v>
      </c>
      <c r="I484" t="s">
        <v>3098</v>
      </c>
      <c r="J484" t="s">
        <v>3099</v>
      </c>
      <c r="K484" t="s">
        <v>3100</v>
      </c>
      <c r="L484" t="s">
        <v>25</v>
      </c>
      <c r="M484" t="s">
        <v>3101</v>
      </c>
      <c r="N484" t="s">
        <v>3032</v>
      </c>
      <c r="O484" t="s">
        <v>3033</v>
      </c>
      <c r="P484" t="s">
        <v>3102</v>
      </c>
      <c r="Q484" t="s">
        <v>3103</v>
      </c>
      <c r="R484">
        <v>138996</v>
      </c>
      <c r="S484">
        <v>107754</v>
      </c>
      <c r="T484">
        <v>31242</v>
      </c>
      <c r="U484" t="s">
        <v>35</v>
      </c>
      <c r="V484" t="s">
        <v>3034</v>
      </c>
      <c r="W484" t="s">
        <v>3104</v>
      </c>
      <c r="X484" s="4">
        <v>1</v>
      </c>
      <c r="Y484" s="4"/>
      <c r="Z484">
        <f t="shared" si="28"/>
        <v>8</v>
      </c>
      <c r="AA484">
        <f t="shared" si="29"/>
        <v>11</v>
      </c>
      <c r="AB484" s="5">
        <f t="shared" si="30"/>
        <v>0.31585648148029577</v>
      </c>
      <c r="AC484" s="3">
        <f t="shared" si="31"/>
        <v>5.9001504629632109</v>
      </c>
      <c r="AD484" t="str" cm="1">
        <f t="array" ref="AD484">IFERROR(_xlfn.IFS(
    AC484="", "",
    AC484*86400 &lt; 30, "1. 0s - &lt;30s",
    AC484*86400 &lt; 60, "2. 30s - &lt;1m",
    AC484*86400 &lt; 300, "3. 1m - &lt;5m",
    AC484*86400 &lt; 1800, "4. 5m - &lt;30m",
    TRUE, "5. &gt;= 30m"
),"6. Invalid (Order rejected)")</f>
        <v>5. &gt;= 30m</v>
      </c>
    </row>
    <row r="485" spans="1:30" hidden="1" x14ac:dyDescent="0.3">
      <c r="A485" t="s">
        <v>3105</v>
      </c>
      <c r="B485" t="s">
        <v>25</v>
      </c>
      <c r="C485">
        <v>43512432</v>
      </c>
      <c r="D485">
        <v>0</v>
      </c>
      <c r="E485" t="s">
        <v>25</v>
      </c>
      <c r="F485" t="s">
        <v>26</v>
      </c>
      <c r="G485" t="s">
        <v>27</v>
      </c>
      <c r="H485" t="s">
        <v>3106</v>
      </c>
      <c r="I485" t="s">
        <v>3107</v>
      </c>
      <c r="J485" t="s">
        <v>26</v>
      </c>
      <c r="K485" t="s">
        <v>26</v>
      </c>
      <c r="L485" t="s">
        <v>3108</v>
      </c>
      <c r="M485" t="s">
        <v>25</v>
      </c>
      <c r="N485" t="s">
        <v>3061</v>
      </c>
      <c r="O485" t="s">
        <v>3062</v>
      </c>
      <c r="P485" t="s">
        <v>103</v>
      </c>
      <c r="Q485" t="s">
        <v>104</v>
      </c>
      <c r="R485">
        <v>133488</v>
      </c>
      <c r="S485">
        <v>0</v>
      </c>
      <c r="T485">
        <v>133488</v>
      </c>
      <c r="U485" t="s">
        <v>35</v>
      </c>
      <c r="V485" t="s">
        <v>3063</v>
      </c>
      <c r="W485" t="s">
        <v>105</v>
      </c>
      <c r="X485" s="4">
        <v>1</v>
      </c>
      <c r="Y485" s="4"/>
      <c r="Z485">
        <f t="shared" si="28"/>
        <v>8</v>
      </c>
      <c r="AA485">
        <f t="shared" si="29"/>
        <v>11</v>
      </c>
      <c r="AB485" s="5">
        <f t="shared" si="30"/>
        <v>0.31644675925781485</v>
      </c>
      <c r="AC485" s="3">
        <f t="shared" si="31"/>
        <v>9.0277777781011537E-2</v>
      </c>
      <c r="AD485" t="str" cm="1">
        <f t="array" ref="AD485">IFERROR(_xlfn.IFS(
    AC485="", "",
    AC485*86400 &lt; 30, "1. 0s - &lt;30s",
    AC485*86400 &lt; 60, "2. 30s - &lt;1m",
    AC485*86400 &lt; 300, "3. 1m - &lt;5m",
    AC485*86400 &lt; 1800, "4. 5m - &lt;30m",
    TRUE, "5. &gt;= 30m"
),"6. Invalid (Order rejected)")</f>
        <v>5. &gt;= 30m</v>
      </c>
    </row>
    <row r="486" spans="1:30" x14ac:dyDescent="0.3">
      <c r="A486" t="s">
        <v>3109</v>
      </c>
      <c r="B486" t="s">
        <v>25</v>
      </c>
      <c r="C486">
        <v>43512432</v>
      </c>
      <c r="D486">
        <v>3153346</v>
      </c>
      <c r="E486" t="s">
        <v>25</v>
      </c>
      <c r="F486" t="s">
        <v>75</v>
      </c>
      <c r="G486" t="s">
        <v>360</v>
      </c>
      <c r="H486" t="s">
        <v>3110</v>
      </c>
      <c r="I486" t="s">
        <v>3111</v>
      </c>
      <c r="J486" t="s">
        <v>3112</v>
      </c>
      <c r="K486" t="s">
        <v>26</v>
      </c>
      <c r="L486" t="s">
        <v>25</v>
      </c>
      <c r="M486" t="s">
        <v>25</v>
      </c>
      <c r="N486" t="s">
        <v>3093</v>
      </c>
      <c r="O486" t="s">
        <v>3094</v>
      </c>
      <c r="P486" t="s">
        <v>1503</v>
      </c>
      <c r="Q486" t="s">
        <v>1504</v>
      </c>
      <c r="R486">
        <v>122256</v>
      </c>
      <c r="S486">
        <v>94777</v>
      </c>
      <c r="T486">
        <v>27479</v>
      </c>
      <c r="U486" t="s">
        <v>35</v>
      </c>
      <c r="V486" t="s">
        <v>3095</v>
      </c>
      <c r="W486" t="s">
        <v>2814</v>
      </c>
      <c r="X486" s="4">
        <v>1</v>
      </c>
      <c r="Y486" s="4"/>
      <c r="Z486">
        <f t="shared" si="28"/>
        <v>8</v>
      </c>
      <c r="AA486">
        <f t="shared" si="29"/>
        <v>11</v>
      </c>
      <c r="AB486" s="5">
        <f t="shared" si="30"/>
        <v>0.31460648147913162</v>
      </c>
      <c r="AC486" s="3" t="str">
        <f t="shared" si="31"/>
        <v>Order rejected, no time available</v>
      </c>
      <c r="AD486" t="str" cm="1">
        <f t="array" ref="AD486">IFERROR(_xlfn.IFS(
    AC486="", "",
    AC486*86400 &lt; 30, "1. 0s - &lt;30s",
    AC486*86400 &lt; 60, "2. 30s - &lt;1m",
    AC486*86400 &lt; 300, "3. 1m - &lt;5m",
    AC486*86400 &lt; 1800, "4. 5m - &lt;30m",
    TRUE, "5. &gt;= 30m"
),"6. Invalid (Order rejected)")</f>
        <v>6. Invalid (Order rejected)</v>
      </c>
    </row>
    <row r="487" spans="1:30" hidden="1" x14ac:dyDescent="0.3">
      <c r="A487" t="s">
        <v>3113</v>
      </c>
      <c r="B487" t="s">
        <v>25</v>
      </c>
      <c r="C487">
        <v>43512432</v>
      </c>
      <c r="D487">
        <v>3797183</v>
      </c>
      <c r="E487" t="s">
        <v>25</v>
      </c>
      <c r="F487" t="s">
        <v>75</v>
      </c>
      <c r="G487" t="s">
        <v>76</v>
      </c>
      <c r="H487" t="s">
        <v>3114</v>
      </c>
      <c r="I487" t="s">
        <v>3115</v>
      </c>
      <c r="J487" t="s">
        <v>3116</v>
      </c>
      <c r="K487" t="s">
        <v>26</v>
      </c>
      <c r="L487" t="s">
        <v>3117</v>
      </c>
      <c r="M487" t="s">
        <v>25</v>
      </c>
      <c r="N487" t="s">
        <v>3093</v>
      </c>
      <c r="O487" t="s">
        <v>3094</v>
      </c>
      <c r="P487" t="s">
        <v>2824</v>
      </c>
      <c r="Q487" t="s">
        <v>2825</v>
      </c>
      <c r="R487">
        <v>423792</v>
      </c>
      <c r="S487">
        <v>328537</v>
      </c>
      <c r="T487">
        <v>95255</v>
      </c>
      <c r="U487" t="s">
        <v>35</v>
      </c>
      <c r="V487" t="s">
        <v>3095</v>
      </c>
      <c r="W487" t="s">
        <v>2826</v>
      </c>
      <c r="X487" s="4">
        <v>1</v>
      </c>
      <c r="Y487" s="4"/>
      <c r="Z487">
        <f t="shared" si="28"/>
        <v>8</v>
      </c>
      <c r="AA487">
        <f t="shared" si="29"/>
        <v>11</v>
      </c>
      <c r="AB487" s="5">
        <f t="shared" si="30"/>
        <v>0.31476851851766696</v>
      </c>
      <c r="AC487" s="3">
        <f t="shared" si="31"/>
        <v>5.9837962980964221E-3</v>
      </c>
      <c r="AD487" t="str" cm="1">
        <f t="array" ref="AD487">IFERROR(_xlfn.IFS(
    AC487="", "",
    AC487*86400 &lt; 30, "1. 0s - &lt;30s",
    AC487*86400 &lt; 60, "2. 30s - &lt;1m",
    AC487*86400 &lt; 300, "3. 1m - &lt;5m",
    AC487*86400 &lt; 1800, "4. 5m - &lt;30m",
    TRUE, "5. &gt;= 30m"
),"6. Invalid (Order rejected)")</f>
        <v>4. 5m - &lt;30m</v>
      </c>
    </row>
    <row r="488" spans="1:30" x14ac:dyDescent="0.3">
      <c r="A488" t="s">
        <v>3118</v>
      </c>
      <c r="B488" t="s">
        <v>25</v>
      </c>
      <c r="C488">
        <v>43512432</v>
      </c>
      <c r="D488">
        <v>4097797</v>
      </c>
      <c r="E488" t="s">
        <v>25</v>
      </c>
      <c r="F488" t="s">
        <v>75</v>
      </c>
      <c r="G488" t="s">
        <v>360</v>
      </c>
      <c r="H488" t="s">
        <v>3119</v>
      </c>
      <c r="I488" t="s">
        <v>3120</v>
      </c>
      <c r="J488" t="s">
        <v>3121</v>
      </c>
      <c r="K488" t="s">
        <v>26</v>
      </c>
      <c r="L488" t="s">
        <v>25</v>
      </c>
      <c r="M488" t="s">
        <v>25</v>
      </c>
      <c r="N488" t="s">
        <v>3068</v>
      </c>
      <c r="O488" t="s">
        <v>3069</v>
      </c>
      <c r="P488" t="s">
        <v>3122</v>
      </c>
      <c r="Q488" t="s">
        <v>3123</v>
      </c>
      <c r="R488">
        <v>804060</v>
      </c>
      <c r="S488">
        <v>623333</v>
      </c>
      <c r="T488">
        <v>180727</v>
      </c>
      <c r="U488" t="s">
        <v>35</v>
      </c>
      <c r="V488" t="s">
        <v>3072</v>
      </c>
      <c r="W488" t="s">
        <v>3124</v>
      </c>
      <c r="X488" s="4">
        <v>1</v>
      </c>
      <c r="Y488" s="4"/>
      <c r="Z488">
        <f t="shared" si="28"/>
        <v>8</v>
      </c>
      <c r="AA488">
        <f t="shared" si="29"/>
        <v>11</v>
      </c>
      <c r="AB488" s="5">
        <f t="shared" si="30"/>
        <v>0.31842592592875008</v>
      </c>
      <c r="AC488" s="3" t="str">
        <f t="shared" si="31"/>
        <v>Order rejected, no time available</v>
      </c>
      <c r="AD488" t="str" cm="1">
        <f t="array" ref="AD488">IFERROR(_xlfn.IFS(
    AC488="", "",
    AC488*86400 &lt; 30, "1. 0s - &lt;30s",
    AC488*86400 &lt; 60, "2. 30s - &lt;1m",
    AC488*86400 &lt; 300, "3. 1m - &lt;5m",
    AC488*86400 &lt; 1800, "4. 5m - &lt;30m",
    TRUE, "5. &gt;= 30m"
),"6. Invalid (Order rejected)")</f>
        <v>6. Invalid (Order rejected)</v>
      </c>
    </row>
    <row r="489" spans="1:30" x14ac:dyDescent="0.3">
      <c r="A489" t="s">
        <v>3125</v>
      </c>
      <c r="B489" t="s">
        <v>25</v>
      </c>
      <c r="C489">
        <v>43512432</v>
      </c>
      <c r="D489">
        <v>3095307</v>
      </c>
      <c r="E489" t="s">
        <v>25</v>
      </c>
      <c r="F489" t="s">
        <v>75</v>
      </c>
      <c r="G489" t="s">
        <v>360</v>
      </c>
      <c r="H489" t="s">
        <v>3126</v>
      </c>
      <c r="I489" t="s">
        <v>3127</v>
      </c>
      <c r="J489" t="s">
        <v>3128</v>
      </c>
      <c r="K489" t="s">
        <v>26</v>
      </c>
      <c r="L489" t="s">
        <v>25</v>
      </c>
      <c r="M489" t="s">
        <v>25</v>
      </c>
      <c r="N489" t="s">
        <v>3061</v>
      </c>
      <c r="O489" t="s">
        <v>3062</v>
      </c>
      <c r="P489" t="s">
        <v>180</v>
      </c>
      <c r="Q489" t="s">
        <v>181</v>
      </c>
      <c r="R489">
        <v>134136</v>
      </c>
      <c r="S489">
        <v>103986</v>
      </c>
      <c r="T489">
        <v>30150</v>
      </c>
      <c r="U489" t="s">
        <v>35</v>
      </c>
      <c r="V489" t="s">
        <v>3063</v>
      </c>
      <c r="W489" t="s">
        <v>182</v>
      </c>
      <c r="X489" s="4">
        <v>1</v>
      </c>
      <c r="Y489" s="4"/>
      <c r="Z489">
        <f t="shared" si="28"/>
        <v>8</v>
      </c>
      <c r="AA489">
        <f t="shared" si="29"/>
        <v>11</v>
      </c>
      <c r="AB489" s="5">
        <f t="shared" si="30"/>
        <v>0.3162847222192795</v>
      </c>
      <c r="AC489" s="3" t="str">
        <f t="shared" si="31"/>
        <v>Order rejected, no time available</v>
      </c>
      <c r="AD489" t="str" cm="1">
        <f t="array" ref="AD489">IFERROR(_xlfn.IFS(
    AC489="", "",
    AC489*86400 &lt; 30, "1. 0s - &lt;30s",
    AC489*86400 &lt; 60, "2. 30s - &lt;1m",
    AC489*86400 &lt; 300, "3. 1m - &lt;5m",
    AC489*86400 &lt; 1800, "4. 5m - &lt;30m",
    TRUE, "5. &gt;= 30m"
),"6. Invalid (Order rejected)")</f>
        <v>6. Invalid (Order rejected)</v>
      </c>
    </row>
    <row r="490" spans="1:30" x14ac:dyDescent="0.3">
      <c r="A490" t="s">
        <v>3129</v>
      </c>
      <c r="B490" t="s">
        <v>25</v>
      </c>
      <c r="C490">
        <v>43512432</v>
      </c>
      <c r="D490">
        <v>2893090</v>
      </c>
      <c r="E490" t="s">
        <v>25</v>
      </c>
      <c r="F490" t="s">
        <v>75</v>
      </c>
      <c r="G490" t="s">
        <v>360</v>
      </c>
      <c r="H490" t="s">
        <v>3130</v>
      </c>
      <c r="I490" t="s">
        <v>3131</v>
      </c>
      <c r="J490" t="s">
        <v>3132</v>
      </c>
      <c r="K490" t="s">
        <v>26</v>
      </c>
      <c r="L490" t="s">
        <v>25</v>
      </c>
      <c r="M490" t="s">
        <v>25</v>
      </c>
      <c r="N490" t="s">
        <v>3061</v>
      </c>
      <c r="O490" t="s">
        <v>3062</v>
      </c>
      <c r="P490" t="s">
        <v>42</v>
      </c>
      <c r="Q490" t="s">
        <v>43</v>
      </c>
      <c r="R490">
        <v>134784</v>
      </c>
      <c r="S490">
        <v>104489</v>
      </c>
      <c r="T490">
        <v>30295</v>
      </c>
      <c r="U490" t="s">
        <v>35</v>
      </c>
      <c r="V490" t="s">
        <v>3063</v>
      </c>
      <c r="W490" t="s">
        <v>44</v>
      </c>
      <c r="X490" s="4">
        <v>1</v>
      </c>
      <c r="Y490" s="4"/>
      <c r="Z490">
        <f t="shared" si="28"/>
        <v>8</v>
      </c>
      <c r="AA490">
        <f t="shared" si="29"/>
        <v>11</v>
      </c>
      <c r="AB490" s="5">
        <f t="shared" si="30"/>
        <v>0.31662037037312984</v>
      </c>
      <c r="AC490" s="3" t="str">
        <f t="shared" si="31"/>
        <v>Order rejected, no time available</v>
      </c>
      <c r="AD490" t="str" cm="1">
        <f t="array" ref="AD490">IFERROR(_xlfn.IFS(
    AC490="", "",
    AC490*86400 &lt; 30, "1. 0s - &lt;30s",
    AC490*86400 &lt; 60, "2. 30s - &lt;1m",
    AC490*86400 &lt; 300, "3. 1m - &lt;5m",
    AC490*86400 &lt; 1800, "4. 5m - &lt;30m",
    TRUE, "5. &gt;= 30m"
),"6. Invalid (Order rejected)")</f>
        <v>6. Invalid (Order rejected)</v>
      </c>
    </row>
    <row r="491" spans="1:30" hidden="1" x14ac:dyDescent="0.3">
      <c r="A491" t="s">
        <v>3133</v>
      </c>
      <c r="B491" t="s">
        <v>25</v>
      </c>
      <c r="C491">
        <v>43512432</v>
      </c>
      <c r="D491">
        <v>0</v>
      </c>
      <c r="E491" t="s">
        <v>25</v>
      </c>
      <c r="F491" t="s">
        <v>26</v>
      </c>
      <c r="G491" t="s">
        <v>27</v>
      </c>
      <c r="H491" t="s">
        <v>3134</v>
      </c>
      <c r="I491" t="s">
        <v>3135</v>
      </c>
      <c r="J491" t="s">
        <v>26</v>
      </c>
      <c r="K491" t="s">
        <v>26</v>
      </c>
      <c r="L491" t="s">
        <v>3136</v>
      </c>
      <c r="M491" t="s">
        <v>25</v>
      </c>
      <c r="N491" t="s">
        <v>1642</v>
      </c>
      <c r="O491" t="s">
        <v>1643</v>
      </c>
      <c r="P491" t="s">
        <v>3137</v>
      </c>
      <c r="Q491" t="s">
        <v>3138</v>
      </c>
      <c r="R491">
        <v>193536</v>
      </c>
      <c r="S491">
        <v>0</v>
      </c>
      <c r="T491">
        <v>193536</v>
      </c>
      <c r="U491" t="s">
        <v>35</v>
      </c>
      <c r="V491" t="s">
        <v>1646</v>
      </c>
      <c r="W491" t="s">
        <v>3139</v>
      </c>
      <c r="X491" s="4">
        <v>1</v>
      </c>
      <c r="Y491" s="4"/>
      <c r="Z491">
        <f t="shared" si="28"/>
        <v>8</v>
      </c>
      <c r="AA491">
        <f t="shared" si="29"/>
        <v>11</v>
      </c>
      <c r="AB491" s="5">
        <f t="shared" si="30"/>
        <v>0.32505787037371192</v>
      </c>
      <c r="AC491" s="3">
        <f t="shared" si="31"/>
        <v>9.0289351850515231E-2</v>
      </c>
      <c r="AD491" t="str" cm="1">
        <f t="array" ref="AD491">IFERROR(_xlfn.IFS(
    AC491="", "",
    AC491*86400 &lt; 30, "1. 0s - &lt;30s",
    AC491*86400 &lt; 60, "2. 30s - &lt;1m",
    AC491*86400 &lt; 300, "3. 1m - &lt;5m",
    AC491*86400 &lt; 1800, "4. 5m - &lt;30m",
    TRUE, "5. &gt;= 30m"
),"6. Invalid (Order rejected)")</f>
        <v>5. &gt;= 30m</v>
      </c>
    </row>
    <row r="492" spans="1:30" hidden="1" x14ac:dyDescent="0.3">
      <c r="A492" t="s">
        <v>3140</v>
      </c>
      <c r="B492" t="s">
        <v>25</v>
      </c>
      <c r="C492">
        <v>43512432</v>
      </c>
      <c r="D492">
        <v>0</v>
      </c>
      <c r="E492" t="s">
        <v>25</v>
      </c>
      <c r="F492" t="s">
        <v>26</v>
      </c>
      <c r="G492" t="s">
        <v>27</v>
      </c>
      <c r="H492" t="s">
        <v>3141</v>
      </c>
      <c r="I492" t="s">
        <v>3142</v>
      </c>
      <c r="J492" t="s">
        <v>26</v>
      </c>
      <c r="K492" t="s">
        <v>26</v>
      </c>
      <c r="L492" t="s">
        <v>3143</v>
      </c>
      <c r="M492" t="s">
        <v>25</v>
      </c>
      <c r="N492" t="s">
        <v>1642</v>
      </c>
      <c r="O492" t="s">
        <v>1643</v>
      </c>
      <c r="P492" t="s">
        <v>3144</v>
      </c>
      <c r="Q492" t="s">
        <v>3145</v>
      </c>
      <c r="R492">
        <v>236628</v>
      </c>
      <c r="S492">
        <v>0</v>
      </c>
      <c r="T492">
        <v>236628</v>
      </c>
      <c r="U492" t="s">
        <v>35</v>
      </c>
      <c r="V492" t="s">
        <v>1646</v>
      </c>
      <c r="W492" t="s">
        <v>3146</v>
      </c>
      <c r="X492" s="4">
        <v>1</v>
      </c>
      <c r="Y492" s="4"/>
      <c r="Z492">
        <f t="shared" si="28"/>
        <v>8</v>
      </c>
      <c r="AA492">
        <f t="shared" si="29"/>
        <v>11</v>
      </c>
      <c r="AB492" s="5">
        <f t="shared" si="30"/>
        <v>0.32701388889108784</v>
      </c>
      <c r="AC492" s="3">
        <f t="shared" si="31"/>
        <v>9.0289351850515231E-2</v>
      </c>
      <c r="AD492" t="str" cm="1">
        <f t="array" ref="AD492">IFERROR(_xlfn.IFS(
    AC492="", "",
    AC492*86400 &lt; 30, "1. 0s - &lt;30s",
    AC492*86400 &lt; 60, "2. 30s - &lt;1m",
    AC492*86400 &lt; 300, "3. 1m - &lt;5m",
    AC492*86400 &lt; 1800, "4. 5m - &lt;30m",
    TRUE, "5. &gt;= 30m"
),"6. Invalid (Order rejected)")</f>
        <v>5. &gt;= 30m</v>
      </c>
    </row>
    <row r="493" spans="1:30" hidden="1" x14ac:dyDescent="0.3">
      <c r="A493" t="s">
        <v>3147</v>
      </c>
      <c r="B493" t="s">
        <v>25</v>
      </c>
      <c r="C493">
        <v>43512432</v>
      </c>
      <c r="D493">
        <v>0</v>
      </c>
      <c r="E493" t="s">
        <v>25</v>
      </c>
      <c r="F493" t="s">
        <v>26</v>
      </c>
      <c r="G493" t="s">
        <v>27</v>
      </c>
      <c r="H493" t="s">
        <v>3148</v>
      </c>
      <c r="I493" t="s">
        <v>3149</v>
      </c>
      <c r="J493" t="s">
        <v>26</v>
      </c>
      <c r="K493" t="s">
        <v>26</v>
      </c>
      <c r="L493" t="s">
        <v>3150</v>
      </c>
      <c r="M493" t="s">
        <v>25</v>
      </c>
      <c r="N493" t="s">
        <v>3039</v>
      </c>
      <c r="O493" t="s">
        <v>3040</v>
      </c>
      <c r="P493" t="s">
        <v>3102</v>
      </c>
      <c r="Q493" t="s">
        <v>3103</v>
      </c>
      <c r="R493">
        <v>163296</v>
      </c>
      <c r="S493">
        <v>0</v>
      </c>
      <c r="T493">
        <v>163296</v>
      </c>
      <c r="U493" t="s">
        <v>35</v>
      </c>
      <c r="V493" t="s">
        <v>3041</v>
      </c>
      <c r="W493" t="s">
        <v>3104</v>
      </c>
      <c r="X493" s="4">
        <v>1</v>
      </c>
      <c r="Y493" s="4"/>
      <c r="Z493">
        <f t="shared" si="28"/>
        <v>8</v>
      </c>
      <c r="AA493">
        <f t="shared" si="29"/>
        <v>11</v>
      </c>
      <c r="AB493" s="5">
        <f t="shared" si="30"/>
        <v>0.32883101851621177</v>
      </c>
      <c r="AC493" s="3">
        <f t="shared" si="31"/>
        <v>9.0289351857791189E-2</v>
      </c>
      <c r="AD493" t="str" cm="1">
        <f t="array" ref="AD493">IFERROR(_xlfn.IFS(
    AC493="", "",
    AC493*86400 &lt; 30, "1. 0s - &lt;30s",
    AC493*86400 &lt; 60, "2. 30s - &lt;1m",
    AC493*86400 &lt; 300, "3. 1m - &lt;5m",
    AC493*86400 &lt; 1800, "4. 5m - &lt;30m",
    TRUE, "5. &gt;= 30m"
),"6. Invalid (Order rejected)")</f>
        <v>5. &gt;= 30m</v>
      </c>
    </row>
    <row r="494" spans="1:30" hidden="1" x14ac:dyDescent="0.3">
      <c r="A494" t="s">
        <v>3151</v>
      </c>
      <c r="B494" t="s">
        <v>25</v>
      </c>
      <c r="C494">
        <v>43512432</v>
      </c>
      <c r="D494">
        <v>0</v>
      </c>
      <c r="E494" t="s">
        <v>25</v>
      </c>
      <c r="F494" t="s">
        <v>26</v>
      </c>
      <c r="G494" t="s">
        <v>27</v>
      </c>
      <c r="H494" t="s">
        <v>3152</v>
      </c>
      <c r="I494" t="s">
        <v>3153</v>
      </c>
      <c r="J494" t="s">
        <v>26</v>
      </c>
      <c r="K494" t="s">
        <v>26</v>
      </c>
      <c r="L494" t="s">
        <v>3154</v>
      </c>
      <c r="M494" t="s">
        <v>25</v>
      </c>
      <c r="N494" t="s">
        <v>3039</v>
      </c>
      <c r="O494" t="s">
        <v>3040</v>
      </c>
      <c r="P494" t="s">
        <v>103</v>
      </c>
      <c r="Q494" t="s">
        <v>104</v>
      </c>
      <c r="R494">
        <v>154980</v>
      </c>
      <c r="S494">
        <v>0</v>
      </c>
      <c r="T494">
        <v>154980</v>
      </c>
      <c r="U494" t="s">
        <v>35</v>
      </c>
      <c r="V494" t="s">
        <v>3041</v>
      </c>
      <c r="W494" t="s">
        <v>105</v>
      </c>
      <c r="X494" s="4">
        <v>1</v>
      </c>
      <c r="Y494" s="4"/>
      <c r="Z494">
        <f t="shared" si="28"/>
        <v>8</v>
      </c>
      <c r="AA494">
        <f t="shared" si="29"/>
        <v>11</v>
      </c>
      <c r="AB494" s="5">
        <f t="shared" si="30"/>
        <v>0.32934027777810115</v>
      </c>
      <c r="AC494" s="3">
        <f t="shared" si="31"/>
        <v>9.0289351850515231E-2</v>
      </c>
      <c r="AD494" t="str" cm="1">
        <f t="array" ref="AD494">IFERROR(_xlfn.IFS(
    AC494="", "",
    AC494*86400 &lt; 30, "1. 0s - &lt;30s",
    AC494*86400 &lt; 60, "2. 30s - &lt;1m",
    AC494*86400 &lt; 300, "3. 1m - &lt;5m",
    AC494*86400 &lt; 1800, "4. 5m - &lt;30m",
    TRUE, "5. &gt;= 30m"
),"6. Invalid (Order rejected)")</f>
        <v>5. &gt;= 30m</v>
      </c>
    </row>
    <row r="495" spans="1:30" hidden="1" x14ac:dyDescent="0.3">
      <c r="A495" t="s">
        <v>3155</v>
      </c>
      <c r="B495" t="s">
        <v>25</v>
      </c>
      <c r="C495">
        <v>43512432</v>
      </c>
      <c r="D495">
        <v>0</v>
      </c>
      <c r="E495" t="s">
        <v>25</v>
      </c>
      <c r="F495" t="s">
        <v>26</v>
      </c>
      <c r="G495" t="s">
        <v>27</v>
      </c>
      <c r="H495" t="s">
        <v>3156</v>
      </c>
      <c r="I495" t="s">
        <v>3157</v>
      </c>
      <c r="J495" t="s">
        <v>26</v>
      </c>
      <c r="K495" t="s">
        <v>26</v>
      </c>
      <c r="L495" t="s">
        <v>3158</v>
      </c>
      <c r="M495" t="s">
        <v>25</v>
      </c>
      <c r="N495" t="s">
        <v>1642</v>
      </c>
      <c r="O495" t="s">
        <v>1643</v>
      </c>
      <c r="P495" t="s">
        <v>3159</v>
      </c>
      <c r="Q495" t="s">
        <v>3160</v>
      </c>
      <c r="R495">
        <v>148824</v>
      </c>
      <c r="S495">
        <v>0</v>
      </c>
      <c r="T495">
        <v>148824</v>
      </c>
      <c r="U495" t="s">
        <v>35</v>
      </c>
      <c r="V495" t="s">
        <v>1646</v>
      </c>
      <c r="W495" t="s">
        <v>3161</v>
      </c>
      <c r="X495" s="4">
        <v>1</v>
      </c>
      <c r="Y495" s="4"/>
      <c r="Z495">
        <f t="shared" si="28"/>
        <v>8</v>
      </c>
      <c r="AA495">
        <f t="shared" si="29"/>
        <v>11</v>
      </c>
      <c r="AB495" s="5">
        <f t="shared" si="30"/>
        <v>0.32677083333692281</v>
      </c>
      <c r="AC495" s="3">
        <f t="shared" si="31"/>
        <v>9.0289351850515231E-2</v>
      </c>
      <c r="AD495" t="str" cm="1">
        <f t="array" ref="AD495">IFERROR(_xlfn.IFS(
    AC495="", "",
    AC495*86400 &lt; 30, "1. 0s - &lt;30s",
    AC495*86400 &lt; 60, "2. 30s - &lt;1m",
    AC495*86400 &lt; 300, "3. 1m - &lt;5m",
    AC495*86400 &lt; 1800, "4. 5m - &lt;30m",
    TRUE, "5. &gt;= 30m"
),"6. Invalid (Order rejected)")</f>
        <v>5. &gt;= 30m</v>
      </c>
    </row>
    <row r="496" spans="1:30" hidden="1" x14ac:dyDescent="0.3">
      <c r="A496" t="s">
        <v>3162</v>
      </c>
      <c r="B496" t="s">
        <v>25</v>
      </c>
      <c r="C496">
        <v>43512432</v>
      </c>
      <c r="D496">
        <v>0</v>
      </c>
      <c r="E496" t="s">
        <v>25</v>
      </c>
      <c r="F496" t="s">
        <v>26</v>
      </c>
      <c r="G496" t="s">
        <v>27</v>
      </c>
      <c r="H496" t="s">
        <v>3163</v>
      </c>
      <c r="I496" t="s">
        <v>3164</v>
      </c>
      <c r="J496" t="s">
        <v>26</v>
      </c>
      <c r="K496" t="s">
        <v>26</v>
      </c>
      <c r="L496" t="s">
        <v>3165</v>
      </c>
      <c r="M496" t="s">
        <v>25</v>
      </c>
      <c r="N496" t="s">
        <v>3039</v>
      </c>
      <c r="O496" t="s">
        <v>3040</v>
      </c>
      <c r="P496" t="s">
        <v>180</v>
      </c>
      <c r="Q496" t="s">
        <v>181</v>
      </c>
      <c r="R496">
        <v>130248</v>
      </c>
      <c r="S496">
        <v>0</v>
      </c>
      <c r="T496">
        <v>130248</v>
      </c>
      <c r="U496" t="s">
        <v>35</v>
      </c>
      <c r="V496" t="s">
        <v>3041</v>
      </c>
      <c r="W496" t="s">
        <v>182</v>
      </c>
      <c r="X496" s="4">
        <v>1</v>
      </c>
      <c r="Y496" s="4"/>
      <c r="Z496">
        <f t="shared" si="28"/>
        <v>8</v>
      </c>
      <c r="AA496">
        <f t="shared" si="29"/>
        <v>11</v>
      </c>
      <c r="AB496" s="5">
        <f t="shared" si="30"/>
        <v>0.32916666667006211</v>
      </c>
      <c r="AC496" s="3">
        <f t="shared" si="31"/>
        <v>9.0300925920018926E-2</v>
      </c>
      <c r="AD496" t="str" cm="1">
        <f t="array" ref="AD496">IFERROR(_xlfn.IFS(
    AC496="", "",
    AC496*86400 &lt; 30, "1. 0s - &lt;30s",
    AC496*86400 &lt; 60, "2. 30s - &lt;1m",
    AC496*86400 &lt; 300, "3. 1m - &lt;5m",
    AC496*86400 &lt; 1800, "4. 5m - &lt;30m",
    TRUE, "5. &gt;= 30m"
),"6. Invalid (Order rejected)")</f>
        <v>5. &gt;= 30m</v>
      </c>
    </row>
    <row r="497" spans="1:30" hidden="1" x14ac:dyDescent="0.3">
      <c r="A497" t="s">
        <v>3166</v>
      </c>
      <c r="B497" t="s">
        <v>25</v>
      </c>
      <c r="C497">
        <v>43512432</v>
      </c>
      <c r="D497">
        <v>0</v>
      </c>
      <c r="E497" t="s">
        <v>25</v>
      </c>
      <c r="F497" t="s">
        <v>26</v>
      </c>
      <c r="G497" t="s">
        <v>27</v>
      </c>
      <c r="H497" t="s">
        <v>3167</v>
      </c>
      <c r="I497" t="s">
        <v>3168</v>
      </c>
      <c r="J497" t="s">
        <v>26</v>
      </c>
      <c r="K497" t="s">
        <v>26</v>
      </c>
      <c r="L497" t="s">
        <v>3169</v>
      </c>
      <c r="M497" t="s">
        <v>25</v>
      </c>
      <c r="N497" t="s">
        <v>3170</v>
      </c>
      <c r="O497" t="s">
        <v>3171</v>
      </c>
      <c r="P497" t="s">
        <v>180</v>
      </c>
      <c r="Q497" t="s">
        <v>181</v>
      </c>
      <c r="R497">
        <v>143316</v>
      </c>
      <c r="S497">
        <v>0</v>
      </c>
      <c r="T497">
        <v>143316</v>
      </c>
      <c r="U497" t="s">
        <v>35</v>
      </c>
      <c r="V497" t="s">
        <v>3072</v>
      </c>
      <c r="W497" t="s">
        <v>182</v>
      </c>
      <c r="X497" s="4">
        <v>1</v>
      </c>
      <c r="Y497" s="4"/>
      <c r="Z497">
        <f t="shared" si="28"/>
        <v>8</v>
      </c>
      <c r="AA497">
        <f t="shared" si="29"/>
        <v>11</v>
      </c>
      <c r="AB497" s="5">
        <f t="shared" si="30"/>
        <v>0.33155092592642177</v>
      </c>
      <c r="AC497" s="3">
        <f t="shared" si="31"/>
        <v>9.0300925927294884E-2</v>
      </c>
      <c r="AD497" t="str" cm="1">
        <f t="array" ref="AD497">IFERROR(_xlfn.IFS(
    AC497="", "",
    AC497*86400 &lt; 30, "1. 0s - &lt;30s",
    AC497*86400 &lt; 60, "2. 30s - &lt;1m",
    AC497*86400 &lt; 300, "3. 1m - &lt;5m",
    AC497*86400 &lt; 1800, "4. 5m - &lt;30m",
    TRUE, "5. &gt;= 30m"
),"6. Invalid (Order rejected)")</f>
        <v>5. &gt;= 30m</v>
      </c>
    </row>
    <row r="498" spans="1:30" hidden="1" x14ac:dyDescent="0.3">
      <c r="A498" t="s">
        <v>3172</v>
      </c>
      <c r="B498" t="s">
        <v>25</v>
      </c>
      <c r="C498">
        <v>43512432</v>
      </c>
      <c r="D498">
        <v>0</v>
      </c>
      <c r="E498" t="s">
        <v>25</v>
      </c>
      <c r="F498" t="s">
        <v>26</v>
      </c>
      <c r="G498" t="s">
        <v>27</v>
      </c>
      <c r="H498" t="s">
        <v>3173</v>
      </c>
      <c r="I498" t="s">
        <v>3174</v>
      </c>
      <c r="J498" t="s">
        <v>26</v>
      </c>
      <c r="K498" t="s">
        <v>26</v>
      </c>
      <c r="L498" t="s">
        <v>3175</v>
      </c>
      <c r="M498" t="s">
        <v>25</v>
      </c>
      <c r="N498" t="s">
        <v>1642</v>
      </c>
      <c r="O498" t="s">
        <v>1643</v>
      </c>
      <c r="P498" t="s">
        <v>3176</v>
      </c>
      <c r="Q498" t="s">
        <v>3177</v>
      </c>
      <c r="R498">
        <v>168804</v>
      </c>
      <c r="S498">
        <v>0</v>
      </c>
      <c r="T498">
        <v>168804</v>
      </c>
      <c r="U498" t="s">
        <v>35</v>
      </c>
      <c r="V498" t="s">
        <v>1646</v>
      </c>
      <c r="W498" t="s">
        <v>3178</v>
      </c>
      <c r="X498" s="4">
        <v>1</v>
      </c>
      <c r="Y498" s="4"/>
      <c r="Z498">
        <f t="shared" si="28"/>
        <v>8</v>
      </c>
      <c r="AA498">
        <f t="shared" si="29"/>
        <v>11</v>
      </c>
      <c r="AB498" s="5">
        <f t="shared" si="30"/>
        <v>0.32540509258979</v>
      </c>
      <c r="AC498" s="3">
        <f t="shared" si="31"/>
        <v>9.0289351857791189E-2</v>
      </c>
      <c r="AD498" t="str" cm="1">
        <f t="array" ref="AD498">IFERROR(_xlfn.IFS(
    AC498="", "",
    AC498*86400 &lt; 30, "1. 0s - &lt;30s",
    AC498*86400 &lt; 60, "2. 30s - &lt;1m",
    AC498*86400 &lt; 300, "3. 1m - &lt;5m",
    AC498*86400 &lt; 1800, "4. 5m - &lt;30m",
    TRUE, "5. &gt;= 30m"
),"6. Invalid (Order rejected)")</f>
        <v>5. &gt;= 30m</v>
      </c>
    </row>
    <row r="499" spans="1:30" hidden="1" x14ac:dyDescent="0.3">
      <c r="A499" t="s">
        <v>3179</v>
      </c>
      <c r="B499" t="s">
        <v>25</v>
      </c>
      <c r="C499">
        <v>43512432</v>
      </c>
      <c r="D499">
        <v>0</v>
      </c>
      <c r="E499" t="s">
        <v>25</v>
      </c>
      <c r="F499" t="s">
        <v>26</v>
      </c>
      <c r="G499" t="s">
        <v>27</v>
      </c>
      <c r="H499" t="s">
        <v>3180</v>
      </c>
      <c r="I499" t="s">
        <v>3181</v>
      </c>
      <c r="J499" t="s">
        <v>26</v>
      </c>
      <c r="K499" t="s">
        <v>26</v>
      </c>
      <c r="L499" t="s">
        <v>3182</v>
      </c>
      <c r="M499" t="s">
        <v>25</v>
      </c>
      <c r="N499" t="s">
        <v>1642</v>
      </c>
      <c r="O499" t="s">
        <v>1643</v>
      </c>
      <c r="P499" t="s">
        <v>3183</v>
      </c>
      <c r="Q499" t="s">
        <v>3184</v>
      </c>
      <c r="R499">
        <v>157140</v>
      </c>
      <c r="S499">
        <v>0</v>
      </c>
      <c r="T499">
        <v>157140</v>
      </c>
      <c r="U499" t="s">
        <v>35</v>
      </c>
      <c r="V499" t="s">
        <v>1646</v>
      </c>
      <c r="W499" t="s">
        <v>3185</v>
      </c>
      <c r="X499" s="4">
        <v>1</v>
      </c>
      <c r="Y499" s="4"/>
      <c r="Z499">
        <f t="shared" si="28"/>
        <v>8</v>
      </c>
      <c r="AA499">
        <f t="shared" si="29"/>
        <v>11</v>
      </c>
      <c r="AB499" s="5">
        <f t="shared" si="30"/>
        <v>0.32592592592845904</v>
      </c>
      <c r="AC499" s="3">
        <f t="shared" si="31"/>
        <v>9.0289351850515231E-2</v>
      </c>
      <c r="AD499" t="str" cm="1">
        <f t="array" ref="AD499">IFERROR(_xlfn.IFS(
    AC499="", "",
    AC499*86400 &lt; 30, "1. 0s - &lt;30s",
    AC499*86400 &lt; 60, "2. 30s - &lt;1m",
    AC499*86400 &lt; 300, "3. 1m - &lt;5m",
    AC499*86400 &lt; 1800, "4. 5m - &lt;30m",
    TRUE, "5. &gt;= 30m"
),"6. Invalid (Order rejected)")</f>
        <v>5. &gt;= 30m</v>
      </c>
    </row>
    <row r="500" spans="1:30" hidden="1" x14ac:dyDescent="0.3">
      <c r="A500" t="s">
        <v>3186</v>
      </c>
      <c r="B500" t="s">
        <v>25</v>
      </c>
      <c r="C500">
        <v>43512432</v>
      </c>
      <c r="D500">
        <v>0</v>
      </c>
      <c r="E500" t="s">
        <v>25</v>
      </c>
      <c r="F500" t="s">
        <v>26</v>
      </c>
      <c r="G500" t="s">
        <v>27</v>
      </c>
      <c r="H500" t="s">
        <v>3187</v>
      </c>
      <c r="I500" t="s">
        <v>3188</v>
      </c>
      <c r="J500" t="s">
        <v>26</v>
      </c>
      <c r="K500" t="s">
        <v>26</v>
      </c>
      <c r="L500" t="s">
        <v>3189</v>
      </c>
      <c r="M500" t="s">
        <v>25</v>
      </c>
      <c r="N500" t="s">
        <v>3039</v>
      </c>
      <c r="O500" t="s">
        <v>3040</v>
      </c>
      <c r="P500" t="s">
        <v>3183</v>
      </c>
      <c r="Q500" t="s">
        <v>3184</v>
      </c>
      <c r="R500">
        <v>152712</v>
      </c>
      <c r="S500">
        <v>0</v>
      </c>
      <c r="T500">
        <v>152712</v>
      </c>
      <c r="U500" t="s">
        <v>35</v>
      </c>
      <c r="V500" t="s">
        <v>3041</v>
      </c>
      <c r="W500" t="s">
        <v>3185</v>
      </c>
      <c r="X500" s="4">
        <v>1</v>
      </c>
      <c r="Y500" s="4"/>
      <c r="Z500">
        <f t="shared" si="28"/>
        <v>8</v>
      </c>
      <c r="AA500">
        <f t="shared" si="29"/>
        <v>11</v>
      </c>
      <c r="AB500" s="5">
        <f t="shared" si="30"/>
        <v>0.32900462963152677</v>
      </c>
      <c r="AC500" s="3">
        <f t="shared" si="31"/>
        <v>9.0289351850515231E-2</v>
      </c>
      <c r="AD500" t="str" cm="1">
        <f t="array" ref="AD500">IFERROR(_xlfn.IFS(
    AC500="", "",
    AC500*86400 &lt; 30, "1. 0s - &lt;30s",
    AC500*86400 &lt; 60, "2. 30s - &lt;1m",
    AC500*86400 &lt; 300, "3. 1m - &lt;5m",
    AC500*86400 &lt; 1800, "4. 5m - &lt;30m",
    TRUE, "5. &gt;= 30m"
),"6. Invalid (Order rejected)")</f>
        <v>5. &gt;= 30m</v>
      </c>
    </row>
    <row r="501" spans="1:30" hidden="1" x14ac:dyDescent="0.3">
      <c r="A501" t="s">
        <v>3190</v>
      </c>
      <c r="B501" t="s">
        <v>25</v>
      </c>
      <c r="C501">
        <v>43512432</v>
      </c>
      <c r="D501">
        <v>0</v>
      </c>
      <c r="E501" t="s">
        <v>25</v>
      </c>
      <c r="F501" t="s">
        <v>26</v>
      </c>
      <c r="G501" t="s">
        <v>27</v>
      </c>
      <c r="H501" t="s">
        <v>3191</v>
      </c>
      <c r="I501" t="s">
        <v>3192</v>
      </c>
      <c r="J501" t="s">
        <v>26</v>
      </c>
      <c r="K501" t="s">
        <v>26</v>
      </c>
      <c r="L501" t="s">
        <v>3193</v>
      </c>
      <c r="M501" t="s">
        <v>25</v>
      </c>
      <c r="N501" t="s">
        <v>3170</v>
      </c>
      <c r="O501" t="s">
        <v>3171</v>
      </c>
      <c r="P501" t="s">
        <v>3137</v>
      </c>
      <c r="Q501" t="s">
        <v>3138</v>
      </c>
      <c r="R501">
        <v>199044</v>
      </c>
      <c r="S501">
        <v>0</v>
      </c>
      <c r="T501">
        <v>199044</v>
      </c>
      <c r="U501" t="s">
        <v>35</v>
      </c>
      <c r="V501" t="s">
        <v>3072</v>
      </c>
      <c r="W501" t="s">
        <v>3139</v>
      </c>
      <c r="X501" s="4">
        <v>1</v>
      </c>
      <c r="Y501" s="4"/>
      <c r="Z501">
        <f t="shared" si="28"/>
        <v>8</v>
      </c>
      <c r="AA501">
        <f t="shared" si="29"/>
        <v>11</v>
      </c>
      <c r="AB501" s="5">
        <f t="shared" si="30"/>
        <v>0.330810185187147</v>
      </c>
      <c r="AC501" s="3">
        <f t="shared" si="31"/>
        <v>9.0289351850515231E-2</v>
      </c>
      <c r="AD501" t="str" cm="1">
        <f t="array" ref="AD501">IFERROR(_xlfn.IFS(
    AC501="", "",
    AC501*86400 &lt; 30, "1. 0s - &lt;30s",
    AC501*86400 &lt; 60, "2. 30s - &lt;1m",
    AC501*86400 &lt; 300, "3. 1m - &lt;5m",
    AC501*86400 &lt; 1800, "4. 5m - &lt;30m",
    TRUE, "5. &gt;= 30m"
),"6. Invalid (Order rejected)")</f>
        <v>5. &gt;= 30m</v>
      </c>
    </row>
    <row r="502" spans="1:30" hidden="1" x14ac:dyDescent="0.3">
      <c r="A502" t="s">
        <v>3194</v>
      </c>
      <c r="B502" t="s">
        <v>25</v>
      </c>
      <c r="C502">
        <v>43512432</v>
      </c>
      <c r="D502">
        <v>0</v>
      </c>
      <c r="E502" t="s">
        <v>25</v>
      </c>
      <c r="F502" t="s">
        <v>26</v>
      </c>
      <c r="G502" t="s">
        <v>27</v>
      </c>
      <c r="H502" t="s">
        <v>3195</v>
      </c>
      <c r="I502" t="s">
        <v>3196</v>
      </c>
      <c r="J502" t="s">
        <v>26</v>
      </c>
      <c r="K502" t="s">
        <v>26</v>
      </c>
      <c r="L502" t="s">
        <v>3197</v>
      </c>
      <c r="M502" t="s">
        <v>25</v>
      </c>
      <c r="N502" t="s">
        <v>1642</v>
      </c>
      <c r="O502" t="s">
        <v>1643</v>
      </c>
      <c r="P502" t="s">
        <v>3198</v>
      </c>
      <c r="Q502" t="s">
        <v>3199</v>
      </c>
      <c r="R502">
        <v>156600</v>
      </c>
      <c r="S502">
        <v>0</v>
      </c>
      <c r="T502">
        <v>156600</v>
      </c>
      <c r="U502" t="s">
        <v>35</v>
      </c>
      <c r="V502" t="s">
        <v>1646</v>
      </c>
      <c r="W502" t="s">
        <v>3200</v>
      </c>
      <c r="X502" s="4">
        <v>1</v>
      </c>
      <c r="Y502" s="4"/>
      <c r="Z502">
        <f t="shared" si="28"/>
        <v>8</v>
      </c>
      <c r="AA502">
        <f t="shared" si="29"/>
        <v>11</v>
      </c>
      <c r="AB502" s="5">
        <f t="shared" si="30"/>
        <v>0.32730324073781958</v>
      </c>
      <c r="AC502" s="3">
        <f t="shared" si="31"/>
        <v>9.0300925927294884E-2</v>
      </c>
      <c r="AD502" t="str" cm="1">
        <f t="array" ref="AD502">IFERROR(_xlfn.IFS(
    AC502="", "",
    AC502*86400 &lt; 30, "1. 0s - &lt;30s",
    AC502*86400 &lt; 60, "2. 30s - &lt;1m",
    AC502*86400 &lt; 300, "3. 1m - &lt;5m",
    AC502*86400 &lt; 1800, "4. 5m - &lt;30m",
    TRUE, "5. &gt;= 30m"
),"6. Invalid (Order rejected)")</f>
        <v>5. &gt;= 30m</v>
      </c>
    </row>
    <row r="503" spans="1:30" hidden="1" x14ac:dyDescent="0.3">
      <c r="A503" t="s">
        <v>3201</v>
      </c>
      <c r="B503" t="s">
        <v>25</v>
      </c>
      <c r="C503">
        <v>43512432</v>
      </c>
      <c r="D503">
        <v>0</v>
      </c>
      <c r="E503" t="s">
        <v>25</v>
      </c>
      <c r="F503" t="s">
        <v>26</v>
      </c>
      <c r="G503" t="s">
        <v>27</v>
      </c>
      <c r="H503" t="s">
        <v>3202</v>
      </c>
      <c r="I503" t="s">
        <v>3203</v>
      </c>
      <c r="J503" t="s">
        <v>26</v>
      </c>
      <c r="K503" t="s">
        <v>26</v>
      </c>
      <c r="L503" t="s">
        <v>3204</v>
      </c>
      <c r="M503" t="s">
        <v>25</v>
      </c>
      <c r="N503" t="s">
        <v>3039</v>
      </c>
      <c r="O503" t="s">
        <v>3040</v>
      </c>
      <c r="P503" t="s">
        <v>89</v>
      </c>
      <c r="Q503" t="s">
        <v>90</v>
      </c>
      <c r="R503">
        <v>177012</v>
      </c>
      <c r="S503">
        <v>0</v>
      </c>
      <c r="T503">
        <v>177012</v>
      </c>
      <c r="U503" t="s">
        <v>35</v>
      </c>
      <c r="V503" t="s">
        <v>3041</v>
      </c>
      <c r="W503" t="s">
        <v>91</v>
      </c>
      <c r="X503" s="4">
        <v>1</v>
      </c>
      <c r="Y503" s="4"/>
      <c r="Z503">
        <f t="shared" si="28"/>
        <v>8</v>
      </c>
      <c r="AA503">
        <f t="shared" si="29"/>
        <v>11</v>
      </c>
      <c r="AB503" s="5">
        <f t="shared" si="30"/>
        <v>0.328263888892252</v>
      </c>
      <c r="AC503" s="3">
        <f t="shared" si="31"/>
        <v>9.0289351850515231E-2</v>
      </c>
      <c r="AD503" t="str" cm="1">
        <f t="array" ref="AD503">IFERROR(_xlfn.IFS(
    AC503="", "",
    AC503*86400 &lt; 30, "1. 0s - &lt;30s",
    AC503*86400 &lt; 60, "2. 30s - &lt;1m",
    AC503*86400 &lt; 300, "3. 1m - &lt;5m",
    AC503*86400 &lt; 1800, "4. 5m - &lt;30m",
    TRUE, "5. &gt;= 30m"
),"6. Invalid (Order rejected)")</f>
        <v>5. &gt;= 30m</v>
      </c>
    </row>
    <row r="504" spans="1:30" hidden="1" x14ac:dyDescent="0.3">
      <c r="A504" t="s">
        <v>3205</v>
      </c>
      <c r="B504" t="s">
        <v>25</v>
      </c>
      <c r="C504">
        <v>43512432</v>
      </c>
      <c r="D504">
        <v>0</v>
      </c>
      <c r="E504" t="s">
        <v>25</v>
      </c>
      <c r="F504" t="s">
        <v>26</v>
      </c>
      <c r="G504" t="s">
        <v>27</v>
      </c>
      <c r="H504" t="s">
        <v>3206</v>
      </c>
      <c r="I504" t="s">
        <v>3207</v>
      </c>
      <c r="J504" t="s">
        <v>26</v>
      </c>
      <c r="K504" t="s">
        <v>26</v>
      </c>
      <c r="L504" t="s">
        <v>3208</v>
      </c>
      <c r="M504" t="s">
        <v>25</v>
      </c>
      <c r="N504" t="s">
        <v>3039</v>
      </c>
      <c r="O504" t="s">
        <v>3040</v>
      </c>
      <c r="P504" t="s">
        <v>3144</v>
      </c>
      <c r="Q504" t="s">
        <v>3145</v>
      </c>
      <c r="R504">
        <v>229824</v>
      </c>
      <c r="S504">
        <v>0</v>
      </c>
      <c r="T504">
        <v>229824</v>
      </c>
      <c r="U504" t="s">
        <v>35</v>
      </c>
      <c r="V504" t="s">
        <v>3041</v>
      </c>
      <c r="W504" t="s">
        <v>3146</v>
      </c>
      <c r="X504" s="4">
        <v>1</v>
      </c>
      <c r="Y504" s="4"/>
      <c r="Z504">
        <f t="shared" si="28"/>
        <v>8</v>
      </c>
      <c r="AA504">
        <f t="shared" si="29"/>
        <v>11</v>
      </c>
      <c r="AB504" s="5">
        <f t="shared" si="30"/>
        <v>0.32968750000145519</v>
      </c>
      <c r="AC504" s="3">
        <f t="shared" si="31"/>
        <v>9.0289351850515231E-2</v>
      </c>
      <c r="AD504" t="str" cm="1">
        <f t="array" ref="AD504">IFERROR(_xlfn.IFS(
    AC504="", "",
    AC504*86400 &lt; 30, "1. 0s - &lt;30s",
    AC504*86400 &lt; 60, "2. 30s - &lt;1m",
    AC504*86400 &lt; 300, "3. 1m - &lt;5m",
    AC504*86400 &lt; 1800, "4. 5m - &lt;30m",
    TRUE, "5. &gt;= 30m"
),"6. Invalid (Order rejected)")</f>
        <v>5. &gt;= 30m</v>
      </c>
    </row>
    <row r="505" spans="1:30" hidden="1" x14ac:dyDescent="0.3">
      <c r="A505" t="s">
        <v>3209</v>
      </c>
      <c r="B505" t="s">
        <v>25</v>
      </c>
      <c r="C505">
        <v>43512432</v>
      </c>
      <c r="D505">
        <v>0</v>
      </c>
      <c r="E505" t="s">
        <v>25</v>
      </c>
      <c r="F505" t="s">
        <v>26</v>
      </c>
      <c r="G505" t="s">
        <v>27</v>
      </c>
      <c r="H505" t="s">
        <v>3210</v>
      </c>
      <c r="I505" t="s">
        <v>3211</v>
      </c>
      <c r="J505" t="s">
        <v>26</v>
      </c>
      <c r="K505" t="s">
        <v>26</v>
      </c>
      <c r="L505" t="s">
        <v>3212</v>
      </c>
      <c r="M505" t="s">
        <v>25</v>
      </c>
      <c r="N505" t="s">
        <v>3039</v>
      </c>
      <c r="O505" t="s">
        <v>3040</v>
      </c>
      <c r="P505" t="s">
        <v>3198</v>
      </c>
      <c r="Q505" t="s">
        <v>3199</v>
      </c>
      <c r="R505">
        <v>153900</v>
      </c>
      <c r="S505">
        <v>0</v>
      </c>
      <c r="T505">
        <v>153900</v>
      </c>
      <c r="U505" t="s">
        <v>35</v>
      </c>
      <c r="V505" t="s">
        <v>3041</v>
      </c>
      <c r="W505" t="s">
        <v>3200</v>
      </c>
      <c r="X505" s="4">
        <v>1</v>
      </c>
      <c r="Y505" s="4"/>
      <c r="Z505">
        <f t="shared" si="28"/>
        <v>8</v>
      </c>
      <c r="AA505">
        <f t="shared" si="29"/>
        <v>11</v>
      </c>
      <c r="AB505" s="5">
        <f t="shared" si="30"/>
        <v>0.32984953703999054</v>
      </c>
      <c r="AC505" s="3">
        <f t="shared" si="31"/>
        <v>9.0289351850515231E-2</v>
      </c>
      <c r="AD505" t="str" cm="1">
        <f t="array" ref="AD505">IFERROR(_xlfn.IFS(
    AC505="", "",
    AC505*86400 &lt; 30, "1. 0s - &lt;30s",
    AC505*86400 &lt; 60, "2. 30s - &lt;1m",
    AC505*86400 &lt; 300, "3. 1m - &lt;5m",
    AC505*86400 &lt; 1800, "4. 5m - &lt;30m",
    TRUE, "5. &gt;= 30m"
),"6. Invalid (Order rejected)")</f>
        <v>5. &gt;= 30m</v>
      </c>
    </row>
    <row r="506" spans="1:30" hidden="1" x14ac:dyDescent="0.3">
      <c r="A506" t="s">
        <v>3213</v>
      </c>
      <c r="B506" t="s">
        <v>25</v>
      </c>
      <c r="C506">
        <v>43512432</v>
      </c>
      <c r="D506">
        <v>0</v>
      </c>
      <c r="E506" t="s">
        <v>25</v>
      </c>
      <c r="F506" t="s">
        <v>26</v>
      </c>
      <c r="G506" t="s">
        <v>27</v>
      </c>
      <c r="H506" t="s">
        <v>3214</v>
      </c>
      <c r="I506" t="s">
        <v>3215</v>
      </c>
      <c r="J506" t="s">
        <v>26</v>
      </c>
      <c r="K506" t="s">
        <v>26</v>
      </c>
      <c r="L506" t="s">
        <v>3216</v>
      </c>
      <c r="M506" t="s">
        <v>25</v>
      </c>
      <c r="N506" t="s">
        <v>3170</v>
      </c>
      <c r="O506" t="s">
        <v>3171</v>
      </c>
      <c r="P506" t="s">
        <v>3176</v>
      </c>
      <c r="Q506" t="s">
        <v>3177</v>
      </c>
      <c r="R506">
        <v>177012</v>
      </c>
      <c r="S506">
        <v>0</v>
      </c>
      <c r="T506">
        <v>177012</v>
      </c>
      <c r="U506" t="s">
        <v>35</v>
      </c>
      <c r="V506" t="s">
        <v>3072</v>
      </c>
      <c r="W506" t="s">
        <v>3178</v>
      </c>
      <c r="X506" s="4">
        <v>1</v>
      </c>
      <c r="Y506" s="4"/>
      <c r="Z506">
        <f t="shared" si="28"/>
        <v>8</v>
      </c>
      <c r="AA506">
        <f t="shared" si="29"/>
        <v>11</v>
      </c>
      <c r="AB506" s="5">
        <f t="shared" si="30"/>
        <v>0.33099537037196569</v>
      </c>
      <c r="AC506" s="3">
        <f t="shared" si="31"/>
        <v>9.0289351850515231E-2</v>
      </c>
      <c r="AD506" t="str" cm="1">
        <f t="array" ref="AD506">IFERROR(_xlfn.IFS(
    AC506="", "",
    AC506*86400 &lt; 30, "1. 0s - &lt;30s",
    AC506*86400 &lt; 60, "2. 30s - &lt;1m",
    AC506*86400 &lt; 300, "3. 1m - &lt;5m",
    AC506*86400 &lt; 1800, "4. 5m - &lt;30m",
    TRUE, "5. &gt;= 30m"
),"6. Invalid (Order rejected)")</f>
        <v>5. &gt;= 30m</v>
      </c>
    </row>
    <row r="507" spans="1:30" hidden="1" x14ac:dyDescent="0.3">
      <c r="A507" t="s">
        <v>3217</v>
      </c>
      <c r="B507" t="s">
        <v>25</v>
      </c>
      <c r="C507">
        <v>43512432</v>
      </c>
      <c r="D507">
        <v>0</v>
      </c>
      <c r="E507" t="s">
        <v>25</v>
      </c>
      <c r="F507" t="s">
        <v>26</v>
      </c>
      <c r="G507" t="s">
        <v>27</v>
      </c>
      <c r="H507" t="s">
        <v>3218</v>
      </c>
      <c r="I507" t="s">
        <v>3219</v>
      </c>
      <c r="J507" t="s">
        <v>26</v>
      </c>
      <c r="K507" t="s">
        <v>26</v>
      </c>
      <c r="L507" t="s">
        <v>3220</v>
      </c>
      <c r="M507" t="s">
        <v>25</v>
      </c>
      <c r="N507" t="s">
        <v>3170</v>
      </c>
      <c r="O507" t="s">
        <v>3171</v>
      </c>
      <c r="P507" t="s">
        <v>3221</v>
      </c>
      <c r="Q507" t="s">
        <v>3222</v>
      </c>
      <c r="R507">
        <v>163728</v>
      </c>
      <c r="S507">
        <v>0</v>
      </c>
      <c r="T507">
        <v>163728</v>
      </c>
      <c r="U507" t="s">
        <v>35</v>
      </c>
      <c r="V507" t="s">
        <v>3072</v>
      </c>
      <c r="W507" t="s">
        <v>3223</v>
      </c>
      <c r="X507" s="4">
        <v>1</v>
      </c>
      <c r="Y507" s="4"/>
      <c r="Z507">
        <f t="shared" si="28"/>
        <v>8</v>
      </c>
      <c r="AA507">
        <f t="shared" si="29"/>
        <v>11</v>
      </c>
      <c r="AB507" s="5">
        <f t="shared" si="30"/>
        <v>0.33253472221986158</v>
      </c>
      <c r="AC507" s="3">
        <f t="shared" si="31"/>
        <v>9.0289351857791189E-2</v>
      </c>
      <c r="AD507" t="str" cm="1">
        <f t="array" ref="AD507">IFERROR(_xlfn.IFS(
    AC507="", "",
    AC507*86400 &lt; 30, "1. 0s - &lt;30s",
    AC507*86400 &lt; 60, "2. 30s - &lt;1m",
    AC507*86400 &lt; 300, "3. 1m - &lt;5m",
    AC507*86400 &lt; 1800, "4. 5m - &lt;30m",
    TRUE, "5. &gt;= 30m"
),"6. Invalid (Order rejected)")</f>
        <v>5. &gt;= 30m</v>
      </c>
    </row>
    <row r="508" spans="1:30" hidden="1" x14ac:dyDescent="0.3">
      <c r="A508" t="s">
        <v>3224</v>
      </c>
      <c r="B508" t="s">
        <v>25</v>
      </c>
      <c r="C508">
        <v>43512432</v>
      </c>
      <c r="D508">
        <v>0</v>
      </c>
      <c r="E508" t="s">
        <v>25</v>
      </c>
      <c r="F508" t="s">
        <v>26</v>
      </c>
      <c r="G508" t="s">
        <v>27</v>
      </c>
      <c r="H508" t="s">
        <v>3225</v>
      </c>
      <c r="I508" t="s">
        <v>3226</v>
      </c>
      <c r="J508" t="s">
        <v>26</v>
      </c>
      <c r="K508" t="s">
        <v>26</v>
      </c>
      <c r="L508" t="s">
        <v>3227</v>
      </c>
      <c r="M508" t="s">
        <v>25</v>
      </c>
      <c r="N508" t="s">
        <v>3170</v>
      </c>
      <c r="O508" t="s">
        <v>3171</v>
      </c>
      <c r="P508" t="s">
        <v>3144</v>
      </c>
      <c r="Q508" t="s">
        <v>3145</v>
      </c>
      <c r="R508">
        <v>242568</v>
      </c>
      <c r="S508">
        <v>0</v>
      </c>
      <c r="T508">
        <v>242568</v>
      </c>
      <c r="U508" t="s">
        <v>35</v>
      </c>
      <c r="V508" t="s">
        <v>3072</v>
      </c>
      <c r="W508" t="s">
        <v>3146</v>
      </c>
      <c r="X508" s="4">
        <v>1</v>
      </c>
      <c r="Y508" s="4"/>
      <c r="Z508">
        <f t="shared" si="28"/>
        <v>8</v>
      </c>
      <c r="AA508">
        <f t="shared" si="29"/>
        <v>11</v>
      </c>
      <c r="AB508" s="5">
        <f t="shared" si="30"/>
        <v>0.3321180555576575</v>
      </c>
      <c r="AC508" s="3">
        <f t="shared" si="31"/>
        <v>9.0289351850515231E-2</v>
      </c>
      <c r="AD508" t="str" cm="1">
        <f t="array" ref="AD508">IFERROR(_xlfn.IFS(
    AC508="", "",
    AC508*86400 &lt; 30, "1. 0s - &lt;30s",
    AC508*86400 &lt; 60, "2. 30s - &lt;1m",
    AC508*86400 &lt; 300, "3. 1m - &lt;5m",
    AC508*86400 &lt; 1800, "4. 5m - &lt;30m",
    TRUE, "5. &gt;= 30m"
),"6. Invalid (Order rejected)")</f>
        <v>5. &gt;= 30m</v>
      </c>
    </row>
    <row r="509" spans="1:30" hidden="1" x14ac:dyDescent="0.3">
      <c r="A509" t="s">
        <v>3228</v>
      </c>
      <c r="B509" t="s">
        <v>3229</v>
      </c>
      <c r="C509">
        <v>13373294</v>
      </c>
      <c r="D509">
        <v>0</v>
      </c>
      <c r="E509" t="s">
        <v>25</v>
      </c>
      <c r="F509" t="s">
        <v>26</v>
      </c>
      <c r="G509" t="s">
        <v>27</v>
      </c>
      <c r="H509" t="s">
        <v>3230</v>
      </c>
      <c r="I509" t="s">
        <v>3231</v>
      </c>
      <c r="J509" t="s">
        <v>26</v>
      </c>
      <c r="K509" t="s">
        <v>26</v>
      </c>
      <c r="L509" t="s">
        <v>3232</v>
      </c>
      <c r="M509" t="s">
        <v>25</v>
      </c>
      <c r="N509" t="s">
        <v>3233</v>
      </c>
      <c r="O509" t="s">
        <v>3234</v>
      </c>
      <c r="P509" t="s">
        <v>3235</v>
      </c>
      <c r="Q509" t="s">
        <v>3236</v>
      </c>
      <c r="R509">
        <v>183384</v>
      </c>
      <c r="S509">
        <v>0</v>
      </c>
      <c r="T509">
        <v>183384</v>
      </c>
      <c r="U509" t="s">
        <v>35</v>
      </c>
      <c r="V509" t="s">
        <v>3237</v>
      </c>
      <c r="W509" t="s">
        <v>3238</v>
      </c>
      <c r="X509" s="4">
        <v>1</v>
      </c>
      <c r="Y509" s="4"/>
      <c r="Z509">
        <f t="shared" si="28"/>
        <v>8</v>
      </c>
      <c r="AA509">
        <f t="shared" si="29"/>
        <v>14</v>
      </c>
      <c r="AB509" s="5">
        <f t="shared" si="30"/>
        <v>0.81420138888643123</v>
      </c>
      <c r="AC509" s="3">
        <f t="shared" si="31"/>
        <v>9.4432870369928423E-2</v>
      </c>
      <c r="AD509" t="str" cm="1">
        <f t="array" ref="AD509">IFERROR(_xlfn.IFS(
    AC509="", "",
    AC509*86400 &lt; 30, "1. 0s - &lt;30s",
    AC509*86400 &lt; 60, "2. 30s - &lt;1m",
    AC509*86400 &lt; 300, "3. 1m - &lt;5m",
    AC509*86400 &lt; 1800, "4. 5m - &lt;30m",
    TRUE, "5. &gt;= 30m"
),"6. Invalid (Order rejected)")</f>
        <v>5. &gt;= 30m</v>
      </c>
    </row>
    <row r="510" spans="1:30" hidden="1" x14ac:dyDescent="0.3">
      <c r="A510" t="s">
        <v>3239</v>
      </c>
      <c r="B510" t="s">
        <v>3229</v>
      </c>
      <c r="C510">
        <v>13373294</v>
      </c>
      <c r="D510">
        <v>3042499</v>
      </c>
      <c r="E510" t="s">
        <v>25</v>
      </c>
      <c r="F510" t="s">
        <v>75</v>
      </c>
      <c r="G510" t="s">
        <v>76</v>
      </c>
      <c r="H510" t="s">
        <v>3240</v>
      </c>
      <c r="I510" t="s">
        <v>3241</v>
      </c>
      <c r="J510" t="s">
        <v>3242</v>
      </c>
      <c r="K510" t="s">
        <v>26</v>
      </c>
      <c r="L510" t="s">
        <v>3243</v>
      </c>
      <c r="M510" t="s">
        <v>25</v>
      </c>
      <c r="N510" t="s">
        <v>3244</v>
      </c>
      <c r="O510" t="s">
        <v>3245</v>
      </c>
      <c r="P510" t="s">
        <v>3246</v>
      </c>
      <c r="Q510" t="s">
        <v>3247</v>
      </c>
      <c r="R510">
        <v>231768</v>
      </c>
      <c r="S510">
        <v>190243</v>
      </c>
      <c r="T510">
        <v>41525</v>
      </c>
      <c r="U510" t="s">
        <v>35</v>
      </c>
      <c r="V510" t="s">
        <v>3248</v>
      </c>
      <c r="W510" t="s">
        <v>3249</v>
      </c>
      <c r="X510" s="4">
        <v>1</v>
      </c>
      <c r="Y510" s="4"/>
      <c r="Z510">
        <f t="shared" si="28"/>
        <v>8</v>
      </c>
      <c r="AA510">
        <f t="shared" si="29"/>
        <v>14</v>
      </c>
      <c r="AB510" s="5">
        <f t="shared" si="30"/>
        <v>0.82223379629431292</v>
      </c>
      <c r="AC510" s="3">
        <f t="shared" si="31"/>
        <v>5.6817129632690921E-2</v>
      </c>
      <c r="AD510" t="str" cm="1">
        <f t="array" ref="AD510">IFERROR(_xlfn.IFS(
    AC510="", "",
    AC510*86400 &lt; 30, "1. 0s - &lt;30s",
    AC510*86400 &lt; 60, "2. 30s - &lt;1m",
    AC510*86400 &lt; 300, "3. 1m - &lt;5m",
    AC510*86400 &lt; 1800, "4. 5m - &lt;30m",
    TRUE, "5. &gt;= 30m"
),"6. Invalid (Order rejected)")</f>
        <v>5. &gt;= 30m</v>
      </c>
    </row>
    <row r="511" spans="1:30" hidden="1" x14ac:dyDescent="0.3">
      <c r="A511" t="s">
        <v>3250</v>
      </c>
      <c r="B511" t="s">
        <v>3229</v>
      </c>
      <c r="C511">
        <v>13373294</v>
      </c>
      <c r="D511">
        <v>0</v>
      </c>
      <c r="E511" t="s">
        <v>25</v>
      </c>
      <c r="F511" t="s">
        <v>26</v>
      </c>
      <c r="G511" t="s">
        <v>27</v>
      </c>
      <c r="H511" t="s">
        <v>3251</v>
      </c>
      <c r="I511" t="s">
        <v>3252</v>
      </c>
      <c r="J511" t="s">
        <v>26</v>
      </c>
      <c r="K511" t="s">
        <v>26</v>
      </c>
      <c r="L511" t="s">
        <v>3253</v>
      </c>
      <c r="M511" t="s">
        <v>25</v>
      </c>
      <c r="N511" t="s">
        <v>3254</v>
      </c>
      <c r="O511" t="s">
        <v>3255</v>
      </c>
      <c r="P511" t="s">
        <v>3256</v>
      </c>
      <c r="Q511" t="s">
        <v>3257</v>
      </c>
      <c r="R511">
        <v>297648</v>
      </c>
      <c r="S511">
        <v>0</v>
      </c>
      <c r="T511">
        <v>297648</v>
      </c>
      <c r="U511" t="s">
        <v>35</v>
      </c>
      <c r="V511" t="s">
        <v>3258</v>
      </c>
      <c r="W511" t="s">
        <v>3259</v>
      </c>
      <c r="X511" s="4">
        <v>1</v>
      </c>
      <c r="Y511" s="4"/>
      <c r="Z511">
        <f t="shared" si="28"/>
        <v>8</v>
      </c>
      <c r="AA511">
        <f t="shared" si="29"/>
        <v>15</v>
      </c>
      <c r="AB511" s="5">
        <f t="shared" si="30"/>
        <v>0.30849537037283881</v>
      </c>
      <c r="AC511" s="3">
        <f t="shared" si="31"/>
        <v>0.13831018518249039</v>
      </c>
      <c r="AD511" t="str" cm="1">
        <f t="array" ref="AD511">IFERROR(_xlfn.IFS(
    AC511="", "",
    AC511*86400 &lt; 30, "1. 0s - &lt;30s",
    AC511*86400 &lt; 60, "2. 30s - &lt;1m",
    AC511*86400 &lt; 300, "3. 1m - &lt;5m",
    AC511*86400 &lt; 1800, "4. 5m - &lt;30m",
    TRUE, "5. &gt;= 30m"
),"6. Invalid (Order rejected)")</f>
        <v>5. &gt;= 30m</v>
      </c>
    </row>
    <row r="512" spans="1:30" hidden="1" x14ac:dyDescent="0.3">
      <c r="A512" t="s">
        <v>3260</v>
      </c>
      <c r="B512" t="s">
        <v>3229</v>
      </c>
      <c r="C512">
        <v>13373294</v>
      </c>
      <c r="D512">
        <v>0</v>
      </c>
      <c r="E512" t="s">
        <v>25</v>
      </c>
      <c r="F512" t="s">
        <v>26</v>
      </c>
      <c r="G512" t="s">
        <v>27</v>
      </c>
      <c r="H512" t="s">
        <v>3261</v>
      </c>
      <c r="I512" t="s">
        <v>3262</v>
      </c>
      <c r="J512" t="s">
        <v>26</v>
      </c>
      <c r="K512" t="s">
        <v>26</v>
      </c>
      <c r="L512" t="s">
        <v>3263</v>
      </c>
      <c r="M512" t="s">
        <v>25</v>
      </c>
      <c r="N512" t="s">
        <v>3244</v>
      </c>
      <c r="O512" t="s">
        <v>3245</v>
      </c>
      <c r="P512" t="s">
        <v>3264</v>
      </c>
      <c r="Q512" t="s">
        <v>3265</v>
      </c>
      <c r="R512">
        <v>342036</v>
      </c>
      <c r="S512">
        <v>0</v>
      </c>
      <c r="T512">
        <v>342036</v>
      </c>
      <c r="U512" t="s">
        <v>35</v>
      </c>
      <c r="V512" t="s">
        <v>3248</v>
      </c>
      <c r="W512" t="s">
        <v>3266</v>
      </c>
      <c r="X512" s="4">
        <v>1</v>
      </c>
      <c r="Y512" s="4"/>
      <c r="Z512">
        <f t="shared" si="28"/>
        <v>8</v>
      </c>
      <c r="AA512">
        <f t="shared" si="29"/>
        <v>15</v>
      </c>
      <c r="AB512" s="5">
        <f t="shared" si="30"/>
        <v>0.31401620370161254</v>
      </c>
      <c r="AC512" s="3">
        <f t="shared" si="31"/>
        <v>9.0150462965539191E-2</v>
      </c>
      <c r="AD512" t="str" cm="1">
        <f t="array" ref="AD512">IFERROR(_xlfn.IFS(
    AC512="", "",
    AC512*86400 &lt; 30, "1. 0s - &lt;30s",
    AC512*86400 &lt; 60, "2. 30s - &lt;1m",
    AC512*86400 &lt; 300, "3. 1m - &lt;5m",
    AC512*86400 &lt; 1800, "4. 5m - &lt;30m",
    TRUE, "5. &gt;= 30m"
),"6. Invalid (Order rejected)")</f>
        <v>5. &gt;= 30m</v>
      </c>
    </row>
    <row r="513" spans="1:30" hidden="1" x14ac:dyDescent="0.3">
      <c r="A513" t="s">
        <v>3267</v>
      </c>
      <c r="B513" t="s">
        <v>3229</v>
      </c>
      <c r="C513">
        <v>13373294</v>
      </c>
      <c r="D513">
        <v>0</v>
      </c>
      <c r="E513" t="s">
        <v>25</v>
      </c>
      <c r="F513" t="s">
        <v>26</v>
      </c>
      <c r="G513" t="s">
        <v>27</v>
      </c>
      <c r="H513" t="s">
        <v>3268</v>
      </c>
      <c r="I513" t="s">
        <v>3269</v>
      </c>
      <c r="J513" t="s">
        <v>26</v>
      </c>
      <c r="K513" t="s">
        <v>26</v>
      </c>
      <c r="L513" t="s">
        <v>3270</v>
      </c>
      <c r="M513" t="s">
        <v>25</v>
      </c>
      <c r="N513" t="s">
        <v>3271</v>
      </c>
      <c r="O513" t="s">
        <v>3272</v>
      </c>
      <c r="P513" t="s">
        <v>3273</v>
      </c>
      <c r="Q513" t="s">
        <v>3274</v>
      </c>
      <c r="R513">
        <v>228420</v>
      </c>
      <c r="S513">
        <v>0</v>
      </c>
      <c r="T513">
        <v>228420</v>
      </c>
      <c r="U513" t="s">
        <v>35</v>
      </c>
      <c r="V513" t="s">
        <v>3237</v>
      </c>
      <c r="W513" t="s">
        <v>3275</v>
      </c>
      <c r="X513" s="4">
        <v>1</v>
      </c>
      <c r="Y513" s="4"/>
      <c r="Z513">
        <f t="shared" si="28"/>
        <v>8</v>
      </c>
      <c r="AA513">
        <f t="shared" si="29"/>
        <v>15</v>
      </c>
      <c r="AB513" s="5">
        <f t="shared" si="30"/>
        <v>0.30712962963298196</v>
      </c>
      <c r="AC513" s="3">
        <f t="shared" si="31"/>
        <v>0.44193287036614493</v>
      </c>
      <c r="AD513" t="str" cm="1">
        <f t="array" ref="AD513">IFERROR(_xlfn.IFS(
    AC513="", "",
    AC513*86400 &lt; 30, "1. 0s - &lt;30s",
    AC513*86400 &lt; 60, "2. 30s - &lt;1m",
    AC513*86400 &lt; 300, "3. 1m - &lt;5m",
    AC513*86400 &lt; 1800, "4. 5m - &lt;30m",
    TRUE, "5. &gt;= 30m"
),"6. Invalid (Order rejected)")</f>
        <v>5. &gt;= 30m</v>
      </c>
    </row>
    <row r="514" spans="1:30" hidden="1" x14ac:dyDescent="0.3">
      <c r="A514" t="s">
        <v>3276</v>
      </c>
      <c r="B514" t="s">
        <v>3229</v>
      </c>
      <c r="C514">
        <v>13373294</v>
      </c>
      <c r="D514">
        <v>0</v>
      </c>
      <c r="E514" t="s">
        <v>25</v>
      </c>
      <c r="F514" t="s">
        <v>26</v>
      </c>
      <c r="G514" t="s">
        <v>27</v>
      </c>
      <c r="H514" t="s">
        <v>3277</v>
      </c>
      <c r="I514" t="s">
        <v>3278</v>
      </c>
      <c r="J514" t="s">
        <v>26</v>
      </c>
      <c r="K514" t="s">
        <v>26</v>
      </c>
      <c r="L514" t="s">
        <v>3279</v>
      </c>
      <c r="M514" t="s">
        <v>25</v>
      </c>
      <c r="N514" t="s">
        <v>3280</v>
      </c>
      <c r="O514" t="s">
        <v>3281</v>
      </c>
      <c r="P514" t="s">
        <v>3282</v>
      </c>
      <c r="Q514" t="s">
        <v>3283</v>
      </c>
      <c r="R514">
        <v>194184</v>
      </c>
      <c r="S514">
        <v>0</v>
      </c>
      <c r="T514">
        <v>194184</v>
      </c>
      <c r="U514" t="s">
        <v>35</v>
      </c>
      <c r="V514" t="s">
        <v>3284</v>
      </c>
      <c r="W514" t="s">
        <v>2241</v>
      </c>
      <c r="X514" s="4">
        <v>1</v>
      </c>
      <c r="Y514" s="4"/>
      <c r="Z514">
        <f t="shared" si="28"/>
        <v>8</v>
      </c>
      <c r="AA514">
        <f t="shared" si="29"/>
        <v>15</v>
      </c>
      <c r="AB514" s="5">
        <f t="shared" si="30"/>
        <v>0.31901620370626915</v>
      </c>
      <c r="AC514" s="3">
        <f t="shared" si="31"/>
        <v>9.0011574073287193E-2</v>
      </c>
      <c r="AD514" t="str" cm="1">
        <f t="array" ref="AD514">IFERROR(_xlfn.IFS(
    AC514="", "",
    AC514*86400 &lt; 30, "1. 0s - &lt;30s",
    AC514*86400 &lt; 60, "2. 30s - &lt;1m",
    AC514*86400 &lt; 300, "3. 1m - &lt;5m",
    AC514*86400 &lt; 1800, "4. 5m - &lt;30m",
    TRUE, "5. &gt;= 30m"
),"6. Invalid (Order rejected)")</f>
        <v>5. &gt;= 30m</v>
      </c>
    </row>
    <row r="515" spans="1:30" hidden="1" x14ac:dyDescent="0.3">
      <c r="A515" t="s">
        <v>3285</v>
      </c>
      <c r="B515" t="s">
        <v>3229</v>
      </c>
      <c r="C515">
        <v>13373294</v>
      </c>
      <c r="D515">
        <v>0</v>
      </c>
      <c r="E515" t="s">
        <v>25</v>
      </c>
      <c r="F515" t="s">
        <v>26</v>
      </c>
      <c r="G515" t="s">
        <v>76</v>
      </c>
      <c r="H515" t="s">
        <v>3286</v>
      </c>
      <c r="I515" t="s">
        <v>3287</v>
      </c>
      <c r="J515" t="s">
        <v>26</v>
      </c>
      <c r="K515" t="s">
        <v>26</v>
      </c>
      <c r="L515" t="s">
        <v>3288</v>
      </c>
      <c r="M515" t="s">
        <v>25</v>
      </c>
      <c r="N515" t="s">
        <v>3244</v>
      </c>
      <c r="O515" t="s">
        <v>3245</v>
      </c>
      <c r="P515" t="s">
        <v>3289</v>
      </c>
      <c r="Q515" t="s">
        <v>3290</v>
      </c>
      <c r="R515">
        <v>463320</v>
      </c>
      <c r="S515">
        <v>0</v>
      </c>
      <c r="T515">
        <v>463320</v>
      </c>
      <c r="U515" t="s">
        <v>35</v>
      </c>
      <c r="V515" t="s">
        <v>3248</v>
      </c>
      <c r="W515" t="s">
        <v>3291</v>
      </c>
      <c r="X515" s="4">
        <v>1</v>
      </c>
      <c r="Y515" s="4"/>
      <c r="Z515">
        <f t="shared" ref="Z515:Z578" si="32">MONTH(H515)</f>
        <v>8</v>
      </c>
      <c r="AA515">
        <f t="shared" ref="AA515:AA578" si="33">DAY(H515)</f>
        <v>15</v>
      </c>
      <c r="AB515" s="5">
        <f t="shared" ref="AB515:AB578" si="34">MOD(H515, 1)</f>
        <v>0.87123842592700385</v>
      </c>
      <c r="AC515" s="3">
        <f t="shared" ref="AC515:AC578" si="35">IFERROR(IF(M515="",L515-H515,M515-H515),"Order rejected, no time available")</f>
        <v>8.2349537035042886E-2</v>
      </c>
      <c r="AD515" t="str" cm="1">
        <f t="array" ref="AD515">IFERROR(_xlfn.IFS(
    AC515="", "",
    AC515*86400 &lt; 30, "1. 0s - &lt;30s",
    AC515*86400 &lt; 60, "2. 30s - &lt;1m",
    AC515*86400 &lt; 300, "3. 1m - &lt;5m",
    AC515*86400 &lt; 1800, "4. 5m - &lt;30m",
    TRUE, "5. &gt;= 30m"
),"6. Invalid (Order rejected)")</f>
        <v>5. &gt;= 30m</v>
      </c>
    </row>
    <row r="516" spans="1:30" hidden="1" x14ac:dyDescent="0.3">
      <c r="A516" t="s">
        <v>3292</v>
      </c>
      <c r="B516" t="s">
        <v>3229</v>
      </c>
      <c r="C516">
        <v>13373294</v>
      </c>
      <c r="D516">
        <v>4170032</v>
      </c>
      <c r="E516" t="s">
        <v>25</v>
      </c>
      <c r="F516" t="s">
        <v>75</v>
      </c>
      <c r="G516" t="s">
        <v>76</v>
      </c>
      <c r="H516" t="s">
        <v>3293</v>
      </c>
      <c r="I516" t="s">
        <v>3294</v>
      </c>
      <c r="J516" t="s">
        <v>3295</v>
      </c>
      <c r="K516" t="s">
        <v>3296</v>
      </c>
      <c r="L516" t="s">
        <v>3297</v>
      </c>
      <c r="M516" t="s">
        <v>25</v>
      </c>
      <c r="N516" t="s">
        <v>3298</v>
      </c>
      <c r="O516" t="s">
        <v>3299</v>
      </c>
      <c r="P516" t="s">
        <v>3300</v>
      </c>
      <c r="Q516" t="s">
        <v>3301</v>
      </c>
      <c r="R516">
        <v>299016</v>
      </c>
      <c r="S516">
        <v>231807</v>
      </c>
      <c r="T516">
        <v>67209</v>
      </c>
      <c r="U516" t="s">
        <v>35</v>
      </c>
      <c r="V516" t="s">
        <v>3302</v>
      </c>
      <c r="W516" t="s">
        <v>3303</v>
      </c>
      <c r="X516" s="4">
        <v>1</v>
      </c>
      <c r="Y516" s="4"/>
      <c r="Z516">
        <f t="shared" si="32"/>
        <v>8</v>
      </c>
      <c r="AA516">
        <f t="shared" si="33"/>
        <v>15</v>
      </c>
      <c r="AB516" s="5">
        <f t="shared" si="34"/>
        <v>0.87659722222451819</v>
      </c>
      <c r="AC516" s="3">
        <f t="shared" si="35"/>
        <v>0.50090277777781012</v>
      </c>
      <c r="AD516" t="str" cm="1">
        <f t="array" ref="AD516">IFERROR(_xlfn.IFS(
    AC516="", "",
    AC516*86400 &lt; 30, "1. 0s - &lt;30s",
    AC516*86400 &lt; 60, "2. 30s - &lt;1m",
    AC516*86400 &lt; 300, "3. 1m - &lt;5m",
    AC516*86400 &lt; 1800, "4. 5m - &lt;30m",
    TRUE, "5. &gt;= 30m"
),"6. Invalid (Order rejected)")</f>
        <v>5. &gt;= 30m</v>
      </c>
    </row>
    <row r="517" spans="1:30" hidden="1" x14ac:dyDescent="0.3">
      <c r="A517" t="s">
        <v>3304</v>
      </c>
      <c r="B517" t="s">
        <v>3229</v>
      </c>
      <c r="C517">
        <v>13373294</v>
      </c>
      <c r="D517">
        <v>3236859</v>
      </c>
      <c r="E517" t="s">
        <v>25</v>
      </c>
      <c r="F517" t="s">
        <v>75</v>
      </c>
      <c r="G517" t="s">
        <v>76</v>
      </c>
      <c r="H517" t="s">
        <v>3305</v>
      </c>
      <c r="I517" t="s">
        <v>3306</v>
      </c>
      <c r="J517" t="s">
        <v>3307</v>
      </c>
      <c r="K517" t="s">
        <v>26</v>
      </c>
      <c r="L517" t="s">
        <v>3308</v>
      </c>
      <c r="M517" t="s">
        <v>25</v>
      </c>
      <c r="N517" t="s">
        <v>3309</v>
      </c>
      <c r="O517" t="s">
        <v>3310</v>
      </c>
      <c r="P517" t="s">
        <v>3311</v>
      </c>
      <c r="Q517" t="s">
        <v>3312</v>
      </c>
      <c r="R517">
        <v>492588</v>
      </c>
      <c r="S517">
        <v>381870</v>
      </c>
      <c r="T517">
        <v>110718</v>
      </c>
      <c r="U517" t="s">
        <v>35</v>
      </c>
      <c r="V517" t="s">
        <v>3313</v>
      </c>
      <c r="W517" t="s">
        <v>3314</v>
      </c>
      <c r="X517" s="4">
        <v>1</v>
      </c>
      <c r="Y517" s="4"/>
      <c r="Z517">
        <f t="shared" si="32"/>
        <v>8</v>
      </c>
      <c r="AA517">
        <f t="shared" si="33"/>
        <v>15</v>
      </c>
      <c r="AB517" s="5">
        <f t="shared" si="34"/>
        <v>0.91868055555823958</v>
      </c>
      <c r="AC517" s="3">
        <f t="shared" si="35"/>
        <v>3.6921296290529426E-2</v>
      </c>
      <c r="AD517" t="str" cm="1">
        <f t="array" ref="AD517">IFERROR(_xlfn.IFS(
    AC517="", "",
    AC517*86400 &lt; 30, "1. 0s - &lt;30s",
    AC517*86400 &lt; 60, "2. 30s - &lt;1m",
    AC517*86400 &lt; 300, "3. 1m - &lt;5m",
    AC517*86400 &lt; 1800, "4. 5m - &lt;30m",
    TRUE, "5. &gt;= 30m"
),"6. Invalid (Order rejected)")</f>
        <v>5. &gt;= 30m</v>
      </c>
    </row>
    <row r="518" spans="1:30" hidden="1" x14ac:dyDescent="0.3">
      <c r="A518" t="s">
        <v>3315</v>
      </c>
      <c r="B518" t="s">
        <v>3229</v>
      </c>
      <c r="C518">
        <v>13373294</v>
      </c>
      <c r="D518">
        <v>0</v>
      </c>
      <c r="E518" t="s">
        <v>25</v>
      </c>
      <c r="F518" t="s">
        <v>26</v>
      </c>
      <c r="G518" t="s">
        <v>27</v>
      </c>
      <c r="H518" t="s">
        <v>3316</v>
      </c>
      <c r="I518" t="s">
        <v>3317</v>
      </c>
      <c r="J518" t="s">
        <v>26</v>
      </c>
      <c r="K518" t="s">
        <v>26</v>
      </c>
      <c r="L518" t="s">
        <v>3318</v>
      </c>
      <c r="M518" t="s">
        <v>25</v>
      </c>
      <c r="N518" t="s">
        <v>3244</v>
      </c>
      <c r="O518" t="s">
        <v>3245</v>
      </c>
      <c r="P518" t="s">
        <v>3282</v>
      </c>
      <c r="Q518" t="s">
        <v>3283</v>
      </c>
      <c r="R518">
        <v>264600</v>
      </c>
      <c r="S518">
        <v>0</v>
      </c>
      <c r="T518">
        <v>264600</v>
      </c>
      <c r="U518" t="s">
        <v>35</v>
      </c>
      <c r="V518" t="s">
        <v>3248</v>
      </c>
      <c r="W518" t="s">
        <v>2241</v>
      </c>
      <c r="X518" s="4">
        <v>1</v>
      </c>
      <c r="Y518" s="4"/>
      <c r="Z518">
        <f t="shared" si="32"/>
        <v>8</v>
      </c>
      <c r="AA518">
        <f t="shared" si="33"/>
        <v>16</v>
      </c>
      <c r="AB518" s="5">
        <f t="shared" si="34"/>
        <v>0.32991898147884058</v>
      </c>
      <c r="AC518" s="3">
        <f t="shared" si="35"/>
        <v>9.7470023148198379</v>
      </c>
      <c r="AD518" t="str" cm="1">
        <f t="array" ref="AD518">IFERROR(_xlfn.IFS(
    AC518="", "",
    AC518*86400 &lt; 30, "1. 0s - &lt;30s",
    AC518*86400 &lt; 60, "2. 30s - &lt;1m",
    AC518*86400 &lt; 300, "3. 1m - &lt;5m",
    AC518*86400 &lt; 1800, "4. 5m - &lt;30m",
    TRUE, "5. &gt;= 30m"
),"6. Invalid (Order rejected)")</f>
        <v>5. &gt;= 30m</v>
      </c>
    </row>
    <row r="519" spans="1:30" hidden="1" x14ac:dyDescent="0.3">
      <c r="A519" t="s">
        <v>3319</v>
      </c>
      <c r="B519" t="s">
        <v>3229</v>
      </c>
      <c r="C519">
        <v>13373294</v>
      </c>
      <c r="D519">
        <v>0</v>
      </c>
      <c r="E519" t="s">
        <v>25</v>
      </c>
      <c r="F519" t="s">
        <v>26</v>
      </c>
      <c r="G519" t="s">
        <v>27</v>
      </c>
      <c r="H519" t="s">
        <v>3320</v>
      </c>
      <c r="I519" t="s">
        <v>3321</v>
      </c>
      <c r="J519" t="s">
        <v>26</v>
      </c>
      <c r="K519" t="s">
        <v>26</v>
      </c>
      <c r="L519" t="s">
        <v>3322</v>
      </c>
      <c r="M519" t="s">
        <v>25</v>
      </c>
      <c r="N519" t="s">
        <v>3323</v>
      </c>
      <c r="O519" t="s">
        <v>3324</v>
      </c>
      <c r="P519" t="s">
        <v>3282</v>
      </c>
      <c r="Q519" t="s">
        <v>3283</v>
      </c>
      <c r="R519">
        <v>319572</v>
      </c>
      <c r="S519">
        <v>0</v>
      </c>
      <c r="T519">
        <v>319572</v>
      </c>
      <c r="U519" t="s">
        <v>35</v>
      </c>
      <c r="V519" t="s">
        <v>3325</v>
      </c>
      <c r="W519" t="s">
        <v>2241</v>
      </c>
      <c r="X519" s="4">
        <v>1</v>
      </c>
      <c r="Y519" s="4"/>
      <c r="Z519">
        <f t="shared" si="32"/>
        <v>8</v>
      </c>
      <c r="AA519">
        <f t="shared" si="33"/>
        <v>16</v>
      </c>
      <c r="AB519" s="5">
        <f t="shared" si="34"/>
        <v>0.33082175925665069</v>
      </c>
      <c r="AC519" s="3">
        <f t="shared" si="35"/>
        <v>0.13784722222771961</v>
      </c>
      <c r="AD519" t="str" cm="1">
        <f t="array" ref="AD519">IFERROR(_xlfn.IFS(
    AC519="", "",
    AC519*86400 &lt; 30, "1. 0s - &lt;30s",
    AC519*86400 &lt; 60, "2. 30s - &lt;1m",
    AC519*86400 &lt; 300, "3. 1m - &lt;5m",
    AC519*86400 &lt; 1800, "4. 5m - &lt;30m",
    TRUE, "5. &gt;= 30m"
),"6. Invalid (Order rejected)")</f>
        <v>5. &gt;= 30m</v>
      </c>
    </row>
    <row r="520" spans="1:30" x14ac:dyDescent="0.3">
      <c r="A520" t="s">
        <v>3326</v>
      </c>
      <c r="B520" t="s">
        <v>3229</v>
      </c>
      <c r="C520">
        <v>13373294</v>
      </c>
      <c r="D520">
        <v>3006761</v>
      </c>
      <c r="E520" t="s">
        <v>3327</v>
      </c>
      <c r="F520" t="s">
        <v>75</v>
      </c>
      <c r="G520" t="s">
        <v>360</v>
      </c>
      <c r="H520" t="s">
        <v>3328</v>
      </c>
      <c r="I520" t="s">
        <v>3329</v>
      </c>
      <c r="J520" t="s">
        <v>3330</v>
      </c>
      <c r="K520" t="s">
        <v>26</v>
      </c>
      <c r="L520" t="s">
        <v>25</v>
      </c>
      <c r="M520" t="s">
        <v>25</v>
      </c>
      <c r="N520" t="s">
        <v>3331</v>
      </c>
      <c r="O520" t="s">
        <v>3332</v>
      </c>
      <c r="P520" t="s">
        <v>3300</v>
      </c>
      <c r="Q520" t="s">
        <v>3301</v>
      </c>
      <c r="R520">
        <v>162756</v>
      </c>
      <c r="S520">
        <v>126174</v>
      </c>
      <c r="T520">
        <v>36582</v>
      </c>
      <c r="U520" t="s">
        <v>35</v>
      </c>
      <c r="V520" t="s">
        <v>3333</v>
      </c>
      <c r="W520" t="s">
        <v>3303</v>
      </c>
      <c r="X520" s="4">
        <v>1</v>
      </c>
      <c r="Y520" s="4"/>
      <c r="Z520">
        <f t="shared" si="32"/>
        <v>8</v>
      </c>
      <c r="AA520">
        <f t="shared" si="33"/>
        <v>16</v>
      </c>
      <c r="AB520" s="5">
        <f t="shared" si="34"/>
        <v>0.34032407407357823</v>
      </c>
      <c r="AC520" s="3" t="str">
        <f t="shared" si="35"/>
        <v>Order rejected, no time available</v>
      </c>
      <c r="AD520" t="str" cm="1">
        <f t="array" ref="AD520">IFERROR(_xlfn.IFS(
    AC520="", "",
    AC520*86400 &lt; 30, "1. 0s - &lt;30s",
    AC520*86400 &lt; 60, "2. 30s - &lt;1m",
    AC520*86400 &lt; 300, "3. 1m - &lt;5m",
    AC520*86400 &lt; 1800, "4. 5m - &lt;30m",
    TRUE, "5. &gt;= 30m"
),"6. Invalid (Order rejected)")</f>
        <v>6. Invalid (Order rejected)</v>
      </c>
    </row>
    <row r="521" spans="1:30" x14ac:dyDescent="0.3">
      <c r="A521" t="s">
        <v>3334</v>
      </c>
      <c r="B521" t="s">
        <v>3229</v>
      </c>
      <c r="C521">
        <v>13373294</v>
      </c>
      <c r="D521">
        <v>4772803</v>
      </c>
      <c r="E521" t="s">
        <v>3335</v>
      </c>
      <c r="F521" t="s">
        <v>75</v>
      </c>
      <c r="G521" t="s">
        <v>360</v>
      </c>
      <c r="H521" t="s">
        <v>3336</v>
      </c>
      <c r="I521" t="s">
        <v>3337</v>
      </c>
      <c r="J521" t="s">
        <v>3338</v>
      </c>
      <c r="K521" t="s">
        <v>26</v>
      </c>
      <c r="L521" t="s">
        <v>25</v>
      </c>
      <c r="M521" t="s">
        <v>25</v>
      </c>
      <c r="N521" t="s">
        <v>3339</v>
      </c>
      <c r="O521" t="s">
        <v>3340</v>
      </c>
      <c r="P521" t="s">
        <v>3341</v>
      </c>
      <c r="Q521" t="s">
        <v>3342</v>
      </c>
      <c r="R521">
        <v>190404</v>
      </c>
      <c r="S521">
        <v>147607</v>
      </c>
      <c r="T521">
        <v>42797</v>
      </c>
      <c r="U521" t="s">
        <v>35</v>
      </c>
      <c r="V521" t="s">
        <v>3343</v>
      </c>
      <c r="W521" t="s">
        <v>3344</v>
      </c>
      <c r="X521" s="4">
        <v>1</v>
      </c>
      <c r="Y521" s="4"/>
      <c r="Z521">
        <f t="shared" si="32"/>
        <v>8</v>
      </c>
      <c r="AA521">
        <f t="shared" si="33"/>
        <v>16</v>
      </c>
      <c r="AB521" s="5">
        <f t="shared" si="34"/>
        <v>0.34579861110978527</v>
      </c>
      <c r="AC521" s="3" t="str">
        <f t="shared" si="35"/>
        <v>Order rejected, no time available</v>
      </c>
      <c r="AD521" t="str" cm="1">
        <f t="array" ref="AD521">IFERROR(_xlfn.IFS(
    AC521="", "",
    AC521*86400 &lt; 30, "1. 0s - &lt;30s",
    AC521*86400 &lt; 60, "2. 30s - &lt;1m",
    AC521*86400 &lt; 300, "3. 1m - &lt;5m",
    AC521*86400 &lt; 1800, "4. 5m - &lt;30m",
    TRUE, "5. &gt;= 30m"
),"6. Invalid (Order rejected)")</f>
        <v>6. Invalid (Order rejected)</v>
      </c>
    </row>
    <row r="522" spans="1:30" hidden="1" x14ac:dyDescent="0.3">
      <c r="A522" t="s">
        <v>3345</v>
      </c>
      <c r="B522" t="s">
        <v>3229</v>
      </c>
      <c r="C522">
        <v>13373294</v>
      </c>
      <c r="D522">
        <v>0</v>
      </c>
      <c r="E522" t="s">
        <v>25</v>
      </c>
      <c r="F522" t="s">
        <v>26</v>
      </c>
      <c r="G522" t="s">
        <v>27</v>
      </c>
      <c r="H522" t="s">
        <v>3346</v>
      </c>
      <c r="I522" t="s">
        <v>3347</v>
      </c>
      <c r="J522" t="s">
        <v>26</v>
      </c>
      <c r="K522" t="s">
        <v>26</v>
      </c>
      <c r="L522" t="s">
        <v>3348</v>
      </c>
      <c r="M522" t="s">
        <v>25</v>
      </c>
      <c r="N522" t="s">
        <v>3349</v>
      </c>
      <c r="O522" t="s">
        <v>3350</v>
      </c>
      <c r="P522" t="s">
        <v>3282</v>
      </c>
      <c r="Q522" t="s">
        <v>3283</v>
      </c>
      <c r="R522">
        <v>195804</v>
      </c>
      <c r="S522">
        <v>0</v>
      </c>
      <c r="T522">
        <v>195804</v>
      </c>
      <c r="U522" t="s">
        <v>35</v>
      </c>
      <c r="V522" t="s">
        <v>3351</v>
      </c>
      <c r="W522" t="s">
        <v>2241</v>
      </c>
      <c r="X522" s="4">
        <v>1</v>
      </c>
      <c r="Y522" s="4"/>
      <c r="Z522">
        <f t="shared" si="32"/>
        <v>8</v>
      </c>
      <c r="AA522">
        <f t="shared" si="33"/>
        <v>16</v>
      </c>
      <c r="AB522" s="5">
        <f t="shared" si="34"/>
        <v>0.34690972221869742</v>
      </c>
      <c r="AC522" s="3">
        <f t="shared" si="35"/>
        <v>0.12239583333575865</v>
      </c>
      <c r="AD522" t="str" cm="1">
        <f t="array" ref="AD522">IFERROR(_xlfn.IFS(
    AC522="", "",
    AC522*86400 &lt; 30, "1. 0s - &lt;30s",
    AC522*86400 &lt; 60, "2. 30s - &lt;1m",
    AC522*86400 &lt; 300, "3. 1m - &lt;5m",
    AC522*86400 &lt; 1800, "4. 5m - &lt;30m",
    TRUE, "5. &gt;= 30m"
),"6. Invalid (Order rejected)")</f>
        <v>5. &gt;= 30m</v>
      </c>
    </row>
    <row r="523" spans="1:30" x14ac:dyDescent="0.3">
      <c r="A523" t="s">
        <v>3352</v>
      </c>
      <c r="B523" t="s">
        <v>3229</v>
      </c>
      <c r="C523">
        <v>13373294</v>
      </c>
      <c r="D523">
        <v>1033831</v>
      </c>
      <c r="E523" t="s">
        <v>25</v>
      </c>
      <c r="F523" t="s">
        <v>75</v>
      </c>
      <c r="G523" t="s">
        <v>360</v>
      </c>
      <c r="H523" t="s">
        <v>3353</v>
      </c>
      <c r="I523" t="s">
        <v>3354</v>
      </c>
      <c r="J523" t="s">
        <v>3355</v>
      </c>
      <c r="K523" t="s">
        <v>26</v>
      </c>
      <c r="L523" t="s">
        <v>25</v>
      </c>
      <c r="M523" t="s">
        <v>25</v>
      </c>
      <c r="N523" t="s">
        <v>3356</v>
      </c>
      <c r="O523" t="s">
        <v>3357</v>
      </c>
      <c r="P523" t="s">
        <v>3358</v>
      </c>
      <c r="Q523" t="s">
        <v>3359</v>
      </c>
      <c r="R523">
        <v>329184</v>
      </c>
      <c r="S523">
        <v>255194</v>
      </c>
      <c r="T523">
        <v>73990</v>
      </c>
      <c r="U523" t="s">
        <v>35</v>
      </c>
      <c r="V523" t="s">
        <v>3360</v>
      </c>
      <c r="W523" t="s">
        <v>3361</v>
      </c>
      <c r="X523" s="4">
        <v>1</v>
      </c>
      <c r="Y523" s="4"/>
      <c r="Z523">
        <f t="shared" si="32"/>
        <v>8</v>
      </c>
      <c r="AA523">
        <f t="shared" si="33"/>
        <v>16</v>
      </c>
      <c r="AB523" s="5">
        <f t="shared" si="34"/>
        <v>0.39328703703358769</v>
      </c>
      <c r="AC523" s="3" t="str">
        <f t="shared" si="35"/>
        <v>Order rejected, no time available</v>
      </c>
      <c r="AD523" t="str" cm="1">
        <f t="array" ref="AD523">IFERROR(_xlfn.IFS(
    AC523="", "",
    AC523*86400 &lt; 30, "1. 0s - &lt;30s",
    AC523*86400 &lt; 60, "2. 30s - &lt;1m",
    AC523*86400 &lt; 300, "3. 1m - &lt;5m",
    AC523*86400 &lt; 1800, "4. 5m - &lt;30m",
    TRUE, "5. &gt;= 30m"
),"6. Invalid (Order rejected)")</f>
        <v>6. Invalid (Order rejected)</v>
      </c>
    </row>
    <row r="524" spans="1:30" x14ac:dyDescent="0.3">
      <c r="A524" t="s">
        <v>3362</v>
      </c>
      <c r="B524" t="s">
        <v>3229</v>
      </c>
      <c r="C524">
        <v>13373294</v>
      </c>
      <c r="D524">
        <v>4675758</v>
      </c>
      <c r="E524" t="s">
        <v>3363</v>
      </c>
      <c r="F524" t="s">
        <v>75</v>
      </c>
      <c r="G524" t="s">
        <v>360</v>
      </c>
      <c r="H524" t="s">
        <v>3364</v>
      </c>
      <c r="I524" t="s">
        <v>3365</v>
      </c>
      <c r="J524" t="s">
        <v>3366</v>
      </c>
      <c r="K524" t="s">
        <v>26</v>
      </c>
      <c r="L524" t="s">
        <v>25</v>
      </c>
      <c r="M524" t="s">
        <v>25</v>
      </c>
      <c r="N524" t="s">
        <v>3367</v>
      </c>
      <c r="O524" t="s">
        <v>3368</v>
      </c>
      <c r="P524" t="s">
        <v>3369</v>
      </c>
      <c r="Q524" t="s">
        <v>3370</v>
      </c>
      <c r="R524">
        <v>428328</v>
      </c>
      <c r="S524">
        <v>332053</v>
      </c>
      <c r="T524">
        <v>96275</v>
      </c>
      <c r="U524" t="s">
        <v>35</v>
      </c>
      <c r="V524" t="s">
        <v>3371</v>
      </c>
      <c r="W524" t="s">
        <v>3372</v>
      </c>
      <c r="X524" s="4">
        <v>1</v>
      </c>
      <c r="Y524" s="4"/>
      <c r="Z524">
        <f t="shared" si="32"/>
        <v>8</v>
      </c>
      <c r="AA524">
        <f t="shared" si="33"/>
        <v>16</v>
      </c>
      <c r="AB524" s="5">
        <f t="shared" si="34"/>
        <v>0.39400462962657912</v>
      </c>
      <c r="AC524" s="3" t="str">
        <f t="shared" si="35"/>
        <v>Order rejected, no time available</v>
      </c>
      <c r="AD524" t="str" cm="1">
        <f t="array" ref="AD524">IFERROR(_xlfn.IFS(
    AC524="", "",
    AC524*86400 &lt; 30, "1. 0s - &lt;30s",
    AC524*86400 &lt; 60, "2. 30s - &lt;1m",
    AC524*86400 &lt; 300, "3. 1m - &lt;5m",
    AC524*86400 &lt; 1800, "4. 5m - &lt;30m",
    TRUE, "5. &gt;= 30m"
),"6. Invalid (Order rejected)")</f>
        <v>6. Invalid (Order rejected)</v>
      </c>
    </row>
    <row r="525" spans="1:30" x14ac:dyDescent="0.3">
      <c r="A525" t="s">
        <v>3373</v>
      </c>
      <c r="B525" t="s">
        <v>3229</v>
      </c>
      <c r="C525">
        <v>13373294</v>
      </c>
      <c r="D525">
        <v>4835570</v>
      </c>
      <c r="E525" t="s">
        <v>25</v>
      </c>
      <c r="F525" t="s">
        <v>75</v>
      </c>
      <c r="G525" t="s">
        <v>360</v>
      </c>
      <c r="H525" t="s">
        <v>3374</v>
      </c>
      <c r="I525" t="s">
        <v>3375</v>
      </c>
      <c r="J525" t="s">
        <v>3376</v>
      </c>
      <c r="K525" t="s">
        <v>26</v>
      </c>
      <c r="L525" t="s">
        <v>25</v>
      </c>
      <c r="M525" t="s">
        <v>25</v>
      </c>
      <c r="N525" t="s">
        <v>3377</v>
      </c>
      <c r="O525" t="s">
        <v>3378</v>
      </c>
      <c r="P525" t="s">
        <v>3379</v>
      </c>
      <c r="Q525" t="s">
        <v>3380</v>
      </c>
      <c r="R525">
        <v>264924</v>
      </c>
      <c r="S525">
        <v>205377</v>
      </c>
      <c r="T525">
        <v>59547</v>
      </c>
      <c r="U525" t="s">
        <v>35</v>
      </c>
      <c r="V525" t="s">
        <v>3381</v>
      </c>
      <c r="W525" t="s">
        <v>3382</v>
      </c>
      <c r="X525" s="4">
        <v>1</v>
      </c>
      <c r="Y525" s="4"/>
      <c r="Z525">
        <f t="shared" si="32"/>
        <v>8</v>
      </c>
      <c r="AA525">
        <f t="shared" si="33"/>
        <v>16</v>
      </c>
      <c r="AB525" s="5">
        <f t="shared" si="34"/>
        <v>0.46407407407241408</v>
      </c>
      <c r="AC525" s="3" t="str">
        <f t="shared" si="35"/>
        <v>Order rejected, no time available</v>
      </c>
      <c r="AD525" t="str" cm="1">
        <f t="array" ref="AD525">IFERROR(_xlfn.IFS(
    AC525="", "",
    AC525*86400 &lt; 30, "1. 0s - &lt;30s",
    AC525*86400 &lt; 60, "2. 30s - &lt;1m",
    AC525*86400 &lt; 300, "3. 1m - &lt;5m",
    AC525*86400 &lt; 1800, "4. 5m - &lt;30m",
    TRUE, "5. &gt;= 30m"
),"6. Invalid (Order rejected)")</f>
        <v>6. Invalid (Order rejected)</v>
      </c>
    </row>
    <row r="526" spans="1:30" hidden="1" x14ac:dyDescent="0.3">
      <c r="A526" t="s">
        <v>3383</v>
      </c>
      <c r="B526" t="s">
        <v>3229</v>
      </c>
      <c r="C526">
        <v>13373294</v>
      </c>
      <c r="D526">
        <v>0</v>
      </c>
      <c r="E526" t="s">
        <v>25</v>
      </c>
      <c r="F526" t="s">
        <v>26</v>
      </c>
      <c r="G526" t="s">
        <v>27</v>
      </c>
      <c r="H526" t="s">
        <v>3384</v>
      </c>
      <c r="I526" t="s">
        <v>3385</v>
      </c>
      <c r="J526" t="s">
        <v>26</v>
      </c>
      <c r="K526" t="s">
        <v>26</v>
      </c>
      <c r="L526" t="s">
        <v>3386</v>
      </c>
      <c r="M526" t="s">
        <v>25</v>
      </c>
      <c r="N526" t="s">
        <v>3387</v>
      </c>
      <c r="O526" t="s">
        <v>3388</v>
      </c>
      <c r="P526" t="s">
        <v>3389</v>
      </c>
      <c r="Q526" t="s">
        <v>3390</v>
      </c>
      <c r="R526">
        <v>193320</v>
      </c>
      <c r="S526">
        <v>0</v>
      </c>
      <c r="T526">
        <v>193320</v>
      </c>
      <c r="U526" t="s">
        <v>35</v>
      </c>
      <c r="V526" t="s">
        <v>3391</v>
      </c>
      <c r="W526" t="s">
        <v>3392</v>
      </c>
      <c r="X526" s="4">
        <v>1</v>
      </c>
      <c r="Y526" s="4"/>
      <c r="Z526">
        <f t="shared" si="32"/>
        <v>8</v>
      </c>
      <c r="AA526">
        <f t="shared" si="33"/>
        <v>16</v>
      </c>
      <c r="AB526" s="5">
        <f t="shared" si="34"/>
        <v>0.46761574073752854</v>
      </c>
      <c r="AC526" s="3">
        <f t="shared" si="35"/>
        <v>0.166747685187147</v>
      </c>
      <c r="AD526" t="str" cm="1">
        <f t="array" ref="AD526">IFERROR(_xlfn.IFS(
    AC526="", "",
    AC526*86400 &lt; 30, "1. 0s - &lt;30s",
    AC526*86400 &lt; 60, "2. 30s - &lt;1m",
    AC526*86400 &lt; 300, "3. 1m - &lt;5m",
    AC526*86400 &lt; 1800, "4. 5m - &lt;30m",
    TRUE, "5. &gt;= 30m"
),"6. Invalid (Order rejected)")</f>
        <v>5. &gt;= 30m</v>
      </c>
    </row>
    <row r="527" spans="1:30" x14ac:dyDescent="0.3">
      <c r="A527" t="s">
        <v>3393</v>
      </c>
      <c r="B527" t="s">
        <v>3229</v>
      </c>
      <c r="C527">
        <v>13373294</v>
      </c>
      <c r="D527">
        <v>455914</v>
      </c>
      <c r="E527" t="s">
        <v>25</v>
      </c>
      <c r="F527" t="s">
        <v>75</v>
      </c>
      <c r="G527" t="s">
        <v>360</v>
      </c>
      <c r="H527" t="s">
        <v>3394</v>
      </c>
      <c r="I527" t="s">
        <v>3395</v>
      </c>
      <c r="J527" t="s">
        <v>3396</v>
      </c>
      <c r="K527" t="s">
        <v>3397</v>
      </c>
      <c r="L527" t="s">
        <v>25</v>
      </c>
      <c r="M527" t="s">
        <v>25</v>
      </c>
      <c r="N527" t="s">
        <v>3398</v>
      </c>
      <c r="O527" t="s">
        <v>3399</v>
      </c>
      <c r="P527" t="s">
        <v>3400</v>
      </c>
      <c r="Q527" t="s">
        <v>3401</v>
      </c>
      <c r="R527">
        <v>185328</v>
      </c>
      <c r="S527">
        <v>143672</v>
      </c>
      <c r="T527">
        <v>41656</v>
      </c>
      <c r="U527" t="s">
        <v>35</v>
      </c>
      <c r="V527" t="s">
        <v>3402</v>
      </c>
      <c r="W527" t="s">
        <v>3403</v>
      </c>
      <c r="X527" s="4">
        <v>1</v>
      </c>
      <c r="Y527" s="4"/>
      <c r="Z527">
        <f t="shared" si="32"/>
        <v>8</v>
      </c>
      <c r="AA527">
        <f t="shared" si="33"/>
        <v>16</v>
      </c>
      <c r="AB527" s="5">
        <f t="shared" si="34"/>
        <v>0.46628472222073469</v>
      </c>
      <c r="AC527" s="3" t="str">
        <f t="shared" si="35"/>
        <v>Order rejected, no time available</v>
      </c>
      <c r="AD527" t="str" cm="1">
        <f t="array" ref="AD527">IFERROR(_xlfn.IFS(
    AC527="", "",
    AC527*86400 &lt; 30, "1. 0s - &lt;30s",
    AC527*86400 &lt; 60, "2. 30s - &lt;1m",
    AC527*86400 &lt; 300, "3. 1m - &lt;5m",
    AC527*86400 &lt; 1800, "4. 5m - &lt;30m",
    TRUE, "5. &gt;= 30m"
),"6. Invalid (Order rejected)")</f>
        <v>6. Invalid (Order rejected)</v>
      </c>
    </row>
    <row r="528" spans="1:30" x14ac:dyDescent="0.3">
      <c r="A528" t="s">
        <v>3404</v>
      </c>
      <c r="B528" t="s">
        <v>3229</v>
      </c>
      <c r="C528">
        <v>13373294</v>
      </c>
      <c r="D528">
        <v>4442770</v>
      </c>
      <c r="E528" t="s">
        <v>3405</v>
      </c>
      <c r="F528" t="s">
        <v>75</v>
      </c>
      <c r="G528" t="s">
        <v>360</v>
      </c>
      <c r="H528" t="s">
        <v>3406</v>
      </c>
      <c r="I528" t="s">
        <v>3407</v>
      </c>
      <c r="J528" t="s">
        <v>3408</v>
      </c>
      <c r="K528" t="s">
        <v>26</v>
      </c>
      <c r="L528" t="s">
        <v>25</v>
      </c>
      <c r="M528" t="s">
        <v>25</v>
      </c>
      <c r="N528" t="s">
        <v>3409</v>
      </c>
      <c r="O528" t="s">
        <v>3410</v>
      </c>
      <c r="P528" t="s">
        <v>3411</v>
      </c>
      <c r="Q528" t="s">
        <v>3412</v>
      </c>
      <c r="R528">
        <v>99792</v>
      </c>
      <c r="S528">
        <v>77362</v>
      </c>
      <c r="T528">
        <v>22430</v>
      </c>
      <c r="U528" t="s">
        <v>35</v>
      </c>
      <c r="V528" t="s">
        <v>3413</v>
      </c>
      <c r="W528" t="s">
        <v>3414</v>
      </c>
      <c r="X528" s="4">
        <v>1</v>
      </c>
      <c r="Y528" s="4"/>
      <c r="Z528">
        <f t="shared" si="32"/>
        <v>8</v>
      </c>
      <c r="AA528">
        <f t="shared" si="33"/>
        <v>16</v>
      </c>
      <c r="AB528" s="5">
        <f t="shared" si="34"/>
        <v>0.46543981481227092</v>
      </c>
      <c r="AC528" s="3" t="str">
        <f t="shared" si="35"/>
        <v>Order rejected, no time available</v>
      </c>
      <c r="AD528" t="str" cm="1">
        <f t="array" ref="AD528">IFERROR(_xlfn.IFS(
    AC528="", "",
    AC528*86400 &lt; 30, "1. 0s - &lt;30s",
    AC528*86400 &lt; 60, "2. 30s - &lt;1m",
    AC528*86400 &lt; 300, "3. 1m - &lt;5m",
    AC528*86400 &lt; 1800, "4. 5m - &lt;30m",
    TRUE, "5. &gt;= 30m"
),"6. Invalid (Order rejected)")</f>
        <v>6. Invalid (Order rejected)</v>
      </c>
    </row>
    <row r="529" spans="1:30" hidden="1" x14ac:dyDescent="0.3">
      <c r="A529" t="s">
        <v>3415</v>
      </c>
      <c r="B529" t="s">
        <v>3229</v>
      </c>
      <c r="C529">
        <v>13373294</v>
      </c>
      <c r="D529">
        <v>0</v>
      </c>
      <c r="E529" t="s">
        <v>25</v>
      </c>
      <c r="F529" t="s">
        <v>26</v>
      </c>
      <c r="G529" t="s">
        <v>27</v>
      </c>
      <c r="H529" t="s">
        <v>3416</v>
      </c>
      <c r="I529" t="s">
        <v>3417</v>
      </c>
      <c r="J529" t="s">
        <v>26</v>
      </c>
      <c r="K529" t="s">
        <v>26</v>
      </c>
      <c r="L529" t="s">
        <v>3418</v>
      </c>
      <c r="M529" t="s">
        <v>25</v>
      </c>
      <c r="N529" t="s">
        <v>3419</v>
      </c>
      <c r="O529" t="s">
        <v>3420</v>
      </c>
      <c r="P529" t="s">
        <v>3421</v>
      </c>
      <c r="Q529" t="s">
        <v>3422</v>
      </c>
      <c r="R529">
        <v>179388</v>
      </c>
      <c r="S529">
        <v>0</v>
      </c>
      <c r="T529">
        <v>179388</v>
      </c>
      <c r="U529" t="s">
        <v>35</v>
      </c>
      <c r="V529" t="s">
        <v>3391</v>
      </c>
      <c r="W529" t="s">
        <v>3423</v>
      </c>
      <c r="X529" s="4">
        <v>1</v>
      </c>
      <c r="Y529" s="4"/>
      <c r="Z529">
        <f t="shared" si="32"/>
        <v>8</v>
      </c>
      <c r="AA529">
        <f t="shared" si="33"/>
        <v>16</v>
      </c>
      <c r="AB529" s="5">
        <f t="shared" si="34"/>
        <v>0.47030092592467554</v>
      </c>
      <c r="AC529" s="3">
        <f t="shared" si="35"/>
        <v>0.22456018519005738</v>
      </c>
      <c r="AD529" t="str" cm="1">
        <f t="array" ref="AD529">IFERROR(_xlfn.IFS(
    AC529="", "",
    AC529*86400 &lt; 30, "1. 0s - &lt;30s",
    AC529*86400 &lt; 60, "2. 30s - &lt;1m",
    AC529*86400 &lt; 300, "3. 1m - &lt;5m",
    AC529*86400 &lt; 1800, "4. 5m - &lt;30m",
    TRUE, "5. &gt;= 30m"
),"6. Invalid (Order rejected)")</f>
        <v>5. &gt;= 30m</v>
      </c>
    </row>
    <row r="530" spans="1:30" hidden="1" x14ac:dyDescent="0.3">
      <c r="A530" t="s">
        <v>3424</v>
      </c>
      <c r="B530" t="s">
        <v>3229</v>
      </c>
      <c r="C530">
        <v>13373294</v>
      </c>
      <c r="D530">
        <v>0</v>
      </c>
      <c r="E530" t="s">
        <v>25</v>
      </c>
      <c r="F530" t="s">
        <v>26</v>
      </c>
      <c r="G530" t="s">
        <v>27</v>
      </c>
      <c r="H530" t="s">
        <v>3425</v>
      </c>
      <c r="I530" t="s">
        <v>3426</v>
      </c>
      <c r="J530" t="s">
        <v>26</v>
      </c>
      <c r="K530" t="s">
        <v>26</v>
      </c>
      <c r="L530" t="s">
        <v>3427</v>
      </c>
      <c r="M530" t="s">
        <v>25</v>
      </c>
      <c r="N530" t="s">
        <v>3419</v>
      </c>
      <c r="O530" t="s">
        <v>3420</v>
      </c>
      <c r="P530" t="s">
        <v>3428</v>
      </c>
      <c r="Q530" t="s">
        <v>3429</v>
      </c>
      <c r="R530">
        <v>212760</v>
      </c>
      <c r="S530">
        <v>0</v>
      </c>
      <c r="T530">
        <v>212760</v>
      </c>
      <c r="U530" t="s">
        <v>35</v>
      </c>
      <c r="V530" t="s">
        <v>3391</v>
      </c>
      <c r="W530" t="s">
        <v>3430</v>
      </c>
      <c r="X530" s="4">
        <v>1</v>
      </c>
      <c r="Y530" s="4"/>
      <c r="Z530">
        <f t="shared" si="32"/>
        <v>8</v>
      </c>
      <c r="AA530">
        <f t="shared" si="33"/>
        <v>16</v>
      </c>
      <c r="AB530" s="5">
        <f t="shared" si="34"/>
        <v>0.47280092592700385</v>
      </c>
      <c r="AC530" s="3">
        <f t="shared" si="35"/>
        <v>0.22340277777402662</v>
      </c>
      <c r="AD530" t="str" cm="1">
        <f t="array" ref="AD530">IFERROR(_xlfn.IFS(
    AC530="", "",
    AC530*86400 &lt; 30, "1. 0s - &lt;30s",
    AC530*86400 &lt; 60, "2. 30s - &lt;1m",
    AC530*86400 &lt; 300, "3. 1m - &lt;5m",
    AC530*86400 &lt; 1800, "4. 5m - &lt;30m",
    TRUE, "5. &gt;= 30m"
),"6. Invalid (Order rejected)")</f>
        <v>5. &gt;= 30m</v>
      </c>
    </row>
    <row r="531" spans="1:30" x14ac:dyDescent="0.3">
      <c r="A531" t="s">
        <v>3431</v>
      </c>
      <c r="B531" t="s">
        <v>3229</v>
      </c>
      <c r="C531">
        <v>13373294</v>
      </c>
      <c r="D531">
        <v>1977209</v>
      </c>
      <c r="E531" t="s">
        <v>25</v>
      </c>
      <c r="F531" t="s">
        <v>75</v>
      </c>
      <c r="G531" t="s">
        <v>360</v>
      </c>
      <c r="H531" t="s">
        <v>3432</v>
      </c>
      <c r="I531" t="s">
        <v>3433</v>
      </c>
      <c r="J531" t="s">
        <v>3434</v>
      </c>
      <c r="K531" t="s">
        <v>26</v>
      </c>
      <c r="L531" t="s">
        <v>25</v>
      </c>
      <c r="M531" t="s">
        <v>25</v>
      </c>
      <c r="N531" t="s">
        <v>3435</v>
      </c>
      <c r="O531" t="s">
        <v>3436</v>
      </c>
      <c r="P531" t="s">
        <v>3437</v>
      </c>
      <c r="Q531" t="s">
        <v>3438</v>
      </c>
      <c r="R531">
        <v>443124</v>
      </c>
      <c r="S531">
        <v>343524</v>
      </c>
      <c r="T531">
        <v>99600</v>
      </c>
      <c r="U531" t="s">
        <v>35</v>
      </c>
      <c r="V531" t="s">
        <v>3439</v>
      </c>
      <c r="W531" t="s">
        <v>3440</v>
      </c>
      <c r="X531" s="4">
        <v>1</v>
      </c>
      <c r="Y531" s="4"/>
      <c r="Z531">
        <f t="shared" si="32"/>
        <v>8</v>
      </c>
      <c r="AA531">
        <f t="shared" si="33"/>
        <v>16</v>
      </c>
      <c r="AB531" s="5">
        <f t="shared" si="34"/>
        <v>0.57989583333255723</v>
      </c>
      <c r="AC531" s="3" t="str">
        <f t="shared" si="35"/>
        <v>Order rejected, no time available</v>
      </c>
      <c r="AD531" t="str" cm="1">
        <f t="array" ref="AD531">IFERROR(_xlfn.IFS(
    AC531="", "",
    AC531*86400 &lt; 30, "1. 0s - &lt;30s",
    AC531*86400 &lt; 60, "2. 30s - &lt;1m",
    AC531*86400 &lt; 300, "3. 1m - &lt;5m",
    AC531*86400 &lt; 1800, "4. 5m - &lt;30m",
    TRUE, "5. &gt;= 30m"
),"6. Invalid (Order rejected)")</f>
        <v>6. Invalid (Order rejected)</v>
      </c>
    </row>
    <row r="532" spans="1:30" hidden="1" x14ac:dyDescent="0.3">
      <c r="A532" t="s">
        <v>3441</v>
      </c>
      <c r="B532" t="s">
        <v>3229</v>
      </c>
      <c r="C532">
        <v>13373294</v>
      </c>
      <c r="D532">
        <v>0</v>
      </c>
      <c r="E532" t="s">
        <v>25</v>
      </c>
      <c r="F532" t="s">
        <v>26</v>
      </c>
      <c r="G532" t="s">
        <v>27</v>
      </c>
      <c r="H532" t="s">
        <v>3442</v>
      </c>
      <c r="I532" t="s">
        <v>3443</v>
      </c>
      <c r="J532" t="s">
        <v>26</v>
      </c>
      <c r="K532" t="s">
        <v>26</v>
      </c>
      <c r="L532" t="s">
        <v>3444</v>
      </c>
      <c r="M532" t="s">
        <v>25</v>
      </c>
      <c r="N532" t="s">
        <v>3445</v>
      </c>
      <c r="O532" t="s">
        <v>3446</v>
      </c>
      <c r="P532" t="s">
        <v>3447</v>
      </c>
      <c r="Q532" t="s">
        <v>3448</v>
      </c>
      <c r="R532">
        <v>402300</v>
      </c>
      <c r="S532">
        <v>0</v>
      </c>
      <c r="T532">
        <v>402300</v>
      </c>
      <c r="U532" t="s">
        <v>35</v>
      </c>
      <c r="V532" t="s">
        <v>3449</v>
      </c>
      <c r="W532" t="s">
        <v>3450</v>
      </c>
      <c r="X532" s="4">
        <v>1</v>
      </c>
      <c r="Y532" s="4"/>
      <c r="Z532">
        <f t="shared" si="32"/>
        <v>8</v>
      </c>
      <c r="AA532">
        <f t="shared" si="33"/>
        <v>16</v>
      </c>
      <c r="AB532" s="5">
        <f t="shared" si="34"/>
        <v>0.66797453703475185</v>
      </c>
      <c r="AC532" s="3">
        <f t="shared" si="35"/>
        <v>9.5497685186273884E-2</v>
      </c>
      <c r="AD532" t="str" cm="1">
        <f t="array" ref="AD532">IFERROR(_xlfn.IFS(
    AC532="", "",
    AC532*86400 &lt; 30, "1. 0s - &lt;30s",
    AC532*86400 &lt; 60, "2. 30s - &lt;1m",
    AC532*86400 &lt; 300, "3. 1m - &lt;5m",
    AC532*86400 &lt; 1800, "4. 5m - &lt;30m",
    TRUE, "5. &gt;= 30m"
),"6. Invalid (Order rejected)")</f>
        <v>5. &gt;= 30m</v>
      </c>
    </row>
    <row r="533" spans="1:30" x14ac:dyDescent="0.3">
      <c r="A533" t="s">
        <v>3451</v>
      </c>
      <c r="B533" t="s">
        <v>3229</v>
      </c>
      <c r="C533">
        <v>13373294</v>
      </c>
      <c r="D533">
        <v>2875321</v>
      </c>
      <c r="E533" t="s">
        <v>3452</v>
      </c>
      <c r="F533" t="s">
        <v>75</v>
      </c>
      <c r="G533" t="s">
        <v>360</v>
      </c>
      <c r="H533" t="s">
        <v>3453</v>
      </c>
      <c r="I533" t="s">
        <v>3454</v>
      </c>
      <c r="J533" t="s">
        <v>3455</v>
      </c>
      <c r="K533" t="s">
        <v>26</v>
      </c>
      <c r="L533" t="s">
        <v>25</v>
      </c>
      <c r="M533" t="s">
        <v>25</v>
      </c>
      <c r="N533" t="s">
        <v>3456</v>
      </c>
      <c r="O533" t="s">
        <v>3457</v>
      </c>
      <c r="P533" t="s">
        <v>3458</v>
      </c>
      <c r="Q533" t="s">
        <v>3459</v>
      </c>
      <c r="R533">
        <v>76356</v>
      </c>
      <c r="S533">
        <v>59194</v>
      </c>
      <c r="T533">
        <v>17162</v>
      </c>
      <c r="U533" t="s">
        <v>35</v>
      </c>
      <c r="V533" t="s">
        <v>3460</v>
      </c>
      <c r="W533" t="s">
        <v>3461</v>
      </c>
      <c r="X533" s="4">
        <v>1</v>
      </c>
      <c r="Y533" s="4"/>
      <c r="Z533">
        <f t="shared" si="32"/>
        <v>8</v>
      </c>
      <c r="AA533">
        <f t="shared" si="33"/>
        <v>16</v>
      </c>
      <c r="AB533" s="5">
        <f t="shared" si="34"/>
        <v>0.86817129629343981</v>
      </c>
      <c r="AC533" s="3" t="str">
        <f t="shared" si="35"/>
        <v>Order rejected, no time available</v>
      </c>
      <c r="AD533" t="str" cm="1">
        <f t="array" ref="AD533">IFERROR(_xlfn.IFS(
    AC533="", "",
    AC533*86400 &lt; 30, "1. 0s - &lt;30s",
    AC533*86400 &lt; 60, "2. 30s - &lt;1m",
    AC533*86400 &lt; 300, "3. 1m - &lt;5m",
    AC533*86400 &lt; 1800, "4. 5m - &lt;30m",
    TRUE, "5. &gt;= 30m"
),"6. Invalid (Order rejected)")</f>
        <v>6. Invalid (Order rejected)</v>
      </c>
    </row>
    <row r="534" spans="1:30" hidden="1" x14ac:dyDescent="0.3">
      <c r="A534" t="s">
        <v>3462</v>
      </c>
      <c r="B534" t="s">
        <v>3229</v>
      </c>
      <c r="C534">
        <v>13373294</v>
      </c>
      <c r="D534">
        <v>0</v>
      </c>
      <c r="E534" t="s">
        <v>25</v>
      </c>
      <c r="F534" t="s">
        <v>26</v>
      </c>
      <c r="G534" t="s">
        <v>27</v>
      </c>
      <c r="H534" t="s">
        <v>3463</v>
      </c>
      <c r="I534" t="s">
        <v>3464</v>
      </c>
      <c r="J534" t="s">
        <v>26</v>
      </c>
      <c r="K534" t="s">
        <v>26</v>
      </c>
      <c r="L534" t="s">
        <v>3465</v>
      </c>
      <c r="M534" t="s">
        <v>25</v>
      </c>
      <c r="N534" t="s">
        <v>3466</v>
      </c>
      <c r="O534" t="s">
        <v>3467</v>
      </c>
      <c r="P534" t="s">
        <v>3468</v>
      </c>
      <c r="Q534" t="s">
        <v>3469</v>
      </c>
      <c r="R534">
        <v>186192</v>
      </c>
      <c r="S534">
        <v>0</v>
      </c>
      <c r="T534">
        <v>186192</v>
      </c>
      <c r="U534" t="s">
        <v>35</v>
      </c>
      <c r="V534" t="s">
        <v>3470</v>
      </c>
      <c r="W534" t="s">
        <v>3471</v>
      </c>
      <c r="X534" s="4">
        <v>1</v>
      </c>
      <c r="Y534" s="4"/>
      <c r="Z534">
        <f t="shared" si="32"/>
        <v>8</v>
      </c>
      <c r="AA534">
        <f t="shared" si="33"/>
        <v>16</v>
      </c>
      <c r="AB534" s="5">
        <f t="shared" si="34"/>
        <v>0.86105324074014788</v>
      </c>
      <c r="AC534" s="3">
        <f t="shared" si="35"/>
        <v>0.11712962963065365</v>
      </c>
      <c r="AD534" t="str" cm="1">
        <f t="array" ref="AD534">IFERROR(_xlfn.IFS(
    AC534="", "",
    AC534*86400 &lt; 30, "1. 0s - &lt;30s",
    AC534*86400 &lt; 60, "2. 30s - &lt;1m",
    AC534*86400 &lt; 300, "3. 1m - &lt;5m",
    AC534*86400 &lt; 1800, "4. 5m - &lt;30m",
    TRUE, "5. &gt;= 30m"
),"6. Invalid (Order rejected)")</f>
        <v>5. &gt;= 30m</v>
      </c>
    </row>
    <row r="535" spans="1:30" x14ac:dyDescent="0.3">
      <c r="A535" t="s">
        <v>3472</v>
      </c>
      <c r="B535" t="s">
        <v>3229</v>
      </c>
      <c r="C535">
        <v>13373294</v>
      </c>
      <c r="D535">
        <v>4477282</v>
      </c>
      <c r="E535" t="s">
        <v>3473</v>
      </c>
      <c r="F535" t="s">
        <v>75</v>
      </c>
      <c r="G535" t="s">
        <v>360</v>
      </c>
      <c r="H535" t="s">
        <v>3474</v>
      </c>
      <c r="I535" t="s">
        <v>3475</v>
      </c>
      <c r="J535" t="s">
        <v>3476</v>
      </c>
      <c r="K535" t="s">
        <v>3477</v>
      </c>
      <c r="L535" t="s">
        <v>25</v>
      </c>
      <c r="M535" t="s">
        <v>25</v>
      </c>
      <c r="N535" t="s">
        <v>3478</v>
      </c>
      <c r="O535" t="s">
        <v>3479</v>
      </c>
      <c r="P535" t="s">
        <v>3468</v>
      </c>
      <c r="Q535" t="s">
        <v>3469</v>
      </c>
      <c r="R535">
        <v>62208</v>
      </c>
      <c r="S535">
        <v>48226</v>
      </c>
      <c r="T535">
        <v>13982</v>
      </c>
      <c r="U535" t="s">
        <v>35</v>
      </c>
      <c r="V535" t="s">
        <v>3480</v>
      </c>
      <c r="W535" t="s">
        <v>3471</v>
      </c>
      <c r="X535" s="4">
        <v>1</v>
      </c>
      <c r="Y535" s="4"/>
      <c r="Z535">
        <f t="shared" si="32"/>
        <v>8</v>
      </c>
      <c r="AA535">
        <f t="shared" si="33"/>
        <v>16</v>
      </c>
      <c r="AB535" s="5">
        <f t="shared" si="34"/>
        <v>0.86394675925839692</v>
      </c>
      <c r="AC535" s="3" t="str">
        <f t="shared" si="35"/>
        <v>Order rejected, no time available</v>
      </c>
      <c r="AD535" t="str" cm="1">
        <f t="array" ref="AD535">IFERROR(_xlfn.IFS(
    AC535="", "",
    AC535*86400 &lt; 30, "1. 0s - &lt;30s",
    AC535*86400 &lt; 60, "2. 30s - &lt;1m",
    AC535*86400 &lt; 300, "3. 1m - &lt;5m",
    AC535*86400 &lt; 1800, "4. 5m - &lt;30m",
    TRUE, "5. &gt;= 30m"
),"6. Invalid (Order rejected)")</f>
        <v>6. Invalid (Order rejected)</v>
      </c>
    </row>
    <row r="536" spans="1:30" x14ac:dyDescent="0.3">
      <c r="A536" t="s">
        <v>3481</v>
      </c>
      <c r="B536" t="s">
        <v>3229</v>
      </c>
      <c r="C536">
        <v>13373294</v>
      </c>
      <c r="D536">
        <v>4837341</v>
      </c>
      <c r="E536" t="s">
        <v>25</v>
      </c>
      <c r="F536" t="s">
        <v>3482</v>
      </c>
      <c r="G536" t="s">
        <v>360</v>
      </c>
      <c r="H536" t="s">
        <v>3483</v>
      </c>
      <c r="I536" t="s">
        <v>3484</v>
      </c>
      <c r="J536" t="s">
        <v>3485</v>
      </c>
      <c r="K536" t="s">
        <v>26</v>
      </c>
      <c r="L536" t="s">
        <v>25</v>
      </c>
      <c r="M536" t="s">
        <v>25</v>
      </c>
      <c r="N536" t="s">
        <v>3456</v>
      </c>
      <c r="O536" t="s">
        <v>3457</v>
      </c>
      <c r="P536" t="s">
        <v>3468</v>
      </c>
      <c r="Q536" t="s">
        <v>3469</v>
      </c>
      <c r="R536">
        <v>553608</v>
      </c>
      <c r="S536">
        <v>429174</v>
      </c>
      <c r="T536">
        <v>124434</v>
      </c>
      <c r="U536" t="s">
        <v>35</v>
      </c>
      <c r="V536" t="s">
        <v>3460</v>
      </c>
      <c r="W536" t="s">
        <v>3471</v>
      </c>
      <c r="X536" s="4">
        <v>1</v>
      </c>
      <c r="Y536" s="4"/>
      <c r="Z536">
        <f t="shared" si="32"/>
        <v>8</v>
      </c>
      <c r="AA536">
        <f t="shared" si="33"/>
        <v>16</v>
      </c>
      <c r="AB536" s="5">
        <f t="shared" si="34"/>
        <v>0.87763888888730435</v>
      </c>
      <c r="AC536" s="3" t="str">
        <f t="shared" si="35"/>
        <v>Order rejected, no time available</v>
      </c>
      <c r="AD536" t="str" cm="1">
        <f t="array" ref="AD536">IFERROR(_xlfn.IFS(
    AC536="", "",
    AC536*86400 &lt; 30, "1. 0s - &lt;30s",
    AC536*86400 &lt; 60, "2. 30s - &lt;1m",
    AC536*86400 &lt; 300, "3. 1m - &lt;5m",
    AC536*86400 &lt; 1800, "4. 5m - &lt;30m",
    TRUE, "5. &gt;= 30m"
),"6. Invalid (Order rejected)")</f>
        <v>6. Invalid (Order rejected)</v>
      </c>
    </row>
    <row r="537" spans="1:30" hidden="1" x14ac:dyDescent="0.3">
      <c r="A537" t="s">
        <v>3486</v>
      </c>
      <c r="B537" t="s">
        <v>3229</v>
      </c>
      <c r="C537">
        <v>13373294</v>
      </c>
      <c r="D537">
        <v>0</v>
      </c>
      <c r="E537" t="s">
        <v>25</v>
      </c>
      <c r="F537" t="s">
        <v>26</v>
      </c>
      <c r="G537" t="s">
        <v>27</v>
      </c>
      <c r="H537" t="s">
        <v>3487</v>
      </c>
      <c r="I537" t="s">
        <v>3488</v>
      </c>
      <c r="J537" t="s">
        <v>26</v>
      </c>
      <c r="K537" t="s">
        <v>26</v>
      </c>
      <c r="L537" t="s">
        <v>3489</v>
      </c>
      <c r="M537" t="s">
        <v>25</v>
      </c>
      <c r="N537" t="s">
        <v>3490</v>
      </c>
      <c r="O537" t="s">
        <v>3491</v>
      </c>
      <c r="P537" t="s">
        <v>3492</v>
      </c>
      <c r="Q537" t="s">
        <v>3493</v>
      </c>
      <c r="R537">
        <v>325296</v>
      </c>
      <c r="S537">
        <v>0</v>
      </c>
      <c r="T537">
        <v>325296</v>
      </c>
      <c r="U537" t="s">
        <v>35</v>
      </c>
      <c r="V537" t="s">
        <v>3494</v>
      </c>
      <c r="W537" t="s">
        <v>3495</v>
      </c>
      <c r="X537" s="4">
        <v>1</v>
      </c>
      <c r="Y537" s="4"/>
      <c r="Z537">
        <f t="shared" si="32"/>
        <v>8</v>
      </c>
      <c r="AA537">
        <f t="shared" si="33"/>
        <v>17</v>
      </c>
      <c r="AB537" s="5">
        <f t="shared" si="34"/>
        <v>0.31811342592845904</v>
      </c>
      <c r="AC537" s="3">
        <f t="shared" si="35"/>
        <v>9.4594907408463769E-2</v>
      </c>
      <c r="AD537" t="str" cm="1">
        <f t="array" ref="AD537">IFERROR(_xlfn.IFS(
    AC537="", "",
    AC537*86400 &lt; 30, "1. 0s - &lt;30s",
    AC537*86400 &lt; 60, "2. 30s - &lt;1m",
    AC537*86400 &lt; 300, "3. 1m - &lt;5m",
    AC537*86400 &lt; 1800, "4. 5m - &lt;30m",
    TRUE, "5. &gt;= 30m"
),"6. Invalid (Order rejected)")</f>
        <v>5. &gt;= 30m</v>
      </c>
    </row>
    <row r="538" spans="1:30" x14ac:dyDescent="0.3">
      <c r="A538" t="s">
        <v>3496</v>
      </c>
      <c r="B538" t="s">
        <v>3229</v>
      </c>
      <c r="C538">
        <v>13373294</v>
      </c>
      <c r="D538">
        <v>4156314</v>
      </c>
      <c r="E538" t="s">
        <v>25</v>
      </c>
      <c r="F538" t="s">
        <v>75</v>
      </c>
      <c r="G538" t="s">
        <v>360</v>
      </c>
      <c r="H538" t="s">
        <v>3497</v>
      </c>
      <c r="I538" t="s">
        <v>3498</v>
      </c>
      <c r="J538" t="s">
        <v>3499</v>
      </c>
      <c r="K538" t="s">
        <v>26</v>
      </c>
      <c r="L538" t="s">
        <v>25</v>
      </c>
      <c r="M538" t="s">
        <v>25</v>
      </c>
      <c r="N538" t="s">
        <v>3500</v>
      </c>
      <c r="O538" t="s">
        <v>3501</v>
      </c>
      <c r="P538" t="s">
        <v>3502</v>
      </c>
      <c r="Q538" t="s">
        <v>3503</v>
      </c>
      <c r="R538">
        <v>257364</v>
      </c>
      <c r="S538">
        <v>199517</v>
      </c>
      <c r="T538">
        <v>57847</v>
      </c>
      <c r="U538" t="s">
        <v>35</v>
      </c>
      <c r="V538" t="s">
        <v>3504</v>
      </c>
      <c r="W538" t="s">
        <v>3505</v>
      </c>
      <c r="X538" s="4">
        <v>1</v>
      </c>
      <c r="Y538" s="4"/>
      <c r="Z538">
        <f t="shared" si="32"/>
        <v>8</v>
      </c>
      <c r="AA538">
        <f t="shared" si="33"/>
        <v>17</v>
      </c>
      <c r="AB538" s="5">
        <f t="shared" si="34"/>
        <v>0.31885416666773381</v>
      </c>
      <c r="AC538" s="3" t="str">
        <f t="shared" si="35"/>
        <v>Order rejected, no time available</v>
      </c>
      <c r="AD538" t="str" cm="1">
        <f t="array" ref="AD538">IFERROR(_xlfn.IFS(
    AC538="", "",
    AC538*86400 &lt; 30, "1. 0s - &lt;30s",
    AC538*86400 &lt; 60, "2. 30s - &lt;1m",
    AC538*86400 &lt; 300, "3. 1m - &lt;5m",
    AC538*86400 &lt; 1800, "4. 5m - &lt;30m",
    TRUE, "5. &gt;= 30m"
),"6. Invalid (Order rejected)")</f>
        <v>6. Invalid (Order rejected)</v>
      </c>
    </row>
    <row r="539" spans="1:30" hidden="1" x14ac:dyDescent="0.3">
      <c r="A539" t="s">
        <v>3506</v>
      </c>
      <c r="B539" t="s">
        <v>3229</v>
      </c>
      <c r="C539">
        <v>13373294</v>
      </c>
      <c r="D539">
        <v>0</v>
      </c>
      <c r="E539" t="s">
        <v>25</v>
      </c>
      <c r="F539" t="s">
        <v>26</v>
      </c>
      <c r="G539" t="s">
        <v>27</v>
      </c>
      <c r="H539" t="s">
        <v>3507</v>
      </c>
      <c r="I539" t="s">
        <v>3508</v>
      </c>
      <c r="J539" t="s">
        <v>26</v>
      </c>
      <c r="K539" t="s">
        <v>26</v>
      </c>
      <c r="L539" t="s">
        <v>3509</v>
      </c>
      <c r="M539" t="s">
        <v>25</v>
      </c>
      <c r="N539" t="s">
        <v>3510</v>
      </c>
      <c r="O539" t="s">
        <v>3511</v>
      </c>
      <c r="P539" t="s">
        <v>3512</v>
      </c>
      <c r="Q539" t="s">
        <v>3513</v>
      </c>
      <c r="R539">
        <v>466776</v>
      </c>
      <c r="S539">
        <v>0</v>
      </c>
      <c r="T539">
        <v>466776</v>
      </c>
      <c r="U539" t="s">
        <v>35</v>
      </c>
      <c r="V539" t="s">
        <v>3351</v>
      </c>
      <c r="W539" t="s">
        <v>3514</v>
      </c>
      <c r="X539" s="4">
        <v>1</v>
      </c>
      <c r="Y539" s="4"/>
      <c r="Z539">
        <f t="shared" si="32"/>
        <v>8</v>
      </c>
      <c r="AA539">
        <f t="shared" si="33"/>
        <v>17</v>
      </c>
      <c r="AB539" s="5">
        <f t="shared" si="34"/>
        <v>0.32122685185458977</v>
      </c>
      <c r="AC539" s="3">
        <f t="shared" si="35"/>
        <v>8.9884259257814847E-2</v>
      </c>
      <c r="AD539" t="str" cm="1">
        <f t="array" ref="AD539">IFERROR(_xlfn.IFS(
    AC539="", "",
    AC539*86400 &lt; 30, "1. 0s - &lt;30s",
    AC539*86400 &lt; 60, "2. 30s - &lt;1m",
    AC539*86400 &lt; 300, "3. 1m - &lt;5m",
    AC539*86400 &lt; 1800, "4. 5m - &lt;30m",
    TRUE, "5. &gt;= 30m"
),"6. Invalid (Order rejected)")</f>
        <v>5. &gt;= 30m</v>
      </c>
    </row>
    <row r="540" spans="1:30" hidden="1" x14ac:dyDescent="0.3">
      <c r="A540" t="s">
        <v>3515</v>
      </c>
      <c r="B540" t="s">
        <v>3229</v>
      </c>
      <c r="C540">
        <v>13373294</v>
      </c>
      <c r="D540">
        <v>0</v>
      </c>
      <c r="E540" t="s">
        <v>25</v>
      </c>
      <c r="F540" t="s">
        <v>26</v>
      </c>
      <c r="G540" t="s">
        <v>27</v>
      </c>
      <c r="H540" t="s">
        <v>3516</v>
      </c>
      <c r="I540" t="s">
        <v>3517</v>
      </c>
      <c r="J540" t="s">
        <v>26</v>
      </c>
      <c r="K540" t="s">
        <v>26</v>
      </c>
      <c r="L540" t="s">
        <v>3518</v>
      </c>
      <c r="M540" t="s">
        <v>25</v>
      </c>
      <c r="N540" t="s">
        <v>3519</v>
      </c>
      <c r="O540" t="s">
        <v>3520</v>
      </c>
      <c r="P540" t="s">
        <v>3521</v>
      </c>
      <c r="Q540" t="s">
        <v>3522</v>
      </c>
      <c r="R540">
        <v>325728</v>
      </c>
      <c r="S540">
        <v>0</v>
      </c>
      <c r="T540">
        <v>325728</v>
      </c>
      <c r="U540" t="s">
        <v>35</v>
      </c>
      <c r="V540" t="s">
        <v>3391</v>
      </c>
      <c r="W540" t="s">
        <v>3523</v>
      </c>
      <c r="X540" s="4">
        <v>1</v>
      </c>
      <c r="Y540" s="4"/>
      <c r="Z540">
        <f t="shared" si="32"/>
        <v>8</v>
      </c>
      <c r="AA540">
        <f t="shared" si="33"/>
        <v>17</v>
      </c>
      <c r="AB540" s="5">
        <f t="shared" si="34"/>
        <v>0.31591435184964212</v>
      </c>
      <c r="AC540" s="3">
        <f t="shared" si="35"/>
        <v>8.9641203703649808E-2</v>
      </c>
      <c r="AD540" t="str" cm="1">
        <f t="array" ref="AD540">IFERROR(_xlfn.IFS(
    AC540="", "",
    AC540*86400 &lt; 30, "1. 0s - &lt;30s",
    AC540*86400 &lt; 60, "2. 30s - &lt;1m",
    AC540*86400 &lt; 300, "3. 1m - &lt;5m",
    AC540*86400 &lt; 1800, "4. 5m - &lt;30m",
    TRUE, "5. &gt;= 30m"
),"6. Invalid (Order rejected)")</f>
        <v>5. &gt;= 30m</v>
      </c>
    </row>
    <row r="541" spans="1:30" hidden="1" x14ac:dyDescent="0.3">
      <c r="A541" t="s">
        <v>3524</v>
      </c>
      <c r="B541" t="s">
        <v>3229</v>
      </c>
      <c r="C541">
        <v>13373294</v>
      </c>
      <c r="D541">
        <v>0</v>
      </c>
      <c r="E541" t="s">
        <v>25</v>
      </c>
      <c r="F541" t="s">
        <v>26</v>
      </c>
      <c r="G541" t="s">
        <v>27</v>
      </c>
      <c r="H541" t="s">
        <v>3525</v>
      </c>
      <c r="I541" t="s">
        <v>3526</v>
      </c>
      <c r="J541" t="s">
        <v>26</v>
      </c>
      <c r="K541" t="s">
        <v>26</v>
      </c>
      <c r="L541" t="s">
        <v>3527</v>
      </c>
      <c r="M541" t="s">
        <v>25</v>
      </c>
      <c r="N541" t="s">
        <v>3528</v>
      </c>
      <c r="O541" t="s">
        <v>3529</v>
      </c>
      <c r="P541" t="s">
        <v>3530</v>
      </c>
      <c r="Q541" t="s">
        <v>3531</v>
      </c>
      <c r="R541">
        <v>292572</v>
      </c>
      <c r="S541">
        <v>0</v>
      </c>
      <c r="T541">
        <v>292572</v>
      </c>
      <c r="U541" t="s">
        <v>35</v>
      </c>
      <c r="V541" t="s">
        <v>3237</v>
      </c>
      <c r="W541" t="s">
        <v>3532</v>
      </c>
      <c r="X541" s="4">
        <v>1</v>
      </c>
      <c r="Y541" s="4"/>
      <c r="Z541">
        <f t="shared" si="32"/>
        <v>8</v>
      </c>
      <c r="AA541">
        <f t="shared" si="33"/>
        <v>17</v>
      </c>
      <c r="AB541" s="5">
        <f t="shared" si="34"/>
        <v>0.31707175925839692</v>
      </c>
      <c r="AC541" s="3">
        <f t="shared" si="35"/>
        <v>8.9872685188311152E-2</v>
      </c>
      <c r="AD541" t="str" cm="1">
        <f t="array" ref="AD541">IFERROR(_xlfn.IFS(
    AC541="", "",
    AC541*86400 &lt; 30, "1. 0s - &lt;30s",
    AC541*86400 &lt; 60, "2. 30s - &lt;1m",
    AC541*86400 &lt; 300, "3. 1m - &lt;5m",
    AC541*86400 &lt; 1800, "4. 5m - &lt;30m",
    TRUE, "5. &gt;= 30m"
),"6. Invalid (Order rejected)")</f>
        <v>5. &gt;= 30m</v>
      </c>
    </row>
    <row r="542" spans="1:30" hidden="1" x14ac:dyDescent="0.3">
      <c r="A542" t="s">
        <v>3533</v>
      </c>
      <c r="B542" t="s">
        <v>3229</v>
      </c>
      <c r="C542">
        <v>13373294</v>
      </c>
      <c r="D542">
        <v>0</v>
      </c>
      <c r="E542" t="s">
        <v>25</v>
      </c>
      <c r="F542" t="s">
        <v>26</v>
      </c>
      <c r="G542" t="s">
        <v>27</v>
      </c>
      <c r="H542" t="s">
        <v>3534</v>
      </c>
      <c r="I542" t="s">
        <v>3535</v>
      </c>
      <c r="J542" t="s">
        <v>26</v>
      </c>
      <c r="K542" t="s">
        <v>26</v>
      </c>
      <c r="L542" t="s">
        <v>3536</v>
      </c>
      <c r="M542" t="s">
        <v>25</v>
      </c>
      <c r="N542" t="s">
        <v>3537</v>
      </c>
      <c r="O542" t="s">
        <v>3538</v>
      </c>
      <c r="P542" t="s">
        <v>3539</v>
      </c>
      <c r="Q542" t="s">
        <v>3540</v>
      </c>
      <c r="R542">
        <v>210384</v>
      </c>
      <c r="S542">
        <v>0</v>
      </c>
      <c r="T542">
        <v>210384</v>
      </c>
      <c r="U542" t="s">
        <v>35</v>
      </c>
      <c r="V542" t="s">
        <v>3391</v>
      </c>
      <c r="W542" t="s">
        <v>3541</v>
      </c>
      <c r="X542" s="4">
        <v>1</v>
      </c>
      <c r="Y542" s="4"/>
      <c r="Z542">
        <f t="shared" si="32"/>
        <v>8</v>
      </c>
      <c r="AA542">
        <f t="shared" si="33"/>
        <v>17</v>
      </c>
      <c r="AB542" s="5">
        <f t="shared" si="34"/>
        <v>0.33239583333488554</v>
      </c>
      <c r="AC542" s="3">
        <f t="shared" si="35"/>
        <v>0.17835648148320615</v>
      </c>
      <c r="AD542" t="str" cm="1">
        <f t="array" ref="AD542">IFERROR(_xlfn.IFS(
    AC542="", "",
    AC542*86400 &lt; 30, "1. 0s - &lt;30s",
    AC542*86400 &lt; 60, "2. 30s - &lt;1m",
    AC542*86400 &lt; 300, "3. 1m - &lt;5m",
    AC542*86400 &lt; 1800, "4. 5m - &lt;30m",
    TRUE, "5. &gt;= 30m"
),"6. Invalid (Order rejected)")</f>
        <v>5. &gt;= 30m</v>
      </c>
    </row>
    <row r="543" spans="1:30" hidden="1" x14ac:dyDescent="0.3">
      <c r="A543" t="s">
        <v>3542</v>
      </c>
      <c r="B543" t="s">
        <v>3229</v>
      </c>
      <c r="C543">
        <v>13373294</v>
      </c>
      <c r="D543">
        <v>0</v>
      </c>
      <c r="E543" t="s">
        <v>25</v>
      </c>
      <c r="F543" t="s">
        <v>26</v>
      </c>
      <c r="G543" t="s">
        <v>27</v>
      </c>
      <c r="H543" t="s">
        <v>3543</v>
      </c>
      <c r="I543" t="s">
        <v>3544</v>
      </c>
      <c r="J543" t="s">
        <v>26</v>
      </c>
      <c r="K543" t="s">
        <v>26</v>
      </c>
      <c r="L543" t="s">
        <v>3545</v>
      </c>
      <c r="M543" t="s">
        <v>25</v>
      </c>
      <c r="N543" t="s">
        <v>3546</v>
      </c>
      <c r="O543" t="s">
        <v>3547</v>
      </c>
      <c r="P543" t="s">
        <v>3548</v>
      </c>
      <c r="Q543" t="s">
        <v>3549</v>
      </c>
      <c r="R543">
        <v>264168</v>
      </c>
      <c r="S543">
        <v>0</v>
      </c>
      <c r="T543">
        <v>264168</v>
      </c>
      <c r="U543" t="s">
        <v>35</v>
      </c>
      <c r="V543" t="s">
        <v>3550</v>
      </c>
      <c r="W543" t="s">
        <v>3551</v>
      </c>
      <c r="X543" s="4">
        <v>1</v>
      </c>
      <c r="Y543" s="4"/>
      <c r="Z543">
        <f t="shared" si="32"/>
        <v>8</v>
      </c>
      <c r="AA543">
        <f t="shared" si="33"/>
        <v>17</v>
      </c>
      <c r="AB543" s="5">
        <f t="shared" si="34"/>
        <v>0.32925925926247146</v>
      </c>
      <c r="AC543" s="3">
        <f t="shared" si="35"/>
        <v>9.9143518513301387E-2</v>
      </c>
      <c r="AD543" t="str" cm="1">
        <f t="array" ref="AD543">IFERROR(_xlfn.IFS(
    AC543="", "",
    AC543*86400 &lt; 30, "1. 0s - &lt;30s",
    AC543*86400 &lt; 60, "2. 30s - &lt;1m",
    AC543*86400 &lt; 300, "3. 1m - &lt;5m",
    AC543*86400 &lt; 1800, "4. 5m - &lt;30m",
    TRUE, "5. &gt;= 30m"
),"6. Invalid (Order rejected)")</f>
        <v>5. &gt;= 30m</v>
      </c>
    </row>
    <row r="544" spans="1:30" x14ac:dyDescent="0.3">
      <c r="A544" t="s">
        <v>3552</v>
      </c>
      <c r="B544" t="s">
        <v>3229</v>
      </c>
      <c r="C544">
        <v>13373294</v>
      </c>
      <c r="D544">
        <v>2715570</v>
      </c>
      <c r="E544" t="s">
        <v>3553</v>
      </c>
      <c r="F544" t="s">
        <v>75</v>
      </c>
      <c r="G544" t="s">
        <v>360</v>
      </c>
      <c r="H544" t="s">
        <v>3554</v>
      </c>
      <c r="I544" t="s">
        <v>3555</v>
      </c>
      <c r="J544" t="s">
        <v>3556</v>
      </c>
      <c r="K544" t="s">
        <v>26</v>
      </c>
      <c r="L544" t="s">
        <v>25</v>
      </c>
      <c r="M544" t="s">
        <v>25</v>
      </c>
      <c r="N544" t="s">
        <v>3557</v>
      </c>
      <c r="O544" t="s">
        <v>3558</v>
      </c>
      <c r="P544" t="s">
        <v>3559</v>
      </c>
      <c r="Q544" t="s">
        <v>3560</v>
      </c>
      <c r="R544">
        <v>362880</v>
      </c>
      <c r="S544">
        <v>281316</v>
      </c>
      <c r="T544">
        <v>81564</v>
      </c>
      <c r="U544" t="s">
        <v>35</v>
      </c>
      <c r="V544" t="s">
        <v>3248</v>
      </c>
      <c r="W544" t="s">
        <v>3561</v>
      </c>
      <c r="X544" s="4">
        <v>1</v>
      </c>
      <c r="Y544" s="4"/>
      <c r="Z544">
        <f t="shared" si="32"/>
        <v>8</v>
      </c>
      <c r="AA544">
        <f t="shared" si="33"/>
        <v>17</v>
      </c>
      <c r="AB544" s="5">
        <f t="shared" si="34"/>
        <v>0.33181712962687016</v>
      </c>
      <c r="AC544" s="3" t="str">
        <f t="shared" si="35"/>
        <v>Order rejected, no time available</v>
      </c>
      <c r="AD544" t="str" cm="1">
        <f t="array" ref="AD544">IFERROR(_xlfn.IFS(
    AC544="", "",
    AC544*86400 &lt; 30, "1. 0s - &lt;30s",
    AC544*86400 &lt; 60, "2. 30s - &lt;1m",
    AC544*86400 &lt; 300, "3. 1m - &lt;5m",
    AC544*86400 &lt; 1800, "4. 5m - &lt;30m",
    TRUE, "5. &gt;= 30m"
),"6. Invalid (Order rejected)")</f>
        <v>6. Invalid (Order rejected)</v>
      </c>
    </row>
    <row r="545" spans="1:30" hidden="1" x14ac:dyDescent="0.3">
      <c r="A545" t="s">
        <v>3562</v>
      </c>
      <c r="B545" t="s">
        <v>3229</v>
      </c>
      <c r="C545">
        <v>13373294</v>
      </c>
      <c r="D545">
        <v>0</v>
      </c>
      <c r="E545" t="s">
        <v>25</v>
      </c>
      <c r="F545" t="s">
        <v>26</v>
      </c>
      <c r="G545" t="s">
        <v>27</v>
      </c>
      <c r="H545" t="s">
        <v>3563</v>
      </c>
      <c r="I545" t="s">
        <v>3564</v>
      </c>
      <c r="J545" t="s">
        <v>26</v>
      </c>
      <c r="K545" t="s">
        <v>26</v>
      </c>
      <c r="L545" t="s">
        <v>3565</v>
      </c>
      <c r="M545" t="s">
        <v>25</v>
      </c>
      <c r="N545" t="s">
        <v>3566</v>
      </c>
      <c r="O545" t="s">
        <v>3567</v>
      </c>
      <c r="P545" t="s">
        <v>3568</v>
      </c>
      <c r="Q545" t="s">
        <v>3569</v>
      </c>
      <c r="R545">
        <v>340524</v>
      </c>
      <c r="S545">
        <v>0</v>
      </c>
      <c r="T545">
        <v>340524</v>
      </c>
      <c r="U545" t="s">
        <v>35</v>
      </c>
      <c r="V545" t="s">
        <v>3570</v>
      </c>
      <c r="W545" t="s">
        <v>3571</v>
      </c>
      <c r="X545" s="4">
        <v>1</v>
      </c>
      <c r="Y545" s="4"/>
      <c r="Z545">
        <f t="shared" si="32"/>
        <v>8</v>
      </c>
      <c r="AA545">
        <f t="shared" si="33"/>
        <v>17</v>
      </c>
      <c r="AB545" s="5">
        <f t="shared" si="34"/>
        <v>0.33831018518685596</v>
      </c>
      <c r="AC545" s="3">
        <f t="shared" si="35"/>
        <v>0.17267361110862112</v>
      </c>
      <c r="AD545" t="str" cm="1">
        <f t="array" ref="AD545">IFERROR(_xlfn.IFS(
    AC545="", "",
    AC545*86400 &lt; 30, "1. 0s - &lt;30s",
    AC545*86400 &lt; 60, "2. 30s - &lt;1m",
    AC545*86400 &lt; 300, "3. 1m - &lt;5m",
    AC545*86400 &lt; 1800, "4. 5m - &lt;30m",
    TRUE, "5. &gt;= 30m"
),"6. Invalid (Order rejected)")</f>
        <v>5. &gt;= 30m</v>
      </c>
    </row>
    <row r="546" spans="1:30" hidden="1" x14ac:dyDescent="0.3">
      <c r="A546" t="s">
        <v>3572</v>
      </c>
      <c r="B546" t="s">
        <v>3229</v>
      </c>
      <c r="C546">
        <v>13373294</v>
      </c>
      <c r="D546">
        <v>0</v>
      </c>
      <c r="E546" t="s">
        <v>25</v>
      </c>
      <c r="F546" t="s">
        <v>26</v>
      </c>
      <c r="G546" t="s">
        <v>27</v>
      </c>
      <c r="H546" t="s">
        <v>3573</v>
      </c>
      <c r="I546" t="s">
        <v>3564</v>
      </c>
      <c r="J546" t="s">
        <v>26</v>
      </c>
      <c r="K546" t="s">
        <v>26</v>
      </c>
      <c r="L546" t="s">
        <v>3574</v>
      </c>
      <c r="M546" t="s">
        <v>25</v>
      </c>
      <c r="N546" t="s">
        <v>3575</v>
      </c>
      <c r="O546" t="s">
        <v>3576</v>
      </c>
      <c r="P546" t="s">
        <v>3577</v>
      </c>
      <c r="Q546" t="s">
        <v>3578</v>
      </c>
      <c r="R546">
        <v>294300</v>
      </c>
      <c r="S546">
        <v>0</v>
      </c>
      <c r="T546">
        <v>294300</v>
      </c>
      <c r="U546" t="s">
        <v>35</v>
      </c>
      <c r="V546" t="s">
        <v>3237</v>
      </c>
      <c r="W546" t="s">
        <v>3579</v>
      </c>
      <c r="X546" s="4">
        <v>1</v>
      </c>
      <c r="Y546" s="4"/>
      <c r="Z546">
        <f t="shared" si="32"/>
        <v>8</v>
      </c>
      <c r="AA546">
        <f t="shared" si="33"/>
        <v>17</v>
      </c>
      <c r="AB546" s="5">
        <f t="shared" si="34"/>
        <v>0.33880787037196569</v>
      </c>
      <c r="AC546" s="3">
        <f t="shared" si="35"/>
        <v>8.9664351849933155E-2</v>
      </c>
      <c r="AD546" t="str" cm="1">
        <f t="array" ref="AD546">IFERROR(_xlfn.IFS(
    AC546="", "",
    AC546*86400 &lt; 30, "1. 0s - &lt;30s",
    AC546*86400 &lt; 60, "2. 30s - &lt;1m",
    AC546*86400 &lt; 300, "3. 1m - &lt;5m",
    AC546*86400 &lt; 1800, "4. 5m - &lt;30m",
    TRUE, "5. &gt;= 30m"
),"6. Invalid (Order rejected)")</f>
        <v>5. &gt;= 30m</v>
      </c>
    </row>
    <row r="547" spans="1:30" hidden="1" x14ac:dyDescent="0.3">
      <c r="A547" t="s">
        <v>3580</v>
      </c>
      <c r="B547" t="s">
        <v>25</v>
      </c>
      <c r="C547">
        <v>43701630</v>
      </c>
      <c r="D547">
        <v>0</v>
      </c>
      <c r="E547" t="s">
        <v>25</v>
      </c>
      <c r="F547" t="s">
        <v>26</v>
      </c>
      <c r="G547" t="s">
        <v>27</v>
      </c>
      <c r="H547" t="s">
        <v>3581</v>
      </c>
      <c r="I547" t="s">
        <v>3582</v>
      </c>
      <c r="J547" t="s">
        <v>26</v>
      </c>
      <c r="K547" t="s">
        <v>26</v>
      </c>
      <c r="L547" t="s">
        <v>3583</v>
      </c>
      <c r="M547" t="s">
        <v>25</v>
      </c>
      <c r="N547" t="s">
        <v>3584</v>
      </c>
      <c r="O547" t="s">
        <v>3585</v>
      </c>
      <c r="P547" t="s">
        <v>2322</v>
      </c>
      <c r="Q547" t="s">
        <v>2323</v>
      </c>
      <c r="R547">
        <v>316872</v>
      </c>
      <c r="S547">
        <v>0</v>
      </c>
      <c r="T547">
        <v>316872</v>
      </c>
      <c r="U547" t="s">
        <v>35</v>
      </c>
      <c r="V547" t="s">
        <v>3586</v>
      </c>
      <c r="W547" t="s">
        <v>2324</v>
      </c>
      <c r="X547" s="4">
        <v>1</v>
      </c>
      <c r="Y547" s="4"/>
      <c r="Z547">
        <f t="shared" si="32"/>
        <v>8</v>
      </c>
      <c r="AA547">
        <f t="shared" si="33"/>
        <v>18</v>
      </c>
      <c r="AB547" s="5">
        <f t="shared" si="34"/>
        <v>0.29099537037109258</v>
      </c>
      <c r="AC547" s="3">
        <f t="shared" si="35"/>
        <v>9.4467592592991423E-2</v>
      </c>
      <c r="AD547" t="str" cm="1">
        <f t="array" ref="AD547">IFERROR(_xlfn.IFS(
    AC547="", "",
    AC547*86400 &lt; 30, "1. 0s - &lt;30s",
    AC547*86400 &lt; 60, "2. 30s - &lt;1m",
    AC547*86400 &lt; 300, "3. 1m - &lt;5m",
    AC547*86400 &lt; 1800, "4. 5m - &lt;30m",
    TRUE, "5. &gt;= 30m"
),"6. Invalid (Order rejected)")</f>
        <v>5. &gt;= 30m</v>
      </c>
    </row>
    <row r="548" spans="1:30" hidden="1" x14ac:dyDescent="0.3">
      <c r="A548" t="s">
        <v>3587</v>
      </c>
      <c r="B548" t="s">
        <v>25</v>
      </c>
      <c r="C548">
        <v>43701630</v>
      </c>
      <c r="D548">
        <v>0</v>
      </c>
      <c r="E548" t="s">
        <v>25</v>
      </c>
      <c r="F548" t="s">
        <v>26</v>
      </c>
      <c r="G548" t="s">
        <v>27</v>
      </c>
      <c r="H548" t="s">
        <v>3588</v>
      </c>
      <c r="I548" t="s">
        <v>3589</v>
      </c>
      <c r="J548" t="s">
        <v>26</v>
      </c>
      <c r="K548" t="s">
        <v>26</v>
      </c>
      <c r="L548" t="s">
        <v>3590</v>
      </c>
      <c r="M548" t="s">
        <v>25</v>
      </c>
      <c r="N548" t="s">
        <v>3591</v>
      </c>
      <c r="O548" t="s">
        <v>3592</v>
      </c>
      <c r="P548" t="s">
        <v>2409</v>
      </c>
      <c r="Q548" t="s">
        <v>3593</v>
      </c>
      <c r="R548">
        <v>209304</v>
      </c>
      <c r="S548">
        <v>0</v>
      </c>
      <c r="T548">
        <v>209304</v>
      </c>
      <c r="U548" t="s">
        <v>35</v>
      </c>
      <c r="V548" t="s">
        <v>3594</v>
      </c>
      <c r="W548" t="s">
        <v>2411</v>
      </c>
      <c r="X548" s="4">
        <v>1</v>
      </c>
      <c r="Y548" s="4"/>
      <c r="Z548">
        <f t="shared" si="32"/>
        <v>8</v>
      </c>
      <c r="AA548">
        <f t="shared" si="33"/>
        <v>18</v>
      </c>
      <c r="AB548" s="5">
        <f t="shared" si="34"/>
        <v>0.29819444444729015</v>
      </c>
      <c r="AC548" s="3">
        <f t="shared" si="35"/>
        <v>9.0277777773735579E-2</v>
      </c>
      <c r="AD548" t="str" cm="1">
        <f t="array" ref="AD548">IFERROR(_xlfn.IFS(
    AC548="", "",
    AC548*86400 &lt; 30, "1. 0s - &lt;30s",
    AC548*86400 &lt; 60, "2. 30s - &lt;1m",
    AC548*86400 &lt; 300, "3. 1m - &lt;5m",
    AC548*86400 &lt; 1800, "4. 5m - &lt;30m",
    TRUE, "5. &gt;= 30m"
),"6. Invalid (Order rejected)")</f>
        <v>5. &gt;= 30m</v>
      </c>
    </row>
    <row r="549" spans="1:30" x14ac:dyDescent="0.3">
      <c r="A549" t="s">
        <v>3595</v>
      </c>
      <c r="B549" t="s">
        <v>3229</v>
      </c>
      <c r="C549">
        <v>13373294</v>
      </c>
      <c r="D549">
        <v>4055972</v>
      </c>
      <c r="E549" t="s">
        <v>25</v>
      </c>
      <c r="F549" t="s">
        <v>75</v>
      </c>
      <c r="G549" t="s">
        <v>360</v>
      </c>
      <c r="H549" t="s">
        <v>3596</v>
      </c>
      <c r="I549" t="s">
        <v>3597</v>
      </c>
      <c r="J549" t="s">
        <v>3598</v>
      </c>
      <c r="K549" t="s">
        <v>26</v>
      </c>
      <c r="L549" t="s">
        <v>25</v>
      </c>
      <c r="M549" t="s">
        <v>25</v>
      </c>
      <c r="N549" t="s">
        <v>3599</v>
      </c>
      <c r="O549" t="s">
        <v>3600</v>
      </c>
      <c r="P549" t="s">
        <v>3601</v>
      </c>
      <c r="Q549" t="s">
        <v>3602</v>
      </c>
      <c r="R549">
        <v>218484</v>
      </c>
      <c r="S549">
        <v>169376</v>
      </c>
      <c r="T549">
        <v>49108</v>
      </c>
      <c r="U549" t="s">
        <v>35</v>
      </c>
      <c r="V549" t="s">
        <v>3603</v>
      </c>
      <c r="W549" t="s">
        <v>3604</v>
      </c>
      <c r="X549" s="4">
        <v>1</v>
      </c>
      <c r="Y549" s="4"/>
      <c r="Z549">
        <f t="shared" si="32"/>
        <v>8</v>
      </c>
      <c r="AA549">
        <f t="shared" si="33"/>
        <v>18</v>
      </c>
      <c r="AB549" s="5">
        <f t="shared" si="34"/>
        <v>0.29854166666336823</v>
      </c>
      <c r="AC549" s="3" t="str">
        <f t="shared" si="35"/>
        <v>Order rejected, no time available</v>
      </c>
      <c r="AD549" t="str" cm="1">
        <f t="array" ref="AD549">IFERROR(_xlfn.IFS(
    AC549="", "",
    AC549*86400 &lt; 30, "1. 0s - &lt;30s",
    AC549*86400 &lt; 60, "2. 30s - &lt;1m",
    AC549*86400 &lt; 300, "3. 1m - &lt;5m",
    AC549*86400 &lt; 1800, "4. 5m - &lt;30m",
    TRUE, "5. &gt;= 30m"
),"6. Invalid (Order rejected)")</f>
        <v>6. Invalid (Order rejected)</v>
      </c>
    </row>
    <row r="550" spans="1:30" hidden="1" x14ac:dyDescent="0.3">
      <c r="A550" t="s">
        <v>3605</v>
      </c>
      <c r="B550" t="s">
        <v>25</v>
      </c>
      <c r="C550">
        <v>43701630</v>
      </c>
      <c r="D550">
        <v>0</v>
      </c>
      <c r="E550" t="s">
        <v>25</v>
      </c>
      <c r="F550" t="s">
        <v>26</v>
      </c>
      <c r="G550" t="s">
        <v>27</v>
      </c>
      <c r="H550" t="s">
        <v>3606</v>
      </c>
      <c r="I550" t="s">
        <v>3607</v>
      </c>
      <c r="J550" t="s">
        <v>26</v>
      </c>
      <c r="K550" t="s">
        <v>26</v>
      </c>
      <c r="L550" t="s">
        <v>3608</v>
      </c>
      <c r="M550" t="s">
        <v>25</v>
      </c>
      <c r="N550" t="s">
        <v>3609</v>
      </c>
      <c r="O550" t="s">
        <v>3610</v>
      </c>
      <c r="P550" t="s">
        <v>3611</v>
      </c>
      <c r="Q550" t="s">
        <v>3612</v>
      </c>
      <c r="R550">
        <v>279288</v>
      </c>
      <c r="S550">
        <v>0</v>
      </c>
      <c r="T550">
        <v>279288</v>
      </c>
      <c r="U550" t="s">
        <v>35</v>
      </c>
      <c r="V550" t="s">
        <v>3613</v>
      </c>
      <c r="W550" t="s">
        <v>3614</v>
      </c>
      <c r="X550" s="4">
        <v>1</v>
      </c>
      <c r="Y550" s="4"/>
      <c r="Z550">
        <f t="shared" si="32"/>
        <v>8</v>
      </c>
      <c r="AA550">
        <f t="shared" si="33"/>
        <v>18</v>
      </c>
      <c r="AB550" s="5">
        <f t="shared" si="34"/>
        <v>0.29207175925694173</v>
      </c>
      <c r="AC550" s="3">
        <f t="shared" si="35"/>
        <v>9.3923611115314998E-2</v>
      </c>
      <c r="AD550" t="str" cm="1">
        <f t="array" ref="AD550">IFERROR(_xlfn.IFS(
    AC550="", "",
    AC550*86400 &lt; 30, "1. 0s - &lt;30s",
    AC550*86400 &lt; 60, "2. 30s - &lt;1m",
    AC550*86400 &lt; 300, "3. 1m - &lt;5m",
    AC550*86400 &lt; 1800, "4. 5m - &lt;30m",
    TRUE, "5. &gt;= 30m"
),"6. Invalid (Order rejected)")</f>
        <v>5. &gt;= 30m</v>
      </c>
    </row>
    <row r="551" spans="1:30" hidden="1" x14ac:dyDescent="0.3">
      <c r="A551" t="s">
        <v>3615</v>
      </c>
      <c r="B551" t="s">
        <v>25</v>
      </c>
      <c r="C551">
        <v>43701630</v>
      </c>
      <c r="D551">
        <v>0</v>
      </c>
      <c r="E551" t="s">
        <v>25</v>
      </c>
      <c r="F551" t="s">
        <v>26</v>
      </c>
      <c r="G551" t="s">
        <v>27</v>
      </c>
      <c r="H551" t="s">
        <v>3616</v>
      </c>
      <c r="I551" t="s">
        <v>3617</v>
      </c>
      <c r="J551" t="s">
        <v>26</v>
      </c>
      <c r="K551" t="s">
        <v>26</v>
      </c>
      <c r="L551" t="s">
        <v>3618</v>
      </c>
      <c r="M551" t="s">
        <v>25</v>
      </c>
      <c r="N551" t="s">
        <v>3619</v>
      </c>
      <c r="O551" t="s">
        <v>3620</v>
      </c>
      <c r="P551" t="s">
        <v>3621</v>
      </c>
      <c r="Q551" t="s">
        <v>3622</v>
      </c>
      <c r="R551">
        <v>290844</v>
      </c>
      <c r="S551">
        <v>0</v>
      </c>
      <c r="T551">
        <v>290844</v>
      </c>
      <c r="U551" t="s">
        <v>35</v>
      </c>
      <c r="V551" t="s">
        <v>3623</v>
      </c>
      <c r="W551" t="s">
        <v>3624</v>
      </c>
      <c r="X551" s="4">
        <v>1</v>
      </c>
      <c r="Y551" s="4"/>
      <c r="Z551">
        <f t="shared" si="32"/>
        <v>8</v>
      </c>
      <c r="AA551">
        <f t="shared" si="33"/>
        <v>18</v>
      </c>
      <c r="AB551" s="5">
        <f t="shared" si="34"/>
        <v>0.29341435185051523</v>
      </c>
      <c r="AC551" s="3">
        <f t="shared" si="35"/>
        <v>9.0254629627452232E-2</v>
      </c>
      <c r="AD551" t="str" cm="1">
        <f t="array" ref="AD551">IFERROR(_xlfn.IFS(
    AC551="", "",
    AC551*86400 &lt; 30, "1. 0s - &lt;30s",
    AC551*86400 &lt; 60, "2. 30s - &lt;1m",
    AC551*86400 &lt; 300, "3. 1m - &lt;5m",
    AC551*86400 &lt; 1800, "4. 5m - &lt;30m",
    TRUE, "5. &gt;= 30m"
),"6. Invalid (Order rejected)")</f>
        <v>5. &gt;= 30m</v>
      </c>
    </row>
    <row r="552" spans="1:30" hidden="1" x14ac:dyDescent="0.3">
      <c r="A552" t="s">
        <v>3625</v>
      </c>
      <c r="B552" t="s">
        <v>25</v>
      </c>
      <c r="C552">
        <v>43701630</v>
      </c>
      <c r="D552">
        <v>0</v>
      </c>
      <c r="E552" t="s">
        <v>25</v>
      </c>
      <c r="F552" t="s">
        <v>26</v>
      </c>
      <c r="G552" t="s">
        <v>27</v>
      </c>
      <c r="H552" t="s">
        <v>3626</v>
      </c>
      <c r="I552" t="s">
        <v>3627</v>
      </c>
      <c r="J552" t="s">
        <v>26</v>
      </c>
      <c r="K552" t="s">
        <v>26</v>
      </c>
      <c r="L552" t="s">
        <v>3628</v>
      </c>
      <c r="M552" t="s">
        <v>25</v>
      </c>
      <c r="N552" t="s">
        <v>3629</v>
      </c>
      <c r="O552" t="s">
        <v>3630</v>
      </c>
      <c r="P552" t="s">
        <v>3631</v>
      </c>
      <c r="Q552" t="s">
        <v>3632</v>
      </c>
      <c r="R552">
        <v>220860</v>
      </c>
      <c r="S552">
        <v>0</v>
      </c>
      <c r="T552">
        <v>220860</v>
      </c>
      <c r="U552" t="s">
        <v>35</v>
      </c>
      <c r="V552" t="s">
        <v>3633</v>
      </c>
      <c r="W552" t="s">
        <v>3634</v>
      </c>
      <c r="X552" s="4">
        <v>1</v>
      </c>
      <c r="Y552" s="4"/>
      <c r="Z552">
        <f t="shared" si="32"/>
        <v>8</v>
      </c>
      <c r="AA552">
        <f t="shared" si="33"/>
        <v>18</v>
      </c>
      <c r="AB552" s="5">
        <f t="shared" si="34"/>
        <v>0.29702546296175569</v>
      </c>
      <c r="AC552" s="3">
        <f t="shared" si="35"/>
        <v>9.0277777781011537E-2</v>
      </c>
      <c r="AD552" t="str" cm="1">
        <f t="array" ref="AD552">IFERROR(_xlfn.IFS(
    AC552="", "",
    AC552*86400 &lt; 30, "1. 0s - &lt;30s",
    AC552*86400 &lt; 60, "2. 30s - &lt;1m",
    AC552*86400 &lt; 300, "3. 1m - &lt;5m",
    AC552*86400 &lt; 1800, "4. 5m - &lt;30m",
    TRUE, "5. &gt;= 30m"
),"6. Invalid (Order rejected)")</f>
        <v>5. &gt;= 30m</v>
      </c>
    </row>
    <row r="553" spans="1:30" hidden="1" x14ac:dyDescent="0.3">
      <c r="A553" t="s">
        <v>3635</v>
      </c>
      <c r="B553" t="s">
        <v>25</v>
      </c>
      <c r="C553">
        <v>43701630</v>
      </c>
      <c r="D553">
        <v>0</v>
      </c>
      <c r="E553" t="s">
        <v>25</v>
      </c>
      <c r="F553" t="s">
        <v>26</v>
      </c>
      <c r="G553" t="s">
        <v>27</v>
      </c>
      <c r="H553" t="s">
        <v>3636</v>
      </c>
      <c r="I553" t="s">
        <v>3637</v>
      </c>
      <c r="J553" t="s">
        <v>26</v>
      </c>
      <c r="K553" t="s">
        <v>26</v>
      </c>
      <c r="L553" t="s">
        <v>3638</v>
      </c>
      <c r="M553" t="s">
        <v>25</v>
      </c>
      <c r="N553" t="s">
        <v>3609</v>
      </c>
      <c r="O553" t="s">
        <v>3610</v>
      </c>
      <c r="P553" t="s">
        <v>2339</v>
      </c>
      <c r="Q553" t="s">
        <v>2340</v>
      </c>
      <c r="R553">
        <v>241272</v>
      </c>
      <c r="S553">
        <v>0</v>
      </c>
      <c r="T553">
        <v>241272</v>
      </c>
      <c r="U553" t="s">
        <v>35</v>
      </c>
      <c r="V553" t="s">
        <v>3613</v>
      </c>
      <c r="W553" t="s">
        <v>2341</v>
      </c>
      <c r="X553" s="4">
        <v>1</v>
      </c>
      <c r="Y553" s="4"/>
      <c r="Z553">
        <f t="shared" si="32"/>
        <v>8</v>
      </c>
      <c r="AA553">
        <f t="shared" si="33"/>
        <v>18</v>
      </c>
      <c r="AB553" s="5">
        <f t="shared" si="34"/>
        <v>0.29140046296379296</v>
      </c>
      <c r="AC553" s="3">
        <f t="shared" si="35"/>
        <v>9.0254629627452232E-2</v>
      </c>
      <c r="AD553" t="str" cm="1">
        <f t="array" ref="AD553">IFERROR(_xlfn.IFS(
    AC553="", "",
    AC553*86400 &lt; 30, "1. 0s - &lt;30s",
    AC553*86400 &lt; 60, "2. 30s - &lt;1m",
    AC553*86400 &lt; 300, "3. 1m - &lt;5m",
    AC553*86400 &lt; 1800, "4. 5m - &lt;30m",
    TRUE, "5. &gt;= 30m"
),"6. Invalid (Order rejected)")</f>
        <v>5. &gt;= 30m</v>
      </c>
    </row>
    <row r="554" spans="1:30" x14ac:dyDescent="0.3">
      <c r="A554" t="s">
        <v>3639</v>
      </c>
      <c r="B554" t="s">
        <v>3229</v>
      </c>
      <c r="C554">
        <v>13373294</v>
      </c>
      <c r="D554">
        <v>4844403</v>
      </c>
      <c r="E554" t="s">
        <v>25</v>
      </c>
      <c r="F554" t="s">
        <v>75</v>
      </c>
      <c r="G554" t="s">
        <v>360</v>
      </c>
      <c r="H554" t="s">
        <v>3640</v>
      </c>
      <c r="I554" t="s">
        <v>3641</v>
      </c>
      <c r="J554" t="s">
        <v>3642</v>
      </c>
      <c r="K554" t="s">
        <v>26</v>
      </c>
      <c r="L554" t="s">
        <v>25</v>
      </c>
      <c r="M554" t="s">
        <v>25</v>
      </c>
      <c r="N554" t="s">
        <v>3643</v>
      </c>
      <c r="O554" t="s">
        <v>3644</v>
      </c>
      <c r="P554" t="s">
        <v>3645</v>
      </c>
      <c r="Q554" t="s">
        <v>3646</v>
      </c>
      <c r="R554">
        <v>227772</v>
      </c>
      <c r="S554">
        <v>176576</v>
      </c>
      <c r="T554">
        <v>51196</v>
      </c>
      <c r="U554" t="s">
        <v>35</v>
      </c>
      <c r="V554" t="s">
        <v>3647</v>
      </c>
      <c r="W554" t="s">
        <v>3648</v>
      </c>
      <c r="X554" s="4">
        <v>1</v>
      </c>
      <c r="Y554" s="4"/>
      <c r="Z554">
        <f t="shared" si="32"/>
        <v>8</v>
      </c>
      <c r="AA554">
        <f t="shared" si="33"/>
        <v>18</v>
      </c>
      <c r="AB554" s="5">
        <f t="shared" si="34"/>
        <v>0.29637731481489027</v>
      </c>
      <c r="AC554" s="3" t="str">
        <f t="shared" si="35"/>
        <v>Order rejected, no time available</v>
      </c>
      <c r="AD554" t="str" cm="1">
        <f t="array" ref="AD554">IFERROR(_xlfn.IFS(
    AC554="", "",
    AC554*86400 &lt; 30, "1. 0s - &lt;30s",
    AC554*86400 &lt; 60, "2. 30s - &lt;1m",
    AC554*86400 &lt; 300, "3. 1m - &lt;5m",
    AC554*86400 &lt; 1800, "4. 5m - &lt;30m",
    TRUE, "5. &gt;= 30m"
),"6. Invalid (Order rejected)")</f>
        <v>6. Invalid (Order rejected)</v>
      </c>
    </row>
    <row r="555" spans="1:30" x14ac:dyDescent="0.3">
      <c r="A555" t="s">
        <v>3649</v>
      </c>
      <c r="B555" t="s">
        <v>25</v>
      </c>
      <c r="C555">
        <v>43701630</v>
      </c>
      <c r="D555">
        <v>2850165</v>
      </c>
      <c r="E555" t="s">
        <v>25</v>
      </c>
      <c r="F555" t="s">
        <v>75</v>
      </c>
      <c r="G555" t="s">
        <v>360</v>
      </c>
      <c r="H555" t="s">
        <v>3650</v>
      </c>
      <c r="I555" t="s">
        <v>3651</v>
      </c>
      <c r="J555" t="s">
        <v>3652</v>
      </c>
      <c r="K555" t="s">
        <v>26</v>
      </c>
      <c r="L555" t="s">
        <v>25</v>
      </c>
      <c r="M555" t="s">
        <v>25</v>
      </c>
      <c r="N555" t="s">
        <v>827</v>
      </c>
      <c r="O555" t="s">
        <v>828</v>
      </c>
      <c r="P555" t="s">
        <v>2304</v>
      </c>
      <c r="Q555" t="s">
        <v>2305</v>
      </c>
      <c r="R555">
        <v>122688</v>
      </c>
      <c r="S555">
        <v>95112</v>
      </c>
      <c r="T555">
        <v>27576</v>
      </c>
      <c r="U555" t="s">
        <v>35</v>
      </c>
      <c r="V555" t="s">
        <v>829</v>
      </c>
      <c r="W555" t="s">
        <v>2306</v>
      </c>
      <c r="X555" s="4">
        <v>1</v>
      </c>
      <c r="Y555" s="4"/>
      <c r="Z555">
        <f t="shared" si="32"/>
        <v>8</v>
      </c>
      <c r="AA555">
        <f t="shared" si="33"/>
        <v>18</v>
      </c>
      <c r="AB555" s="5">
        <f t="shared" si="34"/>
        <v>0.29988425925694173</v>
      </c>
      <c r="AC555" s="3" t="str">
        <f t="shared" si="35"/>
        <v>Order rejected, no time available</v>
      </c>
      <c r="AD555" t="str" cm="1">
        <f t="array" ref="AD555">IFERROR(_xlfn.IFS(
    AC555="", "",
    AC555*86400 &lt; 30, "1. 0s - &lt;30s",
    AC555*86400 &lt; 60, "2. 30s - &lt;1m",
    AC555*86400 &lt; 300, "3. 1m - &lt;5m",
    AC555*86400 &lt; 1800, "4. 5m - &lt;30m",
    TRUE, "5. &gt;= 30m"
),"6. Invalid (Order rejected)")</f>
        <v>6. Invalid (Order rejected)</v>
      </c>
    </row>
    <row r="556" spans="1:30" hidden="1" x14ac:dyDescent="0.3">
      <c r="A556" t="s">
        <v>3653</v>
      </c>
      <c r="B556" t="s">
        <v>25</v>
      </c>
      <c r="C556">
        <v>43701630</v>
      </c>
      <c r="D556">
        <v>0</v>
      </c>
      <c r="E556" t="s">
        <v>25</v>
      </c>
      <c r="F556" t="s">
        <v>26</v>
      </c>
      <c r="G556" t="s">
        <v>27</v>
      </c>
      <c r="H556" t="s">
        <v>3654</v>
      </c>
      <c r="I556" t="s">
        <v>3655</v>
      </c>
      <c r="J556" t="s">
        <v>26</v>
      </c>
      <c r="K556" t="s">
        <v>26</v>
      </c>
      <c r="L556" t="s">
        <v>3656</v>
      </c>
      <c r="M556" t="s">
        <v>25</v>
      </c>
      <c r="N556" t="s">
        <v>3657</v>
      </c>
      <c r="O556" t="s">
        <v>3658</v>
      </c>
      <c r="P556" t="s">
        <v>2409</v>
      </c>
      <c r="Q556" t="s">
        <v>3593</v>
      </c>
      <c r="R556">
        <v>204120</v>
      </c>
      <c r="S556">
        <v>0</v>
      </c>
      <c r="T556">
        <v>204120</v>
      </c>
      <c r="U556" t="s">
        <v>35</v>
      </c>
      <c r="V556" t="s">
        <v>3659</v>
      </c>
      <c r="W556" t="s">
        <v>2411</v>
      </c>
      <c r="X556" s="4">
        <v>1</v>
      </c>
      <c r="Y556" s="4"/>
      <c r="Z556">
        <f t="shared" si="32"/>
        <v>8</v>
      </c>
      <c r="AA556">
        <f t="shared" si="33"/>
        <v>18</v>
      </c>
      <c r="AB556" s="5">
        <f t="shared" si="34"/>
        <v>0.30184027777431766</v>
      </c>
      <c r="AC556" s="3">
        <f t="shared" si="35"/>
        <v>9.0266203704231884E-2</v>
      </c>
      <c r="AD556" t="str" cm="1">
        <f t="array" ref="AD556">IFERROR(_xlfn.IFS(
    AC556="", "",
    AC556*86400 &lt; 30, "1. 0s - &lt;30s",
    AC556*86400 &lt; 60, "2. 30s - &lt;1m",
    AC556*86400 &lt; 300, "3. 1m - &lt;5m",
    AC556*86400 &lt; 1800, "4. 5m - &lt;30m",
    TRUE, "5. &gt;= 30m"
),"6. Invalid (Order rejected)")</f>
        <v>5. &gt;= 30m</v>
      </c>
    </row>
    <row r="557" spans="1:30" hidden="1" x14ac:dyDescent="0.3">
      <c r="A557" t="s">
        <v>3660</v>
      </c>
      <c r="B557" t="s">
        <v>3229</v>
      </c>
      <c r="C557">
        <v>13373294</v>
      </c>
      <c r="D557">
        <v>0</v>
      </c>
      <c r="E557" t="s">
        <v>25</v>
      </c>
      <c r="F557" t="s">
        <v>26</v>
      </c>
      <c r="G557" t="s">
        <v>27</v>
      </c>
      <c r="H557" t="s">
        <v>3661</v>
      </c>
      <c r="I557" t="s">
        <v>3662</v>
      </c>
      <c r="J557" t="s">
        <v>26</v>
      </c>
      <c r="K557" t="s">
        <v>26</v>
      </c>
      <c r="L557" t="s">
        <v>3663</v>
      </c>
      <c r="M557" t="s">
        <v>25</v>
      </c>
      <c r="N557" t="s">
        <v>3490</v>
      </c>
      <c r="O557" t="s">
        <v>3491</v>
      </c>
      <c r="P557" t="s">
        <v>3664</v>
      </c>
      <c r="Q557" t="s">
        <v>3665</v>
      </c>
      <c r="R557">
        <v>297648</v>
      </c>
      <c r="S557">
        <v>0</v>
      </c>
      <c r="T557">
        <v>297648</v>
      </c>
      <c r="U557" t="s">
        <v>35</v>
      </c>
      <c r="V557" t="s">
        <v>3494</v>
      </c>
      <c r="W557" t="s">
        <v>3666</v>
      </c>
      <c r="X557" s="4">
        <v>1</v>
      </c>
      <c r="Y557" s="4"/>
      <c r="Z557">
        <f t="shared" si="32"/>
        <v>8</v>
      </c>
      <c r="AA557">
        <f t="shared" si="33"/>
        <v>18</v>
      </c>
      <c r="AB557" s="5">
        <f t="shared" si="34"/>
        <v>0.29456018518249039</v>
      </c>
      <c r="AC557" s="3">
        <f t="shared" si="35"/>
        <v>0.11840277777810115</v>
      </c>
      <c r="AD557" t="str" cm="1">
        <f t="array" ref="AD557">IFERROR(_xlfn.IFS(
    AC557="", "",
    AC557*86400 &lt; 30, "1. 0s - &lt;30s",
    AC557*86400 &lt; 60, "2. 30s - &lt;1m",
    AC557*86400 &lt; 300, "3. 1m - &lt;5m",
    AC557*86400 &lt; 1800, "4. 5m - &lt;30m",
    TRUE, "5. &gt;= 30m"
),"6. Invalid (Order rejected)")</f>
        <v>5. &gt;= 30m</v>
      </c>
    </row>
    <row r="558" spans="1:30" x14ac:dyDescent="0.3">
      <c r="A558" t="s">
        <v>3667</v>
      </c>
      <c r="B558" t="s">
        <v>3229</v>
      </c>
      <c r="C558">
        <v>13373294</v>
      </c>
      <c r="D558">
        <v>4276896</v>
      </c>
      <c r="E558" t="s">
        <v>25</v>
      </c>
      <c r="F558" t="s">
        <v>75</v>
      </c>
      <c r="G558" t="s">
        <v>360</v>
      </c>
      <c r="H558" t="s">
        <v>3668</v>
      </c>
      <c r="I558" t="s">
        <v>3641</v>
      </c>
      <c r="J558" t="s">
        <v>3669</v>
      </c>
      <c r="K558" t="s">
        <v>26</v>
      </c>
      <c r="L558" t="s">
        <v>25</v>
      </c>
      <c r="M558" t="s">
        <v>25</v>
      </c>
      <c r="N558" t="s">
        <v>3670</v>
      </c>
      <c r="O558" t="s">
        <v>3671</v>
      </c>
      <c r="P558" t="s">
        <v>3672</v>
      </c>
      <c r="Q558" t="s">
        <v>3673</v>
      </c>
      <c r="R558">
        <v>242136</v>
      </c>
      <c r="S558">
        <v>187711</v>
      </c>
      <c r="T558">
        <v>54425</v>
      </c>
      <c r="U558" t="s">
        <v>35</v>
      </c>
      <c r="V558" t="s">
        <v>3674</v>
      </c>
      <c r="W558" t="s">
        <v>3675</v>
      </c>
      <c r="X558" s="4">
        <v>1</v>
      </c>
      <c r="Y558" s="4"/>
      <c r="Z558">
        <f t="shared" si="32"/>
        <v>8</v>
      </c>
      <c r="AA558">
        <f t="shared" si="33"/>
        <v>18</v>
      </c>
      <c r="AB558" s="5">
        <f t="shared" si="34"/>
        <v>0.29590277777606389</v>
      </c>
      <c r="AC558" s="3" t="str">
        <f t="shared" si="35"/>
        <v>Order rejected, no time available</v>
      </c>
      <c r="AD558" t="str" cm="1">
        <f t="array" ref="AD558">IFERROR(_xlfn.IFS(
    AC558="", "",
    AC558*86400 &lt; 30, "1. 0s - &lt;30s",
    AC558*86400 &lt; 60, "2. 30s - &lt;1m",
    AC558*86400 &lt; 300, "3. 1m - &lt;5m",
    AC558*86400 &lt; 1800, "4. 5m - &lt;30m",
    TRUE, "5. &gt;= 30m"
),"6. Invalid (Order rejected)")</f>
        <v>6. Invalid (Order rejected)</v>
      </c>
    </row>
    <row r="559" spans="1:30" hidden="1" x14ac:dyDescent="0.3">
      <c r="A559" t="s">
        <v>3676</v>
      </c>
      <c r="B559" t="s">
        <v>25</v>
      </c>
      <c r="C559">
        <v>43701630</v>
      </c>
      <c r="D559">
        <v>0</v>
      </c>
      <c r="E559" t="s">
        <v>25</v>
      </c>
      <c r="F559" t="s">
        <v>26</v>
      </c>
      <c r="G559" t="s">
        <v>27</v>
      </c>
      <c r="H559" t="s">
        <v>3677</v>
      </c>
      <c r="I559" t="s">
        <v>3678</v>
      </c>
      <c r="J559" t="s">
        <v>26</v>
      </c>
      <c r="K559" t="s">
        <v>26</v>
      </c>
      <c r="L559" t="s">
        <v>3679</v>
      </c>
      <c r="M559" t="s">
        <v>25</v>
      </c>
      <c r="N559" t="s">
        <v>3680</v>
      </c>
      <c r="O559" t="s">
        <v>2355</v>
      </c>
      <c r="P559" t="s">
        <v>2304</v>
      </c>
      <c r="Q559" t="s">
        <v>2305</v>
      </c>
      <c r="R559">
        <v>178200</v>
      </c>
      <c r="S559">
        <v>0</v>
      </c>
      <c r="T559">
        <v>178200</v>
      </c>
      <c r="U559" t="s">
        <v>35</v>
      </c>
      <c r="V559" t="s">
        <v>2358</v>
      </c>
      <c r="W559" t="s">
        <v>2306</v>
      </c>
      <c r="X559" s="4">
        <v>1</v>
      </c>
      <c r="Y559" s="4"/>
      <c r="Z559">
        <f t="shared" si="32"/>
        <v>8</v>
      </c>
      <c r="AA559">
        <f t="shared" si="33"/>
        <v>18</v>
      </c>
      <c r="AB559" s="5">
        <f t="shared" si="34"/>
        <v>0.29594907407590654</v>
      </c>
      <c r="AC559" s="3">
        <f t="shared" si="35"/>
        <v>9.0254629627452232E-2</v>
      </c>
      <c r="AD559" t="str" cm="1">
        <f t="array" ref="AD559">IFERROR(_xlfn.IFS(
    AC559="", "",
    AC559*86400 &lt; 30, "1. 0s - &lt;30s",
    AC559*86400 &lt; 60, "2. 30s - &lt;1m",
    AC559*86400 &lt; 300, "3. 1m - &lt;5m",
    AC559*86400 &lt; 1800, "4. 5m - &lt;30m",
    TRUE, "5. &gt;= 30m"
),"6. Invalid (Order rejected)")</f>
        <v>5. &gt;= 30m</v>
      </c>
    </row>
    <row r="560" spans="1:30" hidden="1" x14ac:dyDescent="0.3">
      <c r="A560" t="s">
        <v>3681</v>
      </c>
      <c r="B560" t="s">
        <v>25</v>
      </c>
      <c r="C560">
        <v>43701630</v>
      </c>
      <c r="D560">
        <v>2852976</v>
      </c>
      <c r="E560" t="s">
        <v>25</v>
      </c>
      <c r="F560" t="s">
        <v>75</v>
      </c>
      <c r="G560" t="s">
        <v>76</v>
      </c>
      <c r="H560" t="s">
        <v>3682</v>
      </c>
      <c r="I560" t="s">
        <v>3683</v>
      </c>
      <c r="J560" t="s">
        <v>3684</v>
      </c>
      <c r="K560" t="s">
        <v>3685</v>
      </c>
      <c r="L560" t="s">
        <v>3686</v>
      </c>
      <c r="M560" t="s">
        <v>25</v>
      </c>
      <c r="N560" t="s">
        <v>3687</v>
      </c>
      <c r="O560" t="s">
        <v>3688</v>
      </c>
      <c r="P560" t="s">
        <v>3689</v>
      </c>
      <c r="Q560" t="s">
        <v>3690</v>
      </c>
      <c r="R560">
        <v>118260</v>
      </c>
      <c r="S560">
        <v>97072</v>
      </c>
      <c r="T560">
        <v>21188</v>
      </c>
      <c r="U560" t="s">
        <v>35</v>
      </c>
      <c r="V560" t="s">
        <v>3691</v>
      </c>
      <c r="W560" t="s">
        <v>3692</v>
      </c>
      <c r="X560" s="4">
        <v>1</v>
      </c>
      <c r="Y560" s="4"/>
      <c r="Z560">
        <f t="shared" si="32"/>
        <v>8</v>
      </c>
      <c r="AA560">
        <f t="shared" si="33"/>
        <v>18</v>
      </c>
      <c r="AB560" s="5">
        <f t="shared" si="34"/>
        <v>0.30038194444205146</v>
      </c>
      <c r="AC560" s="3">
        <f t="shared" si="35"/>
        <v>2.159722222131677E-2</v>
      </c>
      <c r="AD560" t="str" cm="1">
        <f t="array" ref="AD560">IFERROR(_xlfn.IFS(
    AC560="", "",
    AC560*86400 &lt; 30, "1. 0s - &lt;30s",
    AC560*86400 &lt; 60, "2. 30s - &lt;1m",
    AC560*86400 &lt; 300, "3. 1m - &lt;5m",
    AC560*86400 &lt; 1800, "4. 5m - &lt;30m",
    TRUE, "5. &gt;= 30m"
),"6. Invalid (Order rejected)")</f>
        <v>5. &gt;= 30m</v>
      </c>
    </row>
    <row r="561" spans="1:30" hidden="1" x14ac:dyDescent="0.3">
      <c r="A561" t="s">
        <v>3693</v>
      </c>
      <c r="B561" t="s">
        <v>25</v>
      </c>
      <c r="C561">
        <v>43701630</v>
      </c>
      <c r="D561">
        <v>0</v>
      </c>
      <c r="E561" t="s">
        <v>25</v>
      </c>
      <c r="F561" t="s">
        <v>26</v>
      </c>
      <c r="G561" t="s">
        <v>27</v>
      </c>
      <c r="H561" t="s">
        <v>3694</v>
      </c>
      <c r="I561" t="s">
        <v>3695</v>
      </c>
      <c r="J561" t="s">
        <v>26</v>
      </c>
      <c r="K561" t="s">
        <v>26</v>
      </c>
      <c r="L561" t="s">
        <v>3696</v>
      </c>
      <c r="M561" t="s">
        <v>25</v>
      </c>
      <c r="N561" t="s">
        <v>3619</v>
      </c>
      <c r="O561" t="s">
        <v>3620</v>
      </c>
      <c r="P561" t="s">
        <v>2409</v>
      </c>
      <c r="Q561" t="s">
        <v>3593</v>
      </c>
      <c r="R561">
        <v>214164</v>
      </c>
      <c r="S561">
        <v>0</v>
      </c>
      <c r="T561">
        <v>214164</v>
      </c>
      <c r="U561" t="s">
        <v>35</v>
      </c>
      <c r="V561" t="s">
        <v>3623</v>
      </c>
      <c r="W561" t="s">
        <v>2411</v>
      </c>
      <c r="X561" s="4">
        <v>1</v>
      </c>
      <c r="Y561" s="4"/>
      <c r="Z561">
        <f t="shared" si="32"/>
        <v>8</v>
      </c>
      <c r="AA561">
        <f t="shared" si="33"/>
        <v>18</v>
      </c>
      <c r="AB561" s="5">
        <f t="shared" si="34"/>
        <v>0.29246527778013842</v>
      </c>
      <c r="AC561" s="3">
        <f t="shared" si="35"/>
        <v>9.0254629627452232E-2</v>
      </c>
      <c r="AD561" t="str" cm="1">
        <f t="array" ref="AD561">IFERROR(_xlfn.IFS(
    AC561="", "",
    AC561*86400 &lt; 30, "1. 0s - &lt;30s",
    AC561*86400 &lt; 60, "2. 30s - &lt;1m",
    AC561*86400 &lt; 300, "3. 1m - &lt;5m",
    AC561*86400 &lt; 1800, "4. 5m - &lt;30m",
    TRUE, "5. &gt;= 30m"
),"6. Invalid (Order rejected)")</f>
        <v>5. &gt;= 30m</v>
      </c>
    </row>
    <row r="562" spans="1:30" hidden="1" x14ac:dyDescent="0.3">
      <c r="A562" t="s">
        <v>3697</v>
      </c>
      <c r="B562" t="s">
        <v>25</v>
      </c>
      <c r="C562">
        <v>43701630</v>
      </c>
      <c r="D562">
        <v>0</v>
      </c>
      <c r="E562" t="s">
        <v>25</v>
      </c>
      <c r="F562" t="s">
        <v>26</v>
      </c>
      <c r="G562" t="s">
        <v>27</v>
      </c>
      <c r="H562" t="s">
        <v>3698</v>
      </c>
      <c r="I562" t="s">
        <v>3699</v>
      </c>
      <c r="J562" t="s">
        <v>26</v>
      </c>
      <c r="K562" t="s">
        <v>26</v>
      </c>
      <c r="L562" t="s">
        <v>3700</v>
      </c>
      <c r="M562" t="s">
        <v>25</v>
      </c>
      <c r="N562" t="s">
        <v>3619</v>
      </c>
      <c r="O562" t="s">
        <v>3620</v>
      </c>
      <c r="P562" t="s">
        <v>3701</v>
      </c>
      <c r="Q562" t="s">
        <v>3702</v>
      </c>
      <c r="R562">
        <v>365364</v>
      </c>
      <c r="S562">
        <v>0</v>
      </c>
      <c r="T562">
        <v>365364</v>
      </c>
      <c r="U562" t="s">
        <v>35</v>
      </c>
      <c r="V562" t="s">
        <v>3623</v>
      </c>
      <c r="W562" t="s">
        <v>2316</v>
      </c>
      <c r="X562" s="4">
        <v>1</v>
      </c>
      <c r="Y562" s="4"/>
      <c r="Z562">
        <f t="shared" si="32"/>
        <v>8</v>
      </c>
      <c r="AA562">
        <f t="shared" si="33"/>
        <v>18</v>
      </c>
      <c r="AB562" s="5">
        <f t="shared" si="34"/>
        <v>0.29274305555736646</v>
      </c>
      <c r="AC562" s="3">
        <f t="shared" si="35"/>
        <v>0.11695601851533866</v>
      </c>
      <c r="AD562" t="str" cm="1">
        <f t="array" ref="AD562">IFERROR(_xlfn.IFS(
    AC562="", "",
    AC562*86400 &lt; 30, "1. 0s - &lt;30s",
    AC562*86400 &lt; 60, "2. 30s - &lt;1m",
    AC562*86400 &lt; 300, "3. 1m - &lt;5m",
    AC562*86400 &lt; 1800, "4. 5m - &lt;30m",
    TRUE, "5. &gt;= 30m"
),"6. Invalid (Order rejected)")</f>
        <v>5. &gt;= 30m</v>
      </c>
    </row>
    <row r="563" spans="1:30" hidden="1" x14ac:dyDescent="0.3">
      <c r="A563" t="s">
        <v>3703</v>
      </c>
      <c r="B563" t="s">
        <v>3229</v>
      </c>
      <c r="C563">
        <v>13373294</v>
      </c>
      <c r="D563">
        <v>0</v>
      </c>
      <c r="E563" t="s">
        <v>25</v>
      </c>
      <c r="F563" t="s">
        <v>26</v>
      </c>
      <c r="G563" t="s">
        <v>27</v>
      </c>
      <c r="H563" t="s">
        <v>3704</v>
      </c>
      <c r="I563" t="s">
        <v>3705</v>
      </c>
      <c r="J563" t="s">
        <v>26</v>
      </c>
      <c r="K563" t="s">
        <v>26</v>
      </c>
      <c r="L563" t="s">
        <v>3706</v>
      </c>
      <c r="M563" t="s">
        <v>25</v>
      </c>
      <c r="N563" t="s">
        <v>3557</v>
      </c>
      <c r="O563" t="s">
        <v>3558</v>
      </c>
      <c r="P563" t="s">
        <v>3707</v>
      </c>
      <c r="Q563" t="s">
        <v>3708</v>
      </c>
      <c r="R563">
        <v>307260</v>
      </c>
      <c r="S563">
        <v>0</v>
      </c>
      <c r="T563">
        <v>307260</v>
      </c>
      <c r="U563" t="s">
        <v>35</v>
      </c>
      <c r="V563" t="s">
        <v>3248</v>
      </c>
      <c r="W563" t="s">
        <v>3709</v>
      </c>
      <c r="X563" s="4">
        <v>1</v>
      </c>
      <c r="Y563" s="4"/>
      <c r="Z563">
        <f t="shared" si="32"/>
        <v>8</v>
      </c>
      <c r="AA563">
        <f t="shared" si="33"/>
        <v>18</v>
      </c>
      <c r="AB563" s="5">
        <f t="shared" si="34"/>
        <v>0.29310185185022419</v>
      </c>
      <c r="AC563" s="3">
        <f t="shared" si="35"/>
        <v>0.11775462963123573</v>
      </c>
      <c r="AD563" t="str" cm="1">
        <f t="array" ref="AD563">IFERROR(_xlfn.IFS(
    AC563="", "",
    AC563*86400 &lt; 30, "1. 0s - &lt;30s",
    AC563*86400 &lt; 60, "2. 30s - &lt;1m",
    AC563*86400 &lt; 300, "3. 1m - &lt;5m",
    AC563*86400 &lt; 1800, "4. 5m - &lt;30m",
    TRUE, "5. &gt;= 30m"
),"6. Invalid (Order rejected)")</f>
        <v>5. &gt;= 30m</v>
      </c>
    </row>
    <row r="564" spans="1:30" x14ac:dyDescent="0.3">
      <c r="A564" t="s">
        <v>3710</v>
      </c>
      <c r="B564" t="s">
        <v>25</v>
      </c>
      <c r="C564">
        <v>43701630</v>
      </c>
      <c r="D564">
        <v>2853310</v>
      </c>
      <c r="E564" t="s">
        <v>25</v>
      </c>
      <c r="F564" t="s">
        <v>75</v>
      </c>
      <c r="G564" t="s">
        <v>360</v>
      </c>
      <c r="H564" t="s">
        <v>3711</v>
      </c>
      <c r="I564" t="s">
        <v>3712</v>
      </c>
      <c r="J564" t="s">
        <v>3713</v>
      </c>
      <c r="K564" t="s">
        <v>26</v>
      </c>
      <c r="L564" t="s">
        <v>25</v>
      </c>
      <c r="M564" t="s">
        <v>25</v>
      </c>
      <c r="N564" t="s">
        <v>753</v>
      </c>
      <c r="O564" t="s">
        <v>3714</v>
      </c>
      <c r="P564" t="s">
        <v>3715</v>
      </c>
      <c r="Q564" t="s">
        <v>3716</v>
      </c>
      <c r="R564">
        <v>254448</v>
      </c>
      <c r="S564">
        <v>208859</v>
      </c>
      <c r="T564">
        <v>45589</v>
      </c>
      <c r="U564" t="s">
        <v>35</v>
      </c>
      <c r="V564" t="s">
        <v>755</v>
      </c>
      <c r="W564" t="s">
        <v>3717</v>
      </c>
      <c r="X564" s="4">
        <v>1</v>
      </c>
      <c r="Y564" s="4"/>
      <c r="Z564">
        <f t="shared" si="32"/>
        <v>8</v>
      </c>
      <c r="AA564">
        <f t="shared" si="33"/>
        <v>18</v>
      </c>
      <c r="AB564" s="5">
        <f t="shared" si="34"/>
        <v>0.29879629629431292</v>
      </c>
      <c r="AC564" s="3" t="str">
        <f t="shared" si="35"/>
        <v>Order rejected, no time available</v>
      </c>
      <c r="AD564" t="str" cm="1">
        <f t="array" ref="AD564">IFERROR(_xlfn.IFS(
    AC564="", "",
    AC564*86400 &lt; 30, "1. 0s - &lt;30s",
    AC564*86400 &lt; 60, "2. 30s - &lt;1m",
    AC564*86400 &lt; 300, "3. 1m - &lt;5m",
    AC564*86400 &lt; 1800, "4. 5m - &lt;30m",
    TRUE, "5. &gt;= 30m"
),"6. Invalid (Order rejected)")</f>
        <v>6. Invalid (Order rejected)</v>
      </c>
    </row>
    <row r="565" spans="1:30" hidden="1" x14ac:dyDescent="0.3">
      <c r="A565" t="s">
        <v>3718</v>
      </c>
      <c r="B565" t="s">
        <v>25</v>
      </c>
      <c r="C565">
        <v>43701630</v>
      </c>
      <c r="D565">
        <v>0</v>
      </c>
      <c r="E565" t="s">
        <v>25</v>
      </c>
      <c r="F565" t="s">
        <v>26</v>
      </c>
      <c r="G565" t="s">
        <v>27</v>
      </c>
      <c r="H565" t="s">
        <v>3719</v>
      </c>
      <c r="I565" t="s">
        <v>3720</v>
      </c>
      <c r="J565" t="s">
        <v>26</v>
      </c>
      <c r="K565" t="s">
        <v>26</v>
      </c>
      <c r="L565" t="s">
        <v>3721</v>
      </c>
      <c r="M565" t="s">
        <v>25</v>
      </c>
      <c r="N565" t="s">
        <v>3619</v>
      </c>
      <c r="O565" t="s">
        <v>3620</v>
      </c>
      <c r="P565" t="s">
        <v>3715</v>
      </c>
      <c r="Q565" t="s">
        <v>3716</v>
      </c>
      <c r="R565">
        <v>196560</v>
      </c>
      <c r="S565">
        <v>0</v>
      </c>
      <c r="T565">
        <v>196560</v>
      </c>
      <c r="U565" t="s">
        <v>35</v>
      </c>
      <c r="V565" t="s">
        <v>3623</v>
      </c>
      <c r="W565" t="s">
        <v>3717</v>
      </c>
      <c r="X565" s="4">
        <v>1</v>
      </c>
      <c r="Y565" s="4"/>
      <c r="Z565">
        <f t="shared" si="32"/>
        <v>8</v>
      </c>
      <c r="AA565">
        <f t="shared" si="33"/>
        <v>18</v>
      </c>
      <c r="AB565" s="5">
        <f t="shared" si="34"/>
        <v>0.29461805555911269</v>
      </c>
      <c r="AC565" s="3">
        <f t="shared" si="35"/>
        <v>9.6365740733745042E-2</v>
      </c>
      <c r="AD565" t="str" cm="1">
        <f t="array" ref="AD565">IFERROR(_xlfn.IFS(
    AC565="", "",
    AC565*86400 &lt; 30, "1. 0s - &lt;30s",
    AC565*86400 &lt; 60, "2. 30s - &lt;1m",
    AC565*86400 &lt; 300, "3. 1m - &lt;5m",
    AC565*86400 &lt; 1800, "4. 5m - &lt;30m",
    TRUE, "5. &gt;= 30m"
),"6. Invalid (Order rejected)")</f>
        <v>5. &gt;= 30m</v>
      </c>
    </row>
    <row r="566" spans="1:30" hidden="1" x14ac:dyDescent="0.3">
      <c r="A566" t="s">
        <v>3722</v>
      </c>
      <c r="B566" t="s">
        <v>25</v>
      </c>
      <c r="C566">
        <v>43701630</v>
      </c>
      <c r="D566">
        <v>0</v>
      </c>
      <c r="E566" t="s">
        <v>25</v>
      </c>
      <c r="F566" t="s">
        <v>26</v>
      </c>
      <c r="G566" t="s">
        <v>27</v>
      </c>
      <c r="H566" t="s">
        <v>3723</v>
      </c>
      <c r="I566" t="s">
        <v>3724</v>
      </c>
      <c r="J566" t="s">
        <v>26</v>
      </c>
      <c r="K566" t="s">
        <v>26</v>
      </c>
      <c r="L566" t="s">
        <v>3725</v>
      </c>
      <c r="M566" t="s">
        <v>25</v>
      </c>
      <c r="N566" t="s">
        <v>1911</v>
      </c>
      <c r="O566" t="s">
        <v>1912</v>
      </c>
      <c r="P566" t="s">
        <v>2370</v>
      </c>
      <c r="Q566" t="s">
        <v>2371</v>
      </c>
      <c r="R566">
        <v>206172</v>
      </c>
      <c r="S566">
        <v>0</v>
      </c>
      <c r="T566">
        <v>206172</v>
      </c>
      <c r="U566" t="s">
        <v>35</v>
      </c>
      <c r="V566" t="s">
        <v>1915</v>
      </c>
      <c r="W566" t="s">
        <v>2373</v>
      </c>
      <c r="X566" s="4">
        <v>1</v>
      </c>
      <c r="Y566" s="4"/>
      <c r="Z566">
        <f t="shared" si="32"/>
        <v>8</v>
      </c>
      <c r="AA566">
        <f t="shared" si="33"/>
        <v>18</v>
      </c>
      <c r="AB566" s="5">
        <f t="shared" si="34"/>
        <v>0.29502314814453712</v>
      </c>
      <c r="AC566" s="3">
        <f t="shared" si="35"/>
        <v>9.025462963472819E-2</v>
      </c>
      <c r="AD566" t="str" cm="1">
        <f t="array" ref="AD566">IFERROR(_xlfn.IFS(
    AC566="", "",
    AC566*86400 &lt; 30, "1. 0s - &lt;30s",
    AC566*86400 &lt; 60, "2. 30s - &lt;1m",
    AC566*86400 &lt; 300, "3. 1m - &lt;5m",
    AC566*86400 &lt; 1800, "4. 5m - &lt;30m",
    TRUE, "5. &gt;= 30m"
),"6. Invalid (Order rejected)")</f>
        <v>5. &gt;= 30m</v>
      </c>
    </row>
    <row r="567" spans="1:30" hidden="1" x14ac:dyDescent="0.3">
      <c r="A567" t="s">
        <v>3726</v>
      </c>
      <c r="B567" t="s">
        <v>25</v>
      </c>
      <c r="C567">
        <v>43701630</v>
      </c>
      <c r="D567">
        <v>0</v>
      </c>
      <c r="E567" t="s">
        <v>25</v>
      </c>
      <c r="F567" t="s">
        <v>26</v>
      </c>
      <c r="G567" t="s">
        <v>27</v>
      </c>
      <c r="H567" t="s">
        <v>3727</v>
      </c>
      <c r="I567" t="s">
        <v>3728</v>
      </c>
      <c r="J567" t="s">
        <v>26</v>
      </c>
      <c r="K567" t="s">
        <v>26</v>
      </c>
      <c r="L567" t="s">
        <v>3729</v>
      </c>
      <c r="M567" t="s">
        <v>25</v>
      </c>
      <c r="N567" t="s">
        <v>3730</v>
      </c>
      <c r="O567" t="s">
        <v>3731</v>
      </c>
      <c r="P567" t="s">
        <v>3631</v>
      </c>
      <c r="Q567" t="s">
        <v>3632</v>
      </c>
      <c r="R567">
        <v>134028</v>
      </c>
      <c r="S567">
        <v>0</v>
      </c>
      <c r="T567">
        <v>134028</v>
      </c>
      <c r="U567" t="s">
        <v>35</v>
      </c>
      <c r="V567" t="s">
        <v>3732</v>
      </c>
      <c r="W567" t="s">
        <v>3634</v>
      </c>
      <c r="X567" s="4">
        <v>1</v>
      </c>
      <c r="Y567" s="4"/>
      <c r="Z567">
        <f t="shared" si="32"/>
        <v>8</v>
      </c>
      <c r="AA567">
        <f t="shared" si="33"/>
        <v>18</v>
      </c>
      <c r="AB567" s="5">
        <f t="shared" si="34"/>
        <v>0.304722222223063</v>
      </c>
      <c r="AC567" s="3">
        <f t="shared" si="35"/>
        <v>9.0277777773735579E-2</v>
      </c>
      <c r="AD567" t="str" cm="1">
        <f t="array" ref="AD567">IFERROR(_xlfn.IFS(
    AC567="", "",
    AC567*86400 &lt; 30, "1. 0s - &lt;30s",
    AC567*86400 &lt; 60, "2. 30s - &lt;1m",
    AC567*86400 &lt; 300, "3. 1m - &lt;5m",
    AC567*86400 &lt; 1800, "4. 5m - &lt;30m",
    TRUE, "5. &gt;= 30m"
),"6. Invalid (Order rejected)")</f>
        <v>5. &gt;= 30m</v>
      </c>
    </row>
    <row r="568" spans="1:30" hidden="1" x14ac:dyDescent="0.3">
      <c r="A568" t="s">
        <v>3733</v>
      </c>
      <c r="B568" t="s">
        <v>25</v>
      </c>
      <c r="C568">
        <v>43701630</v>
      </c>
      <c r="D568">
        <v>0</v>
      </c>
      <c r="E568" t="s">
        <v>25</v>
      </c>
      <c r="F568" t="s">
        <v>26</v>
      </c>
      <c r="G568" t="s">
        <v>27</v>
      </c>
      <c r="H568" t="s">
        <v>3734</v>
      </c>
      <c r="I568" t="s">
        <v>3735</v>
      </c>
      <c r="J568" t="s">
        <v>26</v>
      </c>
      <c r="K568" t="s">
        <v>26</v>
      </c>
      <c r="L568" t="s">
        <v>3736</v>
      </c>
      <c r="M568" t="s">
        <v>25</v>
      </c>
      <c r="N568" t="s">
        <v>3629</v>
      </c>
      <c r="O568" t="s">
        <v>3630</v>
      </c>
      <c r="P568" t="s">
        <v>3737</v>
      </c>
      <c r="Q568" t="s">
        <v>3738</v>
      </c>
      <c r="R568">
        <v>188568</v>
      </c>
      <c r="S568">
        <v>0</v>
      </c>
      <c r="T568">
        <v>188568</v>
      </c>
      <c r="U568" t="s">
        <v>35</v>
      </c>
      <c r="V568" t="s">
        <v>3633</v>
      </c>
      <c r="W568" t="s">
        <v>2501</v>
      </c>
      <c r="X568" s="4">
        <v>1</v>
      </c>
      <c r="Y568" s="4"/>
      <c r="Z568">
        <f t="shared" si="32"/>
        <v>8</v>
      </c>
      <c r="AA568">
        <f t="shared" si="33"/>
        <v>18</v>
      </c>
      <c r="AB568" s="5">
        <f t="shared" si="34"/>
        <v>0.29672453703824431</v>
      </c>
      <c r="AC568" s="3">
        <f t="shared" si="35"/>
        <v>9.0266203704231884E-2</v>
      </c>
      <c r="AD568" t="str" cm="1">
        <f t="array" ref="AD568">IFERROR(_xlfn.IFS(
    AC568="", "",
    AC568*86400 &lt; 30, "1. 0s - &lt;30s",
    AC568*86400 &lt; 60, "2. 30s - &lt;1m",
    AC568*86400 &lt; 300, "3. 1m - &lt;5m",
    AC568*86400 &lt; 1800, "4. 5m - &lt;30m",
    TRUE, "5. &gt;= 30m"
),"6. Invalid (Order rejected)")</f>
        <v>5. &gt;= 30m</v>
      </c>
    </row>
    <row r="569" spans="1:30" hidden="1" x14ac:dyDescent="0.3">
      <c r="A569" t="s">
        <v>3739</v>
      </c>
      <c r="B569" t="s">
        <v>25</v>
      </c>
      <c r="C569">
        <v>43701630</v>
      </c>
      <c r="D569">
        <v>4361679</v>
      </c>
      <c r="E569" t="s">
        <v>25</v>
      </c>
      <c r="F569" t="s">
        <v>75</v>
      </c>
      <c r="G569" t="s">
        <v>76</v>
      </c>
      <c r="H569" t="s">
        <v>3740</v>
      </c>
      <c r="I569" t="s">
        <v>3741</v>
      </c>
      <c r="J569" t="s">
        <v>3742</v>
      </c>
      <c r="K569" t="s">
        <v>26</v>
      </c>
      <c r="L569" t="s">
        <v>3743</v>
      </c>
      <c r="M569" t="s">
        <v>25</v>
      </c>
      <c r="N569" t="s">
        <v>3744</v>
      </c>
      <c r="O569" t="s">
        <v>3745</v>
      </c>
      <c r="P569" t="s">
        <v>3611</v>
      </c>
      <c r="Q569" t="s">
        <v>3612</v>
      </c>
      <c r="R569">
        <v>210600</v>
      </c>
      <c r="S569">
        <v>163264</v>
      </c>
      <c r="T569">
        <v>47336</v>
      </c>
      <c r="U569" t="s">
        <v>35</v>
      </c>
      <c r="V569" t="s">
        <v>3746</v>
      </c>
      <c r="W569" t="s">
        <v>3614</v>
      </c>
      <c r="X569" s="4">
        <v>1</v>
      </c>
      <c r="Y569" s="4"/>
      <c r="Z569">
        <f t="shared" si="32"/>
        <v>8</v>
      </c>
      <c r="AA569">
        <f t="shared" si="33"/>
        <v>18</v>
      </c>
      <c r="AB569" s="5">
        <f t="shared" si="34"/>
        <v>0.29789351851650281</v>
      </c>
      <c r="AC569" s="3">
        <f t="shared" si="35"/>
        <v>0.51619212963123573</v>
      </c>
      <c r="AD569" t="str" cm="1">
        <f t="array" ref="AD569">IFERROR(_xlfn.IFS(
    AC569="", "",
    AC569*86400 &lt; 30, "1. 0s - &lt;30s",
    AC569*86400 &lt; 60, "2. 30s - &lt;1m",
    AC569*86400 &lt; 300, "3. 1m - &lt;5m",
    AC569*86400 &lt; 1800, "4. 5m - &lt;30m",
    TRUE, "5. &gt;= 30m"
),"6. Invalid (Order rejected)")</f>
        <v>5. &gt;= 30m</v>
      </c>
    </row>
    <row r="570" spans="1:30" hidden="1" x14ac:dyDescent="0.3">
      <c r="A570" t="s">
        <v>3747</v>
      </c>
      <c r="B570" t="s">
        <v>25</v>
      </c>
      <c r="C570">
        <v>43701630</v>
      </c>
      <c r="D570">
        <v>0</v>
      </c>
      <c r="E570" t="s">
        <v>25</v>
      </c>
      <c r="F570" t="s">
        <v>26</v>
      </c>
      <c r="G570" t="s">
        <v>27</v>
      </c>
      <c r="H570" t="s">
        <v>3748</v>
      </c>
      <c r="I570" t="s">
        <v>3749</v>
      </c>
      <c r="J570" t="s">
        <v>26</v>
      </c>
      <c r="K570" t="s">
        <v>26</v>
      </c>
      <c r="L570" t="s">
        <v>3750</v>
      </c>
      <c r="M570" t="s">
        <v>25</v>
      </c>
      <c r="N570" t="s">
        <v>3751</v>
      </c>
      <c r="O570" t="s">
        <v>3752</v>
      </c>
      <c r="P570" t="s">
        <v>3689</v>
      </c>
      <c r="Q570" t="s">
        <v>3690</v>
      </c>
      <c r="R570">
        <v>165888</v>
      </c>
      <c r="S570">
        <v>0</v>
      </c>
      <c r="T570">
        <v>165888</v>
      </c>
      <c r="U570" t="s">
        <v>35</v>
      </c>
      <c r="V570" t="s">
        <v>3753</v>
      </c>
      <c r="W570" t="s">
        <v>3692</v>
      </c>
      <c r="X570" s="4">
        <v>1</v>
      </c>
      <c r="Y570" s="4"/>
      <c r="Z570">
        <f t="shared" si="32"/>
        <v>8</v>
      </c>
      <c r="AA570">
        <f t="shared" si="33"/>
        <v>18</v>
      </c>
      <c r="AB570" s="5">
        <f t="shared" si="34"/>
        <v>0.30406249999941792</v>
      </c>
      <c r="AC570" s="3">
        <f t="shared" si="35"/>
        <v>9.0266203704231884E-2</v>
      </c>
      <c r="AD570" t="str" cm="1">
        <f t="array" ref="AD570">IFERROR(_xlfn.IFS(
    AC570="", "",
    AC570*86400 &lt; 30, "1. 0s - &lt;30s",
    AC570*86400 &lt; 60, "2. 30s - &lt;1m",
    AC570*86400 &lt; 300, "3. 1m - &lt;5m",
    AC570*86400 &lt; 1800, "4. 5m - &lt;30m",
    TRUE, "5. &gt;= 30m"
),"6. Invalid (Order rejected)")</f>
        <v>5. &gt;= 30m</v>
      </c>
    </row>
    <row r="571" spans="1:30" hidden="1" x14ac:dyDescent="0.3">
      <c r="A571" t="s">
        <v>3754</v>
      </c>
      <c r="B571" t="s">
        <v>3229</v>
      </c>
      <c r="C571">
        <v>13373294</v>
      </c>
      <c r="D571">
        <v>0</v>
      </c>
      <c r="E571" t="s">
        <v>25</v>
      </c>
      <c r="F571" t="s">
        <v>26</v>
      </c>
      <c r="G571" t="s">
        <v>27</v>
      </c>
      <c r="H571" t="s">
        <v>3755</v>
      </c>
      <c r="I571" t="s">
        <v>3756</v>
      </c>
      <c r="J571" t="s">
        <v>26</v>
      </c>
      <c r="K571" t="s">
        <v>26</v>
      </c>
      <c r="L571" t="s">
        <v>3757</v>
      </c>
      <c r="M571" t="s">
        <v>25</v>
      </c>
      <c r="N571" t="s">
        <v>3758</v>
      </c>
      <c r="O571" t="s">
        <v>3759</v>
      </c>
      <c r="P571" t="s">
        <v>3235</v>
      </c>
      <c r="Q571" t="s">
        <v>3236</v>
      </c>
      <c r="R571">
        <v>176580</v>
      </c>
      <c r="S571">
        <v>0</v>
      </c>
      <c r="T571">
        <v>176580</v>
      </c>
      <c r="U571" t="s">
        <v>35</v>
      </c>
      <c r="V571" t="s">
        <v>3760</v>
      </c>
      <c r="W571" t="s">
        <v>3238</v>
      </c>
      <c r="X571" s="4">
        <v>1</v>
      </c>
      <c r="Y571" s="4"/>
      <c r="Z571">
        <f t="shared" si="32"/>
        <v>8</v>
      </c>
      <c r="AA571">
        <f t="shared" si="33"/>
        <v>18</v>
      </c>
      <c r="AB571" s="5">
        <f t="shared" si="34"/>
        <v>0.296875</v>
      </c>
      <c r="AC571" s="3">
        <f t="shared" si="35"/>
        <v>8.9942129627161194E-2</v>
      </c>
      <c r="AD571" t="str" cm="1">
        <f t="array" ref="AD571">IFERROR(_xlfn.IFS(
    AC571="", "",
    AC571*86400 &lt; 30, "1. 0s - &lt;30s",
    AC571*86400 &lt; 60, "2. 30s - &lt;1m",
    AC571*86400 &lt; 300, "3. 1m - &lt;5m",
    AC571*86400 &lt; 1800, "4. 5m - &lt;30m",
    TRUE, "5. &gt;= 30m"
),"6. Invalid (Order rejected)")</f>
        <v>5. &gt;= 30m</v>
      </c>
    </row>
    <row r="572" spans="1:30" x14ac:dyDescent="0.3">
      <c r="A572" t="s">
        <v>3761</v>
      </c>
      <c r="B572" t="s">
        <v>25</v>
      </c>
      <c r="C572">
        <v>43701630</v>
      </c>
      <c r="D572">
        <v>4079404</v>
      </c>
      <c r="E572" t="s">
        <v>25</v>
      </c>
      <c r="F572" t="s">
        <v>75</v>
      </c>
      <c r="G572" t="s">
        <v>360</v>
      </c>
      <c r="H572" t="s">
        <v>3762</v>
      </c>
      <c r="I572" t="s">
        <v>3763</v>
      </c>
      <c r="J572" t="s">
        <v>3764</v>
      </c>
      <c r="K572" t="s">
        <v>26</v>
      </c>
      <c r="L572" t="s">
        <v>25</v>
      </c>
      <c r="M572" t="s">
        <v>25</v>
      </c>
      <c r="N572" t="s">
        <v>3765</v>
      </c>
      <c r="O572" t="s">
        <v>3766</v>
      </c>
      <c r="P572" t="s">
        <v>3767</v>
      </c>
      <c r="Q572" t="s">
        <v>3768</v>
      </c>
      <c r="R572">
        <v>227016</v>
      </c>
      <c r="S572">
        <v>175990</v>
      </c>
      <c r="T572">
        <v>51026</v>
      </c>
      <c r="U572" t="s">
        <v>35</v>
      </c>
      <c r="V572" t="s">
        <v>3769</v>
      </c>
      <c r="W572" t="s">
        <v>3770</v>
      </c>
      <c r="X572" s="4">
        <v>1</v>
      </c>
      <c r="Y572" s="4"/>
      <c r="Z572">
        <f t="shared" si="32"/>
        <v>8</v>
      </c>
      <c r="AA572">
        <f t="shared" si="33"/>
        <v>18</v>
      </c>
      <c r="AB572" s="5">
        <f t="shared" si="34"/>
        <v>0.30094907407328719</v>
      </c>
      <c r="AC572" s="3" t="str">
        <f t="shared" si="35"/>
        <v>Order rejected, no time available</v>
      </c>
      <c r="AD572" t="str" cm="1">
        <f t="array" ref="AD572">IFERROR(_xlfn.IFS(
    AC572="", "",
    AC572*86400 &lt; 30, "1. 0s - &lt;30s",
    AC572*86400 &lt; 60, "2. 30s - &lt;1m",
    AC572*86400 &lt; 300, "3. 1m - &lt;5m",
    AC572*86400 &lt; 1800, "4. 5m - &lt;30m",
    TRUE, "5. &gt;= 30m"
),"6. Invalid (Order rejected)")</f>
        <v>6. Invalid (Order rejected)</v>
      </c>
    </row>
    <row r="573" spans="1:30" hidden="1" x14ac:dyDescent="0.3">
      <c r="A573" t="s">
        <v>3771</v>
      </c>
      <c r="B573" t="s">
        <v>25</v>
      </c>
      <c r="C573">
        <v>43701630</v>
      </c>
      <c r="D573">
        <v>4822140</v>
      </c>
      <c r="E573" t="s">
        <v>25</v>
      </c>
      <c r="F573" t="s">
        <v>75</v>
      </c>
      <c r="G573" t="s">
        <v>491</v>
      </c>
      <c r="H573" t="s">
        <v>3772</v>
      </c>
      <c r="I573" t="s">
        <v>3773</v>
      </c>
      <c r="J573" t="s">
        <v>3774</v>
      </c>
      <c r="K573" t="s">
        <v>26</v>
      </c>
      <c r="L573" t="s">
        <v>3775</v>
      </c>
      <c r="M573" t="s">
        <v>25</v>
      </c>
      <c r="N573" t="s">
        <v>3776</v>
      </c>
      <c r="O573" t="s">
        <v>3777</v>
      </c>
      <c r="P573" t="s">
        <v>3778</v>
      </c>
      <c r="Q573" t="s">
        <v>3779</v>
      </c>
      <c r="R573">
        <v>198288</v>
      </c>
      <c r="S573">
        <v>153719</v>
      </c>
      <c r="T573">
        <v>44569</v>
      </c>
      <c r="U573" t="s">
        <v>35</v>
      </c>
      <c r="V573" t="s">
        <v>3780</v>
      </c>
      <c r="W573" t="s">
        <v>3781</v>
      </c>
      <c r="X573" s="4">
        <v>1</v>
      </c>
      <c r="Y573" s="4"/>
      <c r="Z573">
        <f t="shared" si="32"/>
        <v>8</v>
      </c>
      <c r="AA573">
        <f t="shared" si="33"/>
        <v>18</v>
      </c>
      <c r="AB573" s="5">
        <f t="shared" si="34"/>
        <v>0.30313657407532446</v>
      </c>
      <c r="AC573" s="3">
        <f t="shared" si="35"/>
        <v>10.007638888884685</v>
      </c>
      <c r="AD573" t="str" cm="1">
        <f t="array" ref="AD573">IFERROR(_xlfn.IFS(
    AC573="", "",
    AC573*86400 &lt; 30, "1. 0s - &lt;30s",
    AC573*86400 &lt; 60, "2. 30s - &lt;1m",
    AC573*86400 &lt; 300, "3. 1m - &lt;5m",
    AC573*86400 &lt; 1800, "4. 5m - &lt;30m",
    TRUE, "5. &gt;= 30m"
),"6. Invalid (Order rejected)")</f>
        <v>5. &gt;= 30m</v>
      </c>
    </row>
    <row r="574" spans="1:30" x14ac:dyDescent="0.3">
      <c r="A574" t="s">
        <v>3782</v>
      </c>
      <c r="B574" t="s">
        <v>25</v>
      </c>
      <c r="C574">
        <v>43701630</v>
      </c>
      <c r="D574">
        <v>2555530</v>
      </c>
      <c r="E574" t="s">
        <v>25</v>
      </c>
      <c r="F574" t="s">
        <v>75</v>
      </c>
      <c r="G574" t="s">
        <v>360</v>
      </c>
      <c r="H574" t="s">
        <v>3783</v>
      </c>
      <c r="I574" t="s">
        <v>3784</v>
      </c>
      <c r="J574" t="s">
        <v>3785</v>
      </c>
      <c r="K574" t="s">
        <v>26</v>
      </c>
      <c r="L574" t="s">
        <v>25</v>
      </c>
      <c r="M574" t="s">
        <v>25</v>
      </c>
      <c r="N574" t="s">
        <v>3776</v>
      </c>
      <c r="O574" t="s">
        <v>3777</v>
      </c>
      <c r="P574" t="s">
        <v>2370</v>
      </c>
      <c r="Q574" t="s">
        <v>2371</v>
      </c>
      <c r="R574">
        <v>258444</v>
      </c>
      <c r="S574">
        <v>200354</v>
      </c>
      <c r="T574">
        <v>58090</v>
      </c>
      <c r="U574" t="s">
        <v>35</v>
      </c>
      <c r="V574" t="s">
        <v>3780</v>
      </c>
      <c r="W574" t="s">
        <v>2373</v>
      </c>
      <c r="X574" s="4">
        <v>1</v>
      </c>
      <c r="Y574" s="4"/>
      <c r="Z574">
        <f t="shared" si="32"/>
        <v>8</v>
      </c>
      <c r="AA574">
        <f t="shared" si="33"/>
        <v>18</v>
      </c>
      <c r="AB574" s="5">
        <f t="shared" si="34"/>
        <v>0.30298611111356877</v>
      </c>
      <c r="AC574" s="3" t="str">
        <f t="shared" si="35"/>
        <v>Order rejected, no time available</v>
      </c>
      <c r="AD574" t="str" cm="1">
        <f t="array" ref="AD574">IFERROR(_xlfn.IFS(
    AC574="", "",
    AC574*86400 &lt; 30, "1. 0s - &lt;30s",
    AC574*86400 &lt; 60, "2. 30s - &lt;1m",
    AC574*86400 &lt; 300, "3. 1m - &lt;5m",
    AC574*86400 &lt; 1800, "4. 5m - &lt;30m",
    TRUE, "5. &gt;= 30m"
),"6. Invalid (Order rejected)")</f>
        <v>6. Invalid (Order rejected)</v>
      </c>
    </row>
    <row r="575" spans="1:30" x14ac:dyDescent="0.3">
      <c r="A575" t="s">
        <v>3786</v>
      </c>
      <c r="B575" t="s">
        <v>25</v>
      </c>
      <c r="C575">
        <v>43701630</v>
      </c>
      <c r="D575">
        <v>4241393</v>
      </c>
      <c r="E575" t="s">
        <v>25</v>
      </c>
      <c r="F575" t="s">
        <v>75</v>
      </c>
      <c r="G575" t="s">
        <v>360</v>
      </c>
      <c r="H575" t="s">
        <v>3784</v>
      </c>
      <c r="I575" t="s">
        <v>3787</v>
      </c>
      <c r="J575" t="s">
        <v>3788</v>
      </c>
      <c r="K575" t="s">
        <v>26</v>
      </c>
      <c r="L575" t="s">
        <v>25</v>
      </c>
      <c r="M575" t="s">
        <v>25</v>
      </c>
      <c r="N575" t="s">
        <v>3789</v>
      </c>
      <c r="O575" t="s">
        <v>3790</v>
      </c>
      <c r="P575" t="s">
        <v>3701</v>
      </c>
      <c r="Q575" t="s">
        <v>3702</v>
      </c>
      <c r="R575">
        <v>213732</v>
      </c>
      <c r="S575">
        <v>175438</v>
      </c>
      <c r="T575">
        <v>38294</v>
      </c>
      <c r="U575" t="s">
        <v>35</v>
      </c>
      <c r="V575" t="s">
        <v>3791</v>
      </c>
      <c r="W575" t="s">
        <v>2316</v>
      </c>
      <c r="X575" s="4">
        <v>1</v>
      </c>
      <c r="Y575" s="4"/>
      <c r="Z575">
        <f t="shared" si="32"/>
        <v>8</v>
      </c>
      <c r="AA575">
        <f t="shared" si="33"/>
        <v>18</v>
      </c>
      <c r="AB575" s="5">
        <f t="shared" si="34"/>
        <v>0.309918981482042</v>
      </c>
      <c r="AC575" s="3" t="str">
        <f t="shared" si="35"/>
        <v>Order rejected, no time available</v>
      </c>
      <c r="AD575" t="str" cm="1">
        <f t="array" ref="AD575">IFERROR(_xlfn.IFS(
    AC575="", "",
    AC575*86400 &lt; 30, "1. 0s - &lt;30s",
    AC575*86400 &lt; 60, "2. 30s - &lt;1m",
    AC575*86400 &lt; 300, "3. 1m - &lt;5m",
    AC575*86400 &lt; 1800, "4. 5m - &lt;30m",
    TRUE, "5. &gt;= 30m"
),"6. Invalid (Order rejected)")</f>
        <v>6. Invalid (Order rejected)</v>
      </c>
    </row>
    <row r="576" spans="1:30" hidden="1" x14ac:dyDescent="0.3">
      <c r="A576" t="s">
        <v>3792</v>
      </c>
      <c r="B576" t="s">
        <v>25</v>
      </c>
      <c r="C576">
        <v>43701630</v>
      </c>
      <c r="D576">
        <v>0</v>
      </c>
      <c r="E576" t="s">
        <v>25</v>
      </c>
      <c r="F576" t="s">
        <v>26</v>
      </c>
      <c r="G576" t="s">
        <v>27</v>
      </c>
      <c r="H576" t="s">
        <v>3793</v>
      </c>
      <c r="I576" t="s">
        <v>3794</v>
      </c>
      <c r="J576" t="s">
        <v>26</v>
      </c>
      <c r="K576" t="s">
        <v>26</v>
      </c>
      <c r="L576" t="s">
        <v>3795</v>
      </c>
      <c r="M576" t="s">
        <v>25</v>
      </c>
      <c r="N576" t="s">
        <v>3796</v>
      </c>
      <c r="O576" t="s">
        <v>3797</v>
      </c>
      <c r="P576" t="s">
        <v>3778</v>
      </c>
      <c r="Q576" t="s">
        <v>3779</v>
      </c>
      <c r="R576">
        <v>189972</v>
      </c>
      <c r="S576">
        <v>0</v>
      </c>
      <c r="T576">
        <v>189972</v>
      </c>
      <c r="U576" t="s">
        <v>35</v>
      </c>
      <c r="V576" t="s">
        <v>3798</v>
      </c>
      <c r="W576" t="s">
        <v>3781</v>
      </c>
      <c r="X576" s="4">
        <v>1</v>
      </c>
      <c r="Y576" s="4"/>
      <c r="Z576">
        <f t="shared" si="32"/>
        <v>8</v>
      </c>
      <c r="AA576">
        <f t="shared" si="33"/>
        <v>18</v>
      </c>
      <c r="AB576" s="5">
        <f t="shared" si="34"/>
        <v>0.30739583333343035</v>
      </c>
      <c r="AC576" s="3">
        <f t="shared" si="35"/>
        <v>9.0277777781011537E-2</v>
      </c>
      <c r="AD576" t="str" cm="1">
        <f t="array" ref="AD576">IFERROR(_xlfn.IFS(
    AC576="", "",
    AC576*86400 &lt; 30, "1. 0s - &lt;30s",
    AC576*86400 &lt; 60, "2. 30s - &lt;1m",
    AC576*86400 &lt; 300, "3. 1m - &lt;5m",
    AC576*86400 &lt; 1800, "4. 5m - &lt;30m",
    TRUE, "5. &gt;= 30m"
),"6. Invalid (Order rejected)")</f>
        <v>5. &gt;= 30m</v>
      </c>
    </row>
    <row r="577" spans="1:30" hidden="1" x14ac:dyDescent="0.3">
      <c r="A577" t="s">
        <v>3799</v>
      </c>
      <c r="B577" t="s">
        <v>25</v>
      </c>
      <c r="C577">
        <v>43701630</v>
      </c>
      <c r="D577">
        <v>0</v>
      </c>
      <c r="E577" t="s">
        <v>25</v>
      </c>
      <c r="F577" t="s">
        <v>26</v>
      </c>
      <c r="G577" t="s">
        <v>27</v>
      </c>
      <c r="H577" t="s">
        <v>3800</v>
      </c>
      <c r="I577" t="s">
        <v>3801</v>
      </c>
      <c r="J577" t="s">
        <v>26</v>
      </c>
      <c r="K577" t="s">
        <v>26</v>
      </c>
      <c r="L577" t="s">
        <v>3802</v>
      </c>
      <c r="M577" t="s">
        <v>25</v>
      </c>
      <c r="N577" t="s">
        <v>3803</v>
      </c>
      <c r="O577" t="s">
        <v>2493</v>
      </c>
      <c r="P577" t="s">
        <v>3611</v>
      </c>
      <c r="Q577" t="s">
        <v>3612</v>
      </c>
      <c r="R577">
        <v>356400</v>
      </c>
      <c r="S577">
        <v>0</v>
      </c>
      <c r="T577">
        <v>356400</v>
      </c>
      <c r="U577" t="s">
        <v>35</v>
      </c>
      <c r="V577" t="s">
        <v>2494</v>
      </c>
      <c r="W577" t="s">
        <v>3614</v>
      </c>
      <c r="X577" s="4">
        <v>1</v>
      </c>
      <c r="Y577" s="4"/>
      <c r="Z577">
        <f t="shared" si="32"/>
        <v>8</v>
      </c>
      <c r="AA577">
        <f t="shared" si="33"/>
        <v>18</v>
      </c>
      <c r="AB577" s="5">
        <f t="shared" si="34"/>
        <v>0.3060300925935735</v>
      </c>
      <c r="AC577" s="3">
        <f t="shared" si="35"/>
        <v>9.0277777773735579E-2</v>
      </c>
      <c r="AD577" t="str" cm="1">
        <f t="array" ref="AD577">IFERROR(_xlfn.IFS(
    AC577="", "",
    AC577*86400 &lt; 30, "1. 0s - &lt;30s",
    AC577*86400 &lt; 60, "2. 30s - &lt;1m",
    AC577*86400 &lt; 300, "3. 1m - &lt;5m",
    AC577*86400 &lt; 1800, "4. 5m - &lt;30m",
    TRUE, "5. &gt;= 30m"
),"6. Invalid (Order rejected)")</f>
        <v>5. &gt;= 30m</v>
      </c>
    </row>
    <row r="578" spans="1:30" hidden="1" x14ac:dyDescent="0.3">
      <c r="A578" t="s">
        <v>3804</v>
      </c>
      <c r="B578" t="s">
        <v>25</v>
      </c>
      <c r="C578">
        <v>43701630</v>
      </c>
      <c r="D578">
        <v>0</v>
      </c>
      <c r="E578" t="s">
        <v>25</v>
      </c>
      <c r="F578" t="s">
        <v>26</v>
      </c>
      <c r="G578" t="s">
        <v>27</v>
      </c>
      <c r="H578" t="s">
        <v>3805</v>
      </c>
      <c r="I578" t="s">
        <v>3806</v>
      </c>
      <c r="J578" t="s">
        <v>26</v>
      </c>
      <c r="K578" t="s">
        <v>26</v>
      </c>
      <c r="L578" t="s">
        <v>3807</v>
      </c>
      <c r="M578" t="s">
        <v>25</v>
      </c>
      <c r="N578" t="s">
        <v>3808</v>
      </c>
      <c r="O578" t="s">
        <v>3809</v>
      </c>
      <c r="P578" t="s">
        <v>3715</v>
      </c>
      <c r="Q578" t="s">
        <v>3716</v>
      </c>
      <c r="R578">
        <v>177336</v>
      </c>
      <c r="S578">
        <v>0</v>
      </c>
      <c r="T578">
        <v>177336</v>
      </c>
      <c r="U578" t="s">
        <v>35</v>
      </c>
      <c r="V578" t="s">
        <v>3810</v>
      </c>
      <c r="W578" t="s">
        <v>3717</v>
      </c>
      <c r="X578" s="4">
        <v>1</v>
      </c>
      <c r="Y578" s="4"/>
      <c r="Z578">
        <f t="shared" si="32"/>
        <v>8</v>
      </c>
      <c r="AA578">
        <f t="shared" si="33"/>
        <v>18</v>
      </c>
      <c r="AB578" s="5">
        <f t="shared" si="34"/>
        <v>0.30688657407154096</v>
      </c>
      <c r="AC578" s="3">
        <f t="shared" si="35"/>
        <v>9.0277777781011537E-2</v>
      </c>
      <c r="AD578" t="str" cm="1">
        <f t="array" ref="AD578">IFERROR(_xlfn.IFS(
    AC578="", "",
    AC578*86400 &lt; 30, "1. 0s - &lt;30s",
    AC578*86400 &lt; 60, "2. 30s - &lt;1m",
    AC578*86400 &lt; 300, "3. 1m - &lt;5m",
    AC578*86400 &lt; 1800, "4. 5m - &lt;30m",
    TRUE, "5. &gt;= 30m"
),"6. Invalid (Order rejected)")</f>
        <v>5. &gt;= 30m</v>
      </c>
    </row>
    <row r="579" spans="1:30" x14ac:dyDescent="0.3">
      <c r="A579" t="s">
        <v>3811</v>
      </c>
      <c r="B579" t="s">
        <v>25</v>
      </c>
      <c r="C579">
        <v>43701630</v>
      </c>
      <c r="D579">
        <v>4824626</v>
      </c>
      <c r="E579" t="s">
        <v>25</v>
      </c>
      <c r="F579" t="s">
        <v>75</v>
      </c>
      <c r="G579" t="s">
        <v>360</v>
      </c>
      <c r="H579" t="s">
        <v>3773</v>
      </c>
      <c r="I579" t="s">
        <v>3812</v>
      </c>
      <c r="J579" t="s">
        <v>3813</v>
      </c>
      <c r="K579" t="s">
        <v>26</v>
      </c>
      <c r="L579" t="s">
        <v>25</v>
      </c>
      <c r="M579" t="s">
        <v>25</v>
      </c>
      <c r="N579" t="s">
        <v>3789</v>
      </c>
      <c r="O579" t="s">
        <v>3790</v>
      </c>
      <c r="P579" t="s">
        <v>3621</v>
      </c>
      <c r="Q579" t="s">
        <v>3622</v>
      </c>
      <c r="R579">
        <v>240948</v>
      </c>
      <c r="S579">
        <v>186790</v>
      </c>
      <c r="T579">
        <v>54158</v>
      </c>
      <c r="U579" t="s">
        <v>35</v>
      </c>
      <c r="V579" t="s">
        <v>3791</v>
      </c>
      <c r="W579" t="s">
        <v>3624</v>
      </c>
      <c r="X579" s="4">
        <v>1</v>
      </c>
      <c r="Y579" s="4"/>
      <c r="Z579">
        <f t="shared" ref="Z579:Z642" si="36">MONTH(H579)</f>
        <v>8</v>
      </c>
      <c r="AA579">
        <f t="shared" ref="AA579:AA642" si="37">DAY(H579)</f>
        <v>18</v>
      </c>
      <c r="AB579" s="5">
        <f t="shared" ref="AB579:AB642" si="38">MOD(H579, 1)</f>
        <v>0.31008101852057735</v>
      </c>
      <c r="AC579" s="3" t="str">
        <f t="shared" ref="AC579:AC642" si="39">IFERROR(IF(M579="",L579-H579,M579-H579),"Order rejected, no time available")</f>
        <v>Order rejected, no time available</v>
      </c>
      <c r="AD579" t="str" cm="1">
        <f t="array" ref="AD579">IFERROR(_xlfn.IFS(
    AC579="", "",
    AC579*86400 &lt; 30, "1. 0s - &lt;30s",
    AC579*86400 &lt; 60, "2. 30s - &lt;1m",
    AC579*86400 &lt; 300, "3. 1m - &lt;5m",
    AC579*86400 &lt; 1800, "4. 5m - &lt;30m",
    TRUE, "5. &gt;= 30m"
),"6. Invalid (Order rejected)")</f>
        <v>6. Invalid (Order rejected)</v>
      </c>
    </row>
    <row r="580" spans="1:30" hidden="1" x14ac:dyDescent="0.3">
      <c r="A580" t="s">
        <v>3814</v>
      </c>
      <c r="B580" t="s">
        <v>25</v>
      </c>
      <c r="C580">
        <v>43701630</v>
      </c>
      <c r="D580">
        <v>0</v>
      </c>
      <c r="E580" t="s">
        <v>25</v>
      </c>
      <c r="F580" t="s">
        <v>26</v>
      </c>
      <c r="G580" t="s">
        <v>27</v>
      </c>
      <c r="H580" t="s">
        <v>3815</v>
      </c>
      <c r="I580" t="s">
        <v>3816</v>
      </c>
      <c r="J580" t="s">
        <v>26</v>
      </c>
      <c r="K580" t="s">
        <v>26</v>
      </c>
      <c r="L580" t="s">
        <v>3817</v>
      </c>
      <c r="M580" t="s">
        <v>25</v>
      </c>
      <c r="N580" t="s">
        <v>3803</v>
      </c>
      <c r="O580" t="s">
        <v>2493</v>
      </c>
      <c r="P580" t="s">
        <v>2409</v>
      </c>
      <c r="Q580" t="s">
        <v>3593</v>
      </c>
      <c r="R580">
        <v>198936</v>
      </c>
      <c r="S580">
        <v>0</v>
      </c>
      <c r="T580">
        <v>198936</v>
      </c>
      <c r="U580" t="s">
        <v>35</v>
      </c>
      <c r="V580" t="s">
        <v>2494</v>
      </c>
      <c r="W580" t="s">
        <v>2411</v>
      </c>
      <c r="X580" s="4">
        <v>1</v>
      </c>
      <c r="Y580" s="4"/>
      <c r="Z580">
        <f t="shared" si="36"/>
        <v>8</v>
      </c>
      <c r="AA580">
        <f t="shared" si="37"/>
        <v>18</v>
      </c>
      <c r="AB580" s="5">
        <f t="shared" si="38"/>
        <v>0.30616898147854954</v>
      </c>
      <c r="AC580" s="3">
        <f t="shared" si="39"/>
        <v>9.0277777781011537E-2</v>
      </c>
      <c r="AD580" t="str" cm="1">
        <f t="array" ref="AD580">IFERROR(_xlfn.IFS(
    AC580="", "",
    AC580*86400 &lt; 30, "1. 0s - &lt;30s",
    AC580*86400 &lt; 60, "2. 30s - &lt;1m",
    AC580*86400 &lt; 300, "3. 1m - &lt;5m",
    AC580*86400 &lt; 1800, "4. 5m - &lt;30m",
    TRUE, "5. &gt;= 30m"
),"6. Invalid (Order rejected)")</f>
        <v>5. &gt;= 30m</v>
      </c>
    </row>
    <row r="581" spans="1:30" x14ac:dyDescent="0.3">
      <c r="A581" t="s">
        <v>3818</v>
      </c>
      <c r="B581" t="s">
        <v>25</v>
      </c>
      <c r="C581">
        <v>43701630</v>
      </c>
      <c r="D581">
        <v>2555530</v>
      </c>
      <c r="E581" t="s">
        <v>25</v>
      </c>
      <c r="F581" t="s">
        <v>75</v>
      </c>
      <c r="G581" t="s">
        <v>360</v>
      </c>
      <c r="H581" t="s">
        <v>3819</v>
      </c>
      <c r="I581" t="s">
        <v>3820</v>
      </c>
      <c r="J581" t="s">
        <v>3821</v>
      </c>
      <c r="K581" t="s">
        <v>3822</v>
      </c>
      <c r="L581" t="s">
        <v>25</v>
      </c>
      <c r="M581" t="s">
        <v>25</v>
      </c>
      <c r="N581" t="s">
        <v>3823</v>
      </c>
      <c r="O581" t="s">
        <v>3824</v>
      </c>
      <c r="P581" t="s">
        <v>2370</v>
      </c>
      <c r="Q581" t="s">
        <v>2371</v>
      </c>
      <c r="R581">
        <v>214164</v>
      </c>
      <c r="S581">
        <v>166027</v>
      </c>
      <c r="T581">
        <v>48137</v>
      </c>
      <c r="U581" t="s">
        <v>35</v>
      </c>
      <c r="V581" t="s">
        <v>3825</v>
      </c>
      <c r="W581" t="s">
        <v>2373</v>
      </c>
      <c r="X581" s="4">
        <v>1</v>
      </c>
      <c r="Y581" s="4"/>
      <c r="Z581">
        <f t="shared" si="36"/>
        <v>8</v>
      </c>
      <c r="AA581">
        <f t="shared" si="37"/>
        <v>18</v>
      </c>
      <c r="AB581" s="5">
        <f t="shared" si="38"/>
        <v>0.31056712962890742</v>
      </c>
      <c r="AC581" s="3" t="str">
        <f t="shared" si="39"/>
        <v>Order rejected, no time available</v>
      </c>
      <c r="AD581" t="str" cm="1">
        <f t="array" ref="AD581">IFERROR(_xlfn.IFS(
    AC581="", "",
    AC581*86400 &lt; 30, "1. 0s - &lt;30s",
    AC581*86400 &lt; 60, "2. 30s - &lt;1m",
    AC581*86400 &lt; 300, "3. 1m - &lt;5m",
    AC581*86400 &lt; 1800, "4. 5m - &lt;30m",
    TRUE, "5. &gt;= 30m"
),"6. Invalid (Order rejected)")</f>
        <v>6. Invalid (Order rejected)</v>
      </c>
    </row>
    <row r="582" spans="1:30" hidden="1" x14ac:dyDescent="0.3">
      <c r="A582" t="s">
        <v>3826</v>
      </c>
      <c r="B582" t="s">
        <v>25</v>
      </c>
      <c r="C582">
        <v>43701630</v>
      </c>
      <c r="D582">
        <v>0</v>
      </c>
      <c r="E582" t="s">
        <v>25</v>
      </c>
      <c r="F582" t="s">
        <v>26</v>
      </c>
      <c r="G582" t="s">
        <v>27</v>
      </c>
      <c r="H582" t="s">
        <v>3827</v>
      </c>
      <c r="I582" t="s">
        <v>3828</v>
      </c>
      <c r="J582" t="s">
        <v>26</v>
      </c>
      <c r="K582" t="s">
        <v>26</v>
      </c>
      <c r="L582" t="s">
        <v>3829</v>
      </c>
      <c r="M582" t="s">
        <v>25</v>
      </c>
      <c r="N582" t="s">
        <v>3808</v>
      </c>
      <c r="O582" t="s">
        <v>3809</v>
      </c>
      <c r="P582" t="s">
        <v>3621</v>
      </c>
      <c r="Q582" t="s">
        <v>3622</v>
      </c>
      <c r="R582">
        <v>376056</v>
      </c>
      <c r="S582">
        <v>0</v>
      </c>
      <c r="T582">
        <v>376056</v>
      </c>
      <c r="U582" t="s">
        <v>35</v>
      </c>
      <c r="V582" t="s">
        <v>3810</v>
      </c>
      <c r="W582" t="s">
        <v>3624</v>
      </c>
      <c r="X582" s="4">
        <v>1</v>
      </c>
      <c r="Y582" s="4"/>
      <c r="Z582">
        <f t="shared" si="36"/>
        <v>8</v>
      </c>
      <c r="AA582">
        <f t="shared" si="37"/>
        <v>18</v>
      </c>
      <c r="AB582" s="5">
        <f t="shared" si="38"/>
        <v>0.30673611110978527</v>
      </c>
      <c r="AC582" s="3">
        <f t="shared" si="39"/>
        <v>9.0266203704231884E-2</v>
      </c>
      <c r="AD582" t="str" cm="1">
        <f t="array" ref="AD582">IFERROR(_xlfn.IFS(
    AC582="", "",
    AC582*86400 &lt; 30, "1. 0s - &lt;30s",
    AC582*86400 &lt; 60, "2. 30s - &lt;1m",
    AC582*86400 &lt; 300, "3. 1m - &lt;5m",
    AC582*86400 &lt; 1800, "4. 5m - &lt;30m",
    TRUE, "5. &gt;= 30m"
),"6. Invalid (Order rejected)")</f>
        <v>5. &gt;= 30m</v>
      </c>
    </row>
    <row r="583" spans="1:30" x14ac:dyDescent="0.3">
      <c r="A583" t="s">
        <v>3830</v>
      </c>
      <c r="B583" t="s">
        <v>25</v>
      </c>
      <c r="C583">
        <v>43701630</v>
      </c>
      <c r="D583">
        <v>2124546</v>
      </c>
      <c r="E583" t="s">
        <v>25</v>
      </c>
      <c r="F583" t="s">
        <v>75</v>
      </c>
      <c r="G583" t="s">
        <v>360</v>
      </c>
      <c r="H583" t="s">
        <v>3831</v>
      </c>
      <c r="I583" t="s">
        <v>3832</v>
      </c>
      <c r="J583" t="s">
        <v>3833</v>
      </c>
      <c r="K583" t="s">
        <v>26</v>
      </c>
      <c r="L583" t="s">
        <v>25</v>
      </c>
      <c r="M583" t="s">
        <v>25</v>
      </c>
      <c r="N583" t="s">
        <v>3834</v>
      </c>
      <c r="O583" t="s">
        <v>3835</v>
      </c>
      <c r="P583" t="s">
        <v>3836</v>
      </c>
      <c r="Q583" t="s">
        <v>3837</v>
      </c>
      <c r="R583">
        <v>173124</v>
      </c>
      <c r="S583">
        <v>134211</v>
      </c>
      <c r="T583">
        <v>38913</v>
      </c>
      <c r="U583" t="s">
        <v>35</v>
      </c>
      <c r="V583" t="s">
        <v>3838</v>
      </c>
      <c r="W583" t="s">
        <v>3839</v>
      </c>
      <c r="X583" s="4">
        <v>1</v>
      </c>
      <c r="Y583" s="4"/>
      <c r="Z583">
        <f t="shared" si="36"/>
        <v>8</v>
      </c>
      <c r="AA583">
        <f t="shared" si="37"/>
        <v>18</v>
      </c>
      <c r="AB583" s="5">
        <f t="shared" si="38"/>
        <v>0.31563657407241408</v>
      </c>
      <c r="AC583" s="3" t="str">
        <f t="shared" si="39"/>
        <v>Order rejected, no time available</v>
      </c>
      <c r="AD583" t="str" cm="1">
        <f t="array" ref="AD583">IFERROR(_xlfn.IFS(
    AC583="", "",
    AC583*86400 &lt; 30, "1. 0s - &lt;30s",
    AC583*86400 &lt; 60, "2. 30s - &lt;1m",
    AC583*86400 &lt; 300, "3. 1m - &lt;5m",
    AC583*86400 &lt; 1800, "4. 5m - &lt;30m",
    TRUE, "5. &gt;= 30m"
),"6. Invalid (Order rejected)")</f>
        <v>6. Invalid (Order rejected)</v>
      </c>
    </row>
    <row r="584" spans="1:30" x14ac:dyDescent="0.3">
      <c r="A584" t="s">
        <v>3840</v>
      </c>
      <c r="B584" t="s">
        <v>25</v>
      </c>
      <c r="C584">
        <v>43701630</v>
      </c>
      <c r="D584">
        <v>3793599</v>
      </c>
      <c r="E584" t="s">
        <v>25</v>
      </c>
      <c r="F584" t="s">
        <v>75</v>
      </c>
      <c r="G584" t="s">
        <v>360</v>
      </c>
      <c r="H584" t="s">
        <v>3787</v>
      </c>
      <c r="I584" t="s">
        <v>3841</v>
      </c>
      <c r="J584" t="s">
        <v>3842</v>
      </c>
      <c r="K584" t="s">
        <v>26</v>
      </c>
      <c r="L584" t="s">
        <v>25</v>
      </c>
      <c r="M584" t="s">
        <v>25</v>
      </c>
      <c r="N584" t="s">
        <v>3843</v>
      </c>
      <c r="O584" t="s">
        <v>3844</v>
      </c>
      <c r="P584" t="s">
        <v>3845</v>
      </c>
      <c r="Q584" t="s">
        <v>3846</v>
      </c>
      <c r="R584">
        <v>132732</v>
      </c>
      <c r="S584">
        <v>102898</v>
      </c>
      <c r="T584">
        <v>29834</v>
      </c>
      <c r="U584" t="s">
        <v>35</v>
      </c>
      <c r="V584" t="s">
        <v>3847</v>
      </c>
      <c r="W584" t="s">
        <v>3848</v>
      </c>
      <c r="X584" s="4">
        <v>1</v>
      </c>
      <c r="Y584" s="4"/>
      <c r="Z584">
        <f t="shared" si="36"/>
        <v>8</v>
      </c>
      <c r="AA584">
        <f t="shared" si="37"/>
        <v>18</v>
      </c>
      <c r="AB584" s="5">
        <f t="shared" si="38"/>
        <v>0.31686342592729488</v>
      </c>
      <c r="AC584" s="3" t="str">
        <f t="shared" si="39"/>
        <v>Order rejected, no time available</v>
      </c>
      <c r="AD584" t="str" cm="1">
        <f t="array" ref="AD584">IFERROR(_xlfn.IFS(
    AC584="", "",
    AC584*86400 &lt; 30, "1. 0s - &lt;30s",
    AC584*86400 &lt; 60, "2. 30s - &lt;1m",
    AC584*86400 &lt; 300, "3. 1m - &lt;5m",
    AC584*86400 &lt; 1800, "4. 5m - &lt;30m",
    TRUE, "5. &gt;= 30m"
),"6. Invalid (Order rejected)")</f>
        <v>6. Invalid (Order rejected)</v>
      </c>
    </row>
    <row r="585" spans="1:30" hidden="1" x14ac:dyDescent="0.3">
      <c r="A585" t="s">
        <v>3849</v>
      </c>
      <c r="B585" t="s">
        <v>25</v>
      </c>
      <c r="C585">
        <v>43701630</v>
      </c>
      <c r="D585">
        <v>0</v>
      </c>
      <c r="E585" t="s">
        <v>25</v>
      </c>
      <c r="F585" t="s">
        <v>26</v>
      </c>
      <c r="G585" t="s">
        <v>27</v>
      </c>
      <c r="H585" t="s">
        <v>3850</v>
      </c>
      <c r="I585" t="s">
        <v>3851</v>
      </c>
      <c r="J585" t="s">
        <v>26</v>
      </c>
      <c r="K585" t="s">
        <v>26</v>
      </c>
      <c r="L585" t="s">
        <v>3852</v>
      </c>
      <c r="M585" t="s">
        <v>25</v>
      </c>
      <c r="N585" t="s">
        <v>3853</v>
      </c>
      <c r="O585" t="s">
        <v>3854</v>
      </c>
      <c r="P585" t="s">
        <v>3855</v>
      </c>
      <c r="Q585" t="s">
        <v>3856</v>
      </c>
      <c r="R585">
        <v>224100</v>
      </c>
      <c r="S585">
        <v>0</v>
      </c>
      <c r="T585">
        <v>224100</v>
      </c>
      <c r="U585" t="s">
        <v>35</v>
      </c>
      <c r="V585" t="s">
        <v>3857</v>
      </c>
      <c r="W585" t="s">
        <v>3858</v>
      </c>
      <c r="X585" s="4">
        <v>1</v>
      </c>
      <c r="Y585" s="4"/>
      <c r="Z585">
        <f t="shared" si="36"/>
        <v>8</v>
      </c>
      <c r="AA585">
        <f t="shared" si="37"/>
        <v>18</v>
      </c>
      <c r="AB585" s="5">
        <f t="shared" si="38"/>
        <v>0.31608796296495711</v>
      </c>
      <c r="AC585" s="3">
        <f t="shared" si="39"/>
        <v>9.0277777773735579E-2</v>
      </c>
      <c r="AD585" t="str" cm="1">
        <f t="array" ref="AD585">IFERROR(_xlfn.IFS(
    AC585="", "",
    AC585*86400 &lt; 30, "1. 0s - &lt;30s",
    AC585*86400 &lt; 60, "2. 30s - &lt;1m",
    AC585*86400 &lt; 300, "3. 1m - &lt;5m",
    AC585*86400 &lt; 1800, "4. 5m - &lt;30m",
    TRUE, "5. &gt;= 30m"
),"6. Invalid (Order rejected)")</f>
        <v>5. &gt;= 30m</v>
      </c>
    </row>
    <row r="586" spans="1:30" hidden="1" x14ac:dyDescent="0.3">
      <c r="A586" t="s">
        <v>3859</v>
      </c>
      <c r="B586" t="s">
        <v>25</v>
      </c>
      <c r="C586">
        <v>43701630</v>
      </c>
      <c r="D586">
        <v>0</v>
      </c>
      <c r="E586" t="s">
        <v>25</v>
      </c>
      <c r="F586" t="s">
        <v>26</v>
      </c>
      <c r="G586" t="s">
        <v>27</v>
      </c>
      <c r="H586" t="s">
        <v>3860</v>
      </c>
      <c r="I586" t="s">
        <v>3861</v>
      </c>
      <c r="J586" t="s">
        <v>26</v>
      </c>
      <c r="K586" t="s">
        <v>26</v>
      </c>
      <c r="L586" t="s">
        <v>3862</v>
      </c>
      <c r="M586" t="s">
        <v>25</v>
      </c>
      <c r="N586" t="s">
        <v>3863</v>
      </c>
      <c r="O586" t="s">
        <v>3864</v>
      </c>
      <c r="P586" t="s">
        <v>3865</v>
      </c>
      <c r="Q586" t="s">
        <v>3866</v>
      </c>
      <c r="R586">
        <v>103788</v>
      </c>
      <c r="S586">
        <v>0</v>
      </c>
      <c r="T586">
        <v>103788</v>
      </c>
      <c r="U586" t="s">
        <v>35</v>
      </c>
      <c r="V586" t="s">
        <v>3867</v>
      </c>
      <c r="W586" t="s">
        <v>3868</v>
      </c>
      <c r="X586" s="4">
        <v>1</v>
      </c>
      <c r="Y586" s="4"/>
      <c r="Z586">
        <f t="shared" si="36"/>
        <v>8</v>
      </c>
      <c r="AA586">
        <f t="shared" si="37"/>
        <v>18</v>
      </c>
      <c r="AB586" s="5">
        <f t="shared" si="38"/>
        <v>0.31781249999767169</v>
      </c>
      <c r="AC586" s="3">
        <f t="shared" si="39"/>
        <v>9.0277777781011537E-2</v>
      </c>
      <c r="AD586" t="str" cm="1">
        <f t="array" ref="AD586">IFERROR(_xlfn.IFS(
    AC586="", "",
    AC586*86400 &lt; 30, "1. 0s - &lt;30s",
    AC586*86400 &lt; 60, "2. 30s - &lt;1m",
    AC586*86400 &lt; 300, "3. 1m - &lt;5m",
    AC586*86400 &lt; 1800, "4. 5m - &lt;30m",
    TRUE, "5. &gt;= 30m"
),"6. Invalid (Order rejected)")</f>
        <v>5. &gt;= 30m</v>
      </c>
    </row>
    <row r="587" spans="1:30" hidden="1" x14ac:dyDescent="0.3">
      <c r="A587" t="s">
        <v>3869</v>
      </c>
      <c r="B587" t="s">
        <v>25</v>
      </c>
      <c r="C587">
        <v>43701630</v>
      </c>
      <c r="D587">
        <v>4803572</v>
      </c>
      <c r="E587" t="s">
        <v>25</v>
      </c>
      <c r="F587" t="s">
        <v>75</v>
      </c>
      <c r="G587" t="s">
        <v>491</v>
      </c>
      <c r="H587" t="s">
        <v>3870</v>
      </c>
      <c r="I587" t="s">
        <v>3871</v>
      </c>
      <c r="J587" t="s">
        <v>3872</v>
      </c>
      <c r="K587" t="s">
        <v>26</v>
      </c>
      <c r="L587" t="s">
        <v>3873</v>
      </c>
      <c r="M587" t="s">
        <v>25</v>
      </c>
      <c r="N587" t="s">
        <v>3853</v>
      </c>
      <c r="O587" t="s">
        <v>3854</v>
      </c>
      <c r="P587" t="s">
        <v>2603</v>
      </c>
      <c r="Q587" t="s">
        <v>3874</v>
      </c>
      <c r="R587">
        <v>152496</v>
      </c>
      <c r="S587">
        <v>118220</v>
      </c>
      <c r="T587">
        <v>34276</v>
      </c>
      <c r="U587" t="s">
        <v>35</v>
      </c>
      <c r="V587" t="s">
        <v>3857</v>
      </c>
      <c r="W587" t="s">
        <v>2606</v>
      </c>
      <c r="X587" s="4">
        <v>1</v>
      </c>
      <c r="Y587" s="4"/>
      <c r="Z587">
        <f t="shared" si="36"/>
        <v>8</v>
      </c>
      <c r="AA587">
        <f t="shared" si="37"/>
        <v>18</v>
      </c>
      <c r="AB587" s="5">
        <f t="shared" si="38"/>
        <v>0.31657407407328719</v>
      </c>
      <c r="AC587" s="3">
        <f t="shared" si="39"/>
        <v>10.007638888891961</v>
      </c>
      <c r="AD587" t="str" cm="1">
        <f t="array" ref="AD587">IFERROR(_xlfn.IFS(
    AC587="", "",
    AC587*86400 &lt; 30, "1. 0s - &lt;30s",
    AC587*86400 &lt; 60, "2. 30s - &lt;1m",
    AC587*86400 &lt; 300, "3. 1m - &lt;5m",
    AC587*86400 &lt; 1800, "4. 5m - &lt;30m",
    TRUE, "5. &gt;= 30m"
),"6. Invalid (Order rejected)")</f>
        <v>5. &gt;= 30m</v>
      </c>
    </row>
    <row r="588" spans="1:30" x14ac:dyDescent="0.3">
      <c r="A588" t="s">
        <v>3875</v>
      </c>
      <c r="B588" t="s">
        <v>25</v>
      </c>
      <c r="C588">
        <v>43701630</v>
      </c>
      <c r="D588">
        <v>4426244</v>
      </c>
      <c r="E588" t="s">
        <v>25</v>
      </c>
      <c r="F588" t="s">
        <v>75</v>
      </c>
      <c r="G588" t="s">
        <v>360</v>
      </c>
      <c r="H588" t="s">
        <v>3876</v>
      </c>
      <c r="I588" t="s">
        <v>3877</v>
      </c>
      <c r="J588" t="s">
        <v>3878</v>
      </c>
      <c r="K588" t="s">
        <v>26</v>
      </c>
      <c r="L588" t="s">
        <v>25</v>
      </c>
      <c r="M588" t="s">
        <v>25</v>
      </c>
      <c r="N588" t="s">
        <v>3843</v>
      </c>
      <c r="O588" t="s">
        <v>3844</v>
      </c>
      <c r="P588" t="s">
        <v>3879</v>
      </c>
      <c r="Q588" t="s">
        <v>3880</v>
      </c>
      <c r="R588">
        <v>221076</v>
      </c>
      <c r="S588">
        <v>171385</v>
      </c>
      <c r="T588">
        <v>49691</v>
      </c>
      <c r="U588" t="s">
        <v>35</v>
      </c>
      <c r="V588" t="s">
        <v>3847</v>
      </c>
      <c r="W588" t="s">
        <v>3881</v>
      </c>
      <c r="X588" s="4">
        <v>1</v>
      </c>
      <c r="Y588" s="4"/>
      <c r="Z588">
        <f t="shared" si="36"/>
        <v>8</v>
      </c>
      <c r="AA588">
        <f t="shared" si="37"/>
        <v>18</v>
      </c>
      <c r="AB588" s="5">
        <f t="shared" si="38"/>
        <v>0.31737268518190831</v>
      </c>
      <c r="AC588" s="3" t="str">
        <f t="shared" si="39"/>
        <v>Order rejected, no time available</v>
      </c>
      <c r="AD588" t="str" cm="1">
        <f t="array" ref="AD588">IFERROR(_xlfn.IFS(
    AC588="", "",
    AC588*86400 &lt; 30, "1. 0s - &lt;30s",
    AC588*86400 &lt; 60, "2. 30s - &lt;1m",
    AC588*86400 &lt; 300, "3. 1m - &lt;5m",
    AC588*86400 &lt; 1800, "4. 5m - &lt;30m",
    TRUE, "5. &gt;= 30m"
),"6. Invalid (Order rejected)")</f>
        <v>6. Invalid (Order rejected)</v>
      </c>
    </row>
    <row r="589" spans="1:30" hidden="1" x14ac:dyDescent="0.3">
      <c r="A589" t="s">
        <v>3882</v>
      </c>
      <c r="B589" t="s">
        <v>25</v>
      </c>
      <c r="C589">
        <v>43701630</v>
      </c>
      <c r="D589">
        <v>0</v>
      </c>
      <c r="E589" t="s">
        <v>25</v>
      </c>
      <c r="F589" t="s">
        <v>26</v>
      </c>
      <c r="G589" t="s">
        <v>27</v>
      </c>
      <c r="H589" t="s">
        <v>3883</v>
      </c>
      <c r="I589" t="s">
        <v>3884</v>
      </c>
      <c r="J589" t="s">
        <v>26</v>
      </c>
      <c r="K589" t="s">
        <v>26</v>
      </c>
      <c r="L589" t="s">
        <v>3885</v>
      </c>
      <c r="M589" t="s">
        <v>25</v>
      </c>
      <c r="N589" t="s">
        <v>3853</v>
      </c>
      <c r="O589" t="s">
        <v>3854</v>
      </c>
      <c r="P589" t="s">
        <v>2628</v>
      </c>
      <c r="Q589" t="s">
        <v>3886</v>
      </c>
      <c r="R589">
        <v>189216</v>
      </c>
      <c r="S589">
        <v>0</v>
      </c>
      <c r="T589">
        <v>189216</v>
      </c>
      <c r="U589" t="s">
        <v>35</v>
      </c>
      <c r="V589" t="s">
        <v>3857</v>
      </c>
      <c r="W589" t="s">
        <v>2630</v>
      </c>
      <c r="X589" s="4">
        <v>1</v>
      </c>
      <c r="Y589" s="4"/>
      <c r="Z589">
        <f t="shared" si="36"/>
        <v>8</v>
      </c>
      <c r="AA589">
        <f t="shared" si="37"/>
        <v>18</v>
      </c>
      <c r="AB589" s="5">
        <f t="shared" si="38"/>
        <v>0.31640046296524815</v>
      </c>
      <c r="AC589" s="3">
        <f t="shared" si="39"/>
        <v>9.0277777773735579E-2</v>
      </c>
      <c r="AD589" t="str" cm="1">
        <f t="array" ref="AD589">IFERROR(_xlfn.IFS(
    AC589="", "",
    AC589*86400 &lt; 30, "1. 0s - &lt;30s",
    AC589*86400 &lt; 60, "2. 30s - &lt;1m",
    AC589*86400 &lt; 300, "3. 1m - &lt;5m",
    AC589*86400 &lt; 1800, "4. 5m - &lt;30m",
    TRUE, "5. &gt;= 30m"
),"6. Invalid (Order rejected)")</f>
        <v>5. &gt;= 30m</v>
      </c>
    </row>
    <row r="590" spans="1:30" hidden="1" x14ac:dyDescent="0.3">
      <c r="A590" t="s">
        <v>3887</v>
      </c>
      <c r="B590" t="s">
        <v>25</v>
      </c>
      <c r="C590">
        <v>43701630</v>
      </c>
      <c r="D590">
        <v>0</v>
      </c>
      <c r="E590" t="s">
        <v>25</v>
      </c>
      <c r="F590" t="s">
        <v>26</v>
      </c>
      <c r="G590" t="s">
        <v>27</v>
      </c>
      <c r="H590" t="s">
        <v>3812</v>
      </c>
      <c r="I590" t="s">
        <v>3888</v>
      </c>
      <c r="J590" t="s">
        <v>26</v>
      </c>
      <c r="K590" t="s">
        <v>26</v>
      </c>
      <c r="L590" t="s">
        <v>3889</v>
      </c>
      <c r="M590" t="s">
        <v>25</v>
      </c>
      <c r="N590" t="s">
        <v>3843</v>
      </c>
      <c r="O590" t="s">
        <v>3844</v>
      </c>
      <c r="P590" t="s">
        <v>2639</v>
      </c>
      <c r="Q590" t="s">
        <v>2640</v>
      </c>
      <c r="R590">
        <v>132300</v>
      </c>
      <c r="S590">
        <v>0</v>
      </c>
      <c r="T590">
        <v>132300</v>
      </c>
      <c r="U590" t="s">
        <v>35</v>
      </c>
      <c r="V590" t="s">
        <v>3847</v>
      </c>
      <c r="W590" t="s">
        <v>2641</v>
      </c>
      <c r="X590" s="4">
        <v>1</v>
      </c>
      <c r="Y590" s="4"/>
      <c r="Z590">
        <f t="shared" si="36"/>
        <v>8</v>
      </c>
      <c r="AA590">
        <f t="shared" si="37"/>
        <v>18</v>
      </c>
      <c r="AB590" s="5">
        <f t="shared" si="38"/>
        <v>0.31702546296583023</v>
      </c>
      <c r="AC590" s="3">
        <f t="shared" si="39"/>
        <v>9.0277777773735579E-2</v>
      </c>
      <c r="AD590" t="str" cm="1">
        <f t="array" ref="AD590">IFERROR(_xlfn.IFS(
    AC590="", "",
    AC590*86400 &lt; 30, "1. 0s - &lt;30s",
    AC590*86400 &lt; 60, "2. 30s - &lt;1m",
    AC590*86400 &lt; 300, "3. 1m - &lt;5m",
    AC590*86400 &lt; 1800, "4. 5m - &lt;30m",
    TRUE, "5. &gt;= 30m"
),"6. Invalid (Order rejected)")</f>
        <v>5. &gt;= 30m</v>
      </c>
    </row>
    <row r="591" spans="1:30" hidden="1" x14ac:dyDescent="0.3">
      <c r="A591" t="s">
        <v>3890</v>
      </c>
      <c r="B591" t="s">
        <v>25</v>
      </c>
      <c r="C591">
        <v>43701630</v>
      </c>
      <c r="D591">
        <v>0</v>
      </c>
      <c r="E591" t="s">
        <v>25</v>
      </c>
      <c r="F591" t="s">
        <v>26</v>
      </c>
      <c r="G591" t="s">
        <v>27</v>
      </c>
      <c r="H591" t="s">
        <v>3891</v>
      </c>
      <c r="I591" t="s">
        <v>3892</v>
      </c>
      <c r="J591" t="s">
        <v>26</v>
      </c>
      <c r="K591" t="s">
        <v>26</v>
      </c>
      <c r="L591" t="s">
        <v>3893</v>
      </c>
      <c r="M591" t="s">
        <v>25</v>
      </c>
      <c r="N591" t="s">
        <v>3853</v>
      </c>
      <c r="O591" t="s">
        <v>3854</v>
      </c>
      <c r="P591" t="s">
        <v>49</v>
      </c>
      <c r="Q591" t="s">
        <v>50</v>
      </c>
      <c r="R591">
        <v>180684</v>
      </c>
      <c r="S591">
        <v>0</v>
      </c>
      <c r="T591">
        <v>180684</v>
      </c>
      <c r="U591" t="s">
        <v>35</v>
      </c>
      <c r="V591" t="s">
        <v>3857</v>
      </c>
      <c r="W591" t="s">
        <v>51</v>
      </c>
      <c r="X591" s="4">
        <v>1</v>
      </c>
      <c r="Y591" s="4"/>
      <c r="Z591">
        <f t="shared" si="36"/>
        <v>8</v>
      </c>
      <c r="AA591">
        <f t="shared" si="37"/>
        <v>18</v>
      </c>
      <c r="AB591" s="5">
        <f t="shared" si="38"/>
        <v>0.31625000000349246</v>
      </c>
      <c r="AC591" s="3">
        <f t="shared" si="39"/>
        <v>9.0266203696955927E-2</v>
      </c>
      <c r="AD591" t="str" cm="1">
        <f t="array" ref="AD591">IFERROR(_xlfn.IFS(
    AC591="", "",
    AC591*86400 &lt; 30, "1. 0s - &lt;30s",
    AC591*86400 &lt; 60, "2. 30s - &lt;1m",
    AC591*86400 &lt; 300, "3. 1m - &lt;5m",
    AC591*86400 &lt; 1800, "4. 5m - &lt;30m",
    TRUE, "5. &gt;= 30m"
),"6. Invalid (Order rejected)")</f>
        <v>5. &gt;= 30m</v>
      </c>
    </row>
    <row r="592" spans="1:30" hidden="1" x14ac:dyDescent="0.3">
      <c r="A592" t="s">
        <v>3894</v>
      </c>
      <c r="B592" t="s">
        <v>25</v>
      </c>
      <c r="C592">
        <v>43701630</v>
      </c>
      <c r="D592">
        <v>0</v>
      </c>
      <c r="E592" t="s">
        <v>25</v>
      </c>
      <c r="F592" t="s">
        <v>26</v>
      </c>
      <c r="G592" t="s">
        <v>27</v>
      </c>
      <c r="H592" t="s">
        <v>3895</v>
      </c>
      <c r="I592" t="s">
        <v>3896</v>
      </c>
      <c r="J592" t="s">
        <v>26</v>
      </c>
      <c r="K592" t="s">
        <v>26</v>
      </c>
      <c r="L592" t="s">
        <v>3897</v>
      </c>
      <c r="M592" t="s">
        <v>25</v>
      </c>
      <c r="N592" t="s">
        <v>3808</v>
      </c>
      <c r="O592" t="s">
        <v>3809</v>
      </c>
      <c r="P592" t="s">
        <v>3176</v>
      </c>
      <c r="Q592" t="s">
        <v>3177</v>
      </c>
      <c r="R592">
        <v>166536</v>
      </c>
      <c r="S592">
        <v>0</v>
      </c>
      <c r="T592">
        <v>166536</v>
      </c>
      <c r="U592" t="s">
        <v>35</v>
      </c>
      <c r="V592" t="s">
        <v>3810</v>
      </c>
      <c r="W592" t="s">
        <v>3178</v>
      </c>
      <c r="X592" s="4">
        <v>1</v>
      </c>
      <c r="Y592" s="4"/>
      <c r="Z592">
        <f t="shared" si="36"/>
        <v>8</v>
      </c>
      <c r="AA592">
        <f t="shared" si="37"/>
        <v>18</v>
      </c>
      <c r="AB592" s="5">
        <f t="shared" si="38"/>
        <v>0.32452546296553919</v>
      </c>
      <c r="AC592" s="3">
        <f t="shared" si="39"/>
        <v>9.0266203704231884E-2</v>
      </c>
      <c r="AD592" t="str" cm="1">
        <f t="array" ref="AD592">IFERROR(_xlfn.IFS(
    AC592="", "",
    AC592*86400 &lt; 30, "1. 0s - &lt;30s",
    AC592*86400 &lt; 60, "2. 30s - &lt;1m",
    AC592*86400 &lt; 300, "3. 1m - &lt;5m",
    AC592*86400 &lt; 1800, "4. 5m - &lt;30m",
    TRUE, "5. &gt;= 30m"
),"6. Invalid (Order rejected)")</f>
        <v>5. &gt;= 30m</v>
      </c>
    </row>
    <row r="593" spans="1:30" hidden="1" x14ac:dyDescent="0.3">
      <c r="A593" t="s">
        <v>3898</v>
      </c>
      <c r="B593" t="s">
        <v>25</v>
      </c>
      <c r="C593">
        <v>43701630</v>
      </c>
      <c r="D593">
        <v>0</v>
      </c>
      <c r="E593" t="s">
        <v>25</v>
      </c>
      <c r="F593" t="s">
        <v>26</v>
      </c>
      <c r="G593" t="s">
        <v>27</v>
      </c>
      <c r="H593" t="s">
        <v>3899</v>
      </c>
      <c r="I593" t="s">
        <v>3900</v>
      </c>
      <c r="J593" t="s">
        <v>26</v>
      </c>
      <c r="K593" t="s">
        <v>26</v>
      </c>
      <c r="L593" t="s">
        <v>3901</v>
      </c>
      <c r="M593" t="s">
        <v>25</v>
      </c>
      <c r="N593" t="s">
        <v>3808</v>
      </c>
      <c r="O593" t="s">
        <v>3809</v>
      </c>
      <c r="P593" t="s">
        <v>3902</v>
      </c>
      <c r="Q593" t="s">
        <v>3903</v>
      </c>
      <c r="R593">
        <v>150012</v>
      </c>
      <c r="S593">
        <v>0</v>
      </c>
      <c r="T593">
        <v>150012</v>
      </c>
      <c r="U593" t="s">
        <v>35</v>
      </c>
      <c r="V593" t="s">
        <v>3810</v>
      </c>
      <c r="W593" t="s">
        <v>3904</v>
      </c>
      <c r="X593" s="4">
        <v>1</v>
      </c>
      <c r="Y593" s="4"/>
      <c r="Z593">
        <f t="shared" si="36"/>
        <v>8</v>
      </c>
      <c r="AA593">
        <f t="shared" si="37"/>
        <v>18</v>
      </c>
      <c r="AB593" s="5">
        <f t="shared" si="38"/>
        <v>0.32621527777519077</v>
      </c>
      <c r="AC593" s="3">
        <f t="shared" si="39"/>
        <v>9.0277777781011537E-2</v>
      </c>
      <c r="AD593" t="str" cm="1">
        <f t="array" ref="AD593">IFERROR(_xlfn.IFS(
    AC593="", "",
    AC593*86400 &lt; 30, "1. 0s - &lt;30s",
    AC593*86400 &lt; 60, "2. 30s - &lt;1m",
    AC593*86400 &lt; 300, "3. 1m - &lt;5m",
    AC593*86400 &lt; 1800, "4. 5m - &lt;30m",
    TRUE, "5. &gt;= 30m"
),"6. Invalid (Order rejected)")</f>
        <v>5. &gt;= 30m</v>
      </c>
    </row>
    <row r="594" spans="1:30" hidden="1" x14ac:dyDescent="0.3">
      <c r="A594" t="s">
        <v>3905</v>
      </c>
      <c r="B594" t="s">
        <v>25</v>
      </c>
      <c r="C594">
        <v>43701630</v>
      </c>
      <c r="D594">
        <v>0</v>
      </c>
      <c r="E594" t="s">
        <v>25</v>
      </c>
      <c r="F594" t="s">
        <v>26</v>
      </c>
      <c r="G594" t="s">
        <v>27</v>
      </c>
      <c r="H594" t="s">
        <v>3906</v>
      </c>
      <c r="I594" t="s">
        <v>3907</v>
      </c>
      <c r="J594" t="s">
        <v>26</v>
      </c>
      <c r="K594" t="s">
        <v>26</v>
      </c>
      <c r="L594" t="s">
        <v>3908</v>
      </c>
      <c r="M594" t="s">
        <v>25</v>
      </c>
      <c r="N594" t="s">
        <v>3808</v>
      </c>
      <c r="O594" t="s">
        <v>3809</v>
      </c>
      <c r="P594" t="s">
        <v>3909</v>
      </c>
      <c r="Q594" t="s">
        <v>3910</v>
      </c>
      <c r="R594">
        <v>172044</v>
      </c>
      <c r="S594">
        <v>0</v>
      </c>
      <c r="T594">
        <v>172044</v>
      </c>
      <c r="U594" t="s">
        <v>35</v>
      </c>
      <c r="V594" t="s">
        <v>3810</v>
      </c>
      <c r="W594" t="s">
        <v>3911</v>
      </c>
      <c r="X594" s="4">
        <v>1</v>
      </c>
      <c r="Y594" s="4"/>
      <c r="Z594">
        <f t="shared" si="36"/>
        <v>8</v>
      </c>
      <c r="AA594">
        <f t="shared" si="37"/>
        <v>18</v>
      </c>
      <c r="AB594" s="5">
        <f t="shared" si="38"/>
        <v>0.32482638888905058</v>
      </c>
      <c r="AC594" s="3">
        <f t="shared" si="39"/>
        <v>9.0266203704231884E-2</v>
      </c>
      <c r="AD594" t="str" cm="1">
        <f t="array" ref="AD594">IFERROR(_xlfn.IFS(
    AC594="", "",
    AC594*86400 &lt; 30, "1. 0s - &lt;30s",
    AC594*86400 &lt; 60, "2. 30s - &lt;1m",
    AC594*86400 &lt; 300, "3. 1m - &lt;5m",
    AC594*86400 &lt; 1800, "4. 5m - &lt;30m",
    TRUE, "5. &gt;= 30m"
),"6. Invalid (Order rejected)")</f>
        <v>5. &gt;= 30m</v>
      </c>
    </row>
    <row r="595" spans="1:30" hidden="1" x14ac:dyDescent="0.3">
      <c r="A595" t="s">
        <v>3912</v>
      </c>
      <c r="B595" t="s">
        <v>25</v>
      </c>
      <c r="C595">
        <v>43701630</v>
      </c>
      <c r="D595">
        <v>0</v>
      </c>
      <c r="E595" t="s">
        <v>25</v>
      </c>
      <c r="F595" t="s">
        <v>26</v>
      </c>
      <c r="G595" t="s">
        <v>27</v>
      </c>
      <c r="H595" t="s">
        <v>3913</v>
      </c>
      <c r="I595" t="s">
        <v>3914</v>
      </c>
      <c r="J595" t="s">
        <v>26</v>
      </c>
      <c r="K595" t="s">
        <v>26</v>
      </c>
      <c r="L595" t="s">
        <v>3915</v>
      </c>
      <c r="M595" t="s">
        <v>25</v>
      </c>
      <c r="N595" t="s">
        <v>3808</v>
      </c>
      <c r="O595" t="s">
        <v>3809</v>
      </c>
      <c r="P595" t="s">
        <v>3916</v>
      </c>
      <c r="Q595" t="s">
        <v>3917</v>
      </c>
      <c r="R595">
        <v>153252</v>
      </c>
      <c r="S595">
        <v>0</v>
      </c>
      <c r="T595">
        <v>153252</v>
      </c>
      <c r="U595" t="s">
        <v>35</v>
      </c>
      <c r="V595" t="s">
        <v>3810</v>
      </c>
      <c r="W595" t="s">
        <v>3918</v>
      </c>
      <c r="X595" s="4">
        <v>1</v>
      </c>
      <c r="Y595" s="4"/>
      <c r="Z595">
        <f t="shared" si="36"/>
        <v>8</v>
      </c>
      <c r="AA595">
        <f t="shared" si="37"/>
        <v>18</v>
      </c>
      <c r="AB595" s="5">
        <f t="shared" si="38"/>
        <v>0.32505787037371192</v>
      </c>
      <c r="AC595" s="3">
        <f t="shared" si="39"/>
        <v>9.0277777773735579E-2</v>
      </c>
      <c r="AD595" t="str" cm="1">
        <f t="array" ref="AD595">IFERROR(_xlfn.IFS(
    AC595="", "",
    AC595*86400 &lt; 30, "1. 0s - &lt;30s",
    AC595*86400 &lt; 60, "2. 30s - &lt;1m",
    AC595*86400 &lt; 300, "3. 1m - &lt;5m",
    AC595*86400 &lt; 1800, "4. 5m - &lt;30m",
    TRUE, "5. &gt;= 30m"
),"6. Invalid (Order rejected)")</f>
        <v>5. &gt;= 30m</v>
      </c>
    </row>
    <row r="596" spans="1:30" hidden="1" x14ac:dyDescent="0.3">
      <c r="A596" t="s">
        <v>3919</v>
      </c>
      <c r="B596" t="s">
        <v>25</v>
      </c>
      <c r="C596">
        <v>43701630</v>
      </c>
      <c r="D596">
        <v>0</v>
      </c>
      <c r="E596" t="s">
        <v>25</v>
      </c>
      <c r="F596" t="s">
        <v>26</v>
      </c>
      <c r="G596" t="s">
        <v>27</v>
      </c>
      <c r="H596" t="s">
        <v>3920</v>
      </c>
      <c r="I596" t="s">
        <v>3921</v>
      </c>
      <c r="J596" t="s">
        <v>26</v>
      </c>
      <c r="K596" t="s">
        <v>26</v>
      </c>
      <c r="L596" t="s">
        <v>3922</v>
      </c>
      <c r="M596" t="s">
        <v>25</v>
      </c>
      <c r="N596" t="s">
        <v>3751</v>
      </c>
      <c r="O596" t="s">
        <v>3752</v>
      </c>
      <c r="P596" t="s">
        <v>3923</v>
      </c>
      <c r="Q596" t="s">
        <v>3924</v>
      </c>
      <c r="R596">
        <v>170856</v>
      </c>
      <c r="S596">
        <v>0</v>
      </c>
      <c r="T596">
        <v>170856</v>
      </c>
      <c r="U596" t="s">
        <v>35</v>
      </c>
      <c r="V596" t="s">
        <v>3753</v>
      </c>
      <c r="W596" t="s">
        <v>3925</v>
      </c>
      <c r="X596" s="4">
        <v>1</v>
      </c>
      <c r="Y596" s="4"/>
      <c r="Z596">
        <f t="shared" si="36"/>
        <v>8</v>
      </c>
      <c r="AA596">
        <f t="shared" si="37"/>
        <v>18</v>
      </c>
      <c r="AB596" s="5">
        <f t="shared" si="38"/>
        <v>0.32818287036934635</v>
      </c>
      <c r="AC596" s="3">
        <f t="shared" si="39"/>
        <v>9.0266203704231884E-2</v>
      </c>
      <c r="AD596" t="str" cm="1">
        <f t="array" ref="AD596">IFERROR(_xlfn.IFS(
    AC596="", "",
    AC596*86400 &lt; 30, "1. 0s - &lt;30s",
    AC596*86400 &lt; 60, "2. 30s - &lt;1m",
    AC596*86400 &lt; 300, "3. 1m - &lt;5m",
    AC596*86400 &lt; 1800, "4. 5m - &lt;30m",
    TRUE, "5. &gt;= 30m"
),"6. Invalid (Order rejected)")</f>
        <v>5. &gt;= 30m</v>
      </c>
    </row>
    <row r="597" spans="1:30" hidden="1" x14ac:dyDescent="0.3">
      <c r="A597" t="s">
        <v>3926</v>
      </c>
      <c r="B597" t="s">
        <v>25</v>
      </c>
      <c r="C597">
        <v>43701630</v>
      </c>
      <c r="D597">
        <v>0</v>
      </c>
      <c r="E597" t="s">
        <v>25</v>
      </c>
      <c r="F597" t="s">
        <v>26</v>
      </c>
      <c r="G597" t="s">
        <v>27</v>
      </c>
      <c r="H597" t="s">
        <v>3927</v>
      </c>
      <c r="I597" t="s">
        <v>3928</v>
      </c>
      <c r="J597" t="s">
        <v>26</v>
      </c>
      <c r="K597" t="s">
        <v>26</v>
      </c>
      <c r="L597" t="s">
        <v>3929</v>
      </c>
      <c r="M597" t="s">
        <v>25</v>
      </c>
      <c r="N597" t="s">
        <v>3751</v>
      </c>
      <c r="O597" t="s">
        <v>3752</v>
      </c>
      <c r="P597" t="s">
        <v>3930</v>
      </c>
      <c r="Q597" t="s">
        <v>3931</v>
      </c>
      <c r="R597">
        <v>140076</v>
      </c>
      <c r="S597">
        <v>0</v>
      </c>
      <c r="T597">
        <v>140076</v>
      </c>
      <c r="U597" t="s">
        <v>35</v>
      </c>
      <c r="V597" t="s">
        <v>3753</v>
      </c>
      <c r="W597" t="s">
        <v>3932</v>
      </c>
      <c r="X597" s="4">
        <v>1</v>
      </c>
      <c r="Y597" s="4"/>
      <c r="Z597">
        <f t="shared" si="36"/>
        <v>8</v>
      </c>
      <c r="AA597">
        <f t="shared" si="37"/>
        <v>18</v>
      </c>
      <c r="AB597" s="5">
        <f t="shared" si="38"/>
        <v>0.32921296296262881</v>
      </c>
      <c r="AC597" s="3">
        <f t="shared" si="39"/>
        <v>9.0266203704231884E-2</v>
      </c>
      <c r="AD597" t="str" cm="1">
        <f t="array" ref="AD597">IFERROR(_xlfn.IFS(
    AC597="", "",
    AC597*86400 &lt; 30, "1. 0s - &lt;30s",
    AC597*86400 &lt; 60, "2. 30s - &lt;1m",
    AC597*86400 &lt; 300, "3. 1m - &lt;5m",
    AC597*86400 &lt; 1800, "4. 5m - &lt;30m",
    TRUE, "5. &gt;= 30m"
),"6. Invalid (Order rejected)")</f>
        <v>5. &gt;= 30m</v>
      </c>
    </row>
    <row r="598" spans="1:30" hidden="1" x14ac:dyDescent="0.3">
      <c r="A598" t="s">
        <v>3933</v>
      </c>
      <c r="B598" t="s">
        <v>25</v>
      </c>
      <c r="C598">
        <v>43701630</v>
      </c>
      <c r="D598">
        <v>0</v>
      </c>
      <c r="E598" t="s">
        <v>25</v>
      </c>
      <c r="F598" t="s">
        <v>26</v>
      </c>
      <c r="G598" t="s">
        <v>27</v>
      </c>
      <c r="H598" t="s">
        <v>3934</v>
      </c>
      <c r="I598" t="s">
        <v>3935</v>
      </c>
      <c r="J598" t="s">
        <v>26</v>
      </c>
      <c r="K598" t="s">
        <v>26</v>
      </c>
      <c r="L598" t="s">
        <v>3936</v>
      </c>
      <c r="M598" t="s">
        <v>25</v>
      </c>
      <c r="N598" t="s">
        <v>3730</v>
      </c>
      <c r="O598" t="s">
        <v>3731</v>
      </c>
      <c r="P598" t="s">
        <v>3937</v>
      </c>
      <c r="Q598" t="s">
        <v>3938</v>
      </c>
      <c r="R598">
        <v>209628</v>
      </c>
      <c r="S598">
        <v>0</v>
      </c>
      <c r="T598">
        <v>209628</v>
      </c>
      <c r="U598" t="s">
        <v>35</v>
      </c>
      <c r="V598" t="s">
        <v>3732</v>
      </c>
      <c r="W598" t="s">
        <v>3939</v>
      </c>
      <c r="X598" s="4">
        <v>1</v>
      </c>
      <c r="Y598" s="4"/>
      <c r="Z598">
        <f t="shared" si="36"/>
        <v>8</v>
      </c>
      <c r="AA598">
        <f t="shared" si="37"/>
        <v>18</v>
      </c>
      <c r="AB598" s="5">
        <f t="shared" si="38"/>
        <v>0.33106481481809169</v>
      </c>
      <c r="AC598" s="3">
        <f t="shared" si="39"/>
        <v>9.0266203696955927E-2</v>
      </c>
      <c r="AD598" t="str" cm="1">
        <f t="array" ref="AD598">IFERROR(_xlfn.IFS(
    AC598="", "",
    AC598*86400 &lt; 30, "1. 0s - &lt;30s",
    AC598*86400 &lt; 60, "2. 30s - &lt;1m",
    AC598*86400 &lt; 300, "3. 1m - &lt;5m",
    AC598*86400 &lt; 1800, "4. 5m - &lt;30m",
    TRUE, "5. &gt;= 30m"
),"6. Invalid (Order rejected)")</f>
        <v>5. &gt;= 30m</v>
      </c>
    </row>
    <row r="599" spans="1:30" hidden="1" x14ac:dyDescent="0.3">
      <c r="A599" t="s">
        <v>3940</v>
      </c>
      <c r="B599" t="s">
        <v>25</v>
      </c>
      <c r="C599">
        <v>43701630</v>
      </c>
      <c r="D599">
        <v>0</v>
      </c>
      <c r="E599" t="s">
        <v>25</v>
      </c>
      <c r="F599" t="s">
        <v>26</v>
      </c>
      <c r="G599" t="s">
        <v>27</v>
      </c>
      <c r="H599" t="s">
        <v>3941</v>
      </c>
      <c r="I599" t="s">
        <v>3942</v>
      </c>
      <c r="J599" t="s">
        <v>26</v>
      </c>
      <c r="K599" t="s">
        <v>26</v>
      </c>
      <c r="L599" t="s">
        <v>3943</v>
      </c>
      <c r="M599" t="s">
        <v>25</v>
      </c>
      <c r="N599" t="s">
        <v>3730</v>
      </c>
      <c r="O599" t="s">
        <v>3731</v>
      </c>
      <c r="P599" t="s">
        <v>3930</v>
      </c>
      <c r="Q599" t="s">
        <v>3931</v>
      </c>
      <c r="R599">
        <v>131220</v>
      </c>
      <c r="S599">
        <v>0</v>
      </c>
      <c r="T599">
        <v>131220</v>
      </c>
      <c r="U599" t="s">
        <v>35</v>
      </c>
      <c r="V599" t="s">
        <v>3732</v>
      </c>
      <c r="W599" t="s">
        <v>3932</v>
      </c>
      <c r="X599" s="4">
        <v>1</v>
      </c>
      <c r="Y599" s="4"/>
      <c r="Z599">
        <f t="shared" si="36"/>
        <v>8</v>
      </c>
      <c r="AA599">
        <f t="shared" si="37"/>
        <v>18</v>
      </c>
      <c r="AB599" s="5">
        <f t="shared" si="38"/>
        <v>0.33181712962687016</v>
      </c>
      <c r="AC599" s="3">
        <f t="shared" si="39"/>
        <v>9.0266203704231884E-2</v>
      </c>
      <c r="AD599" t="str" cm="1">
        <f t="array" ref="AD599">IFERROR(_xlfn.IFS(
    AC599="", "",
    AC599*86400 &lt; 30, "1. 0s - &lt;30s",
    AC599*86400 &lt; 60, "2. 30s - &lt;1m",
    AC599*86400 &lt; 300, "3. 1m - &lt;5m",
    AC599*86400 &lt; 1800, "4. 5m - &lt;30m",
    TRUE, "5. &gt;= 30m"
),"6. Invalid (Order rejected)")</f>
        <v>5. &gt;= 30m</v>
      </c>
    </row>
    <row r="600" spans="1:30" hidden="1" x14ac:dyDescent="0.3">
      <c r="A600" t="s">
        <v>3944</v>
      </c>
      <c r="B600" t="s">
        <v>25</v>
      </c>
      <c r="C600">
        <v>43701630</v>
      </c>
      <c r="D600">
        <v>0</v>
      </c>
      <c r="E600" t="s">
        <v>25</v>
      </c>
      <c r="F600" t="s">
        <v>26</v>
      </c>
      <c r="G600" t="s">
        <v>27</v>
      </c>
      <c r="H600" t="s">
        <v>3945</v>
      </c>
      <c r="I600" t="s">
        <v>3946</v>
      </c>
      <c r="J600" t="s">
        <v>26</v>
      </c>
      <c r="K600" t="s">
        <v>26</v>
      </c>
      <c r="L600" t="s">
        <v>3947</v>
      </c>
      <c r="M600" t="s">
        <v>25</v>
      </c>
      <c r="N600" t="s">
        <v>3751</v>
      </c>
      <c r="O600" t="s">
        <v>3752</v>
      </c>
      <c r="P600" t="s">
        <v>3948</v>
      </c>
      <c r="Q600" t="s">
        <v>3949</v>
      </c>
      <c r="R600">
        <v>170856</v>
      </c>
      <c r="S600">
        <v>0</v>
      </c>
      <c r="T600">
        <v>170856</v>
      </c>
      <c r="U600" t="s">
        <v>35</v>
      </c>
      <c r="V600" t="s">
        <v>3753</v>
      </c>
      <c r="W600" t="s">
        <v>3950</v>
      </c>
      <c r="X600" s="4">
        <v>1</v>
      </c>
      <c r="Y600" s="4"/>
      <c r="Z600">
        <f t="shared" si="36"/>
        <v>8</v>
      </c>
      <c r="AA600">
        <f t="shared" si="37"/>
        <v>18</v>
      </c>
      <c r="AB600" s="5">
        <f t="shared" si="38"/>
        <v>0.32942129629373085</v>
      </c>
      <c r="AC600" s="3">
        <f t="shared" si="39"/>
        <v>9.0266203704231884E-2</v>
      </c>
      <c r="AD600" t="str" cm="1">
        <f t="array" ref="AD600">IFERROR(_xlfn.IFS(
    AC600="", "",
    AC600*86400 &lt; 30, "1. 0s - &lt;30s",
    AC600*86400 &lt; 60, "2. 30s - &lt;1m",
    AC600*86400 &lt; 300, "3. 1m - &lt;5m",
    AC600*86400 &lt; 1800, "4. 5m - &lt;30m",
    TRUE, "5. &gt;= 30m"
),"6. Invalid (Order rejected)")</f>
        <v>5. &gt;= 30m</v>
      </c>
    </row>
    <row r="601" spans="1:30" hidden="1" x14ac:dyDescent="0.3">
      <c r="A601" t="s">
        <v>3951</v>
      </c>
      <c r="B601" t="s">
        <v>25</v>
      </c>
      <c r="C601">
        <v>43701630</v>
      </c>
      <c r="D601">
        <v>0</v>
      </c>
      <c r="E601" t="s">
        <v>25</v>
      </c>
      <c r="F601" t="s">
        <v>26</v>
      </c>
      <c r="G601" t="s">
        <v>27</v>
      </c>
      <c r="H601" t="s">
        <v>3952</v>
      </c>
      <c r="I601" t="s">
        <v>3953</v>
      </c>
      <c r="J601" t="s">
        <v>26</v>
      </c>
      <c r="K601" t="s">
        <v>26</v>
      </c>
      <c r="L601" t="s">
        <v>3954</v>
      </c>
      <c r="M601" t="s">
        <v>25</v>
      </c>
      <c r="N601" t="s">
        <v>3730</v>
      </c>
      <c r="O601" t="s">
        <v>3731</v>
      </c>
      <c r="P601" t="s">
        <v>3955</v>
      </c>
      <c r="Q601" t="s">
        <v>3956</v>
      </c>
      <c r="R601">
        <v>163296</v>
      </c>
      <c r="S601">
        <v>0</v>
      </c>
      <c r="T601">
        <v>163296</v>
      </c>
      <c r="U601" t="s">
        <v>35</v>
      </c>
      <c r="V601" t="s">
        <v>3732</v>
      </c>
      <c r="W601" t="s">
        <v>3957</v>
      </c>
      <c r="X601" s="4">
        <v>1</v>
      </c>
      <c r="Y601" s="4"/>
      <c r="Z601">
        <f t="shared" si="36"/>
        <v>8</v>
      </c>
      <c r="AA601">
        <f t="shared" si="37"/>
        <v>18</v>
      </c>
      <c r="AB601" s="5">
        <f t="shared" si="38"/>
        <v>0.33248842592729488</v>
      </c>
      <c r="AC601" s="3">
        <f t="shared" si="39"/>
        <v>0.18009259259270038</v>
      </c>
      <c r="AD601" t="str" cm="1">
        <f t="array" ref="AD601">IFERROR(_xlfn.IFS(
    AC601="", "",
    AC601*86400 &lt; 30, "1. 0s - &lt;30s",
    AC601*86400 &lt; 60, "2. 30s - &lt;1m",
    AC601*86400 &lt; 300, "3. 1m - &lt;5m",
    AC601*86400 &lt; 1800, "4. 5m - &lt;30m",
    TRUE, "5. &gt;= 30m"
),"6. Invalid (Order rejected)")</f>
        <v>5. &gt;= 30m</v>
      </c>
    </row>
    <row r="602" spans="1:30" x14ac:dyDescent="0.3">
      <c r="A602" t="s">
        <v>3958</v>
      </c>
      <c r="B602" t="s">
        <v>25</v>
      </c>
      <c r="C602">
        <v>43701630</v>
      </c>
      <c r="D602">
        <v>3873639</v>
      </c>
      <c r="E602" t="s">
        <v>25</v>
      </c>
      <c r="F602" t="s">
        <v>75</v>
      </c>
      <c r="G602" t="s">
        <v>360</v>
      </c>
      <c r="H602" t="s">
        <v>3959</v>
      </c>
      <c r="I602" t="s">
        <v>3960</v>
      </c>
      <c r="J602" t="s">
        <v>3961</v>
      </c>
      <c r="K602" t="s">
        <v>26</v>
      </c>
      <c r="L602" t="s">
        <v>25</v>
      </c>
      <c r="M602" t="s">
        <v>25</v>
      </c>
      <c r="N602" t="s">
        <v>3730</v>
      </c>
      <c r="O602" t="s">
        <v>3731</v>
      </c>
      <c r="P602" t="s">
        <v>3962</v>
      </c>
      <c r="Q602" t="s">
        <v>3963</v>
      </c>
      <c r="R602">
        <v>145584</v>
      </c>
      <c r="S602">
        <v>112861</v>
      </c>
      <c r="T602">
        <v>32723</v>
      </c>
      <c r="U602" t="s">
        <v>35</v>
      </c>
      <c r="V602" t="s">
        <v>3732</v>
      </c>
      <c r="W602" t="s">
        <v>3964</v>
      </c>
      <c r="X602" s="4">
        <v>1</v>
      </c>
      <c r="Y602" s="4"/>
      <c r="Z602">
        <f t="shared" si="36"/>
        <v>8</v>
      </c>
      <c r="AA602">
        <f t="shared" si="37"/>
        <v>18</v>
      </c>
      <c r="AB602" s="5">
        <f t="shared" si="38"/>
        <v>0.33263888888905058</v>
      </c>
      <c r="AC602" s="3" t="str">
        <f t="shared" si="39"/>
        <v>Order rejected, no time available</v>
      </c>
      <c r="AD602" t="str" cm="1">
        <f t="array" ref="AD602">IFERROR(_xlfn.IFS(
    AC602="", "",
    AC602*86400 &lt; 30, "1. 0s - &lt;30s",
    AC602*86400 &lt; 60, "2. 30s - &lt;1m",
    AC602*86400 &lt; 300, "3. 1m - &lt;5m",
    AC602*86400 &lt; 1800, "4. 5m - &lt;30m",
    TRUE, "5. &gt;= 30m"
),"6. Invalid (Order rejected)")</f>
        <v>6. Invalid (Order rejected)</v>
      </c>
    </row>
    <row r="603" spans="1:30" hidden="1" x14ac:dyDescent="0.3">
      <c r="A603" t="s">
        <v>3965</v>
      </c>
      <c r="B603" t="s">
        <v>25</v>
      </c>
      <c r="C603">
        <v>43701630</v>
      </c>
      <c r="D603">
        <v>0</v>
      </c>
      <c r="E603" t="s">
        <v>25</v>
      </c>
      <c r="F603" t="s">
        <v>26</v>
      </c>
      <c r="G603" t="s">
        <v>27</v>
      </c>
      <c r="H603" t="s">
        <v>3966</v>
      </c>
      <c r="I603" t="s">
        <v>3967</v>
      </c>
      <c r="J603" t="s">
        <v>26</v>
      </c>
      <c r="K603" t="s">
        <v>26</v>
      </c>
      <c r="L603" t="s">
        <v>3968</v>
      </c>
      <c r="M603" t="s">
        <v>25</v>
      </c>
      <c r="N603" t="s">
        <v>3730</v>
      </c>
      <c r="O603" t="s">
        <v>3731</v>
      </c>
      <c r="P603" t="s">
        <v>3923</v>
      </c>
      <c r="Q603" t="s">
        <v>3924</v>
      </c>
      <c r="R603">
        <v>166536</v>
      </c>
      <c r="S603">
        <v>0</v>
      </c>
      <c r="T603">
        <v>166536</v>
      </c>
      <c r="U603" t="s">
        <v>35</v>
      </c>
      <c r="V603" t="s">
        <v>3732</v>
      </c>
      <c r="W603" t="s">
        <v>3925</v>
      </c>
      <c r="X603" s="4">
        <v>1</v>
      </c>
      <c r="Y603" s="4"/>
      <c r="Z603">
        <f t="shared" si="36"/>
        <v>8</v>
      </c>
      <c r="AA603">
        <f t="shared" si="37"/>
        <v>18</v>
      </c>
      <c r="AB603" s="5">
        <f t="shared" si="38"/>
        <v>0.33089120370277669</v>
      </c>
      <c r="AC603" s="3">
        <f t="shared" si="39"/>
        <v>9.0277777781011537E-2</v>
      </c>
      <c r="AD603" t="str" cm="1">
        <f t="array" ref="AD603">IFERROR(_xlfn.IFS(
    AC603="", "",
    AC603*86400 &lt; 30, "1. 0s - &lt;30s",
    AC603*86400 &lt; 60, "2. 30s - &lt;1m",
    AC603*86400 &lt; 300, "3. 1m - &lt;5m",
    AC603*86400 &lt; 1800, "4. 5m - &lt;30m",
    TRUE, "5. &gt;= 30m"
),"6. Invalid (Order rejected)")</f>
        <v>5. &gt;= 30m</v>
      </c>
    </row>
    <row r="604" spans="1:30" hidden="1" x14ac:dyDescent="0.3">
      <c r="A604" t="s">
        <v>3969</v>
      </c>
      <c r="B604" t="s">
        <v>25</v>
      </c>
      <c r="C604">
        <v>43701630</v>
      </c>
      <c r="D604">
        <v>0</v>
      </c>
      <c r="E604" t="s">
        <v>25</v>
      </c>
      <c r="F604" t="s">
        <v>26</v>
      </c>
      <c r="G604" t="s">
        <v>27</v>
      </c>
      <c r="H604" t="s">
        <v>3970</v>
      </c>
      <c r="I604" t="s">
        <v>3971</v>
      </c>
      <c r="J604" t="s">
        <v>26</v>
      </c>
      <c r="K604" t="s">
        <v>26</v>
      </c>
      <c r="L604" t="s">
        <v>3972</v>
      </c>
      <c r="M604" t="s">
        <v>25</v>
      </c>
      <c r="N604" t="s">
        <v>3730</v>
      </c>
      <c r="O604" t="s">
        <v>3731</v>
      </c>
      <c r="P604" t="s">
        <v>3909</v>
      </c>
      <c r="Q604" t="s">
        <v>3910</v>
      </c>
      <c r="R604">
        <v>172476</v>
      </c>
      <c r="S604">
        <v>0</v>
      </c>
      <c r="T604">
        <v>172476</v>
      </c>
      <c r="U604" t="s">
        <v>35</v>
      </c>
      <c r="V604" t="s">
        <v>3732</v>
      </c>
      <c r="W604" t="s">
        <v>3911</v>
      </c>
      <c r="X604" s="4">
        <v>1</v>
      </c>
      <c r="Y604" s="4"/>
      <c r="Z604">
        <f t="shared" si="36"/>
        <v>8</v>
      </c>
      <c r="AA604">
        <f t="shared" si="37"/>
        <v>18</v>
      </c>
      <c r="AB604" s="5">
        <f t="shared" si="38"/>
        <v>0.33146990741079208</v>
      </c>
      <c r="AC604" s="3">
        <f t="shared" si="39"/>
        <v>9.0277777773735579E-2</v>
      </c>
      <c r="AD604" t="str" cm="1">
        <f t="array" ref="AD604">IFERROR(_xlfn.IFS(
    AC604="", "",
    AC604*86400 &lt; 30, "1. 0s - &lt;30s",
    AC604*86400 &lt; 60, "2. 30s - &lt;1m",
    AC604*86400 &lt; 300, "3. 1m - &lt;5m",
    AC604*86400 &lt; 1800, "4. 5m - &lt;30m",
    TRUE, "5. &gt;= 30m"
),"6. Invalid (Order rejected)")</f>
        <v>5. &gt;= 30m</v>
      </c>
    </row>
    <row r="605" spans="1:30" hidden="1" x14ac:dyDescent="0.3">
      <c r="A605" t="s">
        <v>3973</v>
      </c>
      <c r="B605" t="s">
        <v>25</v>
      </c>
      <c r="C605">
        <v>43701630</v>
      </c>
      <c r="D605">
        <v>0</v>
      </c>
      <c r="E605" t="s">
        <v>25</v>
      </c>
      <c r="F605" t="s">
        <v>26</v>
      </c>
      <c r="G605" t="s">
        <v>27</v>
      </c>
      <c r="H605" t="s">
        <v>3974</v>
      </c>
      <c r="I605" t="s">
        <v>3975</v>
      </c>
      <c r="J605" t="s">
        <v>26</v>
      </c>
      <c r="K605" t="s">
        <v>26</v>
      </c>
      <c r="L605" t="s">
        <v>3976</v>
      </c>
      <c r="M605" t="s">
        <v>25</v>
      </c>
      <c r="N605" t="s">
        <v>3730</v>
      </c>
      <c r="O605" t="s">
        <v>3731</v>
      </c>
      <c r="P605" t="s">
        <v>3902</v>
      </c>
      <c r="Q605" t="s">
        <v>3903</v>
      </c>
      <c r="R605">
        <v>148392</v>
      </c>
      <c r="S605">
        <v>0</v>
      </c>
      <c r="T605">
        <v>148392</v>
      </c>
      <c r="U605" t="s">
        <v>35</v>
      </c>
      <c r="V605" t="s">
        <v>3732</v>
      </c>
      <c r="W605" t="s">
        <v>3904</v>
      </c>
      <c r="X605" s="4">
        <v>1</v>
      </c>
      <c r="Y605" s="4"/>
      <c r="Z605">
        <f t="shared" si="36"/>
        <v>8</v>
      </c>
      <c r="AA605">
        <f t="shared" si="37"/>
        <v>18</v>
      </c>
      <c r="AB605" s="5">
        <f t="shared" si="38"/>
        <v>0.33214120370394085</v>
      </c>
      <c r="AC605" s="3">
        <f t="shared" si="39"/>
        <v>9.0277777781011537E-2</v>
      </c>
      <c r="AD605" t="str" cm="1">
        <f t="array" ref="AD605">IFERROR(_xlfn.IFS(
    AC605="", "",
    AC605*86400 &lt; 30, "1. 0s - &lt;30s",
    AC605*86400 &lt; 60, "2. 30s - &lt;1m",
    AC605*86400 &lt; 300, "3. 1m - &lt;5m",
    AC605*86400 &lt; 1800, "4. 5m - &lt;30m",
    TRUE, "5. &gt;= 30m"
),"6. Invalid (Order rejected)")</f>
        <v>5. &gt;= 30m</v>
      </c>
    </row>
    <row r="606" spans="1:30" hidden="1" x14ac:dyDescent="0.3">
      <c r="A606" t="s">
        <v>3977</v>
      </c>
      <c r="B606" t="s">
        <v>25</v>
      </c>
      <c r="C606">
        <v>43701630</v>
      </c>
      <c r="D606">
        <v>0</v>
      </c>
      <c r="E606" t="s">
        <v>25</v>
      </c>
      <c r="F606" t="s">
        <v>26</v>
      </c>
      <c r="G606" t="s">
        <v>27</v>
      </c>
      <c r="H606" t="s">
        <v>3978</v>
      </c>
      <c r="I606" t="s">
        <v>3979</v>
      </c>
      <c r="J606" t="s">
        <v>26</v>
      </c>
      <c r="K606" t="s">
        <v>26</v>
      </c>
      <c r="L606" t="s">
        <v>3980</v>
      </c>
      <c r="M606" t="s">
        <v>25</v>
      </c>
      <c r="N606" t="s">
        <v>3730</v>
      </c>
      <c r="O606" t="s">
        <v>3731</v>
      </c>
      <c r="P606" t="s">
        <v>3916</v>
      </c>
      <c r="Q606" t="s">
        <v>3917</v>
      </c>
      <c r="R606">
        <v>154332</v>
      </c>
      <c r="S606">
        <v>0</v>
      </c>
      <c r="T606">
        <v>154332</v>
      </c>
      <c r="U606" t="s">
        <v>35</v>
      </c>
      <c r="V606" t="s">
        <v>3732</v>
      </c>
      <c r="W606" t="s">
        <v>3918</v>
      </c>
      <c r="X606" s="4">
        <v>1</v>
      </c>
      <c r="Y606" s="4"/>
      <c r="Z606">
        <f t="shared" si="36"/>
        <v>8</v>
      </c>
      <c r="AA606">
        <f t="shared" si="37"/>
        <v>18</v>
      </c>
      <c r="AB606" s="5">
        <f t="shared" si="38"/>
        <v>0.33164351851883112</v>
      </c>
      <c r="AC606" s="3">
        <f t="shared" si="39"/>
        <v>9.0266203704231884E-2</v>
      </c>
      <c r="AD606" t="str" cm="1">
        <f t="array" ref="AD606">IFERROR(_xlfn.IFS(
    AC606="", "",
    AC606*86400 &lt; 30, "1. 0s - &lt;30s",
    AC606*86400 &lt; 60, "2. 30s - &lt;1m",
    AC606*86400 &lt; 300, "3. 1m - &lt;5m",
    AC606*86400 &lt; 1800, "4. 5m - &lt;30m",
    TRUE, "5. &gt;= 30m"
),"6. Invalid (Order rejected)")</f>
        <v>5. &gt;= 30m</v>
      </c>
    </row>
    <row r="607" spans="1:30" hidden="1" x14ac:dyDescent="0.3">
      <c r="A607" t="s">
        <v>3981</v>
      </c>
      <c r="B607" t="s">
        <v>25</v>
      </c>
      <c r="C607">
        <v>43701630</v>
      </c>
      <c r="D607">
        <v>0</v>
      </c>
      <c r="E607" t="s">
        <v>25</v>
      </c>
      <c r="F607" t="s">
        <v>26</v>
      </c>
      <c r="G607" t="s">
        <v>27</v>
      </c>
      <c r="H607" t="s">
        <v>3982</v>
      </c>
      <c r="I607" t="s">
        <v>3983</v>
      </c>
      <c r="J607" t="s">
        <v>26</v>
      </c>
      <c r="K607" t="s">
        <v>26</v>
      </c>
      <c r="L607" t="s">
        <v>3984</v>
      </c>
      <c r="M607" t="s">
        <v>25</v>
      </c>
      <c r="N607" t="s">
        <v>3730</v>
      </c>
      <c r="O607" t="s">
        <v>3731</v>
      </c>
      <c r="P607" t="s">
        <v>3985</v>
      </c>
      <c r="Q607" t="s">
        <v>3986</v>
      </c>
      <c r="R607">
        <v>245808</v>
      </c>
      <c r="S607">
        <v>0</v>
      </c>
      <c r="T607">
        <v>245808</v>
      </c>
      <c r="U607" t="s">
        <v>35</v>
      </c>
      <c r="V607" t="s">
        <v>3732</v>
      </c>
      <c r="W607" t="s">
        <v>3987</v>
      </c>
      <c r="X607" s="4">
        <v>1</v>
      </c>
      <c r="Y607" s="4"/>
      <c r="Z607">
        <f t="shared" si="36"/>
        <v>8</v>
      </c>
      <c r="AA607">
        <f t="shared" si="37"/>
        <v>18</v>
      </c>
      <c r="AB607" s="5">
        <f t="shared" si="38"/>
        <v>0.33231481481197989</v>
      </c>
      <c r="AC607" s="3">
        <f t="shared" si="39"/>
        <v>9.0266203704231884E-2</v>
      </c>
      <c r="AD607" t="str" cm="1">
        <f t="array" ref="AD607">IFERROR(_xlfn.IFS(
    AC607="", "",
    AC607*86400 &lt; 30, "1. 0s - &lt;30s",
    AC607*86400 &lt; 60, "2. 30s - &lt;1m",
    AC607*86400 &lt; 300, "3. 1m - &lt;5m",
    AC607*86400 &lt; 1800, "4. 5m - &lt;30m",
    TRUE, "5. &gt;= 30m"
),"6. Invalid (Order rejected)")</f>
        <v>5. &gt;= 30m</v>
      </c>
    </row>
    <row r="608" spans="1:30" hidden="1" x14ac:dyDescent="0.3">
      <c r="A608" t="s">
        <v>3988</v>
      </c>
      <c r="B608" t="s">
        <v>25</v>
      </c>
      <c r="C608">
        <v>23938356</v>
      </c>
      <c r="D608">
        <v>4348108</v>
      </c>
      <c r="E608" t="s">
        <v>3989</v>
      </c>
      <c r="F608" t="s">
        <v>75</v>
      </c>
      <c r="G608" t="s">
        <v>76</v>
      </c>
      <c r="H608" t="s">
        <v>3990</v>
      </c>
      <c r="I608" t="s">
        <v>3991</v>
      </c>
      <c r="J608" t="s">
        <v>3992</v>
      </c>
      <c r="K608" t="s">
        <v>26</v>
      </c>
      <c r="L608" t="s">
        <v>3993</v>
      </c>
      <c r="M608" t="s">
        <v>25</v>
      </c>
      <c r="N608" t="s">
        <v>3994</v>
      </c>
      <c r="O608" t="s">
        <v>3995</v>
      </c>
      <c r="P608" t="s">
        <v>237</v>
      </c>
      <c r="Q608" t="s">
        <v>238</v>
      </c>
      <c r="R608">
        <v>257040</v>
      </c>
      <c r="S608">
        <v>210987</v>
      </c>
      <c r="T608">
        <v>46053</v>
      </c>
      <c r="U608" t="s">
        <v>35</v>
      </c>
      <c r="V608" t="s">
        <v>3996</v>
      </c>
      <c r="W608" t="s">
        <v>239</v>
      </c>
      <c r="X608" s="4">
        <v>1</v>
      </c>
      <c r="Y608" s="4"/>
      <c r="Z608">
        <f t="shared" si="36"/>
        <v>8</v>
      </c>
      <c r="AA608">
        <f t="shared" si="37"/>
        <v>18</v>
      </c>
      <c r="AB608" s="5">
        <f t="shared" si="38"/>
        <v>0.35834490740671754</v>
      </c>
      <c r="AC608" s="3">
        <f t="shared" si="39"/>
        <v>4.5138889254303649E-4</v>
      </c>
      <c r="AD608" t="str" cm="1">
        <f t="array" ref="AD608">IFERROR(_xlfn.IFS(
    AC608="", "",
    AC608*86400 &lt; 30, "1. 0s - &lt;30s",
    AC608*86400 &lt; 60, "2. 30s - &lt;1m",
    AC608*86400 &lt; 300, "3. 1m - &lt;5m",
    AC608*86400 &lt; 1800, "4. 5m - &lt;30m",
    TRUE, "5. &gt;= 30m"
),"6. Invalid (Order rejected)")</f>
        <v>2. 30s - &lt;1m</v>
      </c>
    </row>
    <row r="609" spans="1:30" hidden="1" x14ac:dyDescent="0.3">
      <c r="A609" t="s">
        <v>3997</v>
      </c>
      <c r="B609" t="s">
        <v>25</v>
      </c>
      <c r="C609">
        <v>23938356</v>
      </c>
      <c r="D609">
        <v>4348108</v>
      </c>
      <c r="E609" t="s">
        <v>3998</v>
      </c>
      <c r="F609" t="s">
        <v>75</v>
      </c>
      <c r="G609" t="s">
        <v>76</v>
      </c>
      <c r="H609" t="s">
        <v>3999</v>
      </c>
      <c r="I609" t="s">
        <v>4000</v>
      </c>
      <c r="J609" t="s">
        <v>4001</v>
      </c>
      <c r="K609" t="s">
        <v>26</v>
      </c>
      <c r="L609" t="s">
        <v>4002</v>
      </c>
      <c r="M609" t="s">
        <v>25</v>
      </c>
      <c r="N609" t="s">
        <v>3994</v>
      </c>
      <c r="O609" t="s">
        <v>3995</v>
      </c>
      <c r="P609" t="s">
        <v>81</v>
      </c>
      <c r="Q609" t="s">
        <v>82</v>
      </c>
      <c r="R609">
        <v>243000</v>
      </c>
      <c r="S609">
        <v>199462</v>
      </c>
      <c r="T609">
        <v>43538</v>
      </c>
      <c r="U609" t="s">
        <v>35</v>
      </c>
      <c r="V609" t="s">
        <v>3996</v>
      </c>
      <c r="W609" t="s">
        <v>4003</v>
      </c>
      <c r="X609" s="4">
        <v>1</v>
      </c>
      <c r="Y609" s="4"/>
      <c r="Z609">
        <f t="shared" si="36"/>
        <v>8</v>
      </c>
      <c r="AA609">
        <f t="shared" si="37"/>
        <v>18</v>
      </c>
      <c r="AB609" s="5">
        <f t="shared" si="38"/>
        <v>0.36167824074072996</v>
      </c>
      <c r="AC609" s="3">
        <f t="shared" si="39"/>
        <v>8.1018518540076911E-4</v>
      </c>
      <c r="AD609" t="str" cm="1">
        <f t="array" ref="AD609">IFERROR(_xlfn.IFS(
    AC609="", "",
    AC609*86400 &lt; 30, "1. 0s - &lt;30s",
    AC609*86400 &lt; 60, "2. 30s - &lt;1m",
    AC609*86400 &lt; 300, "3. 1m - &lt;5m",
    AC609*86400 &lt; 1800, "4. 5m - &lt;30m",
    TRUE, "5. &gt;= 30m"
),"6. Invalid (Order rejected)")</f>
        <v>3. 1m - &lt;5m</v>
      </c>
    </row>
    <row r="610" spans="1:30" hidden="1" x14ac:dyDescent="0.3">
      <c r="A610" t="s">
        <v>4004</v>
      </c>
      <c r="B610" t="s">
        <v>25</v>
      </c>
      <c r="C610">
        <v>23938356</v>
      </c>
      <c r="D610">
        <v>4306798</v>
      </c>
      <c r="E610" t="s">
        <v>4005</v>
      </c>
      <c r="F610" t="s">
        <v>75</v>
      </c>
      <c r="G610" t="s">
        <v>76</v>
      </c>
      <c r="H610" t="s">
        <v>4006</v>
      </c>
      <c r="I610" t="s">
        <v>4007</v>
      </c>
      <c r="J610" t="s">
        <v>4008</v>
      </c>
      <c r="K610" t="s">
        <v>26</v>
      </c>
      <c r="L610" t="s">
        <v>4009</v>
      </c>
      <c r="M610" t="s">
        <v>25</v>
      </c>
      <c r="N610" t="s">
        <v>3994</v>
      </c>
      <c r="O610" t="s">
        <v>3995</v>
      </c>
      <c r="P610" t="s">
        <v>81</v>
      </c>
      <c r="Q610" t="s">
        <v>82</v>
      </c>
      <c r="R610">
        <v>243000</v>
      </c>
      <c r="S610">
        <v>199462</v>
      </c>
      <c r="T610">
        <v>43538</v>
      </c>
      <c r="U610" t="s">
        <v>35</v>
      </c>
      <c r="V610" t="s">
        <v>3996</v>
      </c>
      <c r="W610" t="s">
        <v>4003</v>
      </c>
      <c r="X610" s="4">
        <v>1</v>
      </c>
      <c r="Y610" s="4"/>
      <c r="Z610">
        <f t="shared" si="36"/>
        <v>8</v>
      </c>
      <c r="AA610">
        <f t="shared" si="37"/>
        <v>18</v>
      </c>
      <c r="AB610" s="5">
        <f t="shared" si="38"/>
        <v>0.36302083333430346</v>
      </c>
      <c r="AC610" s="3">
        <f t="shared" si="39"/>
        <v>9.4907407037680969E-4</v>
      </c>
      <c r="AD610" t="str" cm="1">
        <f t="array" ref="AD610">IFERROR(_xlfn.IFS(
    AC610="", "",
    AC610*86400 &lt; 30, "1. 0s - &lt;30s",
    AC610*86400 &lt; 60, "2. 30s - &lt;1m",
    AC610*86400 &lt; 300, "3. 1m - &lt;5m",
    AC610*86400 &lt; 1800, "4. 5m - &lt;30m",
    TRUE, "5. &gt;= 30m"
),"6. Invalid (Order rejected)")</f>
        <v>3. 1m - &lt;5m</v>
      </c>
    </row>
    <row r="611" spans="1:30" x14ac:dyDescent="0.3">
      <c r="A611" t="s">
        <v>4010</v>
      </c>
      <c r="B611" t="s">
        <v>3229</v>
      </c>
      <c r="C611">
        <v>13373294</v>
      </c>
      <c r="D611">
        <v>2440726</v>
      </c>
      <c r="E611" t="s">
        <v>25</v>
      </c>
      <c r="F611" t="s">
        <v>3482</v>
      </c>
      <c r="G611" t="s">
        <v>360</v>
      </c>
      <c r="H611" t="s">
        <v>4011</v>
      </c>
      <c r="I611" t="s">
        <v>4012</v>
      </c>
      <c r="J611" t="s">
        <v>4013</v>
      </c>
      <c r="K611" t="s">
        <v>26</v>
      </c>
      <c r="L611" t="s">
        <v>25</v>
      </c>
      <c r="M611" t="s">
        <v>25</v>
      </c>
      <c r="N611" t="s">
        <v>4014</v>
      </c>
      <c r="O611" t="s">
        <v>4015</v>
      </c>
      <c r="P611" t="s">
        <v>4016</v>
      </c>
      <c r="Q611" t="s">
        <v>4017</v>
      </c>
      <c r="R611">
        <v>394964</v>
      </c>
      <c r="S611">
        <v>306188</v>
      </c>
      <c r="T611">
        <v>88776</v>
      </c>
      <c r="U611" t="s">
        <v>35</v>
      </c>
      <c r="V611" t="s">
        <v>4018</v>
      </c>
      <c r="W611" t="s">
        <v>4019</v>
      </c>
      <c r="X611" s="4">
        <v>1</v>
      </c>
      <c r="Y611" s="4"/>
      <c r="Z611">
        <f t="shared" si="36"/>
        <v>8</v>
      </c>
      <c r="AA611">
        <f t="shared" si="37"/>
        <v>18</v>
      </c>
      <c r="AB611" s="5">
        <f t="shared" si="38"/>
        <v>0.94035879629518604</v>
      </c>
      <c r="AC611" s="3" t="str">
        <f t="shared" si="39"/>
        <v>Order rejected, no time available</v>
      </c>
      <c r="AD611" t="str" cm="1">
        <f t="array" ref="AD611">IFERROR(_xlfn.IFS(
    AC611="", "",
    AC611*86400 &lt; 30, "1. 0s - &lt;30s",
    AC611*86400 &lt; 60, "2. 30s - &lt;1m",
    AC611*86400 &lt; 300, "3. 1m - &lt;5m",
    AC611*86400 &lt; 1800, "4. 5m - &lt;30m",
    TRUE, "5. &gt;= 30m"
),"6. Invalid (Order rejected)")</f>
        <v>6. Invalid (Order rejected)</v>
      </c>
    </row>
    <row r="612" spans="1:30" hidden="1" x14ac:dyDescent="0.3">
      <c r="A612" t="s">
        <v>4020</v>
      </c>
      <c r="B612" t="s">
        <v>25</v>
      </c>
      <c r="C612">
        <v>43729827</v>
      </c>
      <c r="D612">
        <v>2852976</v>
      </c>
      <c r="E612" t="s">
        <v>25</v>
      </c>
      <c r="F612" t="s">
        <v>75</v>
      </c>
      <c r="G612" t="s">
        <v>76</v>
      </c>
      <c r="H612" t="s">
        <v>4021</v>
      </c>
      <c r="I612" t="s">
        <v>4022</v>
      </c>
      <c r="J612" t="s">
        <v>4023</v>
      </c>
      <c r="K612" t="s">
        <v>26</v>
      </c>
      <c r="L612" t="s">
        <v>4024</v>
      </c>
      <c r="M612" t="s">
        <v>25</v>
      </c>
      <c r="N612" t="s">
        <v>4025</v>
      </c>
      <c r="O612" t="s">
        <v>4026</v>
      </c>
      <c r="P612" t="s">
        <v>4027</v>
      </c>
      <c r="Q612" t="s">
        <v>4028</v>
      </c>
      <c r="R612">
        <v>300456</v>
      </c>
      <c r="S612">
        <v>246624</v>
      </c>
      <c r="T612">
        <v>53832</v>
      </c>
      <c r="U612" t="s">
        <v>35</v>
      </c>
      <c r="V612" t="s">
        <v>4029</v>
      </c>
      <c r="W612" t="s">
        <v>4030</v>
      </c>
      <c r="X612" s="4">
        <v>1</v>
      </c>
      <c r="Y612" s="4"/>
      <c r="Z612">
        <f t="shared" si="36"/>
        <v>8</v>
      </c>
      <c r="AA612">
        <f t="shared" si="37"/>
        <v>19</v>
      </c>
      <c r="AB612" s="5">
        <f t="shared" si="38"/>
        <v>0.30097222221957054</v>
      </c>
      <c r="AC612" s="3">
        <f t="shared" si="39"/>
        <v>3.0324074105010368E-3</v>
      </c>
      <c r="AD612" t="str" cm="1">
        <f t="array" ref="AD612">IFERROR(_xlfn.IFS(
    AC612="", "",
    AC612*86400 &lt; 30, "1. 0s - &lt;30s",
    AC612*86400 &lt; 60, "2. 30s - &lt;1m",
    AC612*86400 &lt; 300, "3. 1m - &lt;5m",
    AC612*86400 &lt; 1800, "4. 5m - &lt;30m",
    TRUE, "5. &gt;= 30m"
),"6. Invalid (Order rejected)")</f>
        <v>3. 1m - &lt;5m</v>
      </c>
    </row>
    <row r="613" spans="1:30" hidden="1" x14ac:dyDescent="0.3">
      <c r="A613" t="s">
        <v>4031</v>
      </c>
      <c r="B613" t="s">
        <v>25</v>
      </c>
      <c r="C613">
        <v>43729827</v>
      </c>
      <c r="D613">
        <v>0</v>
      </c>
      <c r="E613" t="s">
        <v>25</v>
      </c>
      <c r="F613" t="s">
        <v>26</v>
      </c>
      <c r="G613" t="s">
        <v>27</v>
      </c>
      <c r="H613" t="s">
        <v>4032</v>
      </c>
      <c r="I613" t="s">
        <v>4033</v>
      </c>
      <c r="J613" t="s">
        <v>26</v>
      </c>
      <c r="K613" t="s">
        <v>26</v>
      </c>
      <c r="L613" t="s">
        <v>4034</v>
      </c>
      <c r="M613" t="s">
        <v>25</v>
      </c>
      <c r="N613" t="s">
        <v>4025</v>
      </c>
      <c r="O613" t="s">
        <v>4026</v>
      </c>
      <c r="P613" t="s">
        <v>2339</v>
      </c>
      <c r="Q613" t="s">
        <v>2340</v>
      </c>
      <c r="R613">
        <v>240948</v>
      </c>
      <c r="S613">
        <v>0</v>
      </c>
      <c r="T613">
        <v>240948</v>
      </c>
      <c r="U613" t="s">
        <v>35</v>
      </c>
      <c r="V613" t="s">
        <v>4029</v>
      </c>
      <c r="W613" t="s">
        <v>2341</v>
      </c>
      <c r="X613" s="4">
        <v>1</v>
      </c>
      <c r="Y613" s="4"/>
      <c r="Z613">
        <f t="shared" si="36"/>
        <v>8</v>
      </c>
      <c r="AA613">
        <f t="shared" si="37"/>
        <v>19</v>
      </c>
      <c r="AB613" s="5">
        <f t="shared" si="38"/>
        <v>0.3034837962986785</v>
      </c>
      <c r="AC613" s="3">
        <f t="shared" si="39"/>
        <v>9.0254629627452232E-2</v>
      </c>
      <c r="AD613" t="str" cm="1">
        <f t="array" ref="AD613">IFERROR(_xlfn.IFS(
    AC613="", "",
    AC613*86400 &lt; 30, "1. 0s - &lt;30s",
    AC613*86400 &lt; 60, "2. 30s - &lt;1m",
    AC613*86400 &lt; 300, "3. 1m - &lt;5m",
    AC613*86400 &lt; 1800, "4. 5m - &lt;30m",
    TRUE, "5. &gt;= 30m"
),"6. Invalid (Order rejected)")</f>
        <v>5. &gt;= 30m</v>
      </c>
    </row>
    <row r="614" spans="1:30" hidden="1" x14ac:dyDescent="0.3">
      <c r="A614" t="s">
        <v>4035</v>
      </c>
      <c r="B614" t="s">
        <v>25</v>
      </c>
      <c r="C614">
        <v>43729827</v>
      </c>
      <c r="D614">
        <v>0</v>
      </c>
      <c r="E614" t="s">
        <v>25</v>
      </c>
      <c r="F614" t="s">
        <v>26</v>
      </c>
      <c r="G614" t="s">
        <v>27</v>
      </c>
      <c r="H614" t="s">
        <v>4036</v>
      </c>
      <c r="I614" t="s">
        <v>4037</v>
      </c>
      <c r="J614" t="s">
        <v>26</v>
      </c>
      <c r="K614" t="s">
        <v>26</v>
      </c>
      <c r="L614" t="s">
        <v>4038</v>
      </c>
      <c r="M614" t="s">
        <v>25</v>
      </c>
      <c r="N614" t="s">
        <v>349</v>
      </c>
      <c r="O614" t="s">
        <v>350</v>
      </c>
      <c r="P614" t="s">
        <v>4039</v>
      </c>
      <c r="Q614" t="s">
        <v>4040</v>
      </c>
      <c r="R614">
        <v>134784</v>
      </c>
      <c r="S614">
        <v>0</v>
      </c>
      <c r="T614">
        <v>134784</v>
      </c>
      <c r="U614" t="s">
        <v>35</v>
      </c>
      <c r="V614" t="s">
        <v>353</v>
      </c>
      <c r="W614" t="s">
        <v>4041</v>
      </c>
      <c r="X614" s="4">
        <v>1</v>
      </c>
      <c r="Y614" s="4"/>
      <c r="Z614">
        <f t="shared" si="36"/>
        <v>8</v>
      </c>
      <c r="AA614">
        <f t="shared" si="37"/>
        <v>19</v>
      </c>
      <c r="AB614" s="5">
        <f t="shared" si="38"/>
        <v>0.31075231481372612</v>
      </c>
      <c r="AC614" s="3">
        <f t="shared" si="39"/>
        <v>0.14769675926072523</v>
      </c>
      <c r="AD614" t="str" cm="1">
        <f t="array" ref="AD614">IFERROR(_xlfn.IFS(
    AC614="", "",
    AC614*86400 &lt; 30, "1. 0s - &lt;30s",
    AC614*86400 &lt; 60, "2. 30s - &lt;1m",
    AC614*86400 &lt; 300, "3. 1m - &lt;5m",
    AC614*86400 &lt; 1800, "4. 5m - &lt;30m",
    TRUE, "5. &gt;= 30m"
),"6. Invalid (Order rejected)")</f>
        <v>5. &gt;= 30m</v>
      </c>
    </row>
    <row r="615" spans="1:30" hidden="1" x14ac:dyDescent="0.3">
      <c r="A615" t="s">
        <v>4042</v>
      </c>
      <c r="B615" t="s">
        <v>25</v>
      </c>
      <c r="C615">
        <v>43729827</v>
      </c>
      <c r="D615">
        <v>0</v>
      </c>
      <c r="E615" t="s">
        <v>25</v>
      </c>
      <c r="F615" t="s">
        <v>26</v>
      </c>
      <c r="G615" t="s">
        <v>27</v>
      </c>
      <c r="H615" t="s">
        <v>4043</v>
      </c>
      <c r="I615" t="s">
        <v>4044</v>
      </c>
      <c r="J615" t="s">
        <v>26</v>
      </c>
      <c r="K615" t="s">
        <v>26</v>
      </c>
      <c r="L615" t="s">
        <v>4045</v>
      </c>
      <c r="M615" t="s">
        <v>25</v>
      </c>
      <c r="N615" t="s">
        <v>4046</v>
      </c>
      <c r="O615" t="s">
        <v>4047</v>
      </c>
      <c r="P615" t="s">
        <v>4048</v>
      </c>
      <c r="Q615" t="s">
        <v>4049</v>
      </c>
      <c r="R615">
        <v>211788</v>
      </c>
      <c r="S615">
        <v>0</v>
      </c>
      <c r="T615">
        <v>211788</v>
      </c>
      <c r="U615" t="s">
        <v>35</v>
      </c>
      <c r="V615" t="s">
        <v>4050</v>
      </c>
      <c r="W615" t="s">
        <v>4051</v>
      </c>
      <c r="X615" s="4">
        <v>1</v>
      </c>
      <c r="Y615" s="4"/>
      <c r="Z615">
        <f t="shared" si="36"/>
        <v>8</v>
      </c>
      <c r="AA615">
        <f t="shared" si="37"/>
        <v>19</v>
      </c>
      <c r="AB615" s="5">
        <f t="shared" si="38"/>
        <v>0.30785879629547708</v>
      </c>
      <c r="AC615" s="3">
        <f t="shared" si="39"/>
        <v>9.0254629627452232E-2</v>
      </c>
      <c r="AD615" t="str" cm="1">
        <f t="array" ref="AD615">IFERROR(_xlfn.IFS(
    AC615="", "",
    AC615*86400 &lt; 30, "1. 0s - &lt;30s",
    AC615*86400 &lt; 60, "2. 30s - &lt;1m",
    AC615*86400 &lt; 300, "3. 1m - &lt;5m",
    AC615*86400 &lt; 1800, "4. 5m - &lt;30m",
    TRUE, "5. &gt;= 30m"
),"6. Invalid (Order rejected)")</f>
        <v>5. &gt;= 30m</v>
      </c>
    </row>
    <row r="616" spans="1:30" hidden="1" x14ac:dyDescent="0.3">
      <c r="A616" t="s">
        <v>4052</v>
      </c>
      <c r="B616" t="s">
        <v>25</v>
      </c>
      <c r="C616">
        <v>43729827</v>
      </c>
      <c r="D616">
        <v>0</v>
      </c>
      <c r="E616" t="s">
        <v>25</v>
      </c>
      <c r="F616" t="s">
        <v>26</v>
      </c>
      <c r="G616" t="s">
        <v>27</v>
      </c>
      <c r="H616" t="s">
        <v>4053</v>
      </c>
      <c r="I616" t="s">
        <v>4054</v>
      </c>
      <c r="J616" t="s">
        <v>26</v>
      </c>
      <c r="K616" t="s">
        <v>26</v>
      </c>
      <c r="L616" t="s">
        <v>4055</v>
      </c>
      <c r="M616" t="s">
        <v>25</v>
      </c>
      <c r="N616" t="s">
        <v>4056</v>
      </c>
      <c r="O616" t="s">
        <v>4057</v>
      </c>
      <c r="P616" t="s">
        <v>4058</v>
      </c>
      <c r="Q616" t="s">
        <v>4059</v>
      </c>
      <c r="R616">
        <v>184572</v>
      </c>
      <c r="S616">
        <v>0</v>
      </c>
      <c r="T616">
        <v>184572</v>
      </c>
      <c r="U616" t="s">
        <v>35</v>
      </c>
      <c r="V616" t="s">
        <v>4060</v>
      </c>
      <c r="W616" t="s">
        <v>4061</v>
      </c>
      <c r="X616" s="4">
        <v>1</v>
      </c>
      <c r="Y616" s="4"/>
      <c r="Z616">
        <f t="shared" si="36"/>
        <v>8</v>
      </c>
      <c r="AA616">
        <f t="shared" si="37"/>
        <v>19</v>
      </c>
      <c r="AB616" s="5">
        <f t="shared" si="38"/>
        <v>0.31156249999912689</v>
      </c>
      <c r="AC616" s="3">
        <f t="shared" si="39"/>
        <v>9.0254629627452232E-2</v>
      </c>
      <c r="AD616" t="str" cm="1">
        <f t="array" ref="AD616">IFERROR(_xlfn.IFS(
    AC616="", "",
    AC616*86400 &lt; 30, "1. 0s - &lt;30s",
    AC616*86400 &lt; 60, "2. 30s - &lt;1m",
    AC616*86400 &lt; 300, "3. 1m - &lt;5m",
    AC616*86400 &lt; 1800, "4. 5m - &lt;30m",
    TRUE, "5. &gt;= 30m"
),"6. Invalid (Order rejected)")</f>
        <v>5. &gt;= 30m</v>
      </c>
    </row>
    <row r="617" spans="1:30" hidden="1" x14ac:dyDescent="0.3">
      <c r="A617" t="s">
        <v>4062</v>
      </c>
      <c r="B617" t="s">
        <v>25</v>
      </c>
      <c r="C617">
        <v>43729827</v>
      </c>
      <c r="D617">
        <v>0</v>
      </c>
      <c r="E617" t="s">
        <v>25</v>
      </c>
      <c r="F617" t="s">
        <v>26</v>
      </c>
      <c r="G617" t="s">
        <v>27</v>
      </c>
      <c r="H617" t="s">
        <v>4063</v>
      </c>
      <c r="I617" t="s">
        <v>4064</v>
      </c>
      <c r="J617" t="s">
        <v>26</v>
      </c>
      <c r="K617" t="s">
        <v>26</v>
      </c>
      <c r="L617" t="s">
        <v>4065</v>
      </c>
      <c r="M617" t="s">
        <v>25</v>
      </c>
      <c r="N617" t="s">
        <v>827</v>
      </c>
      <c r="O617" t="s">
        <v>828</v>
      </c>
      <c r="P617" t="s">
        <v>4066</v>
      </c>
      <c r="Q617" t="s">
        <v>4067</v>
      </c>
      <c r="R617">
        <v>198720</v>
      </c>
      <c r="S617">
        <v>0</v>
      </c>
      <c r="T617">
        <v>198720</v>
      </c>
      <c r="U617" t="s">
        <v>35</v>
      </c>
      <c r="V617" t="s">
        <v>829</v>
      </c>
      <c r="W617" t="s">
        <v>4068</v>
      </c>
      <c r="X617" s="4">
        <v>1</v>
      </c>
      <c r="Y617" s="4"/>
      <c r="Z617">
        <f t="shared" si="36"/>
        <v>8</v>
      </c>
      <c r="AA617">
        <f t="shared" si="37"/>
        <v>19</v>
      </c>
      <c r="AB617" s="5">
        <f t="shared" si="38"/>
        <v>0.31219907407648861</v>
      </c>
      <c r="AC617" s="3">
        <f t="shared" si="39"/>
        <v>9.0266203704231884E-2</v>
      </c>
      <c r="AD617" t="str" cm="1">
        <f t="array" ref="AD617">IFERROR(_xlfn.IFS(
    AC617="", "",
    AC617*86400 &lt; 30, "1. 0s - &lt;30s",
    AC617*86400 &lt; 60, "2. 30s - &lt;1m",
    AC617*86400 &lt; 300, "3. 1m - &lt;5m",
    AC617*86400 &lt; 1800, "4. 5m - &lt;30m",
    TRUE, "5. &gt;= 30m"
),"6. Invalid (Order rejected)")</f>
        <v>5. &gt;= 30m</v>
      </c>
    </row>
    <row r="618" spans="1:30" hidden="1" x14ac:dyDescent="0.3">
      <c r="A618" t="s">
        <v>4069</v>
      </c>
      <c r="B618" t="s">
        <v>25</v>
      </c>
      <c r="C618">
        <v>43729827</v>
      </c>
      <c r="D618">
        <v>0</v>
      </c>
      <c r="E618" t="s">
        <v>25</v>
      </c>
      <c r="F618" t="s">
        <v>26</v>
      </c>
      <c r="G618" t="s">
        <v>27</v>
      </c>
      <c r="H618" t="s">
        <v>4070</v>
      </c>
      <c r="I618" t="s">
        <v>4071</v>
      </c>
      <c r="J618" t="s">
        <v>26</v>
      </c>
      <c r="K618" t="s">
        <v>26</v>
      </c>
      <c r="L618" t="s">
        <v>4072</v>
      </c>
      <c r="M618" t="s">
        <v>25</v>
      </c>
      <c r="N618" t="s">
        <v>2462</v>
      </c>
      <c r="O618" t="s">
        <v>4073</v>
      </c>
      <c r="P618" t="s">
        <v>4074</v>
      </c>
      <c r="Q618" t="s">
        <v>4075</v>
      </c>
      <c r="R618">
        <v>178200</v>
      </c>
      <c r="S618">
        <v>0</v>
      </c>
      <c r="T618">
        <v>178200</v>
      </c>
      <c r="U618" t="s">
        <v>35</v>
      </c>
      <c r="V618" t="s">
        <v>2464</v>
      </c>
      <c r="W618" t="s">
        <v>4076</v>
      </c>
      <c r="X618" s="4">
        <v>1</v>
      </c>
      <c r="Y618" s="4"/>
      <c r="Z618">
        <f t="shared" si="36"/>
        <v>8</v>
      </c>
      <c r="AA618">
        <f t="shared" si="37"/>
        <v>19</v>
      </c>
      <c r="AB618" s="5">
        <f t="shared" si="38"/>
        <v>0.31430555555562023</v>
      </c>
      <c r="AC618" s="3">
        <f t="shared" si="39"/>
        <v>9.0266203704231884E-2</v>
      </c>
      <c r="AD618" t="str" cm="1">
        <f t="array" ref="AD618">IFERROR(_xlfn.IFS(
    AC618="", "",
    AC618*86400 &lt; 30, "1. 0s - &lt;30s",
    AC618*86400 &lt; 60, "2. 30s - &lt;1m",
    AC618*86400 &lt; 300, "3. 1m - &lt;5m",
    AC618*86400 &lt; 1800, "4. 5m - &lt;30m",
    TRUE, "5. &gt;= 30m"
),"6. Invalid (Order rejected)")</f>
        <v>5. &gt;= 30m</v>
      </c>
    </row>
    <row r="619" spans="1:30" hidden="1" x14ac:dyDescent="0.3">
      <c r="A619" t="s">
        <v>4077</v>
      </c>
      <c r="B619" t="s">
        <v>25</v>
      </c>
      <c r="C619">
        <v>43729827</v>
      </c>
      <c r="D619">
        <v>0</v>
      </c>
      <c r="E619" t="s">
        <v>25</v>
      </c>
      <c r="F619" t="s">
        <v>26</v>
      </c>
      <c r="G619" t="s">
        <v>27</v>
      </c>
      <c r="H619" t="s">
        <v>4078</v>
      </c>
      <c r="I619" t="s">
        <v>4079</v>
      </c>
      <c r="J619" t="s">
        <v>26</v>
      </c>
      <c r="K619" t="s">
        <v>26</v>
      </c>
      <c r="L619" t="s">
        <v>4080</v>
      </c>
      <c r="M619" t="s">
        <v>25</v>
      </c>
      <c r="N619" t="s">
        <v>4025</v>
      </c>
      <c r="O619" t="s">
        <v>4026</v>
      </c>
      <c r="P619" t="s">
        <v>4081</v>
      </c>
      <c r="Q619" t="s">
        <v>4082</v>
      </c>
      <c r="R619">
        <v>269676</v>
      </c>
      <c r="S619">
        <v>0</v>
      </c>
      <c r="T619">
        <v>269676</v>
      </c>
      <c r="U619" t="s">
        <v>35</v>
      </c>
      <c r="V619" t="s">
        <v>4029</v>
      </c>
      <c r="W619" t="s">
        <v>4083</v>
      </c>
      <c r="X619" s="4">
        <v>1</v>
      </c>
      <c r="Y619" s="4"/>
      <c r="Z619">
        <f t="shared" si="36"/>
        <v>8</v>
      </c>
      <c r="AA619">
        <f t="shared" si="37"/>
        <v>19</v>
      </c>
      <c r="AB619" s="5">
        <f t="shared" si="38"/>
        <v>0.30449074073840166</v>
      </c>
      <c r="AC619" s="3">
        <f t="shared" si="39"/>
        <v>9.025462963472819E-2</v>
      </c>
      <c r="AD619" t="str" cm="1">
        <f t="array" ref="AD619">IFERROR(_xlfn.IFS(
    AC619="", "",
    AC619*86400 &lt; 30, "1. 0s - &lt;30s",
    AC619*86400 &lt; 60, "2. 30s - &lt;1m",
    AC619*86400 &lt; 300, "3. 1m - &lt;5m",
    AC619*86400 &lt; 1800, "4. 5m - &lt;30m",
    TRUE, "5. &gt;= 30m"
),"6. Invalid (Order rejected)")</f>
        <v>5. &gt;= 30m</v>
      </c>
    </row>
    <row r="620" spans="1:30" hidden="1" x14ac:dyDescent="0.3">
      <c r="A620" t="s">
        <v>4084</v>
      </c>
      <c r="B620" t="s">
        <v>25</v>
      </c>
      <c r="C620">
        <v>43729827</v>
      </c>
      <c r="D620">
        <v>0</v>
      </c>
      <c r="E620" t="s">
        <v>25</v>
      </c>
      <c r="F620" t="s">
        <v>26</v>
      </c>
      <c r="G620" t="s">
        <v>27</v>
      </c>
      <c r="H620" t="s">
        <v>4085</v>
      </c>
      <c r="I620" t="s">
        <v>4086</v>
      </c>
      <c r="J620" t="s">
        <v>26</v>
      </c>
      <c r="K620" t="s">
        <v>26</v>
      </c>
      <c r="L620" t="s">
        <v>4087</v>
      </c>
      <c r="M620" t="s">
        <v>25</v>
      </c>
      <c r="N620" t="s">
        <v>1911</v>
      </c>
      <c r="O620" t="s">
        <v>1912</v>
      </c>
      <c r="P620" t="s">
        <v>4088</v>
      </c>
      <c r="Q620" t="s">
        <v>4089</v>
      </c>
      <c r="R620">
        <v>307692</v>
      </c>
      <c r="S620">
        <v>0</v>
      </c>
      <c r="T620">
        <v>307692</v>
      </c>
      <c r="U620" t="s">
        <v>35</v>
      </c>
      <c r="V620" t="s">
        <v>1915</v>
      </c>
      <c r="W620" t="s">
        <v>4090</v>
      </c>
      <c r="X620" s="4">
        <v>1</v>
      </c>
      <c r="Y620" s="4"/>
      <c r="Z620">
        <f t="shared" si="36"/>
        <v>8</v>
      </c>
      <c r="AA620">
        <f t="shared" si="37"/>
        <v>19</v>
      </c>
      <c r="AB620" s="5">
        <f t="shared" si="38"/>
        <v>0.30947916666627862</v>
      </c>
      <c r="AC620" s="3">
        <f t="shared" si="39"/>
        <v>9.0254629627452232E-2</v>
      </c>
      <c r="AD620" t="str" cm="1">
        <f t="array" ref="AD620">IFERROR(_xlfn.IFS(
    AC620="", "",
    AC620*86400 &lt; 30, "1. 0s - &lt;30s",
    AC620*86400 &lt; 60, "2. 30s - &lt;1m",
    AC620*86400 &lt; 300, "3. 1m - &lt;5m",
    AC620*86400 &lt; 1800, "4. 5m - &lt;30m",
    TRUE, "5. &gt;= 30m"
),"6. Invalid (Order rejected)")</f>
        <v>5. &gt;= 30m</v>
      </c>
    </row>
    <row r="621" spans="1:30" hidden="1" x14ac:dyDescent="0.3">
      <c r="A621" t="s">
        <v>4091</v>
      </c>
      <c r="B621" t="s">
        <v>25</v>
      </c>
      <c r="C621">
        <v>43729827</v>
      </c>
      <c r="D621">
        <v>0</v>
      </c>
      <c r="E621" t="s">
        <v>25</v>
      </c>
      <c r="F621" t="s">
        <v>26</v>
      </c>
      <c r="G621" t="s">
        <v>27</v>
      </c>
      <c r="H621" t="s">
        <v>4092</v>
      </c>
      <c r="I621" t="s">
        <v>4093</v>
      </c>
      <c r="J621" t="s">
        <v>26</v>
      </c>
      <c r="K621" t="s">
        <v>26</v>
      </c>
      <c r="L621" t="s">
        <v>4094</v>
      </c>
      <c r="M621" t="s">
        <v>25</v>
      </c>
      <c r="N621" t="s">
        <v>4095</v>
      </c>
      <c r="O621" t="s">
        <v>4096</v>
      </c>
      <c r="P621" t="s">
        <v>4097</v>
      </c>
      <c r="Q621" t="s">
        <v>4098</v>
      </c>
      <c r="R621">
        <v>197208</v>
      </c>
      <c r="S621">
        <v>0</v>
      </c>
      <c r="T621">
        <v>197208</v>
      </c>
      <c r="U621" t="s">
        <v>35</v>
      </c>
      <c r="V621" t="s">
        <v>4099</v>
      </c>
      <c r="W621" t="s">
        <v>4100</v>
      </c>
      <c r="X621" s="4">
        <v>1</v>
      </c>
      <c r="Y621" s="4"/>
      <c r="Z621">
        <f t="shared" si="36"/>
        <v>8</v>
      </c>
      <c r="AA621">
        <f t="shared" si="37"/>
        <v>19</v>
      </c>
      <c r="AB621" s="5">
        <f t="shared" si="38"/>
        <v>0.30636574074014788</v>
      </c>
      <c r="AC621" s="3">
        <f t="shared" si="39"/>
        <v>9.0266203704231884E-2</v>
      </c>
      <c r="AD621" t="str" cm="1">
        <f t="array" ref="AD621">IFERROR(_xlfn.IFS(
    AC621="", "",
    AC621*86400 &lt; 30, "1. 0s - &lt;30s",
    AC621*86400 &lt; 60, "2. 30s - &lt;1m",
    AC621*86400 &lt; 300, "3. 1m - &lt;5m",
    AC621*86400 &lt; 1800, "4. 5m - &lt;30m",
    TRUE, "5. &gt;= 30m"
),"6. Invalid (Order rejected)")</f>
        <v>5. &gt;= 30m</v>
      </c>
    </row>
    <row r="622" spans="1:30" hidden="1" x14ac:dyDescent="0.3">
      <c r="A622" t="s">
        <v>4101</v>
      </c>
      <c r="B622" t="s">
        <v>25</v>
      </c>
      <c r="C622">
        <v>43729827</v>
      </c>
      <c r="D622">
        <v>0</v>
      </c>
      <c r="E622" t="s">
        <v>25</v>
      </c>
      <c r="F622" t="s">
        <v>26</v>
      </c>
      <c r="G622" t="s">
        <v>27</v>
      </c>
      <c r="H622" t="s">
        <v>4102</v>
      </c>
      <c r="I622" t="s">
        <v>4103</v>
      </c>
      <c r="J622" t="s">
        <v>26</v>
      </c>
      <c r="K622" t="s">
        <v>26</v>
      </c>
      <c r="L622" t="s">
        <v>4104</v>
      </c>
      <c r="M622" t="s">
        <v>25</v>
      </c>
      <c r="N622" t="s">
        <v>4095</v>
      </c>
      <c r="O622" t="s">
        <v>4096</v>
      </c>
      <c r="P622" t="s">
        <v>4105</v>
      </c>
      <c r="Q622" t="s">
        <v>4106</v>
      </c>
      <c r="R622">
        <v>128952</v>
      </c>
      <c r="S622">
        <v>0</v>
      </c>
      <c r="T622">
        <v>128952</v>
      </c>
      <c r="U622" t="s">
        <v>35</v>
      </c>
      <c r="V622" t="s">
        <v>4099</v>
      </c>
      <c r="W622" t="s">
        <v>4107</v>
      </c>
      <c r="X622" s="4">
        <v>1</v>
      </c>
      <c r="Y622" s="4"/>
      <c r="Z622">
        <f t="shared" si="36"/>
        <v>8</v>
      </c>
      <c r="AA622">
        <f t="shared" si="37"/>
        <v>19</v>
      </c>
      <c r="AB622" s="5">
        <f t="shared" si="38"/>
        <v>0.30679398147913162</v>
      </c>
      <c r="AC622" s="3">
        <f t="shared" si="39"/>
        <v>9.025462963472819E-2</v>
      </c>
      <c r="AD622" t="str" cm="1">
        <f t="array" ref="AD622">IFERROR(_xlfn.IFS(
    AC622="", "",
    AC622*86400 &lt; 30, "1. 0s - &lt;30s",
    AC622*86400 &lt; 60, "2. 30s - &lt;1m",
    AC622*86400 &lt; 300, "3. 1m - &lt;5m",
    AC622*86400 &lt; 1800, "4. 5m - &lt;30m",
    TRUE, "5. &gt;= 30m"
),"6. Invalid (Order rejected)")</f>
        <v>5. &gt;= 30m</v>
      </c>
    </row>
    <row r="623" spans="1:30" hidden="1" x14ac:dyDescent="0.3">
      <c r="A623" t="s">
        <v>4108</v>
      </c>
      <c r="B623" t="s">
        <v>25</v>
      </c>
      <c r="C623">
        <v>43729827</v>
      </c>
      <c r="D623">
        <v>0</v>
      </c>
      <c r="E623" t="s">
        <v>25</v>
      </c>
      <c r="F623" t="s">
        <v>26</v>
      </c>
      <c r="G623" t="s">
        <v>27</v>
      </c>
      <c r="H623" t="s">
        <v>4109</v>
      </c>
      <c r="I623" t="s">
        <v>4110</v>
      </c>
      <c r="J623" t="s">
        <v>26</v>
      </c>
      <c r="K623" t="s">
        <v>26</v>
      </c>
      <c r="L623" t="s">
        <v>4111</v>
      </c>
      <c r="M623" t="s">
        <v>25</v>
      </c>
      <c r="N623" t="s">
        <v>3680</v>
      </c>
      <c r="O623" t="s">
        <v>2355</v>
      </c>
      <c r="P623" t="s">
        <v>4081</v>
      </c>
      <c r="Q623" t="s">
        <v>4082</v>
      </c>
      <c r="R623">
        <v>256500</v>
      </c>
      <c r="S623">
        <v>0</v>
      </c>
      <c r="T623">
        <v>256500</v>
      </c>
      <c r="U623" t="s">
        <v>35</v>
      </c>
      <c r="V623" t="s">
        <v>2358</v>
      </c>
      <c r="W623" t="s">
        <v>4083</v>
      </c>
      <c r="X623" s="4">
        <v>1</v>
      </c>
      <c r="Y623" s="4"/>
      <c r="Z623">
        <f t="shared" si="36"/>
        <v>8</v>
      </c>
      <c r="AA623">
        <f t="shared" si="37"/>
        <v>19</v>
      </c>
      <c r="AB623" s="5">
        <f t="shared" si="38"/>
        <v>0.31019675925927004</v>
      </c>
      <c r="AC623" s="3">
        <f t="shared" si="39"/>
        <v>9.0254629627452232E-2</v>
      </c>
      <c r="AD623" t="str" cm="1">
        <f t="array" ref="AD623">IFERROR(_xlfn.IFS(
    AC623="", "",
    AC623*86400 &lt; 30, "1. 0s - &lt;30s",
    AC623*86400 &lt; 60, "2. 30s - &lt;1m",
    AC623*86400 &lt; 300, "3. 1m - &lt;5m",
    AC623*86400 &lt; 1800, "4. 5m - &lt;30m",
    TRUE, "5. &gt;= 30m"
),"6. Invalid (Order rejected)")</f>
        <v>5. &gt;= 30m</v>
      </c>
    </row>
    <row r="624" spans="1:30" hidden="1" x14ac:dyDescent="0.3">
      <c r="A624" t="s">
        <v>4112</v>
      </c>
      <c r="B624" t="s">
        <v>25</v>
      </c>
      <c r="C624">
        <v>43729827</v>
      </c>
      <c r="D624">
        <v>0</v>
      </c>
      <c r="E624" t="s">
        <v>25</v>
      </c>
      <c r="F624" t="s">
        <v>26</v>
      </c>
      <c r="G624" t="s">
        <v>27</v>
      </c>
      <c r="H624" t="s">
        <v>4113</v>
      </c>
      <c r="I624" t="s">
        <v>4114</v>
      </c>
      <c r="J624" t="s">
        <v>26</v>
      </c>
      <c r="K624" t="s">
        <v>26</v>
      </c>
      <c r="L624" t="s">
        <v>4115</v>
      </c>
      <c r="M624" t="s">
        <v>25</v>
      </c>
      <c r="N624" t="s">
        <v>2462</v>
      </c>
      <c r="O624" t="s">
        <v>4073</v>
      </c>
      <c r="P624" t="s">
        <v>4116</v>
      </c>
      <c r="Q624" t="s">
        <v>4117</v>
      </c>
      <c r="R624">
        <v>272484</v>
      </c>
      <c r="S624">
        <v>0</v>
      </c>
      <c r="T624">
        <v>272484</v>
      </c>
      <c r="U624" t="s">
        <v>35</v>
      </c>
      <c r="V624" t="s">
        <v>2464</v>
      </c>
      <c r="W624" t="s">
        <v>4118</v>
      </c>
      <c r="X624" s="4">
        <v>1</v>
      </c>
      <c r="Y624" s="4"/>
      <c r="Z624">
        <f t="shared" si="36"/>
        <v>8</v>
      </c>
      <c r="AA624">
        <f t="shared" si="37"/>
        <v>19</v>
      </c>
      <c r="AB624" s="5">
        <f t="shared" si="38"/>
        <v>0.31402777777839219</v>
      </c>
      <c r="AC624" s="3">
        <f t="shared" si="39"/>
        <v>9.0266203704231884E-2</v>
      </c>
      <c r="AD624" t="str" cm="1">
        <f t="array" ref="AD624">IFERROR(_xlfn.IFS(
    AC624="", "",
    AC624*86400 &lt; 30, "1. 0s - &lt;30s",
    AC624*86400 &lt; 60, "2. 30s - &lt;1m",
    AC624*86400 &lt; 300, "3. 1m - &lt;5m",
    AC624*86400 &lt; 1800, "4. 5m - &lt;30m",
    TRUE, "5. &gt;= 30m"
),"6. Invalid (Order rejected)")</f>
        <v>5. &gt;= 30m</v>
      </c>
    </row>
    <row r="625" spans="1:30" hidden="1" x14ac:dyDescent="0.3">
      <c r="A625" t="s">
        <v>4119</v>
      </c>
      <c r="B625" t="s">
        <v>25</v>
      </c>
      <c r="C625">
        <v>43729827</v>
      </c>
      <c r="D625">
        <v>0</v>
      </c>
      <c r="E625" t="s">
        <v>25</v>
      </c>
      <c r="F625" t="s">
        <v>26</v>
      </c>
      <c r="G625" t="s">
        <v>27</v>
      </c>
      <c r="H625" t="s">
        <v>4120</v>
      </c>
      <c r="I625" t="s">
        <v>4121</v>
      </c>
      <c r="J625" t="s">
        <v>26</v>
      </c>
      <c r="K625" t="s">
        <v>26</v>
      </c>
      <c r="L625" t="s">
        <v>4122</v>
      </c>
      <c r="M625" t="s">
        <v>25</v>
      </c>
      <c r="N625" t="s">
        <v>1911</v>
      </c>
      <c r="O625" t="s">
        <v>1912</v>
      </c>
      <c r="P625" t="s">
        <v>4027</v>
      </c>
      <c r="Q625" t="s">
        <v>4028</v>
      </c>
      <c r="R625">
        <v>297648</v>
      </c>
      <c r="S625">
        <v>0</v>
      </c>
      <c r="T625">
        <v>297648</v>
      </c>
      <c r="U625" t="s">
        <v>35</v>
      </c>
      <c r="V625" t="s">
        <v>1915</v>
      </c>
      <c r="W625" t="s">
        <v>4030</v>
      </c>
      <c r="X625" s="4">
        <v>1</v>
      </c>
      <c r="Y625" s="4"/>
      <c r="Z625">
        <f t="shared" si="36"/>
        <v>8</v>
      </c>
      <c r="AA625">
        <f t="shared" si="37"/>
        <v>19</v>
      </c>
      <c r="AB625" s="5">
        <f t="shared" si="38"/>
        <v>0.30934027778130258</v>
      </c>
      <c r="AC625" s="3">
        <f t="shared" si="39"/>
        <v>9.0254629627452232E-2</v>
      </c>
      <c r="AD625" t="str" cm="1">
        <f t="array" ref="AD625">IFERROR(_xlfn.IFS(
    AC625="", "",
    AC625*86400 &lt; 30, "1. 0s - &lt;30s",
    AC625*86400 &lt; 60, "2. 30s - &lt;1m",
    AC625*86400 &lt; 300, "3. 1m - &lt;5m",
    AC625*86400 &lt; 1800, "4. 5m - &lt;30m",
    TRUE, "5. &gt;= 30m"
),"6. Invalid (Order rejected)")</f>
        <v>5. &gt;= 30m</v>
      </c>
    </row>
    <row r="626" spans="1:30" hidden="1" x14ac:dyDescent="0.3">
      <c r="A626" t="s">
        <v>4123</v>
      </c>
      <c r="B626" t="s">
        <v>25</v>
      </c>
      <c r="C626">
        <v>43729827</v>
      </c>
      <c r="D626">
        <v>0</v>
      </c>
      <c r="E626" t="s">
        <v>25</v>
      </c>
      <c r="F626" t="s">
        <v>26</v>
      </c>
      <c r="G626" t="s">
        <v>27</v>
      </c>
      <c r="H626" t="s">
        <v>4124</v>
      </c>
      <c r="I626" t="s">
        <v>4125</v>
      </c>
      <c r="J626" t="s">
        <v>26</v>
      </c>
      <c r="K626" t="s">
        <v>26</v>
      </c>
      <c r="L626" t="s">
        <v>4126</v>
      </c>
      <c r="M626" t="s">
        <v>25</v>
      </c>
      <c r="N626" t="s">
        <v>3680</v>
      </c>
      <c r="O626" t="s">
        <v>2355</v>
      </c>
      <c r="P626" t="s">
        <v>2339</v>
      </c>
      <c r="Q626" t="s">
        <v>2340</v>
      </c>
      <c r="R626">
        <v>330156</v>
      </c>
      <c r="S626">
        <v>0</v>
      </c>
      <c r="T626">
        <v>330156</v>
      </c>
      <c r="U626" t="s">
        <v>35</v>
      </c>
      <c r="V626" t="s">
        <v>2358</v>
      </c>
      <c r="W626" t="s">
        <v>2341</v>
      </c>
      <c r="X626" s="4">
        <v>1</v>
      </c>
      <c r="Y626" s="4"/>
      <c r="Z626">
        <f t="shared" si="36"/>
        <v>8</v>
      </c>
      <c r="AA626">
        <f t="shared" si="37"/>
        <v>19</v>
      </c>
      <c r="AB626" s="5">
        <f t="shared" si="38"/>
        <v>0.309884259258979</v>
      </c>
      <c r="AC626" s="3">
        <f t="shared" si="39"/>
        <v>9.0254629627452232E-2</v>
      </c>
      <c r="AD626" t="str" cm="1">
        <f t="array" ref="AD626">IFERROR(_xlfn.IFS(
    AC626="", "",
    AC626*86400 &lt; 30, "1. 0s - &lt;30s",
    AC626*86400 &lt; 60, "2. 30s - &lt;1m",
    AC626*86400 &lt; 300, "3. 1m - &lt;5m",
    AC626*86400 &lt; 1800, "4. 5m - &lt;30m",
    TRUE, "5. &gt;= 30m"
),"6. Invalid (Order rejected)")</f>
        <v>5. &gt;= 30m</v>
      </c>
    </row>
    <row r="627" spans="1:30" hidden="1" x14ac:dyDescent="0.3">
      <c r="A627" t="s">
        <v>4127</v>
      </c>
      <c r="B627" t="s">
        <v>25</v>
      </c>
      <c r="C627">
        <v>43729827</v>
      </c>
      <c r="D627">
        <v>0</v>
      </c>
      <c r="E627" t="s">
        <v>25</v>
      </c>
      <c r="F627" t="s">
        <v>26</v>
      </c>
      <c r="G627" t="s">
        <v>27</v>
      </c>
      <c r="H627" t="s">
        <v>4128</v>
      </c>
      <c r="I627" t="s">
        <v>4129</v>
      </c>
      <c r="J627" t="s">
        <v>26</v>
      </c>
      <c r="K627" t="s">
        <v>26</v>
      </c>
      <c r="L627" t="s">
        <v>4130</v>
      </c>
      <c r="M627" t="s">
        <v>25</v>
      </c>
      <c r="N627" t="s">
        <v>4025</v>
      </c>
      <c r="O627" t="s">
        <v>4026</v>
      </c>
      <c r="P627" t="s">
        <v>4039</v>
      </c>
      <c r="Q627" t="s">
        <v>4040</v>
      </c>
      <c r="R627">
        <v>144288</v>
      </c>
      <c r="S627">
        <v>0</v>
      </c>
      <c r="T627">
        <v>144288</v>
      </c>
      <c r="U627" t="s">
        <v>35</v>
      </c>
      <c r="V627" t="s">
        <v>4029</v>
      </c>
      <c r="W627" t="s">
        <v>4041</v>
      </c>
      <c r="X627" s="4">
        <v>1</v>
      </c>
      <c r="Y627" s="4"/>
      <c r="Z627">
        <f t="shared" si="36"/>
        <v>8</v>
      </c>
      <c r="AA627">
        <f t="shared" si="37"/>
        <v>19</v>
      </c>
      <c r="AB627" s="5">
        <f t="shared" si="38"/>
        <v>0.30556712963152677</v>
      </c>
      <c r="AC627" s="3">
        <f t="shared" si="39"/>
        <v>0.15166666666482342</v>
      </c>
      <c r="AD627" t="str" cm="1">
        <f t="array" ref="AD627">IFERROR(_xlfn.IFS(
    AC627="", "",
    AC627*86400 &lt; 30, "1. 0s - &lt;30s",
    AC627*86400 &lt; 60, "2. 30s - &lt;1m",
    AC627*86400 &lt; 300, "3. 1m - &lt;5m",
    AC627*86400 &lt; 1800, "4. 5m - &lt;30m",
    TRUE, "5. &gt;= 30m"
),"6. Invalid (Order rejected)")</f>
        <v>5. &gt;= 30m</v>
      </c>
    </row>
    <row r="628" spans="1:30" hidden="1" x14ac:dyDescent="0.3">
      <c r="A628" t="s">
        <v>4131</v>
      </c>
      <c r="B628" t="s">
        <v>25</v>
      </c>
      <c r="C628">
        <v>43729827</v>
      </c>
      <c r="D628">
        <v>0</v>
      </c>
      <c r="E628" t="s">
        <v>25</v>
      </c>
      <c r="F628" t="s">
        <v>26</v>
      </c>
      <c r="G628" t="s">
        <v>27</v>
      </c>
      <c r="H628" t="s">
        <v>4132</v>
      </c>
      <c r="I628" t="s">
        <v>4133</v>
      </c>
      <c r="J628" t="s">
        <v>26</v>
      </c>
      <c r="K628" t="s">
        <v>26</v>
      </c>
      <c r="L628" t="s">
        <v>4134</v>
      </c>
      <c r="M628" t="s">
        <v>25</v>
      </c>
      <c r="N628" t="s">
        <v>4095</v>
      </c>
      <c r="O628" t="s">
        <v>4096</v>
      </c>
      <c r="P628" t="s">
        <v>4074</v>
      </c>
      <c r="Q628" t="s">
        <v>4075</v>
      </c>
      <c r="R628">
        <v>149472</v>
      </c>
      <c r="S628">
        <v>0</v>
      </c>
      <c r="T628">
        <v>149472</v>
      </c>
      <c r="U628" t="s">
        <v>35</v>
      </c>
      <c r="V628" t="s">
        <v>4099</v>
      </c>
      <c r="W628" t="s">
        <v>4076</v>
      </c>
      <c r="X628" s="4">
        <v>1</v>
      </c>
      <c r="Y628" s="4"/>
      <c r="Z628">
        <f t="shared" si="36"/>
        <v>8</v>
      </c>
      <c r="AA628">
        <f t="shared" si="37"/>
        <v>19</v>
      </c>
      <c r="AB628" s="5">
        <f t="shared" si="38"/>
        <v>0.30607638888614019</v>
      </c>
      <c r="AC628" s="3">
        <f t="shared" si="39"/>
        <v>9.0266203704231884E-2</v>
      </c>
      <c r="AD628" t="str" cm="1">
        <f t="array" ref="AD628">IFERROR(_xlfn.IFS(
    AC628="", "",
    AC628*86400 &lt; 30, "1. 0s - &lt;30s",
    AC628*86400 &lt; 60, "2. 30s - &lt;1m",
    AC628*86400 &lt; 300, "3. 1m - &lt;5m",
    AC628*86400 &lt; 1800, "4. 5m - &lt;30m",
    TRUE, "5. &gt;= 30m"
),"6. Invalid (Order rejected)")</f>
        <v>5. &gt;= 30m</v>
      </c>
    </row>
    <row r="629" spans="1:30" hidden="1" x14ac:dyDescent="0.3">
      <c r="A629" t="s">
        <v>4135</v>
      </c>
      <c r="B629" t="s">
        <v>25</v>
      </c>
      <c r="C629">
        <v>43729827</v>
      </c>
      <c r="D629">
        <v>0</v>
      </c>
      <c r="E629" t="s">
        <v>25</v>
      </c>
      <c r="F629" t="s">
        <v>26</v>
      </c>
      <c r="G629" t="s">
        <v>27</v>
      </c>
      <c r="H629" t="s">
        <v>4136</v>
      </c>
      <c r="I629" t="s">
        <v>4137</v>
      </c>
      <c r="J629" t="s">
        <v>26</v>
      </c>
      <c r="K629" t="s">
        <v>26</v>
      </c>
      <c r="L629" t="s">
        <v>4138</v>
      </c>
      <c r="M629" t="s">
        <v>25</v>
      </c>
      <c r="N629" t="s">
        <v>4139</v>
      </c>
      <c r="O629" t="s">
        <v>4140</v>
      </c>
      <c r="P629" t="s">
        <v>4088</v>
      </c>
      <c r="Q629" t="s">
        <v>4089</v>
      </c>
      <c r="R629">
        <v>297216</v>
      </c>
      <c r="S629">
        <v>0</v>
      </c>
      <c r="T629">
        <v>297216</v>
      </c>
      <c r="U629" t="s">
        <v>35</v>
      </c>
      <c r="V629" t="s">
        <v>4141</v>
      </c>
      <c r="W629" t="s">
        <v>4090</v>
      </c>
      <c r="X629" s="4">
        <v>1</v>
      </c>
      <c r="Y629" s="4"/>
      <c r="Z629">
        <f t="shared" si="36"/>
        <v>8</v>
      </c>
      <c r="AA629">
        <f t="shared" si="37"/>
        <v>19</v>
      </c>
      <c r="AB629" s="5">
        <f t="shared" si="38"/>
        <v>0.31287037036963739</v>
      </c>
      <c r="AC629" s="3">
        <f t="shared" si="39"/>
        <v>9.0254629627452232E-2</v>
      </c>
      <c r="AD629" t="str" cm="1">
        <f t="array" ref="AD629">IFERROR(_xlfn.IFS(
    AC629="", "",
    AC629*86400 &lt; 30, "1. 0s - &lt;30s",
    AC629*86400 &lt; 60, "2. 30s - &lt;1m",
    AC629*86400 &lt; 300, "3. 1m - &lt;5m",
    AC629*86400 &lt; 1800, "4. 5m - &lt;30m",
    TRUE, "5. &gt;= 30m"
),"6. Invalid (Order rejected)")</f>
        <v>5. &gt;= 30m</v>
      </c>
    </row>
    <row r="630" spans="1:30" hidden="1" x14ac:dyDescent="0.3">
      <c r="A630" t="s">
        <v>4142</v>
      </c>
      <c r="B630" t="s">
        <v>25</v>
      </c>
      <c r="C630">
        <v>43729827</v>
      </c>
      <c r="D630">
        <v>0</v>
      </c>
      <c r="E630" t="s">
        <v>25</v>
      </c>
      <c r="F630" t="s">
        <v>26</v>
      </c>
      <c r="G630" t="s">
        <v>27</v>
      </c>
      <c r="H630" t="s">
        <v>4143</v>
      </c>
      <c r="I630" t="s">
        <v>4144</v>
      </c>
      <c r="J630" t="s">
        <v>26</v>
      </c>
      <c r="K630" t="s">
        <v>26</v>
      </c>
      <c r="L630" t="s">
        <v>4145</v>
      </c>
      <c r="M630" t="s">
        <v>25</v>
      </c>
      <c r="N630" t="s">
        <v>4146</v>
      </c>
      <c r="O630" t="s">
        <v>4147</v>
      </c>
      <c r="P630" t="s">
        <v>4148</v>
      </c>
      <c r="Q630" t="s">
        <v>4149</v>
      </c>
      <c r="R630">
        <v>133164</v>
      </c>
      <c r="S630">
        <v>0</v>
      </c>
      <c r="T630">
        <v>133164</v>
      </c>
      <c r="U630" t="s">
        <v>35</v>
      </c>
      <c r="V630" t="s">
        <v>4150</v>
      </c>
      <c r="W630" t="s">
        <v>4151</v>
      </c>
      <c r="X630" s="4">
        <v>1</v>
      </c>
      <c r="Y630" s="4"/>
      <c r="Z630">
        <f t="shared" si="36"/>
        <v>8</v>
      </c>
      <c r="AA630">
        <f t="shared" si="37"/>
        <v>19</v>
      </c>
      <c r="AB630" s="5">
        <f t="shared" si="38"/>
        <v>0.31547453703387873</v>
      </c>
      <c r="AC630" s="3">
        <f t="shared" si="39"/>
        <v>9.0266203704231884E-2</v>
      </c>
      <c r="AD630" t="str" cm="1">
        <f t="array" ref="AD630">IFERROR(_xlfn.IFS(
    AC630="", "",
    AC630*86400 &lt; 30, "1. 0s - &lt;30s",
    AC630*86400 &lt; 60, "2. 30s - &lt;1m",
    AC630*86400 &lt; 300, "3. 1m - &lt;5m",
    AC630*86400 &lt; 1800, "4. 5m - &lt;30m",
    TRUE, "5. &gt;= 30m"
),"6. Invalid (Order rejected)")</f>
        <v>5. &gt;= 30m</v>
      </c>
    </row>
    <row r="631" spans="1:30" hidden="1" x14ac:dyDescent="0.3">
      <c r="A631" t="s">
        <v>4152</v>
      </c>
      <c r="B631" t="s">
        <v>25</v>
      </c>
      <c r="C631">
        <v>43729827</v>
      </c>
      <c r="D631">
        <v>0</v>
      </c>
      <c r="E631" t="s">
        <v>25</v>
      </c>
      <c r="F631" t="s">
        <v>26</v>
      </c>
      <c r="G631" t="s">
        <v>27</v>
      </c>
      <c r="H631" t="s">
        <v>4153</v>
      </c>
      <c r="I631" t="s">
        <v>4154</v>
      </c>
      <c r="J631" t="s">
        <v>26</v>
      </c>
      <c r="K631" t="s">
        <v>26</v>
      </c>
      <c r="L631" t="s">
        <v>4155</v>
      </c>
      <c r="M631" t="s">
        <v>25</v>
      </c>
      <c r="N631" t="s">
        <v>3796</v>
      </c>
      <c r="O631" t="s">
        <v>3797</v>
      </c>
      <c r="P631" t="s">
        <v>2339</v>
      </c>
      <c r="Q631" t="s">
        <v>2340</v>
      </c>
      <c r="R631">
        <v>294300</v>
      </c>
      <c r="S631">
        <v>0</v>
      </c>
      <c r="T631">
        <v>294300</v>
      </c>
      <c r="U631" t="s">
        <v>35</v>
      </c>
      <c r="V631" t="s">
        <v>3798</v>
      </c>
      <c r="W631" t="s">
        <v>2341</v>
      </c>
      <c r="X631" s="4">
        <v>1</v>
      </c>
      <c r="Y631" s="4"/>
      <c r="Z631">
        <f t="shared" si="36"/>
        <v>8</v>
      </c>
      <c r="AA631">
        <f t="shared" si="37"/>
        <v>19</v>
      </c>
      <c r="AB631" s="5">
        <f t="shared" si="38"/>
        <v>0.31734953703562496</v>
      </c>
      <c r="AC631" s="3">
        <f t="shared" si="39"/>
        <v>9.0266203704231884E-2</v>
      </c>
      <c r="AD631" t="str" cm="1">
        <f t="array" ref="AD631">IFERROR(_xlfn.IFS(
    AC631="", "",
    AC631*86400 &lt; 30, "1. 0s - &lt;30s",
    AC631*86400 &lt; 60, "2. 30s - &lt;1m",
    AC631*86400 &lt; 300, "3. 1m - &lt;5m",
    AC631*86400 &lt; 1800, "4. 5m - &lt;30m",
    TRUE, "5. &gt;= 30m"
),"6. Invalid (Order rejected)")</f>
        <v>5. &gt;= 30m</v>
      </c>
    </row>
    <row r="632" spans="1:30" hidden="1" x14ac:dyDescent="0.3">
      <c r="A632" t="s">
        <v>4156</v>
      </c>
      <c r="B632" t="s">
        <v>25</v>
      </c>
      <c r="C632">
        <v>43729827</v>
      </c>
      <c r="D632">
        <v>0</v>
      </c>
      <c r="E632" t="s">
        <v>25</v>
      </c>
      <c r="F632" t="s">
        <v>26</v>
      </c>
      <c r="G632" t="s">
        <v>27</v>
      </c>
      <c r="H632" t="s">
        <v>4157</v>
      </c>
      <c r="I632" t="s">
        <v>4158</v>
      </c>
      <c r="J632" t="s">
        <v>26</v>
      </c>
      <c r="K632" t="s">
        <v>26</v>
      </c>
      <c r="L632" t="s">
        <v>4159</v>
      </c>
      <c r="M632" t="s">
        <v>25</v>
      </c>
      <c r="N632" t="s">
        <v>4160</v>
      </c>
      <c r="O632" t="s">
        <v>4161</v>
      </c>
      <c r="P632" t="s">
        <v>4097</v>
      </c>
      <c r="Q632" t="s">
        <v>4098</v>
      </c>
      <c r="R632">
        <v>115128</v>
      </c>
      <c r="S632">
        <v>0</v>
      </c>
      <c r="T632">
        <v>115128</v>
      </c>
      <c r="U632" t="s">
        <v>35</v>
      </c>
      <c r="V632" t="s">
        <v>4162</v>
      </c>
      <c r="W632" t="s">
        <v>4100</v>
      </c>
      <c r="X632" s="4">
        <v>1</v>
      </c>
      <c r="Y632" s="4"/>
      <c r="Z632">
        <f t="shared" si="36"/>
        <v>8</v>
      </c>
      <c r="AA632">
        <f t="shared" si="37"/>
        <v>19</v>
      </c>
      <c r="AB632" s="5">
        <f t="shared" si="38"/>
        <v>0.31460648147913162</v>
      </c>
      <c r="AC632" s="3">
        <f t="shared" si="39"/>
        <v>9.0266203704231884E-2</v>
      </c>
      <c r="AD632" t="str" cm="1">
        <f t="array" ref="AD632">IFERROR(_xlfn.IFS(
    AC632="", "",
    AC632*86400 &lt; 30, "1. 0s - &lt;30s",
    AC632*86400 &lt; 60, "2. 30s - &lt;1m",
    AC632*86400 &lt; 300, "3. 1m - &lt;5m",
    AC632*86400 &lt; 1800, "4. 5m - &lt;30m",
    TRUE, "5. &gt;= 30m"
),"6. Invalid (Order rejected)")</f>
        <v>5. &gt;= 30m</v>
      </c>
    </row>
    <row r="633" spans="1:30" hidden="1" x14ac:dyDescent="0.3">
      <c r="A633" t="s">
        <v>4163</v>
      </c>
      <c r="B633" t="s">
        <v>25</v>
      </c>
      <c r="C633">
        <v>43729827</v>
      </c>
      <c r="D633">
        <v>0</v>
      </c>
      <c r="E633" t="s">
        <v>25</v>
      </c>
      <c r="F633" t="s">
        <v>26</v>
      </c>
      <c r="G633" t="s">
        <v>27</v>
      </c>
      <c r="H633" t="s">
        <v>4164</v>
      </c>
      <c r="I633" t="s">
        <v>4165</v>
      </c>
      <c r="J633" t="s">
        <v>26</v>
      </c>
      <c r="K633" t="s">
        <v>26</v>
      </c>
      <c r="L633" t="s">
        <v>4166</v>
      </c>
      <c r="M633" t="s">
        <v>25</v>
      </c>
      <c r="N633" t="s">
        <v>4160</v>
      </c>
      <c r="O633" t="s">
        <v>4161</v>
      </c>
      <c r="P633" t="s">
        <v>4105</v>
      </c>
      <c r="Q633" t="s">
        <v>4106</v>
      </c>
      <c r="R633">
        <v>156060</v>
      </c>
      <c r="S633">
        <v>0</v>
      </c>
      <c r="T633">
        <v>156060</v>
      </c>
      <c r="U633" t="s">
        <v>35</v>
      </c>
      <c r="V633" t="s">
        <v>4162</v>
      </c>
      <c r="W633" t="s">
        <v>4107</v>
      </c>
      <c r="X633" s="4">
        <v>1</v>
      </c>
      <c r="Y633" s="4"/>
      <c r="Z633">
        <f t="shared" si="36"/>
        <v>8</v>
      </c>
      <c r="AA633">
        <f t="shared" si="37"/>
        <v>19</v>
      </c>
      <c r="AB633" s="5">
        <f t="shared" si="38"/>
        <v>0.31475694444088731</v>
      </c>
      <c r="AC633" s="3">
        <f t="shared" si="39"/>
        <v>9.0266203704231884E-2</v>
      </c>
      <c r="AD633" t="str" cm="1">
        <f t="array" ref="AD633">IFERROR(_xlfn.IFS(
    AC633="", "",
    AC633*86400 &lt; 30, "1. 0s - &lt;30s",
    AC633*86400 &lt; 60, "2. 30s - &lt;1m",
    AC633*86400 &lt; 300, "3. 1m - &lt;5m",
    AC633*86400 &lt; 1800, "4. 5m - &lt;30m",
    TRUE, "5. &gt;= 30m"
),"6. Invalid (Order rejected)")</f>
        <v>5. &gt;= 30m</v>
      </c>
    </row>
    <row r="634" spans="1:30" hidden="1" x14ac:dyDescent="0.3">
      <c r="A634" t="s">
        <v>4167</v>
      </c>
      <c r="B634" t="s">
        <v>25</v>
      </c>
      <c r="C634">
        <v>43729827</v>
      </c>
      <c r="D634">
        <v>0</v>
      </c>
      <c r="E634" t="s">
        <v>25</v>
      </c>
      <c r="F634" t="s">
        <v>26</v>
      </c>
      <c r="G634" t="s">
        <v>27</v>
      </c>
      <c r="H634" t="s">
        <v>4168</v>
      </c>
      <c r="I634" t="s">
        <v>4169</v>
      </c>
      <c r="J634" t="s">
        <v>26</v>
      </c>
      <c r="K634" t="s">
        <v>26</v>
      </c>
      <c r="L634" t="s">
        <v>4170</v>
      </c>
      <c r="M634" t="s">
        <v>25</v>
      </c>
      <c r="N634" t="s">
        <v>3803</v>
      </c>
      <c r="O634" t="s">
        <v>2493</v>
      </c>
      <c r="P634" t="s">
        <v>2339</v>
      </c>
      <c r="Q634" t="s">
        <v>2340</v>
      </c>
      <c r="R634">
        <v>219780</v>
      </c>
      <c r="S634">
        <v>0</v>
      </c>
      <c r="T634">
        <v>219780</v>
      </c>
      <c r="U634" t="s">
        <v>35</v>
      </c>
      <c r="V634" t="s">
        <v>2494</v>
      </c>
      <c r="W634" t="s">
        <v>2341</v>
      </c>
      <c r="X634" s="4">
        <v>1</v>
      </c>
      <c r="Y634" s="4"/>
      <c r="Z634">
        <f t="shared" si="36"/>
        <v>8</v>
      </c>
      <c r="AA634">
        <f t="shared" si="37"/>
        <v>19</v>
      </c>
      <c r="AB634" s="5">
        <f t="shared" si="38"/>
        <v>0.32062500000029104</v>
      </c>
      <c r="AC634" s="3">
        <f t="shared" si="39"/>
        <v>9.0266203704231884E-2</v>
      </c>
      <c r="AD634" t="str" cm="1">
        <f t="array" ref="AD634">IFERROR(_xlfn.IFS(
    AC634="", "",
    AC634*86400 &lt; 30, "1. 0s - &lt;30s",
    AC634*86400 &lt; 60, "2. 30s - &lt;1m",
    AC634*86400 &lt; 300, "3. 1m - &lt;5m",
    AC634*86400 &lt; 1800, "4. 5m - &lt;30m",
    TRUE, "5. &gt;= 30m"
),"6. Invalid (Order rejected)")</f>
        <v>5. &gt;= 30m</v>
      </c>
    </row>
    <row r="635" spans="1:30" hidden="1" x14ac:dyDescent="0.3">
      <c r="A635" t="s">
        <v>4171</v>
      </c>
      <c r="B635" t="s">
        <v>25</v>
      </c>
      <c r="C635">
        <v>43729827</v>
      </c>
      <c r="D635">
        <v>0</v>
      </c>
      <c r="E635" t="s">
        <v>25</v>
      </c>
      <c r="F635" t="s">
        <v>26</v>
      </c>
      <c r="G635" t="s">
        <v>27</v>
      </c>
      <c r="H635" t="s">
        <v>4172</v>
      </c>
      <c r="I635" t="s">
        <v>4173</v>
      </c>
      <c r="J635" t="s">
        <v>26</v>
      </c>
      <c r="K635" t="s">
        <v>26</v>
      </c>
      <c r="L635" t="s">
        <v>4174</v>
      </c>
      <c r="M635" t="s">
        <v>25</v>
      </c>
      <c r="N635" t="s">
        <v>3803</v>
      </c>
      <c r="O635" t="s">
        <v>2493</v>
      </c>
      <c r="P635" t="s">
        <v>4175</v>
      </c>
      <c r="Q635" t="s">
        <v>4176</v>
      </c>
      <c r="R635">
        <v>221724</v>
      </c>
      <c r="S635">
        <v>0</v>
      </c>
      <c r="T635">
        <v>221724</v>
      </c>
      <c r="U635" t="s">
        <v>35</v>
      </c>
      <c r="V635" t="s">
        <v>2494</v>
      </c>
      <c r="W635" t="s">
        <v>4177</v>
      </c>
      <c r="X635" s="4">
        <v>1</v>
      </c>
      <c r="Y635" s="4"/>
      <c r="Z635">
        <f t="shared" si="36"/>
        <v>8</v>
      </c>
      <c r="AA635">
        <f t="shared" si="37"/>
        <v>19</v>
      </c>
      <c r="AB635" s="5">
        <f t="shared" si="38"/>
        <v>0.32049768518481869</v>
      </c>
      <c r="AC635" s="3">
        <f t="shared" si="39"/>
        <v>0.17995370370044839</v>
      </c>
      <c r="AD635" t="str" cm="1">
        <f t="array" ref="AD635">IFERROR(_xlfn.IFS(
    AC635="", "",
    AC635*86400 &lt; 30, "1. 0s - &lt;30s",
    AC635*86400 &lt; 60, "2. 30s - &lt;1m",
    AC635*86400 &lt; 300, "3. 1m - &lt;5m",
    AC635*86400 &lt; 1800, "4. 5m - &lt;30m",
    TRUE, "5. &gt;= 30m"
),"6. Invalid (Order rejected)")</f>
        <v>5. &gt;= 30m</v>
      </c>
    </row>
    <row r="636" spans="1:30" x14ac:dyDescent="0.3">
      <c r="A636" t="s">
        <v>4178</v>
      </c>
      <c r="B636" t="s">
        <v>25</v>
      </c>
      <c r="C636">
        <v>43729827</v>
      </c>
      <c r="D636">
        <v>1551753</v>
      </c>
      <c r="E636" t="s">
        <v>25</v>
      </c>
      <c r="F636" t="s">
        <v>75</v>
      </c>
      <c r="G636" t="s">
        <v>360</v>
      </c>
      <c r="H636" t="s">
        <v>4179</v>
      </c>
      <c r="I636" t="s">
        <v>4180</v>
      </c>
      <c r="J636" t="s">
        <v>4181</v>
      </c>
      <c r="K636" t="s">
        <v>26</v>
      </c>
      <c r="L636" t="s">
        <v>25</v>
      </c>
      <c r="M636" t="s">
        <v>25</v>
      </c>
      <c r="N636" t="s">
        <v>4182</v>
      </c>
      <c r="O636" t="s">
        <v>4183</v>
      </c>
      <c r="P636" t="s">
        <v>4116</v>
      </c>
      <c r="Q636" t="s">
        <v>4117</v>
      </c>
      <c r="R636">
        <v>255312</v>
      </c>
      <c r="S636">
        <v>197926</v>
      </c>
      <c r="T636">
        <v>57386</v>
      </c>
      <c r="U636" t="s">
        <v>35</v>
      </c>
      <c r="V636" t="s">
        <v>4184</v>
      </c>
      <c r="W636" t="s">
        <v>4118</v>
      </c>
      <c r="X636" s="4">
        <v>1</v>
      </c>
      <c r="Y636" s="4"/>
      <c r="Z636">
        <f t="shared" si="36"/>
        <v>8</v>
      </c>
      <c r="AA636">
        <f t="shared" si="37"/>
        <v>19</v>
      </c>
      <c r="AB636" s="5">
        <f t="shared" si="38"/>
        <v>0.3214814814782585</v>
      </c>
      <c r="AC636" s="3" t="str">
        <f t="shared" si="39"/>
        <v>Order rejected, no time available</v>
      </c>
      <c r="AD636" t="str" cm="1">
        <f t="array" ref="AD636">IFERROR(_xlfn.IFS(
    AC636="", "",
    AC636*86400 &lt; 30, "1. 0s - &lt;30s",
    AC636*86400 &lt; 60, "2. 30s - &lt;1m",
    AC636*86400 &lt; 300, "3. 1m - &lt;5m",
    AC636*86400 &lt; 1800, "4. 5m - &lt;30m",
    TRUE, "5. &gt;= 30m"
),"6. Invalid (Order rejected)")</f>
        <v>6. Invalid (Order rejected)</v>
      </c>
    </row>
    <row r="637" spans="1:30" hidden="1" x14ac:dyDescent="0.3">
      <c r="A637" t="s">
        <v>4185</v>
      </c>
      <c r="B637" t="s">
        <v>25</v>
      </c>
      <c r="C637">
        <v>43729827</v>
      </c>
      <c r="D637">
        <v>0</v>
      </c>
      <c r="E637" t="s">
        <v>25</v>
      </c>
      <c r="F637" t="s">
        <v>26</v>
      </c>
      <c r="G637" t="s">
        <v>27</v>
      </c>
      <c r="H637" t="s">
        <v>4186</v>
      </c>
      <c r="I637" t="s">
        <v>4187</v>
      </c>
      <c r="J637" t="s">
        <v>26</v>
      </c>
      <c r="K637" t="s">
        <v>26</v>
      </c>
      <c r="L637" t="s">
        <v>4188</v>
      </c>
      <c r="M637" t="s">
        <v>25</v>
      </c>
      <c r="N637" t="s">
        <v>3834</v>
      </c>
      <c r="O637" t="s">
        <v>3835</v>
      </c>
      <c r="P637" t="s">
        <v>4058</v>
      </c>
      <c r="Q637" t="s">
        <v>4059</v>
      </c>
      <c r="R637">
        <v>204444</v>
      </c>
      <c r="S637">
        <v>0</v>
      </c>
      <c r="T637">
        <v>204444</v>
      </c>
      <c r="U637" t="s">
        <v>35</v>
      </c>
      <c r="V637" t="s">
        <v>3838</v>
      </c>
      <c r="W637" t="s">
        <v>4061</v>
      </c>
      <c r="X637" s="4">
        <v>1</v>
      </c>
      <c r="Y637" s="4"/>
      <c r="Z637">
        <f t="shared" si="36"/>
        <v>8</v>
      </c>
      <c r="AA637">
        <f t="shared" si="37"/>
        <v>19</v>
      </c>
      <c r="AB637" s="5">
        <f t="shared" si="38"/>
        <v>0.32243055555591127</v>
      </c>
      <c r="AC637" s="3">
        <f t="shared" si="39"/>
        <v>9.0266203704231884E-2</v>
      </c>
      <c r="AD637" t="str" cm="1">
        <f t="array" ref="AD637">IFERROR(_xlfn.IFS(
    AC637="", "",
    AC637*86400 &lt; 30, "1. 0s - &lt;30s",
    AC637*86400 &lt; 60, "2. 30s - &lt;1m",
    AC637*86400 &lt; 300, "3. 1m - &lt;5m",
    AC637*86400 &lt; 1800, "4. 5m - &lt;30m",
    TRUE, "5. &gt;= 30m"
),"6. Invalid (Order rejected)")</f>
        <v>5. &gt;= 30m</v>
      </c>
    </row>
    <row r="638" spans="1:30" x14ac:dyDescent="0.3">
      <c r="A638" t="s">
        <v>4189</v>
      </c>
      <c r="B638" t="s">
        <v>25</v>
      </c>
      <c r="C638">
        <v>43729827</v>
      </c>
      <c r="D638">
        <v>4687308</v>
      </c>
      <c r="E638" t="s">
        <v>25</v>
      </c>
      <c r="F638" t="s">
        <v>75</v>
      </c>
      <c r="G638" t="s">
        <v>360</v>
      </c>
      <c r="H638" t="s">
        <v>4190</v>
      </c>
      <c r="I638" t="s">
        <v>4191</v>
      </c>
      <c r="J638" t="s">
        <v>4192</v>
      </c>
      <c r="K638" t="s">
        <v>26</v>
      </c>
      <c r="L638" t="s">
        <v>25</v>
      </c>
      <c r="M638" t="s">
        <v>25</v>
      </c>
      <c r="N638" t="s">
        <v>4193</v>
      </c>
      <c r="O638" t="s">
        <v>4194</v>
      </c>
      <c r="P638" t="s">
        <v>2603</v>
      </c>
      <c r="Q638" t="s">
        <v>3874</v>
      </c>
      <c r="R638">
        <v>106272</v>
      </c>
      <c r="S638">
        <v>82385</v>
      </c>
      <c r="T638">
        <v>23887</v>
      </c>
      <c r="U638" t="s">
        <v>35</v>
      </c>
      <c r="V638" t="s">
        <v>4195</v>
      </c>
      <c r="W638" t="s">
        <v>2606</v>
      </c>
      <c r="X638" s="4">
        <v>1</v>
      </c>
      <c r="Y638" s="4"/>
      <c r="Z638">
        <f t="shared" si="36"/>
        <v>8</v>
      </c>
      <c r="AA638">
        <f t="shared" si="37"/>
        <v>19</v>
      </c>
      <c r="AB638" s="5">
        <f t="shared" si="38"/>
        <v>0.32333333333372138</v>
      </c>
      <c r="AC638" s="3" t="str">
        <f t="shared" si="39"/>
        <v>Order rejected, no time available</v>
      </c>
      <c r="AD638" t="str" cm="1">
        <f t="array" ref="AD638">IFERROR(_xlfn.IFS(
    AC638="", "",
    AC638*86400 &lt; 30, "1. 0s - &lt;30s",
    AC638*86400 &lt; 60, "2. 30s - &lt;1m",
    AC638*86400 &lt; 300, "3. 1m - &lt;5m",
    AC638*86400 &lt; 1800, "4. 5m - &lt;30m",
    TRUE, "5. &gt;= 30m"
),"6. Invalid (Order rejected)")</f>
        <v>6. Invalid (Order rejected)</v>
      </c>
    </row>
    <row r="639" spans="1:30" x14ac:dyDescent="0.3">
      <c r="A639" t="s">
        <v>4196</v>
      </c>
      <c r="B639" t="s">
        <v>25</v>
      </c>
      <c r="C639">
        <v>43729827</v>
      </c>
      <c r="D639">
        <v>3840478</v>
      </c>
      <c r="E639" t="s">
        <v>25</v>
      </c>
      <c r="F639" t="s">
        <v>75</v>
      </c>
      <c r="G639" t="s">
        <v>360</v>
      </c>
      <c r="H639" t="s">
        <v>4197</v>
      </c>
      <c r="I639" t="s">
        <v>4198</v>
      </c>
      <c r="J639" t="s">
        <v>4199</v>
      </c>
      <c r="K639" t="s">
        <v>26</v>
      </c>
      <c r="L639" t="s">
        <v>25</v>
      </c>
      <c r="M639" t="s">
        <v>25</v>
      </c>
      <c r="N639" t="s">
        <v>3843</v>
      </c>
      <c r="O639" t="s">
        <v>4200</v>
      </c>
      <c r="P639" t="s">
        <v>4201</v>
      </c>
      <c r="Q639" t="s">
        <v>4202</v>
      </c>
      <c r="R639">
        <v>100656</v>
      </c>
      <c r="S639">
        <v>78032</v>
      </c>
      <c r="T639">
        <v>22624</v>
      </c>
      <c r="U639" t="s">
        <v>35</v>
      </c>
      <c r="V639" t="s">
        <v>3847</v>
      </c>
      <c r="W639" t="s">
        <v>4203</v>
      </c>
      <c r="X639" s="4">
        <v>1</v>
      </c>
      <c r="Y639" s="4"/>
      <c r="Z639">
        <f t="shared" si="36"/>
        <v>8</v>
      </c>
      <c r="AA639">
        <f t="shared" si="37"/>
        <v>19</v>
      </c>
      <c r="AB639" s="5">
        <f t="shared" si="38"/>
        <v>0.32393518518802011</v>
      </c>
      <c r="AC639" s="3" t="str">
        <f t="shared" si="39"/>
        <v>Order rejected, no time available</v>
      </c>
      <c r="AD639" t="str" cm="1">
        <f t="array" ref="AD639">IFERROR(_xlfn.IFS(
    AC639="", "",
    AC639*86400 &lt; 30, "1. 0s - &lt;30s",
    AC639*86400 &lt; 60, "2. 30s - &lt;1m",
    AC639*86400 &lt; 300, "3. 1m - &lt;5m",
    AC639*86400 &lt; 1800, "4. 5m - &lt;30m",
    TRUE, "5. &gt;= 30m"
),"6. Invalid (Order rejected)")</f>
        <v>6. Invalid (Order rejected)</v>
      </c>
    </row>
    <row r="640" spans="1:30" hidden="1" x14ac:dyDescent="0.3">
      <c r="A640" t="s">
        <v>4204</v>
      </c>
      <c r="B640" t="s">
        <v>25</v>
      </c>
      <c r="C640">
        <v>43729827</v>
      </c>
      <c r="D640">
        <v>0</v>
      </c>
      <c r="E640" t="s">
        <v>25</v>
      </c>
      <c r="F640" t="s">
        <v>26</v>
      </c>
      <c r="G640" t="s">
        <v>27</v>
      </c>
      <c r="H640" t="s">
        <v>4205</v>
      </c>
      <c r="I640" t="s">
        <v>4206</v>
      </c>
      <c r="J640" t="s">
        <v>26</v>
      </c>
      <c r="K640" t="s">
        <v>26</v>
      </c>
      <c r="L640" t="s">
        <v>4207</v>
      </c>
      <c r="M640" t="s">
        <v>25</v>
      </c>
      <c r="N640" t="s">
        <v>3834</v>
      </c>
      <c r="O640" t="s">
        <v>3835</v>
      </c>
      <c r="P640" t="s">
        <v>4208</v>
      </c>
      <c r="Q640" t="s">
        <v>4209</v>
      </c>
      <c r="R640">
        <v>226260</v>
      </c>
      <c r="S640">
        <v>0</v>
      </c>
      <c r="T640">
        <v>226260</v>
      </c>
      <c r="U640" t="s">
        <v>35</v>
      </c>
      <c r="V640" t="s">
        <v>3838</v>
      </c>
      <c r="W640" t="s">
        <v>4210</v>
      </c>
      <c r="X640" s="4">
        <v>1</v>
      </c>
      <c r="Y640" s="4"/>
      <c r="Z640">
        <f t="shared" si="36"/>
        <v>8</v>
      </c>
      <c r="AA640">
        <f t="shared" si="37"/>
        <v>19</v>
      </c>
      <c r="AB640" s="5">
        <f t="shared" si="38"/>
        <v>0.32258101851766696</v>
      </c>
      <c r="AC640" s="3">
        <f t="shared" si="39"/>
        <v>9.0254629627452232E-2</v>
      </c>
      <c r="AD640" t="str" cm="1">
        <f t="array" ref="AD640">IFERROR(_xlfn.IFS(
    AC640="", "",
    AC640*86400 &lt; 30, "1. 0s - &lt;30s",
    AC640*86400 &lt; 60, "2. 30s - &lt;1m",
    AC640*86400 &lt; 300, "3. 1m - &lt;5m",
    AC640*86400 &lt; 1800, "4. 5m - &lt;30m",
    TRUE, "5. &gt;= 30m"
),"6. Invalid (Order rejected)")</f>
        <v>5. &gt;= 30m</v>
      </c>
    </row>
    <row r="641" spans="1:30" hidden="1" x14ac:dyDescent="0.3">
      <c r="A641" t="s">
        <v>4211</v>
      </c>
      <c r="B641" t="s">
        <v>25</v>
      </c>
      <c r="C641">
        <v>43729827</v>
      </c>
      <c r="D641">
        <v>0</v>
      </c>
      <c r="E641" t="s">
        <v>25</v>
      </c>
      <c r="F641" t="s">
        <v>26</v>
      </c>
      <c r="G641" t="s">
        <v>27</v>
      </c>
      <c r="H641" t="s">
        <v>4212</v>
      </c>
      <c r="I641" t="s">
        <v>4213</v>
      </c>
      <c r="J641" t="s">
        <v>26</v>
      </c>
      <c r="K641" t="s">
        <v>26</v>
      </c>
      <c r="L641" t="s">
        <v>4214</v>
      </c>
      <c r="M641" t="s">
        <v>25</v>
      </c>
      <c r="N641" t="s">
        <v>3796</v>
      </c>
      <c r="O641" t="s">
        <v>3797</v>
      </c>
      <c r="P641" t="s">
        <v>4116</v>
      </c>
      <c r="Q641" t="s">
        <v>4117</v>
      </c>
      <c r="R641">
        <v>268920</v>
      </c>
      <c r="S641">
        <v>0</v>
      </c>
      <c r="T641">
        <v>268920</v>
      </c>
      <c r="U641" t="s">
        <v>35</v>
      </c>
      <c r="V641" t="s">
        <v>3798</v>
      </c>
      <c r="W641" t="s">
        <v>4118</v>
      </c>
      <c r="X641" s="4">
        <v>1</v>
      </c>
      <c r="Y641" s="4"/>
      <c r="Z641">
        <f t="shared" si="36"/>
        <v>8</v>
      </c>
      <c r="AA641">
        <f t="shared" si="37"/>
        <v>19</v>
      </c>
      <c r="AB641" s="5">
        <f t="shared" si="38"/>
        <v>0.31785879629751435</v>
      </c>
      <c r="AC641" s="3">
        <f t="shared" si="39"/>
        <v>9.0254629627452232E-2</v>
      </c>
      <c r="AD641" t="str" cm="1">
        <f t="array" ref="AD641">IFERROR(_xlfn.IFS(
    AC641="", "",
    AC641*86400 &lt; 30, "1. 0s - &lt;30s",
    AC641*86400 &lt; 60, "2. 30s - &lt;1m",
    AC641*86400 &lt; 300, "3. 1m - &lt;5m",
    AC641*86400 &lt; 1800, "4. 5m - &lt;30m",
    TRUE, "5. &gt;= 30m"
),"6. Invalid (Order rejected)")</f>
        <v>5. &gt;= 30m</v>
      </c>
    </row>
    <row r="642" spans="1:30" x14ac:dyDescent="0.3">
      <c r="A642" t="s">
        <v>4215</v>
      </c>
      <c r="B642" t="s">
        <v>25</v>
      </c>
      <c r="C642">
        <v>43729827</v>
      </c>
      <c r="D642">
        <v>1732058</v>
      </c>
      <c r="E642" t="s">
        <v>25</v>
      </c>
      <c r="F642" t="s">
        <v>75</v>
      </c>
      <c r="G642" t="s">
        <v>360</v>
      </c>
      <c r="H642" t="s">
        <v>4216</v>
      </c>
      <c r="I642" t="s">
        <v>4217</v>
      </c>
      <c r="J642" t="s">
        <v>4218</v>
      </c>
      <c r="K642" t="s">
        <v>26</v>
      </c>
      <c r="L642" t="s">
        <v>25</v>
      </c>
      <c r="M642" t="s">
        <v>25</v>
      </c>
      <c r="N642" t="s">
        <v>4219</v>
      </c>
      <c r="O642" t="s">
        <v>1114</v>
      </c>
      <c r="P642" t="s">
        <v>4105</v>
      </c>
      <c r="Q642" t="s">
        <v>4106</v>
      </c>
      <c r="R642">
        <v>149472</v>
      </c>
      <c r="S642">
        <v>115875</v>
      </c>
      <c r="T642">
        <v>33597</v>
      </c>
      <c r="U642" t="s">
        <v>35</v>
      </c>
      <c r="V642" t="s">
        <v>1115</v>
      </c>
      <c r="W642" t="s">
        <v>4107</v>
      </c>
      <c r="X642" s="4">
        <v>1</v>
      </c>
      <c r="Y642" s="4"/>
      <c r="Z642">
        <f t="shared" si="36"/>
        <v>8</v>
      </c>
      <c r="AA642">
        <f t="shared" si="37"/>
        <v>19</v>
      </c>
      <c r="AB642" s="5">
        <f t="shared" si="38"/>
        <v>0.31877314814482816</v>
      </c>
      <c r="AC642" s="3" t="str">
        <f t="shared" si="39"/>
        <v>Order rejected, no time available</v>
      </c>
      <c r="AD642" t="str" cm="1">
        <f t="array" ref="AD642">IFERROR(_xlfn.IFS(
    AC642="", "",
    AC642*86400 &lt; 30, "1. 0s - &lt;30s",
    AC642*86400 &lt; 60, "2. 30s - &lt;1m",
    AC642*86400 &lt; 300, "3. 1m - &lt;5m",
    AC642*86400 &lt; 1800, "4. 5m - &lt;30m",
    TRUE, "5. &gt;= 30m"
),"6. Invalid (Order rejected)")</f>
        <v>6. Invalid (Order rejected)</v>
      </c>
    </row>
    <row r="643" spans="1:30" hidden="1" x14ac:dyDescent="0.3">
      <c r="A643" t="s">
        <v>4220</v>
      </c>
      <c r="B643" t="s">
        <v>25</v>
      </c>
      <c r="C643">
        <v>43729827</v>
      </c>
      <c r="D643">
        <v>0</v>
      </c>
      <c r="E643" t="s">
        <v>25</v>
      </c>
      <c r="F643" t="s">
        <v>26</v>
      </c>
      <c r="G643" t="s">
        <v>27</v>
      </c>
      <c r="H643" t="s">
        <v>4221</v>
      </c>
      <c r="I643" t="s">
        <v>4222</v>
      </c>
      <c r="J643" t="s">
        <v>26</v>
      </c>
      <c r="K643" t="s">
        <v>26</v>
      </c>
      <c r="L643" t="s">
        <v>4223</v>
      </c>
      <c r="M643" t="s">
        <v>25</v>
      </c>
      <c r="N643" t="s">
        <v>4193</v>
      </c>
      <c r="O643" t="s">
        <v>4194</v>
      </c>
      <c r="P643" t="s">
        <v>89</v>
      </c>
      <c r="Q643" t="s">
        <v>90</v>
      </c>
      <c r="R643">
        <v>150552</v>
      </c>
      <c r="S643">
        <v>0</v>
      </c>
      <c r="T643">
        <v>150552</v>
      </c>
      <c r="U643" t="s">
        <v>35</v>
      </c>
      <c r="V643" t="s">
        <v>4195</v>
      </c>
      <c r="W643" t="s">
        <v>91</v>
      </c>
      <c r="X643" s="4">
        <v>1</v>
      </c>
      <c r="Y643" s="4"/>
      <c r="Z643">
        <f t="shared" ref="Z643:Z706" si="40">MONTH(H643)</f>
        <v>8</v>
      </c>
      <c r="AA643">
        <f t="shared" ref="AA643:AA706" si="41">DAY(H643)</f>
        <v>19</v>
      </c>
      <c r="AB643" s="5">
        <f t="shared" ref="AB643:AB706" si="42">MOD(H643, 1)</f>
        <v>0.32284722222539131</v>
      </c>
      <c r="AC643" s="3">
        <f t="shared" ref="AC643:AC706" si="43">IFERROR(IF(M643="",L643-H643,M643-H643),"Order rejected, no time available")</f>
        <v>9.0254629627452232E-2</v>
      </c>
      <c r="AD643" t="str" cm="1">
        <f t="array" ref="AD643">IFERROR(_xlfn.IFS(
    AC643="", "",
    AC643*86400 &lt; 30, "1. 0s - &lt;30s",
    AC643*86400 &lt; 60, "2. 30s - &lt;1m",
    AC643*86400 &lt; 300, "3. 1m - &lt;5m",
    AC643*86400 &lt; 1800, "4. 5m - &lt;30m",
    TRUE, "5. &gt;= 30m"
),"6. Invalid (Order rejected)")</f>
        <v>5. &gt;= 30m</v>
      </c>
    </row>
    <row r="644" spans="1:30" x14ac:dyDescent="0.3">
      <c r="A644" t="s">
        <v>4224</v>
      </c>
      <c r="B644" t="s">
        <v>3229</v>
      </c>
      <c r="C644">
        <v>13373294</v>
      </c>
      <c r="D644">
        <v>3303823</v>
      </c>
      <c r="E644" t="s">
        <v>25</v>
      </c>
      <c r="F644" t="s">
        <v>75</v>
      </c>
      <c r="G644" t="s">
        <v>360</v>
      </c>
      <c r="H644" t="s">
        <v>4225</v>
      </c>
      <c r="I644" t="s">
        <v>4226</v>
      </c>
      <c r="J644" t="s">
        <v>4227</v>
      </c>
      <c r="K644" t="s">
        <v>26</v>
      </c>
      <c r="L644" t="s">
        <v>25</v>
      </c>
      <c r="M644" t="s">
        <v>25</v>
      </c>
      <c r="N644" t="s">
        <v>3643</v>
      </c>
      <c r="O644" t="s">
        <v>3644</v>
      </c>
      <c r="P644" t="s">
        <v>4228</v>
      </c>
      <c r="Q644" t="s">
        <v>4229</v>
      </c>
      <c r="R644">
        <v>234576</v>
      </c>
      <c r="S644">
        <v>181851</v>
      </c>
      <c r="T644">
        <v>52725</v>
      </c>
      <c r="U644" t="s">
        <v>35</v>
      </c>
      <c r="V644" t="s">
        <v>3647</v>
      </c>
      <c r="W644" t="s">
        <v>4230</v>
      </c>
      <c r="X644" s="4">
        <v>1</v>
      </c>
      <c r="Y644" s="4"/>
      <c r="Z644">
        <f t="shared" si="40"/>
        <v>8</v>
      </c>
      <c r="AA644">
        <f t="shared" si="41"/>
        <v>19</v>
      </c>
      <c r="AB644" s="5">
        <f t="shared" si="42"/>
        <v>0.32511574074305827</v>
      </c>
      <c r="AC644" s="3" t="str">
        <f t="shared" si="43"/>
        <v>Order rejected, no time available</v>
      </c>
      <c r="AD644" t="str" cm="1">
        <f t="array" ref="AD644">IFERROR(_xlfn.IFS(
    AC644="", "",
    AC644*86400 &lt; 30, "1. 0s - &lt;30s",
    AC644*86400 &lt; 60, "2. 30s - &lt;1m",
    AC644*86400 &lt; 300, "3. 1m - &lt;5m",
    AC644*86400 &lt; 1800, "4. 5m - &lt;30m",
    TRUE, "5. &gt;= 30m"
),"6. Invalid (Order rejected)")</f>
        <v>6. Invalid (Order rejected)</v>
      </c>
    </row>
    <row r="645" spans="1:30" hidden="1" x14ac:dyDescent="0.3">
      <c r="A645" t="s">
        <v>4231</v>
      </c>
      <c r="B645" t="s">
        <v>25</v>
      </c>
      <c r="C645">
        <v>43729827</v>
      </c>
      <c r="D645">
        <v>0</v>
      </c>
      <c r="E645" t="s">
        <v>25</v>
      </c>
      <c r="F645" t="s">
        <v>26</v>
      </c>
      <c r="G645" t="s">
        <v>27</v>
      </c>
      <c r="H645" t="s">
        <v>4232</v>
      </c>
      <c r="I645" t="s">
        <v>4233</v>
      </c>
      <c r="J645" t="s">
        <v>26</v>
      </c>
      <c r="K645" t="s">
        <v>26</v>
      </c>
      <c r="L645" t="s">
        <v>4234</v>
      </c>
      <c r="M645" t="s">
        <v>25</v>
      </c>
      <c r="N645" t="s">
        <v>3803</v>
      </c>
      <c r="O645" t="s">
        <v>2493</v>
      </c>
      <c r="P645" t="s">
        <v>4235</v>
      </c>
      <c r="Q645" t="s">
        <v>4236</v>
      </c>
      <c r="R645">
        <v>131220</v>
      </c>
      <c r="S645">
        <v>0</v>
      </c>
      <c r="T645">
        <v>131220</v>
      </c>
      <c r="U645" t="s">
        <v>35</v>
      </c>
      <c r="V645" t="s">
        <v>2494</v>
      </c>
      <c r="W645" t="s">
        <v>4237</v>
      </c>
      <c r="X645" s="4">
        <v>1</v>
      </c>
      <c r="Y645" s="4"/>
      <c r="Z645">
        <f t="shared" si="40"/>
        <v>8</v>
      </c>
      <c r="AA645">
        <f t="shared" si="41"/>
        <v>19</v>
      </c>
      <c r="AB645" s="5">
        <f t="shared" si="42"/>
        <v>0.33008101851737592</v>
      </c>
      <c r="AC645" s="3">
        <f t="shared" si="43"/>
        <v>9.0266203704231884E-2</v>
      </c>
      <c r="AD645" t="str" cm="1">
        <f t="array" ref="AD645">IFERROR(_xlfn.IFS(
    AC645="", "",
    AC645*86400 &lt; 30, "1. 0s - &lt;30s",
    AC645*86400 &lt; 60, "2. 30s - &lt;1m",
    AC645*86400 &lt; 300, "3. 1m - &lt;5m",
    AC645*86400 &lt; 1800, "4. 5m - &lt;30m",
    TRUE, "5. &gt;= 30m"
),"6. Invalid (Order rejected)")</f>
        <v>5. &gt;= 30m</v>
      </c>
    </row>
    <row r="646" spans="1:30" x14ac:dyDescent="0.3">
      <c r="A646" t="s">
        <v>4238</v>
      </c>
      <c r="B646" t="s">
        <v>25</v>
      </c>
      <c r="C646">
        <v>43729827</v>
      </c>
      <c r="D646">
        <v>4179701</v>
      </c>
      <c r="E646" t="s">
        <v>25</v>
      </c>
      <c r="F646" t="s">
        <v>75</v>
      </c>
      <c r="G646" t="s">
        <v>360</v>
      </c>
      <c r="H646" t="s">
        <v>4239</v>
      </c>
      <c r="I646" t="s">
        <v>4240</v>
      </c>
      <c r="J646" t="s">
        <v>4241</v>
      </c>
      <c r="K646" t="s">
        <v>26</v>
      </c>
      <c r="L646" t="s">
        <v>25</v>
      </c>
      <c r="M646" t="s">
        <v>25</v>
      </c>
      <c r="N646" t="s">
        <v>3803</v>
      </c>
      <c r="O646" t="s">
        <v>2493</v>
      </c>
      <c r="P646" t="s">
        <v>4088</v>
      </c>
      <c r="Q646" t="s">
        <v>4089</v>
      </c>
      <c r="R646">
        <v>395388</v>
      </c>
      <c r="S646">
        <v>324548</v>
      </c>
      <c r="T646">
        <v>70840</v>
      </c>
      <c r="U646" t="s">
        <v>35</v>
      </c>
      <c r="V646" t="s">
        <v>2494</v>
      </c>
      <c r="W646" t="s">
        <v>4090</v>
      </c>
      <c r="X646" s="4">
        <v>1</v>
      </c>
      <c r="Y646" s="4"/>
      <c r="Z646">
        <f t="shared" si="40"/>
        <v>8</v>
      </c>
      <c r="AA646">
        <f t="shared" si="41"/>
        <v>19</v>
      </c>
      <c r="AB646" s="5">
        <f t="shared" si="42"/>
        <v>0.320347222223063</v>
      </c>
      <c r="AC646" s="3" t="str">
        <f t="shared" si="43"/>
        <v>Order rejected, no time available</v>
      </c>
      <c r="AD646" t="str" cm="1">
        <f t="array" ref="AD646">IFERROR(_xlfn.IFS(
    AC646="", "",
    AC646*86400 &lt; 30, "1. 0s - &lt;30s",
    AC646*86400 &lt; 60, "2. 30s - &lt;1m",
    AC646*86400 &lt; 300, "3. 1m - &lt;5m",
    AC646*86400 &lt; 1800, "4. 5m - &lt;30m",
    TRUE, "5. &gt;= 30m"
),"6. Invalid (Order rejected)")</f>
        <v>6. Invalid (Order rejected)</v>
      </c>
    </row>
    <row r="647" spans="1:30" hidden="1" x14ac:dyDescent="0.3">
      <c r="A647" t="s">
        <v>4242</v>
      </c>
      <c r="B647" t="s">
        <v>25</v>
      </c>
      <c r="C647">
        <v>43729827</v>
      </c>
      <c r="D647">
        <v>0</v>
      </c>
      <c r="E647" t="s">
        <v>25</v>
      </c>
      <c r="F647" t="s">
        <v>26</v>
      </c>
      <c r="G647" t="s">
        <v>27</v>
      </c>
      <c r="H647" t="s">
        <v>4243</v>
      </c>
      <c r="I647" t="s">
        <v>4244</v>
      </c>
      <c r="J647" t="s">
        <v>26</v>
      </c>
      <c r="K647" t="s">
        <v>26</v>
      </c>
      <c r="L647" t="s">
        <v>4245</v>
      </c>
      <c r="M647" t="s">
        <v>25</v>
      </c>
      <c r="N647" t="s">
        <v>4182</v>
      </c>
      <c r="O647" t="s">
        <v>4183</v>
      </c>
      <c r="P647" t="s">
        <v>4097</v>
      </c>
      <c r="Q647" t="s">
        <v>4098</v>
      </c>
      <c r="R647">
        <v>109404</v>
      </c>
      <c r="S647">
        <v>0</v>
      </c>
      <c r="T647">
        <v>109404</v>
      </c>
      <c r="U647" t="s">
        <v>35</v>
      </c>
      <c r="V647" t="s">
        <v>4184</v>
      </c>
      <c r="W647" t="s">
        <v>4100</v>
      </c>
      <c r="X647" s="4">
        <v>1</v>
      </c>
      <c r="Y647" s="4"/>
      <c r="Z647">
        <f t="shared" si="40"/>
        <v>8</v>
      </c>
      <c r="AA647">
        <f t="shared" si="41"/>
        <v>19</v>
      </c>
      <c r="AB647" s="5">
        <f t="shared" si="42"/>
        <v>0.32193287037080154</v>
      </c>
      <c r="AC647" s="3">
        <f t="shared" si="43"/>
        <v>9.0254629627452232E-2</v>
      </c>
      <c r="AD647" t="str" cm="1">
        <f t="array" ref="AD647">IFERROR(_xlfn.IFS(
    AC647="", "",
    AC647*86400 &lt; 30, "1. 0s - &lt;30s",
    AC647*86400 &lt; 60, "2. 30s - &lt;1m",
    AC647*86400 &lt; 300, "3. 1m - &lt;5m",
    AC647*86400 &lt; 1800, "4. 5m - &lt;30m",
    TRUE, "5. &gt;= 30m"
),"6. Invalid (Order rejected)")</f>
        <v>5. &gt;= 30m</v>
      </c>
    </row>
    <row r="648" spans="1:30" hidden="1" x14ac:dyDescent="0.3">
      <c r="A648" t="s">
        <v>4246</v>
      </c>
      <c r="B648" t="s">
        <v>3229</v>
      </c>
      <c r="C648">
        <v>13373294</v>
      </c>
      <c r="D648">
        <v>4411069</v>
      </c>
      <c r="E648" t="s">
        <v>25</v>
      </c>
      <c r="F648" t="s">
        <v>75</v>
      </c>
      <c r="G648" t="s">
        <v>76</v>
      </c>
      <c r="H648" t="s">
        <v>4247</v>
      </c>
      <c r="I648" t="s">
        <v>4248</v>
      </c>
      <c r="J648" t="s">
        <v>4249</v>
      </c>
      <c r="K648" t="s">
        <v>26</v>
      </c>
      <c r="L648" t="s">
        <v>4250</v>
      </c>
      <c r="M648" t="s">
        <v>25</v>
      </c>
      <c r="N648" t="s">
        <v>4251</v>
      </c>
      <c r="O648" t="s">
        <v>4252</v>
      </c>
      <c r="P648" t="s">
        <v>4253</v>
      </c>
      <c r="Q648" t="s">
        <v>4254</v>
      </c>
      <c r="R648">
        <v>308016</v>
      </c>
      <c r="S648">
        <v>238784</v>
      </c>
      <c r="T648">
        <v>69232</v>
      </c>
      <c r="U648" t="s">
        <v>35</v>
      </c>
      <c r="V648" t="s">
        <v>4255</v>
      </c>
      <c r="W648" t="s">
        <v>4256</v>
      </c>
      <c r="X648" s="4">
        <v>1</v>
      </c>
      <c r="Y648" s="4"/>
      <c r="Z648">
        <f t="shared" si="40"/>
        <v>8</v>
      </c>
      <c r="AA648">
        <f t="shared" si="41"/>
        <v>19</v>
      </c>
      <c r="AB648" s="5">
        <f t="shared" si="42"/>
        <v>0.32631944444437977</v>
      </c>
      <c r="AC648" s="3">
        <f t="shared" si="43"/>
        <v>4.8460648147738539E-2</v>
      </c>
      <c r="AD648" t="str" cm="1">
        <f t="array" ref="AD648">IFERROR(_xlfn.IFS(
    AC648="", "",
    AC648*86400 &lt; 30, "1. 0s - &lt;30s",
    AC648*86400 &lt; 60, "2. 30s - &lt;1m",
    AC648*86400 &lt; 300, "3. 1m - &lt;5m",
    AC648*86400 &lt; 1800, "4. 5m - &lt;30m",
    TRUE, "5. &gt;= 30m"
),"6. Invalid (Order rejected)")</f>
        <v>5. &gt;= 30m</v>
      </c>
    </row>
    <row r="649" spans="1:30" hidden="1" x14ac:dyDescent="0.3">
      <c r="A649" t="s">
        <v>4257</v>
      </c>
      <c r="B649" t="s">
        <v>25</v>
      </c>
      <c r="C649">
        <v>43729827</v>
      </c>
      <c r="D649">
        <v>0</v>
      </c>
      <c r="E649" t="s">
        <v>25</v>
      </c>
      <c r="F649" t="s">
        <v>26</v>
      </c>
      <c r="G649" t="s">
        <v>27</v>
      </c>
      <c r="H649" t="s">
        <v>4258</v>
      </c>
      <c r="I649" t="s">
        <v>4259</v>
      </c>
      <c r="J649" t="s">
        <v>26</v>
      </c>
      <c r="K649" t="s">
        <v>26</v>
      </c>
      <c r="L649" t="s">
        <v>4260</v>
      </c>
      <c r="M649" t="s">
        <v>25</v>
      </c>
      <c r="N649" t="s">
        <v>3803</v>
      </c>
      <c r="O649" t="s">
        <v>2493</v>
      </c>
      <c r="P649" t="s">
        <v>3176</v>
      </c>
      <c r="Q649" t="s">
        <v>3177</v>
      </c>
      <c r="R649">
        <v>165348</v>
      </c>
      <c r="S649">
        <v>0</v>
      </c>
      <c r="T649">
        <v>165348</v>
      </c>
      <c r="U649" t="s">
        <v>35</v>
      </c>
      <c r="V649" t="s">
        <v>2494</v>
      </c>
      <c r="W649" t="s">
        <v>3178</v>
      </c>
      <c r="X649" s="4">
        <v>1</v>
      </c>
      <c r="Y649" s="4"/>
      <c r="Z649">
        <f t="shared" si="40"/>
        <v>8</v>
      </c>
      <c r="AA649">
        <f t="shared" si="41"/>
        <v>19</v>
      </c>
      <c r="AB649" s="5">
        <f t="shared" si="42"/>
        <v>0.32928240740875481</v>
      </c>
      <c r="AC649" s="3">
        <f t="shared" si="43"/>
        <v>9.0266203704231884E-2</v>
      </c>
      <c r="AD649" t="str" cm="1">
        <f t="array" ref="AD649">IFERROR(_xlfn.IFS(
    AC649="", "",
    AC649*86400 &lt; 30, "1. 0s - &lt;30s",
    AC649*86400 &lt; 60, "2. 30s - &lt;1m",
    AC649*86400 &lt; 300, "3. 1m - &lt;5m",
    AC649*86400 &lt; 1800, "4. 5m - &lt;30m",
    TRUE, "5. &gt;= 30m"
),"6. Invalid (Order rejected)")</f>
        <v>5. &gt;= 30m</v>
      </c>
    </row>
    <row r="650" spans="1:30" hidden="1" x14ac:dyDescent="0.3">
      <c r="A650" t="s">
        <v>4261</v>
      </c>
      <c r="B650" t="s">
        <v>25</v>
      </c>
      <c r="C650">
        <v>43729827</v>
      </c>
      <c r="D650">
        <v>0</v>
      </c>
      <c r="E650" t="s">
        <v>25</v>
      </c>
      <c r="F650" t="s">
        <v>26</v>
      </c>
      <c r="G650" t="s">
        <v>27</v>
      </c>
      <c r="H650" t="s">
        <v>4262</v>
      </c>
      <c r="I650" t="s">
        <v>4263</v>
      </c>
      <c r="J650" t="s">
        <v>26</v>
      </c>
      <c r="K650" t="s">
        <v>26</v>
      </c>
      <c r="L650" t="s">
        <v>4264</v>
      </c>
      <c r="M650" t="s">
        <v>25</v>
      </c>
      <c r="N650" t="s">
        <v>3765</v>
      </c>
      <c r="O650" t="s">
        <v>3766</v>
      </c>
      <c r="P650" t="s">
        <v>3923</v>
      </c>
      <c r="Q650" t="s">
        <v>3924</v>
      </c>
      <c r="R650">
        <v>169776</v>
      </c>
      <c r="S650">
        <v>0</v>
      </c>
      <c r="T650">
        <v>169776</v>
      </c>
      <c r="U650" t="s">
        <v>35</v>
      </c>
      <c r="V650" t="s">
        <v>3769</v>
      </c>
      <c r="W650" t="s">
        <v>3925</v>
      </c>
      <c r="X650" s="4">
        <v>1</v>
      </c>
      <c r="Y650" s="4"/>
      <c r="Z650">
        <f t="shared" si="40"/>
        <v>8</v>
      </c>
      <c r="AA650">
        <f t="shared" si="41"/>
        <v>19</v>
      </c>
      <c r="AB650" s="5">
        <f t="shared" si="42"/>
        <v>0.33196759259590181</v>
      </c>
      <c r="AC650" s="3">
        <f t="shared" si="43"/>
        <v>9.0277777773735579E-2</v>
      </c>
      <c r="AD650" t="str" cm="1">
        <f t="array" ref="AD650">IFERROR(_xlfn.IFS(
    AC650="", "",
    AC650*86400 &lt; 30, "1. 0s - &lt;30s",
    AC650*86400 &lt; 60, "2. 30s - &lt;1m",
    AC650*86400 &lt; 300, "3. 1m - &lt;5m",
    AC650*86400 &lt; 1800, "4. 5m - &lt;30m",
    TRUE, "5. &gt;= 30m"
),"6. Invalid (Order rejected)")</f>
        <v>5. &gt;= 30m</v>
      </c>
    </row>
    <row r="651" spans="1:30" hidden="1" x14ac:dyDescent="0.3">
      <c r="A651" t="s">
        <v>4265</v>
      </c>
      <c r="B651" t="s">
        <v>3229</v>
      </c>
      <c r="C651">
        <v>13373294</v>
      </c>
      <c r="D651">
        <v>0</v>
      </c>
      <c r="E651" t="s">
        <v>25</v>
      </c>
      <c r="F651" t="s">
        <v>26</v>
      </c>
      <c r="G651" t="s">
        <v>27</v>
      </c>
      <c r="H651" t="s">
        <v>4266</v>
      </c>
      <c r="I651" t="s">
        <v>4267</v>
      </c>
      <c r="J651" t="s">
        <v>26</v>
      </c>
      <c r="K651" t="s">
        <v>26</v>
      </c>
      <c r="L651" t="s">
        <v>4268</v>
      </c>
      <c r="M651" t="s">
        <v>25</v>
      </c>
      <c r="N651" t="s">
        <v>4269</v>
      </c>
      <c r="O651" t="s">
        <v>4270</v>
      </c>
      <c r="P651" t="s">
        <v>4271</v>
      </c>
      <c r="Q651" t="s">
        <v>4272</v>
      </c>
      <c r="R651">
        <v>319032</v>
      </c>
      <c r="S651">
        <v>0</v>
      </c>
      <c r="T651">
        <v>319032</v>
      </c>
      <c r="U651" t="s">
        <v>35</v>
      </c>
      <c r="V651" t="s">
        <v>4273</v>
      </c>
      <c r="W651" t="s">
        <v>4274</v>
      </c>
      <c r="X651" s="4">
        <v>1</v>
      </c>
      <c r="Y651" s="4"/>
      <c r="Z651">
        <f t="shared" si="40"/>
        <v>8</v>
      </c>
      <c r="AA651">
        <f t="shared" si="41"/>
        <v>19</v>
      </c>
      <c r="AB651" s="5">
        <f t="shared" si="42"/>
        <v>0.32912037037021946</v>
      </c>
      <c r="AC651" s="3">
        <f t="shared" si="43"/>
        <v>0.10481481481838273</v>
      </c>
      <c r="AD651" t="str" cm="1">
        <f t="array" ref="AD651">IFERROR(_xlfn.IFS(
    AC651="", "",
    AC651*86400 &lt; 30, "1. 0s - &lt;30s",
    AC651*86400 &lt; 60, "2. 30s - &lt;1m",
    AC651*86400 &lt; 300, "3. 1m - &lt;5m",
    AC651*86400 &lt; 1800, "4. 5m - &lt;30m",
    TRUE, "5. &gt;= 30m"
),"6. Invalid (Order rejected)")</f>
        <v>5. &gt;= 30m</v>
      </c>
    </row>
    <row r="652" spans="1:30" hidden="1" x14ac:dyDescent="0.3">
      <c r="A652" t="s">
        <v>4275</v>
      </c>
      <c r="B652" t="s">
        <v>25</v>
      </c>
      <c r="C652">
        <v>43729827</v>
      </c>
      <c r="D652">
        <v>0</v>
      </c>
      <c r="E652" t="s">
        <v>25</v>
      </c>
      <c r="F652" t="s">
        <v>26</v>
      </c>
      <c r="G652" t="s">
        <v>27</v>
      </c>
      <c r="H652" t="s">
        <v>4276</v>
      </c>
      <c r="I652" t="s">
        <v>4277</v>
      </c>
      <c r="J652" t="s">
        <v>26</v>
      </c>
      <c r="K652" t="s">
        <v>26</v>
      </c>
      <c r="L652" t="s">
        <v>4278</v>
      </c>
      <c r="M652" t="s">
        <v>25</v>
      </c>
      <c r="N652" t="s">
        <v>3765</v>
      </c>
      <c r="O652" t="s">
        <v>3766</v>
      </c>
      <c r="P652" t="s">
        <v>4279</v>
      </c>
      <c r="Q652" t="s">
        <v>4280</v>
      </c>
      <c r="R652">
        <v>120852</v>
      </c>
      <c r="S652">
        <v>0</v>
      </c>
      <c r="T652">
        <v>120852</v>
      </c>
      <c r="U652" t="s">
        <v>35</v>
      </c>
      <c r="V652" t="s">
        <v>3769</v>
      </c>
      <c r="W652" t="s">
        <v>4281</v>
      </c>
      <c r="X652" s="4">
        <v>1</v>
      </c>
      <c r="Y652" s="4"/>
      <c r="Z652">
        <f t="shared" si="40"/>
        <v>8</v>
      </c>
      <c r="AA652">
        <f t="shared" si="41"/>
        <v>19</v>
      </c>
      <c r="AB652" s="5">
        <f t="shared" si="42"/>
        <v>0.33306712962803431</v>
      </c>
      <c r="AC652" s="3">
        <f t="shared" si="43"/>
        <v>9.0277777781011537E-2</v>
      </c>
      <c r="AD652" t="str" cm="1">
        <f t="array" ref="AD652">IFERROR(_xlfn.IFS(
    AC652="", "",
    AC652*86400 &lt; 30, "1. 0s - &lt;30s",
    AC652*86400 &lt; 60, "2. 30s - &lt;1m",
    AC652*86400 &lt; 300, "3. 1m - &lt;5m",
    AC652*86400 &lt; 1800, "4. 5m - &lt;30m",
    TRUE, "5. &gt;= 30m"
),"6. Invalid (Order rejected)")</f>
        <v>5. &gt;= 30m</v>
      </c>
    </row>
    <row r="653" spans="1:30" hidden="1" x14ac:dyDescent="0.3">
      <c r="A653" t="s">
        <v>4282</v>
      </c>
      <c r="B653" t="s">
        <v>25</v>
      </c>
      <c r="C653">
        <v>43729827</v>
      </c>
      <c r="D653">
        <v>0</v>
      </c>
      <c r="E653" t="s">
        <v>25</v>
      </c>
      <c r="F653" t="s">
        <v>26</v>
      </c>
      <c r="G653" t="s">
        <v>27</v>
      </c>
      <c r="H653" t="s">
        <v>4283</v>
      </c>
      <c r="I653" t="s">
        <v>4284</v>
      </c>
      <c r="J653" t="s">
        <v>26</v>
      </c>
      <c r="K653" t="s">
        <v>26</v>
      </c>
      <c r="L653" t="s">
        <v>4285</v>
      </c>
      <c r="M653" t="s">
        <v>25</v>
      </c>
      <c r="N653" t="s">
        <v>3803</v>
      </c>
      <c r="O653" t="s">
        <v>2493</v>
      </c>
      <c r="P653" t="s">
        <v>4279</v>
      </c>
      <c r="Q653" t="s">
        <v>4280</v>
      </c>
      <c r="R653">
        <v>115344</v>
      </c>
      <c r="S653">
        <v>0</v>
      </c>
      <c r="T653">
        <v>115344</v>
      </c>
      <c r="U653" t="s">
        <v>35</v>
      </c>
      <c r="V653" t="s">
        <v>2494</v>
      </c>
      <c r="W653" t="s">
        <v>4281</v>
      </c>
      <c r="X653" s="4">
        <v>1</v>
      </c>
      <c r="Y653" s="4"/>
      <c r="Z653">
        <f t="shared" si="40"/>
        <v>8</v>
      </c>
      <c r="AA653">
        <f t="shared" si="41"/>
        <v>19</v>
      </c>
      <c r="AB653" s="5">
        <f t="shared" si="42"/>
        <v>0.330636574071832</v>
      </c>
      <c r="AC653" s="3">
        <f t="shared" si="43"/>
        <v>9.0266203704231884E-2</v>
      </c>
      <c r="AD653" t="str" cm="1">
        <f t="array" ref="AD653">IFERROR(_xlfn.IFS(
    AC653="", "",
    AC653*86400 &lt; 30, "1. 0s - &lt;30s",
    AC653*86400 &lt; 60, "2. 30s - &lt;1m",
    AC653*86400 &lt; 300, "3. 1m - &lt;5m",
    AC653*86400 &lt; 1800, "4. 5m - &lt;30m",
    TRUE, "5. &gt;= 30m"
),"6. Invalid (Order rejected)")</f>
        <v>5. &gt;= 30m</v>
      </c>
    </row>
    <row r="654" spans="1:30" hidden="1" x14ac:dyDescent="0.3">
      <c r="A654" t="s">
        <v>4286</v>
      </c>
      <c r="B654" t="s">
        <v>25</v>
      </c>
      <c r="C654">
        <v>43729827</v>
      </c>
      <c r="D654">
        <v>4786884</v>
      </c>
      <c r="E654" t="s">
        <v>25</v>
      </c>
      <c r="F654" t="s">
        <v>75</v>
      </c>
      <c r="G654" t="s">
        <v>4287</v>
      </c>
      <c r="H654" t="s">
        <v>4288</v>
      </c>
      <c r="I654" t="s">
        <v>4289</v>
      </c>
      <c r="J654" t="s">
        <v>4290</v>
      </c>
      <c r="K654" t="s">
        <v>4291</v>
      </c>
      <c r="L654" t="s">
        <v>25</v>
      </c>
      <c r="M654" t="s">
        <v>4292</v>
      </c>
      <c r="N654" t="s">
        <v>3765</v>
      </c>
      <c r="O654" t="s">
        <v>3766</v>
      </c>
      <c r="P654" t="s">
        <v>3144</v>
      </c>
      <c r="Q654" t="s">
        <v>3145</v>
      </c>
      <c r="R654">
        <v>237816</v>
      </c>
      <c r="S654">
        <v>184362</v>
      </c>
      <c r="T654">
        <v>53454</v>
      </c>
      <c r="U654" t="s">
        <v>35</v>
      </c>
      <c r="V654" t="s">
        <v>3769</v>
      </c>
      <c r="W654" t="s">
        <v>3146</v>
      </c>
      <c r="X654" s="4">
        <v>1</v>
      </c>
      <c r="Y654" s="4"/>
      <c r="Z654">
        <f t="shared" si="40"/>
        <v>8</v>
      </c>
      <c r="AA654">
        <f t="shared" si="41"/>
        <v>19</v>
      </c>
      <c r="AB654" s="5">
        <f t="shared" si="42"/>
        <v>0.33321759258979</v>
      </c>
      <c r="AC654" s="3">
        <f t="shared" si="43"/>
        <v>0.11996527777955635</v>
      </c>
      <c r="AD654" t="str" cm="1">
        <f t="array" ref="AD654">IFERROR(_xlfn.IFS(
    AC654="", "",
    AC654*86400 &lt; 30, "1. 0s - &lt;30s",
    AC654*86400 &lt; 60, "2. 30s - &lt;1m",
    AC654*86400 &lt; 300, "3. 1m - &lt;5m",
    AC654*86400 &lt; 1800, "4. 5m - &lt;30m",
    TRUE, "5. &gt;= 30m"
),"6. Invalid (Order rejected)")</f>
        <v>5. &gt;= 30m</v>
      </c>
    </row>
    <row r="655" spans="1:30" hidden="1" x14ac:dyDescent="0.3">
      <c r="A655" t="s">
        <v>4293</v>
      </c>
      <c r="B655" t="s">
        <v>25</v>
      </c>
      <c r="C655">
        <v>43729827</v>
      </c>
      <c r="D655">
        <v>0</v>
      </c>
      <c r="E655" t="s">
        <v>25</v>
      </c>
      <c r="F655" t="s">
        <v>26</v>
      </c>
      <c r="G655" t="s">
        <v>27</v>
      </c>
      <c r="H655" t="s">
        <v>4294</v>
      </c>
      <c r="I655" t="s">
        <v>4295</v>
      </c>
      <c r="J655" t="s">
        <v>26</v>
      </c>
      <c r="K655" t="s">
        <v>26</v>
      </c>
      <c r="L655" t="s">
        <v>4296</v>
      </c>
      <c r="M655" t="s">
        <v>25</v>
      </c>
      <c r="N655" t="s">
        <v>3765</v>
      </c>
      <c r="O655" t="s">
        <v>3766</v>
      </c>
      <c r="P655" t="s">
        <v>3176</v>
      </c>
      <c r="Q655" t="s">
        <v>3177</v>
      </c>
      <c r="R655">
        <v>170424</v>
      </c>
      <c r="S655">
        <v>0</v>
      </c>
      <c r="T655">
        <v>170424</v>
      </c>
      <c r="U655" t="s">
        <v>35</v>
      </c>
      <c r="V655" t="s">
        <v>3769</v>
      </c>
      <c r="W655" t="s">
        <v>3178</v>
      </c>
      <c r="X655" s="4">
        <v>1</v>
      </c>
      <c r="Y655" s="4"/>
      <c r="Z655">
        <f t="shared" si="40"/>
        <v>8</v>
      </c>
      <c r="AA655">
        <f t="shared" si="41"/>
        <v>19</v>
      </c>
      <c r="AB655" s="5">
        <f t="shared" si="42"/>
        <v>0.33229166666569654</v>
      </c>
      <c r="AC655" s="3">
        <f t="shared" si="43"/>
        <v>9.0266203704231884E-2</v>
      </c>
      <c r="AD655" t="str" cm="1">
        <f t="array" ref="AD655">IFERROR(_xlfn.IFS(
    AC655="", "",
    AC655*86400 &lt; 30, "1. 0s - &lt;30s",
    AC655*86400 &lt; 60, "2. 30s - &lt;1m",
    AC655*86400 &lt; 300, "3. 1m - &lt;5m",
    AC655*86400 &lt; 1800, "4. 5m - &lt;30m",
    TRUE, "5. &gt;= 30m"
),"6. Invalid (Order rejected)")</f>
        <v>5. &gt;= 30m</v>
      </c>
    </row>
    <row r="656" spans="1:30" hidden="1" x14ac:dyDescent="0.3">
      <c r="A656" t="s">
        <v>4297</v>
      </c>
      <c r="B656" t="s">
        <v>25</v>
      </c>
      <c r="C656">
        <v>43729827</v>
      </c>
      <c r="D656">
        <v>0</v>
      </c>
      <c r="E656" t="s">
        <v>25</v>
      </c>
      <c r="F656" t="s">
        <v>26</v>
      </c>
      <c r="G656" t="s">
        <v>27</v>
      </c>
      <c r="H656" t="s">
        <v>4298</v>
      </c>
      <c r="I656" t="s">
        <v>4299</v>
      </c>
      <c r="J656" t="s">
        <v>26</v>
      </c>
      <c r="K656" t="s">
        <v>26</v>
      </c>
      <c r="L656" t="s">
        <v>4300</v>
      </c>
      <c r="M656" t="s">
        <v>25</v>
      </c>
      <c r="N656" t="s">
        <v>4301</v>
      </c>
      <c r="O656" t="s">
        <v>4302</v>
      </c>
      <c r="P656" t="s">
        <v>3198</v>
      </c>
      <c r="Q656" t="s">
        <v>3199</v>
      </c>
      <c r="R656">
        <v>165240</v>
      </c>
      <c r="S656">
        <v>0</v>
      </c>
      <c r="T656">
        <v>165240</v>
      </c>
      <c r="U656" t="s">
        <v>35</v>
      </c>
      <c r="V656" t="s">
        <v>4303</v>
      </c>
      <c r="W656" t="s">
        <v>3200</v>
      </c>
      <c r="X656" s="4">
        <v>1</v>
      </c>
      <c r="Y656" s="4"/>
      <c r="Z656">
        <f t="shared" si="40"/>
        <v>8</v>
      </c>
      <c r="AA656">
        <f t="shared" si="41"/>
        <v>19</v>
      </c>
      <c r="AB656" s="5">
        <f t="shared" si="42"/>
        <v>0.3359375</v>
      </c>
      <c r="AC656" s="3">
        <f t="shared" si="43"/>
        <v>9.0277777781011537E-2</v>
      </c>
      <c r="AD656" t="str" cm="1">
        <f t="array" ref="AD656">IFERROR(_xlfn.IFS(
    AC656="", "",
    AC656*86400 &lt; 30, "1. 0s - &lt;30s",
    AC656*86400 &lt; 60, "2. 30s - &lt;1m",
    AC656*86400 &lt; 300, "3. 1m - &lt;5m",
    AC656*86400 &lt; 1800, "4. 5m - &lt;30m",
    TRUE, "5. &gt;= 30m"
),"6. Invalid (Order rejected)")</f>
        <v>5. &gt;= 30m</v>
      </c>
    </row>
    <row r="657" spans="1:30" hidden="1" x14ac:dyDescent="0.3">
      <c r="A657" t="s">
        <v>4304</v>
      </c>
      <c r="B657" t="s">
        <v>25</v>
      </c>
      <c r="C657">
        <v>43729827</v>
      </c>
      <c r="D657">
        <v>0</v>
      </c>
      <c r="E657" t="s">
        <v>25</v>
      </c>
      <c r="F657" t="s">
        <v>26</v>
      </c>
      <c r="G657" t="s">
        <v>27</v>
      </c>
      <c r="H657" t="s">
        <v>4305</v>
      </c>
      <c r="I657" t="s">
        <v>4306</v>
      </c>
      <c r="J657" t="s">
        <v>26</v>
      </c>
      <c r="K657" t="s">
        <v>26</v>
      </c>
      <c r="L657" t="s">
        <v>4307</v>
      </c>
      <c r="M657" t="s">
        <v>25</v>
      </c>
      <c r="N657" t="s">
        <v>3803</v>
      </c>
      <c r="O657" t="s">
        <v>2493</v>
      </c>
      <c r="P657" t="s">
        <v>4308</v>
      </c>
      <c r="Q657" t="s">
        <v>4309</v>
      </c>
      <c r="R657">
        <v>167616</v>
      </c>
      <c r="S657">
        <v>0</v>
      </c>
      <c r="T657">
        <v>167616</v>
      </c>
      <c r="U657" t="s">
        <v>35</v>
      </c>
      <c r="V657" t="s">
        <v>2494</v>
      </c>
      <c r="W657" t="s">
        <v>4310</v>
      </c>
      <c r="X657" s="4">
        <v>1</v>
      </c>
      <c r="Y657" s="4"/>
      <c r="Z657">
        <f t="shared" si="40"/>
        <v>8</v>
      </c>
      <c r="AA657">
        <f t="shared" si="41"/>
        <v>19</v>
      </c>
      <c r="AB657" s="5">
        <f t="shared" si="42"/>
        <v>0.33034722222510027</v>
      </c>
      <c r="AC657" s="3">
        <f t="shared" si="43"/>
        <v>9.0266203704231884E-2</v>
      </c>
      <c r="AD657" t="str" cm="1">
        <f t="array" ref="AD657">IFERROR(_xlfn.IFS(
    AC657="", "",
    AC657*86400 &lt; 30, "1. 0s - &lt;30s",
    AC657*86400 &lt; 60, "2. 30s - &lt;1m",
    AC657*86400 &lt; 300, "3. 1m - &lt;5m",
    AC657*86400 &lt; 1800, "4. 5m - &lt;30m",
    TRUE, "5. &gt;= 30m"
),"6. Invalid (Order rejected)")</f>
        <v>5. &gt;= 30m</v>
      </c>
    </row>
    <row r="658" spans="1:30" hidden="1" x14ac:dyDescent="0.3">
      <c r="A658" t="s">
        <v>4311</v>
      </c>
      <c r="B658" t="s">
        <v>25</v>
      </c>
      <c r="C658">
        <v>43729827</v>
      </c>
      <c r="D658">
        <v>0</v>
      </c>
      <c r="E658" t="s">
        <v>25</v>
      </c>
      <c r="F658" t="s">
        <v>26</v>
      </c>
      <c r="G658" t="s">
        <v>27</v>
      </c>
      <c r="H658" t="s">
        <v>4312</v>
      </c>
      <c r="I658" t="s">
        <v>4313</v>
      </c>
      <c r="J658" t="s">
        <v>26</v>
      </c>
      <c r="K658" t="s">
        <v>26</v>
      </c>
      <c r="L658" t="s">
        <v>4314</v>
      </c>
      <c r="M658" t="s">
        <v>25</v>
      </c>
      <c r="N658" t="s">
        <v>3803</v>
      </c>
      <c r="O658" t="s">
        <v>2493</v>
      </c>
      <c r="P658" t="s">
        <v>4315</v>
      </c>
      <c r="Q658" t="s">
        <v>4316</v>
      </c>
      <c r="R658">
        <v>210384</v>
      </c>
      <c r="S658">
        <v>0</v>
      </c>
      <c r="T658">
        <v>210384</v>
      </c>
      <c r="U658" t="s">
        <v>35</v>
      </c>
      <c r="V658" t="s">
        <v>2494</v>
      </c>
      <c r="W658" t="s">
        <v>4317</v>
      </c>
      <c r="X658" s="4">
        <v>1</v>
      </c>
      <c r="Y658" s="4"/>
      <c r="Z658">
        <f t="shared" si="40"/>
        <v>8</v>
      </c>
      <c r="AA658">
        <f t="shared" si="41"/>
        <v>19</v>
      </c>
      <c r="AB658" s="5">
        <f t="shared" si="42"/>
        <v>0.33155092592642177</v>
      </c>
      <c r="AC658" s="3">
        <f t="shared" si="43"/>
        <v>9.0277777773735579E-2</v>
      </c>
      <c r="AD658" t="str" cm="1">
        <f t="array" ref="AD658">IFERROR(_xlfn.IFS(
    AC658="", "",
    AC658*86400 &lt; 30, "1. 0s - &lt;30s",
    AC658*86400 &lt; 60, "2. 30s - &lt;1m",
    AC658*86400 &lt; 300, "3. 1m - &lt;5m",
    AC658*86400 &lt; 1800, "4. 5m - &lt;30m",
    TRUE, "5. &gt;= 30m"
),"6. Invalid (Order rejected)")</f>
        <v>5. &gt;= 30m</v>
      </c>
    </row>
    <row r="659" spans="1:30" x14ac:dyDescent="0.3">
      <c r="A659" t="s">
        <v>4318</v>
      </c>
      <c r="B659" t="s">
        <v>25</v>
      </c>
      <c r="C659">
        <v>43729827</v>
      </c>
      <c r="D659">
        <v>4280775</v>
      </c>
      <c r="E659" t="s">
        <v>25</v>
      </c>
      <c r="F659" t="s">
        <v>75</v>
      </c>
      <c r="G659" t="s">
        <v>360</v>
      </c>
      <c r="H659" t="s">
        <v>4319</v>
      </c>
      <c r="I659" t="s">
        <v>4320</v>
      </c>
      <c r="J659" t="s">
        <v>4321</v>
      </c>
      <c r="K659" t="s">
        <v>26</v>
      </c>
      <c r="L659" t="s">
        <v>25</v>
      </c>
      <c r="M659" t="s">
        <v>25</v>
      </c>
      <c r="N659" t="s">
        <v>4301</v>
      </c>
      <c r="O659" t="s">
        <v>4302</v>
      </c>
      <c r="P659" t="s">
        <v>3923</v>
      </c>
      <c r="Q659" t="s">
        <v>3924</v>
      </c>
      <c r="R659">
        <v>177660</v>
      </c>
      <c r="S659">
        <v>137728</v>
      </c>
      <c r="T659">
        <v>39932</v>
      </c>
      <c r="U659" t="s">
        <v>35</v>
      </c>
      <c r="V659" t="s">
        <v>4303</v>
      </c>
      <c r="W659" t="s">
        <v>3925</v>
      </c>
      <c r="X659" s="4">
        <v>1</v>
      </c>
      <c r="Y659" s="4"/>
      <c r="Z659">
        <f t="shared" si="40"/>
        <v>8</v>
      </c>
      <c r="AA659">
        <f t="shared" si="41"/>
        <v>19</v>
      </c>
      <c r="AB659" s="5">
        <f t="shared" si="42"/>
        <v>0.33418981481372612</v>
      </c>
      <c r="AC659" s="3" t="str">
        <f t="shared" si="43"/>
        <v>Order rejected, no time available</v>
      </c>
      <c r="AD659" t="str" cm="1">
        <f t="array" ref="AD659">IFERROR(_xlfn.IFS(
    AC659="", "",
    AC659*86400 &lt; 30, "1. 0s - &lt;30s",
    AC659*86400 &lt; 60, "2. 30s - &lt;1m",
    AC659*86400 &lt; 300, "3. 1m - &lt;5m",
    AC659*86400 &lt; 1800, "4. 5m - &lt;30m",
    TRUE, "5. &gt;= 30m"
),"6. Invalid (Order rejected)")</f>
        <v>6. Invalid (Order rejected)</v>
      </c>
    </row>
    <row r="660" spans="1:30" hidden="1" x14ac:dyDescent="0.3">
      <c r="A660" t="s">
        <v>4322</v>
      </c>
      <c r="B660" t="s">
        <v>25</v>
      </c>
      <c r="C660">
        <v>43729827</v>
      </c>
      <c r="D660">
        <v>0</v>
      </c>
      <c r="E660" t="s">
        <v>25</v>
      </c>
      <c r="F660" t="s">
        <v>26</v>
      </c>
      <c r="G660" t="s">
        <v>27</v>
      </c>
      <c r="H660" t="s">
        <v>4323</v>
      </c>
      <c r="I660" t="s">
        <v>4324</v>
      </c>
      <c r="J660" t="s">
        <v>26</v>
      </c>
      <c r="K660" t="s">
        <v>26</v>
      </c>
      <c r="L660" t="s">
        <v>4325</v>
      </c>
      <c r="M660" t="s">
        <v>25</v>
      </c>
      <c r="N660" t="s">
        <v>4301</v>
      </c>
      <c r="O660" t="s">
        <v>4302</v>
      </c>
      <c r="P660" t="s">
        <v>4308</v>
      </c>
      <c r="Q660" t="s">
        <v>4309</v>
      </c>
      <c r="R660">
        <v>179496</v>
      </c>
      <c r="S660">
        <v>0</v>
      </c>
      <c r="T660">
        <v>179496</v>
      </c>
      <c r="U660" t="s">
        <v>35</v>
      </c>
      <c r="V660" t="s">
        <v>4303</v>
      </c>
      <c r="W660" t="s">
        <v>4310</v>
      </c>
      <c r="X660" s="4">
        <v>1</v>
      </c>
      <c r="Y660" s="4"/>
      <c r="Z660">
        <f t="shared" si="40"/>
        <v>8</v>
      </c>
      <c r="AA660">
        <f t="shared" si="41"/>
        <v>19</v>
      </c>
      <c r="AB660" s="5">
        <f t="shared" si="42"/>
        <v>0.33535879629926058</v>
      </c>
      <c r="AC660" s="3">
        <f t="shared" si="43"/>
        <v>9.0266203704231884E-2</v>
      </c>
      <c r="AD660" t="str" cm="1">
        <f t="array" ref="AD660">IFERROR(_xlfn.IFS(
    AC660="", "",
    AC660*86400 &lt; 30, "1. 0s - &lt;30s",
    AC660*86400 &lt; 60, "2. 30s - &lt;1m",
    AC660*86400 &lt; 300, "3. 1m - &lt;5m",
    AC660*86400 &lt; 1800, "4. 5m - &lt;30m",
    TRUE, "5. &gt;= 30m"
),"6. Invalid (Order rejected)")</f>
        <v>5. &gt;= 30m</v>
      </c>
    </row>
    <row r="661" spans="1:30" hidden="1" x14ac:dyDescent="0.3">
      <c r="A661" t="s">
        <v>4326</v>
      </c>
      <c r="B661" t="s">
        <v>25</v>
      </c>
      <c r="C661">
        <v>43729827</v>
      </c>
      <c r="D661">
        <v>0</v>
      </c>
      <c r="E661" t="s">
        <v>25</v>
      </c>
      <c r="F661" t="s">
        <v>26</v>
      </c>
      <c r="G661" t="s">
        <v>27</v>
      </c>
      <c r="H661" t="s">
        <v>4198</v>
      </c>
      <c r="I661" t="s">
        <v>4327</v>
      </c>
      <c r="J661" t="s">
        <v>26</v>
      </c>
      <c r="K661" t="s">
        <v>26</v>
      </c>
      <c r="L661" t="s">
        <v>4328</v>
      </c>
      <c r="M661" t="s">
        <v>25</v>
      </c>
      <c r="N661" t="s">
        <v>3803</v>
      </c>
      <c r="O661" t="s">
        <v>2493</v>
      </c>
      <c r="P661" t="s">
        <v>3144</v>
      </c>
      <c r="Q661" t="s">
        <v>3145</v>
      </c>
      <c r="R661">
        <v>233820</v>
      </c>
      <c r="S661">
        <v>0</v>
      </c>
      <c r="T661">
        <v>233820</v>
      </c>
      <c r="U661" t="s">
        <v>35</v>
      </c>
      <c r="V661" t="s">
        <v>2494</v>
      </c>
      <c r="W661" t="s">
        <v>3146</v>
      </c>
      <c r="X661" s="4">
        <v>1</v>
      </c>
      <c r="Y661" s="4"/>
      <c r="Z661">
        <f t="shared" si="40"/>
        <v>8</v>
      </c>
      <c r="AA661">
        <f t="shared" si="41"/>
        <v>19</v>
      </c>
      <c r="AB661" s="5">
        <f t="shared" si="42"/>
        <v>0.33085648147971369</v>
      </c>
      <c r="AC661" s="3">
        <f t="shared" si="43"/>
        <v>9.0266203704231884E-2</v>
      </c>
      <c r="AD661" t="str" cm="1">
        <f t="array" ref="AD661">IFERROR(_xlfn.IFS(
    AC661="", "",
    AC661*86400 &lt; 30, "1. 0s - &lt;30s",
    AC661*86400 &lt; 60, "2. 30s - &lt;1m",
    AC661*86400 &lt; 300, "3. 1m - &lt;5m",
    AC661*86400 &lt; 1800, "4. 5m - &lt;30m",
    TRUE, "5. &gt;= 30m"
),"6. Invalid (Order rejected)")</f>
        <v>5. &gt;= 30m</v>
      </c>
    </row>
    <row r="662" spans="1:30" hidden="1" x14ac:dyDescent="0.3">
      <c r="A662" t="s">
        <v>4329</v>
      </c>
      <c r="B662" t="s">
        <v>25</v>
      </c>
      <c r="C662">
        <v>43729827</v>
      </c>
      <c r="D662">
        <v>0</v>
      </c>
      <c r="E662" t="s">
        <v>25</v>
      </c>
      <c r="F662" t="s">
        <v>26</v>
      </c>
      <c r="G662" t="s">
        <v>27</v>
      </c>
      <c r="H662" t="s">
        <v>4330</v>
      </c>
      <c r="I662" t="s">
        <v>4331</v>
      </c>
      <c r="J662" t="s">
        <v>26</v>
      </c>
      <c r="K662" t="s">
        <v>26</v>
      </c>
      <c r="L662" t="s">
        <v>4332</v>
      </c>
      <c r="M662" t="s">
        <v>25</v>
      </c>
      <c r="N662" t="s">
        <v>3803</v>
      </c>
      <c r="O662" t="s">
        <v>2493</v>
      </c>
      <c r="P662" t="s">
        <v>3198</v>
      </c>
      <c r="Q662" t="s">
        <v>3199</v>
      </c>
      <c r="R662">
        <v>153900</v>
      </c>
      <c r="S662">
        <v>0</v>
      </c>
      <c r="T662">
        <v>153900</v>
      </c>
      <c r="U662" t="s">
        <v>35</v>
      </c>
      <c r="V662" t="s">
        <v>2494</v>
      </c>
      <c r="W662" t="s">
        <v>3200</v>
      </c>
      <c r="X662" s="4">
        <v>1</v>
      </c>
      <c r="Y662" s="4"/>
      <c r="Z662">
        <f t="shared" si="40"/>
        <v>8</v>
      </c>
      <c r="AA662">
        <f t="shared" si="41"/>
        <v>19</v>
      </c>
      <c r="AB662" s="5">
        <f t="shared" si="42"/>
        <v>0.33107638888759539</v>
      </c>
      <c r="AC662" s="3">
        <f t="shared" si="43"/>
        <v>0.16686342592583969</v>
      </c>
      <c r="AD662" t="str" cm="1">
        <f t="array" ref="AD662">IFERROR(_xlfn.IFS(
    AC662="", "",
    AC662*86400 &lt; 30, "1. 0s - &lt;30s",
    AC662*86400 &lt; 60, "2. 30s - &lt;1m",
    AC662*86400 &lt; 300, "3. 1m - &lt;5m",
    AC662*86400 &lt; 1800, "4. 5m - &lt;30m",
    TRUE, "5. &gt;= 30m"
),"6. Invalid (Order rejected)")</f>
        <v>5. &gt;= 30m</v>
      </c>
    </row>
    <row r="663" spans="1:30" hidden="1" x14ac:dyDescent="0.3">
      <c r="A663" t="s">
        <v>4333</v>
      </c>
      <c r="B663" t="s">
        <v>25</v>
      </c>
      <c r="C663">
        <v>43729827</v>
      </c>
      <c r="D663">
        <v>0</v>
      </c>
      <c r="E663" t="s">
        <v>25</v>
      </c>
      <c r="F663" t="s">
        <v>26</v>
      </c>
      <c r="G663" t="s">
        <v>27</v>
      </c>
      <c r="H663" t="s">
        <v>4334</v>
      </c>
      <c r="I663" t="s">
        <v>4335</v>
      </c>
      <c r="J663" t="s">
        <v>26</v>
      </c>
      <c r="K663" t="s">
        <v>26</v>
      </c>
      <c r="L663" t="s">
        <v>4336</v>
      </c>
      <c r="M663" t="s">
        <v>25</v>
      </c>
      <c r="N663" t="s">
        <v>4301</v>
      </c>
      <c r="O663" t="s">
        <v>4302</v>
      </c>
      <c r="P663" t="s">
        <v>3909</v>
      </c>
      <c r="Q663" t="s">
        <v>3910</v>
      </c>
      <c r="R663">
        <v>182088</v>
      </c>
      <c r="S663">
        <v>0</v>
      </c>
      <c r="T663">
        <v>182088</v>
      </c>
      <c r="U663" t="s">
        <v>35</v>
      </c>
      <c r="V663" t="s">
        <v>4303</v>
      </c>
      <c r="W663" t="s">
        <v>3911</v>
      </c>
      <c r="X663" s="4">
        <v>1</v>
      </c>
      <c r="Y663" s="4"/>
      <c r="Z663">
        <f t="shared" si="40"/>
        <v>8</v>
      </c>
      <c r="AA663">
        <f t="shared" si="41"/>
        <v>19</v>
      </c>
      <c r="AB663" s="5">
        <f t="shared" si="42"/>
        <v>0.33465277777577285</v>
      </c>
      <c r="AC663" s="3">
        <f t="shared" si="43"/>
        <v>9.0266203704231884E-2</v>
      </c>
      <c r="AD663" t="str" cm="1">
        <f t="array" ref="AD663">IFERROR(_xlfn.IFS(
    AC663="", "",
    AC663*86400 &lt; 30, "1. 0s - &lt;30s",
    AC663*86400 &lt; 60, "2. 30s - &lt;1m",
    AC663*86400 &lt; 300, "3. 1m - &lt;5m",
    AC663*86400 &lt; 1800, "4. 5m - &lt;30m",
    TRUE, "5. &gt;= 30m"
),"6. Invalid (Order rejected)")</f>
        <v>5. &gt;= 30m</v>
      </c>
    </row>
    <row r="664" spans="1:30" hidden="1" x14ac:dyDescent="0.3">
      <c r="A664" t="s">
        <v>4337</v>
      </c>
      <c r="B664" t="s">
        <v>25</v>
      </c>
      <c r="C664">
        <v>43729827</v>
      </c>
      <c r="D664">
        <v>0</v>
      </c>
      <c r="E664" t="s">
        <v>25</v>
      </c>
      <c r="F664" t="s">
        <v>26</v>
      </c>
      <c r="G664" t="s">
        <v>27</v>
      </c>
      <c r="H664" t="s">
        <v>4338</v>
      </c>
      <c r="I664" t="s">
        <v>4339</v>
      </c>
      <c r="J664" t="s">
        <v>26</v>
      </c>
      <c r="K664" t="s">
        <v>26</v>
      </c>
      <c r="L664" t="s">
        <v>4340</v>
      </c>
      <c r="M664" t="s">
        <v>25</v>
      </c>
      <c r="N664" t="s">
        <v>3765</v>
      </c>
      <c r="O664" t="s">
        <v>3766</v>
      </c>
      <c r="P664" t="s">
        <v>4308</v>
      </c>
      <c r="Q664" t="s">
        <v>4309</v>
      </c>
      <c r="R664">
        <v>172476</v>
      </c>
      <c r="S664">
        <v>0</v>
      </c>
      <c r="T664">
        <v>172476</v>
      </c>
      <c r="U664" t="s">
        <v>35</v>
      </c>
      <c r="V664" t="s">
        <v>3769</v>
      </c>
      <c r="W664" t="s">
        <v>4310</v>
      </c>
      <c r="X664" s="4">
        <v>1</v>
      </c>
      <c r="Y664" s="4"/>
      <c r="Z664">
        <f t="shared" si="40"/>
        <v>8</v>
      </c>
      <c r="AA664">
        <f t="shared" si="41"/>
        <v>19</v>
      </c>
      <c r="AB664" s="5">
        <f t="shared" si="42"/>
        <v>0.33291666666627862</v>
      </c>
      <c r="AC664" s="3">
        <f t="shared" si="43"/>
        <v>9.0277777781011537E-2</v>
      </c>
      <c r="AD664" t="str" cm="1">
        <f t="array" ref="AD664">IFERROR(_xlfn.IFS(
    AC664="", "",
    AC664*86400 &lt; 30, "1. 0s - &lt;30s",
    AC664*86400 &lt; 60, "2. 30s - &lt;1m",
    AC664*86400 &lt; 300, "3. 1m - &lt;5m",
    AC664*86400 &lt; 1800, "4. 5m - &lt;30m",
    TRUE, "5. &gt;= 30m"
),"6. Invalid (Order rejected)")</f>
        <v>5. &gt;= 30m</v>
      </c>
    </row>
    <row r="665" spans="1:30" hidden="1" x14ac:dyDescent="0.3">
      <c r="A665" t="s">
        <v>4341</v>
      </c>
      <c r="B665" t="s">
        <v>25</v>
      </c>
      <c r="C665">
        <v>43729827</v>
      </c>
      <c r="D665">
        <v>0</v>
      </c>
      <c r="E665" t="s">
        <v>25</v>
      </c>
      <c r="F665" t="s">
        <v>26</v>
      </c>
      <c r="G665" t="s">
        <v>27</v>
      </c>
      <c r="H665" t="s">
        <v>4342</v>
      </c>
      <c r="I665" t="s">
        <v>4343</v>
      </c>
      <c r="J665" t="s">
        <v>26</v>
      </c>
      <c r="K665" t="s">
        <v>26</v>
      </c>
      <c r="L665" t="s">
        <v>4344</v>
      </c>
      <c r="M665" t="s">
        <v>25</v>
      </c>
      <c r="N665" t="s">
        <v>4301</v>
      </c>
      <c r="O665" t="s">
        <v>4302</v>
      </c>
      <c r="P665" t="s">
        <v>4315</v>
      </c>
      <c r="Q665" t="s">
        <v>4316</v>
      </c>
      <c r="R665">
        <v>233820</v>
      </c>
      <c r="S665">
        <v>0</v>
      </c>
      <c r="T665">
        <v>233820</v>
      </c>
      <c r="U665" t="s">
        <v>35</v>
      </c>
      <c r="V665" t="s">
        <v>4303</v>
      </c>
      <c r="W665" t="s">
        <v>4317</v>
      </c>
      <c r="X665" s="4">
        <v>1</v>
      </c>
      <c r="Y665" s="4"/>
      <c r="Z665">
        <f t="shared" si="40"/>
        <v>8</v>
      </c>
      <c r="AA665">
        <f t="shared" si="41"/>
        <v>19</v>
      </c>
      <c r="AB665" s="5">
        <f t="shared" si="42"/>
        <v>0.33635416666948004</v>
      </c>
      <c r="AC665" s="3">
        <f t="shared" si="43"/>
        <v>9.0266203704231884E-2</v>
      </c>
      <c r="AD665" t="str" cm="1">
        <f t="array" ref="AD665">IFERROR(_xlfn.IFS(
    AC665="", "",
    AC665*86400 &lt; 30, "1. 0s - &lt;30s",
    AC665*86400 &lt; 60, "2. 30s - &lt;1m",
    AC665*86400 &lt; 300, "3. 1m - &lt;5m",
    AC665*86400 &lt; 1800, "4. 5m - &lt;30m",
    TRUE, "5. &gt;= 30m"
),"6. Invalid (Order rejected)")</f>
        <v>5. &gt;= 30m</v>
      </c>
    </row>
    <row r="666" spans="1:30" x14ac:dyDescent="0.3">
      <c r="A666" t="s">
        <v>4345</v>
      </c>
      <c r="B666" t="s">
        <v>25</v>
      </c>
      <c r="C666">
        <v>43729827</v>
      </c>
      <c r="D666">
        <v>4179701</v>
      </c>
      <c r="E666" t="s">
        <v>25</v>
      </c>
      <c r="F666" t="s">
        <v>75</v>
      </c>
      <c r="G666" t="s">
        <v>360</v>
      </c>
      <c r="H666" t="s">
        <v>4346</v>
      </c>
      <c r="I666" t="s">
        <v>4347</v>
      </c>
      <c r="J666" t="s">
        <v>4348</v>
      </c>
      <c r="K666" t="s">
        <v>26</v>
      </c>
      <c r="L666" t="s">
        <v>25</v>
      </c>
      <c r="M666" t="s">
        <v>25</v>
      </c>
      <c r="N666" t="s">
        <v>3765</v>
      </c>
      <c r="O666" t="s">
        <v>3766</v>
      </c>
      <c r="P666" t="s">
        <v>4315</v>
      </c>
      <c r="Q666" t="s">
        <v>4316</v>
      </c>
      <c r="R666">
        <v>235008</v>
      </c>
      <c r="S666">
        <v>192902</v>
      </c>
      <c r="T666">
        <v>42106</v>
      </c>
      <c r="U666" t="s">
        <v>35</v>
      </c>
      <c r="V666" t="s">
        <v>3769</v>
      </c>
      <c r="W666" t="s">
        <v>4317</v>
      </c>
      <c r="X666" s="4">
        <v>1</v>
      </c>
      <c r="Y666" s="4"/>
      <c r="Z666">
        <f t="shared" si="40"/>
        <v>8</v>
      </c>
      <c r="AA666">
        <f t="shared" si="41"/>
        <v>19</v>
      </c>
      <c r="AB666" s="5">
        <f t="shared" si="42"/>
        <v>0.33366898148233304</v>
      </c>
      <c r="AC666" s="3" t="str">
        <f t="shared" si="43"/>
        <v>Order rejected, no time available</v>
      </c>
      <c r="AD666" t="str" cm="1">
        <f t="array" ref="AD666">IFERROR(_xlfn.IFS(
    AC666="", "",
    AC666*86400 &lt; 30, "1. 0s - &lt;30s",
    AC666*86400 &lt; 60, "2. 30s - &lt;1m",
    AC666*86400 &lt; 300, "3. 1m - &lt;5m",
    AC666*86400 &lt; 1800, "4. 5m - &lt;30m",
    TRUE, "5. &gt;= 30m"
),"6. Invalid (Order rejected)")</f>
        <v>6. Invalid (Order rejected)</v>
      </c>
    </row>
    <row r="667" spans="1:30" hidden="1" x14ac:dyDescent="0.3">
      <c r="A667" t="s">
        <v>4349</v>
      </c>
      <c r="B667" t="s">
        <v>25</v>
      </c>
      <c r="C667">
        <v>43729827</v>
      </c>
      <c r="D667">
        <v>0</v>
      </c>
      <c r="E667" t="s">
        <v>25</v>
      </c>
      <c r="F667" t="s">
        <v>26</v>
      </c>
      <c r="G667" t="s">
        <v>27</v>
      </c>
      <c r="H667" t="s">
        <v>4350</v>
      </c>
      <c r="I667" t="s">
        <v>4351</v>
      </c>
      <c r="J667" t="s">
        <v>26</v>
      </c>
      <c r="K667" t="s">
        <v>26</v>
      </c>
      <c r="L667" t="s">
        <v>4352</v>
      </c>
      <c r="M667" t="s">
        <v>25</v>
      </c>
      <c r="N667" t="s">
        <v>4301</v>
      </c>
      <c r="O667" t="s">
        <v>4302</v>
      </c>
      <c r="P667" t="s">
        <v>4235</v>
      </c>
      <c r="Q667" t="s">
        <v>4236</v>
      </c>
      <c r="R667">
        <v>155304</v>
      </c>
      <c r="S667">
        <v>0</v>
      </c>
      <c r="T667">
        <v>155304</v>
      </c>
      <c r="U667" t="s">
        <v>35</v>
      </c>
      <c r="V667" t="s">
        <v>4303</v>
      </c>
      <c r="W667" t="s">
        <v>4237</v>
      </c>
      <c r="X667" s="4">
        <v>1</v>
      </c>
      <c r="Y667" s="4"/>
      <c r="Z667">
        <f t="shared" si="40"/>
        <v>8</v>
      </c>
      <c r="AA667">
        <f t="shared" si="41"/>
        <v>19</v>
      </c>
      <c r="AB667" s="5">
        <f t="shared" si="42"/>
        <v>0.33519675926072523</v>
      </c>
      <c r="AC667" s="3">
        <f t="shared" si="43"/>
        <v>9.0277777773735579E-2</v>
      </c>
      <c r="AD667" t="str" cm="1">
        <f t="array" ref="AD667">IFERROR(_xlfn.IFS(
    AC667="", "",
    AC667*86400 &lt; 30, "1. 0s - &lt;30s",
    AC667*86400 &lt; 60, "2. 30s - &lt;1m",
    AC667*86400 &lt; 300, "3. 1m - &lt;5m",
    AC667*86400 &lt; 1800, "4. 5m - &lt;30m",
    TRUE, "5. &gt;= 30m"
),"6. Invalid (Order rejected)")</f>
        <v>5. &gt;= 30m</v>
      </c>
    </row>
    <row r="668" spans="1:30" hidden="1" x14ac:dyDescent="0.3">
      <c r="A668" t="s">
        <v>4353</v>
      </c>
      <c r="B668" t="s">
        <v>25</v>
      </c>
      <c r="C668">
        <v>43729827</v>
      </c>
      <c r="D668">
        <v>0</v>
      </c>
      <c r="E668" t="s">
        <v>25</v>
      </c>
      <c r="F668" t="s">
        <v>26</v>
      </c>
      <c r="G668" t="s">
        <v>27</v>
      </c>
      <c r="H668" t="s">
        <v>4354</v>
      </c>
      <c r="I668" t="s">
        <v>4355</v>
      </c>
      <c r="J668" t="s">
        <v>26</v>
      </c>
      <c r="K668" t="s">
        <v>26</v>
      </c>
      <c r="L668" t="s">
        <v>4356</v>
      </c>
      <c r="M668" t="s">
        <v>25</v>
      </c>
      <c r="N668" t="s">
        <v>4301</v>
      </c>
      <c r="O668" t="s">
        <v>4302</v>
      </c>
      <c r="P668" t="s">
        <v>4357</v>
      </c>
      <c r="Q668" t="s">
        <v>4358</v>
      </c>
      <c r="R668">
        <v>165564</v>
      </c>
      <c r="S668">
        <v>0</v>
      </c>
      <c r="T668">
        <v>165564</v>
      </c>
      <c r="U668" t="s">
        <v>35</v>
      </c>
      <c r="V668" t="s">
        <v>4303</v>
      </c>
      <c r="W668" t="s">
        <v>4359</v>
      </c>
      <c r="X668" s="4">
        <v>1</v>
      </c>
      <c r="Y668" s="4"/>
      <c r="Z668">
        <f t="shared" si="40"/>
        <v>8</v>
      </c>
      <c r="AA668">
        <f t="shared" si="41"/>
        <v>19</v>
      </c>
      <c r="AB668" s="5">
        <f t="shared" si="42"/>
        <v>0.33504629629896954</v>
      </c>
      <c r="AC668" s="3">
        <f t="shared" si="43"/>
        <v>9.0266203704231884E-2</v>
      </c>
      <c r="AD668" t="str" cm="1">
        <f t="array" ref="AD668">IFERROR(_xlfn.IFS(
    AC668="", "",
    AC668*86400 &lt; 30, "1. 0s - &lt;30s",
    AC668*86400 &lt; 60, "2. 30s - &lt;1m",
    AC668*86400 &lt; 300, "3. 1m - &lt;5m",
    AC668*86400 &lt; 1800, "4. 5m - &lt;30m",
    TRUE, "5. &gt;= 30m"
),"6. Invalid (Order rejected)")</f>
        <v>5. &gt;= 30m</v>
      </c>
    </row>
    <row r="669" spans="1:30" hidden="1" x14ac:dyDescent="0.3">
      <c r="A669" t="s">
        <v>4360</v>
      </c>
      <c r="B669" t="s">
        <v>25</v>
      </c>
      <c r="C669">
        <v>43729827</v>
      </c>
      <c r="D669">
        <v>0</v>
      </c>
      <c r="E669" t="s">
        <v>25</v>
      </c>
      <c r="F669" t="s">
        <v>26</v>
      </c>
      <c r="G669" t="s">
        <v>27</v>
      </c>
      <c r="H669" t="s">
        <v>4361</v>
      </c>
      <c r="I669" t="s">
        <v>4362</v>
      </c>
      <c r="J669" t="s">
        <v>26</v>
      </c>
      <c r="K669" t="s">
        <v>26</v>
      </c>
      <c r="L669" t="s">
        <v>4363</v>
      </c>
      <c r="M669" t="s">
        <v>25</v>
      </c>
      <c r="N669" t="s">
        <v>4301</v>
      </c>
      <c r="O669" t="s">
        <v>4302</v>
      </c>
      <c r="P669" t="s">
        <v>3962</v>
      </c>
      <c r="Q669" t="s">
        <v>3963</v>
      </c>
      <c r="R669">
        <v>164160</v>
      </c>
      <c r="S669">
        <v>0</v>
      </c>
      <c r="T669">
        <v>164160</v>
      </c>
      <c r="U669" t="s">
        <v>35</v>
      </c>
      <c r="V669" t="s">
        <v>4303</v>
      </c>
      <c r="W669" t="s">
        <v>3964</v>
      </c>
      <c r="X669" s="4">
        <v>1</v>
      </c>
      <c r="Y669" s="4"/>
      <c r="Z669">
        <f t="shared" si="40"/>
        <v>8</v>
      </c>
      <c r="AA669">
        <f t="shared" si="41"/>
        <v>19</v>
      </c>
      <c r="AB669" s="5">
        <f t="shared" si="42"/>
        <v>0.33609953703853535</v>
      </c>
      <c r="AC669" s="3">
        <f t="shared" si="43"/>
        <v>9.0266203704231884E-2</v>
      </c>
      <c r="AD669" t="str" cm="1">
        <f t="array" ref="AD669">IFERROR(_xlfn.IFS(
    AC669="", "",
    AC669*86400 &lt; 30, "1. 0s - &lt;30s",
    AC669*86400 &lt; 60, "2. 30s - &lt;1m",
    AC669*86400 &lt; 300, "3. 1m - &lt;5m",
    AC669*86400 &lt; 1800, "4. 5m - &lt;30m",
    TRUE, "5. &gt;= 30m"
),"6. Invalid (Order rejected)")</f>
        <v>5. &gt;= 30m</v>
      </c>
    </row>
    <row r="670" spans="1:30" hidden="1" x14ac:dyDescent="0.3">
      <c r="A670" t="s">
        <v>4364</v>
      </c>
      <c r="B670" t="s">
        <v>3229</v>
      </c>
      <c r="C670">
        <v>13373294</v>
      </c>
      <c r="D670">
        <v>0</v>
      </c>
      <c r="E670" t="s">
        <v>25</v>
      </c>
      <c r="F670" t="s">
        <v>26</v>
      </c>
      <c r="G670" t="s">
        <v>27</v>
      </c>
      <c r="H670" t="s">
        <v>4365</v>
      </c>
      <c r="I670" t="s">
        <v>4366</v>
      </c>
      <c r="J670" t="s">
        <v>26</v>
      </c>
      <c r="K670" t="s">
        <v>26</v>
      </c>
      <c r="L670" t="s">
        <v>4367</v>
      </c>
      <c r="M670" t="s">
        <v>25</v>
      </c>
      <c r="N670" t="s">
        <v>4368</v>
      </c>
      <c r="O670" t="s">
        <v>4369</v>
      </c>
      <c r="P670" t="s">
        <v>4370</v>
      </c>
      <c r="Q670" t="s">
        <v>4371</v>
      </c>
      <c r="R670">
        <v>277776</v>
      </c>
      <c r="S670">
        <v>0</v>
      </c>
      <c r="T670">
        <v>277776</v>
      </c>
      <c r="U670" t="s">
        <v>35</v>
      </c>
      <c r="V670" t="s">
        <v>4372</v>
      </c>
      <c r="W670" t="s">
        <v>4373</v>
      </c>
      <c r="X670" s="4">
        <v>1</v>
      </c>
      <c r="Y670" s="4"/>
      <c r="Z670">
        <f t="shared" si="40"/>
        <v>8</v>
      </c>
      <c r="AA670">
        <f t="shared" si="41"/>
        <v>19</v>
      </c>
      <c r="AB670" s="5">
        <f t="shared" si="42"/>
        <v>0.34249999999883585</v>
      </c>
      <c r="AC670" s="3">
        <f t="shared" si="43"/>
        <v>0.1210763888884685</v>
      </c>
      <c r="AD670" t="str" cm="1">
        <f t="array" ref="AD670">IFERROR(_xlfn.IFS(
    AC670="", "",
    AC670*86400 &lt; 30, "1. 0s - &lt;30s",
    AC670*86400 &lt; 60, "2. 30s - &lt;1m",
    AC670*86400 &lt; 300, "3. 1m - &lt;5m",
    AC670*86400 &lt; 1800, "4. 5m - &lt;30m",
    TRUE, "5. &gt;= 30m"
),"6. Invalid (Order rejected)")</f>
        <v>5. &gt;= 30m</v>
      </c>
    </row>
    <row r="671" spans="1:30" hidden="1" x14ac:dyDescent="0.3">
      <c r="A671" t="s">
        <v>4374</v>
      </c>
      <c r="B671" t="s">
        <v>25</v>
      </c>
      <c r="C671">
        <v>23938356</v>
      </c>
      <c r="D671">
        <v>3261885</v>
      </c>
      <c r="E671" t="s">
        <v>4375</v>
      </c>
      <c r="F671" t="s">
        <v>75</v>
      </c>
      <c r="G671" t="s">
        <v>76</v>
      </c>
      <c r="H671" t="s">
        <v>4376</v>
      </c>
      <c r="I671" t="s">
        <v>4377</v>
      </c>
      <c r="J671" t="s">
        <v>4378</v>
      </c>
      <c r="K671" t="s">
        <v>26</v>
      </c>
      <c r="L671" t="s">
        <v>4379</v>
      </c>
      <c r="M671" t="s">
        <v>25</v>
      </c>
      <c r="N671" t="s">
        <v>3994</v>
      </c>
      <c r="O671" t="s">
        <v>3995</v>
      </c>
      <c r="P671" t="s">
        <v>4380</v>
      </c>
      <c r="Q671" t="s">
        <v>4381</v>
      </c>
      <c r="R671">
        <v>577044</v>
      </c>
      <c r="S671">
        <v>447343</v>
      </c>
      <c r="T671">
        <v>129701</v>
      </c>
      <c r="U671" t="s">
        <v>35</v>
      </c>
      <c r="V671" t="s">
        <v>3996</v>
      </c>
      <c r="W671" t="s">
        <v>4382</v>
      </c>
      <c r="X671" s="4">
        <v>1</v>
      </c>
      <c r="Y671" s="4"/>
      <c r="Z671">
        <f t="shared" si="40"/>
        <v>8</v>
      </c>
      <c r="AA671">
        <f t="shared" si="41"/>
        <v>19</v>
      </c>
      <c r="AB671" s="5">
        <f t="shared" si="42"/>
        <v>0.3476041666654055</v>
      </c>
      <c r="AC671" s="3">
        <f t="shared" si="43"/>
        <v>2.4305555416503921E-4</v>
      </c>
      <c r="AD671" t="str" cm="1">
        <f t="array" ref="AD671">IFERROR(_xlfn.IFS(
    AC671="", "",
    AC671*86400 &lt; 30, "1. 0s - &lt;30s",
    AC671*86400 &lt; 60, "2. 30s - &lt;1m",
    AC671*86400 &lt; 300, "3. 1m - &lt;5m",
    AC671*86400 &lt; 1800, "4. 5m - &lt;30m",
    TRUE, "5. &gt;= 30m"
),"6. Invalid (Order rejected)")</f>
        <v>1. 0s - &lt;30s</v>
      </c>
    </row>
    <row r="672" spans="1:30" hidden="1" x14ac:dyDescent="0.3">
      <c r="A672" t="s">
        <v>4383</v>
      </c>
      <c r="B672" t="s">
        <v>25</v>
      </c>
      <c r="C672">
        <v>23938356</v>
      </c>
      <c r="D672">
        <v>3241501</v>
      </c>
      <c r="E672" t="s">
        <v>4375</v>
      </c>
      <c r="F672" t="s">
        <v>75</v>
      </c>
      <c r="G672" t="s">
        <v>76</v>
      </c>
      <c r="H672" t="s">
        <v>4384</v>
      </c>
      <c r="I672" t="s">
        <v>4385</v>
      </c>
      <c r="J672" t="s">
        <v>4386</v>
      </c>
      <c r="K672" t="s">
        <v>26</v>
      </c>
      <c r="L672" t="s">
        <v>4387</v>
      </c>
      <c r="M672" t="s">
        <v>25</v>
      </c>
      <c r="N672" t="s">
        <v>3994</v>
      </c>
      <c r="O672" t="s">
        <v>3995</v>
      </c>
      <c r="P672" t="s">
        <v>780</v>
      </c>
      <c r="Q672" t="s">
        <v>4388</v>
      </c>
      <c r="R672">
        <v>499932</v>
      </c>
      <c r="S672">
        <v>387563</v>
      </c>
      <c r="T672">
        <v>112369</v>
      </c>
      <c r="U672" t="s">
        <v>35</v>
      </c>
      <c r="V672" t="s">
        <v>3996</v>
      </c>
      <c r="W672" t="s">
        <v>4389</v>
      </c>
      <c r="X672" s="4">
        <v>1</v>
      </c>
      <c r="Y672" s="4"/>
      <c r="Z672">
        <f t="shared" si="40"/>
        <v>8</v>
      </c>
      <c r="AA672">
        <f t="shared" si="41"/>
        <v>19</v>
      </c>
      <c r="AB672" s="5">
        <f t="shared" si="42"/>
        <v>0.34586805555591127</v>
      </c>
      <c r="AC672" s="3">
        <f t="shared" si="43"/>
        <v>2.546296309446916E-4</v>
      </c>
      <c r="AD672" t="str" cm="1">
        <f t="array" ref="AD672">IFERROR(_xlfn.IFS(
    AC672="", "",
    AC672*86400 &lt; 30, "1. 0s - &lt;30s",
    AC672*86400 &lt; 60, "2. 30s - &lt;1m",
    AC672*86400 &lt; 300, "3. 1m - &lt;5m",
    AC672*86400 &lt; 1800, "4. 5m - &lt;30m",
    TRUE, "5. &gt;= 30m"
),"6. Invalid (Order rejected)")</f>
        <v>1. 0s - &lt;30s</v>
      </c>
    </row>
    <row r="673" spans="1:30" hidden="1" x14ac:dyDescent="0.3">
      <c r="A673" t="s">
        <v>4390</v>
      </c>
      <c r="B673" t="s">
        <v>25</v>
      </c>
      <c r="C673">
        <v>23938356</v>
      </c>
      <c r="D673">
        <v>3033987</v>
      </c>
      <c r="E673" t="s">
        <v>4375</v>
      </c>
      <c r="F673" t="s">
        <v>75</v>
      </c>
      <c r="G673" t="s">
        <v>76</v>
      </c>
      <c r="H673" t="s">
        <v>4391</v>
      </c>
      <c r="I673" t="s">
        <v>4385</v>
      </c>
      <c r="J673" t="s">
        <v>4392</v>
      </c>
      <c r="K673" t="s">
        <v>26</v>
      </c>
      <c r="L673" t="s">
        <v>4393</v>
      </c>
      <c r="M673" t="s">
        <v>25</v>
      </c>
      <c r="N673" t="s">
        <v>3994</v>
      </c>
      <c r="O673" t="s">
        <v>3995</v>
      </c>
      <c r="P673" t="s">
        <v>237</v>
      </c>
      <c r="Q673" t="s">
        <v>238</v>
      </c>
      <c r="R673">
        <v>257040</v>
      </c>
      <c r="S673">
        <v>199265</v>
      </c>
      <c r="T673">
        <v>57775</v>
      </c>
      <c r="U673" t="s">
        <v>35</v>
      </c>
      <c r="V673" t="s">
        <v>3996</v>
      </c>
      <c r="W673" t="s">
        <v>239</v>
      </c>
      <c r="X673" s="4">
        <v>1</v>
      </c>
      <c r="Y673" s="4"/>
      <c r="Z673">
        <f t="shared" si="40"/>
        <v>8</v>
      </c>
      <c r="AA673">
        <f t="shared" si="41"/>
        <v>19</v>
      </c>
      <c r="AB673" s="5">
        <f t="shared" si="42"/>
        <v>0.34648148147971369</v>
      </c>
      <c r="AC673" s="3">
        <f t="shared" si="43"/>
        <v>1.5046296175569296E-4</v>
      </c>
      <c r="AD673" t="str" cm="1">
        <f t="array" ref="AD673">IFERROR(_xlfn.IFS(
    AC673="", "",
    AC673*86400 &lt; 30, "1. 0s - &lt;30s",
    AC673*86400 &lt; 60, "2. 30s - &lt;1m",
    AC673*86400 &lt; 300, "3. 1m - &lt;5m",
    AC673*86400 &lt; 1800, "4. 5m - &lt;30m",
    TRUE, "5. &gt;= 30m"
),"6. Invalid (Order rejected)")</f>
        <v>1. 0s - &lt;30s</v>
      </c>
    </row>
    <row r="674" spans="1:30" hidden="1" x14ac:dyDescent="0.3">
      <c r="A674" t="s">
        <v>4394</v>
      </c>
      <c r="B674" t="s">
        <v>25</v>
      </c>
      <c r="C674">
        <v>23938356</v>
      </c>
      <c r="D674">
        <v>3033987</v>
      </c>
      <c r="E674" t="s">
        <v>4375</v>
      </c>
      <c r="F674" t="s">
        <v>75</v>
      </c>
      <c r="G674" t="s">
        <v>76</v>
      </c>
      <c r="H674" t="s">
        <v>4395</v>
      </c>
      <c r="I674" t="s">
        <v>4396</v>
      </c>
      <c r="J674" t="s">
        <v>4397</v>
      </c>
      <c r="K674" t="s">
        <v>26</v>
      </c>
      <c r="L674" t="s">
        <v>4398</v>
      </c>
      <c r="M674" t="s">
        <v>25</v>
      </c>
      <c r="N674" t="s">
        <v>3994</v>
      </c>
      <c r="O674" t="s">
        <v>3995</v>
      </c>
      <c r="P674" t="s">
        <v>4399</v>
      </c>
      <c r="Q674" t="s">
        <v>4400</v>
      </c>
      <c r="R674">
        <v>258984</v>
      </c>
      <c r="S674">
        <v>200773</v>
      </c>
      <c r="T674">
        <v>58211</v>
      </c>
      <c r="U674" t="s">
        <v>35</v>
      </c>
      <c r="V674" t="s">
        <v>3996</v>
      </c>
      <c r="W674" t="s">
        <v>4401</v>
      </c>
      <c r="X674" s="4">
        <v>1</v>
      </c>
      <c r="Y674" s="4"/>
      <c r="Z674">
        <f t="shared" si="40"/>
        <v>8</v>
      </c>
      <c r="AA674">
        <f t="shared" si="41"/>
        <v>19</v>
      </c>
      <c r="AB674" s="5">
        <f t="shared" si="42"/>
        <v>0.34695601851854008</v>
      </c>
      <c r="AC674" s="3">
        <f t="shared" si="43"/>
        <v>1.3888889225199819E-4</v>
      </c>
      <c r="AD674" t="str" cm="1">
        <f t="array" ref="AD674">IFERROR(_xlfn.IFS(
    AC674="", "",
    AC674*86400 &lt; 30, "1. 0s - &lt;30s",
    AC674*86400 &lt; 60, "2. 30s - &lt;1m",
    AC674*86400 &lt; 300, "3. 1m - &lt;5m",
    AC674*86400 &lt; 1800, "4. 5m - &lt;30m",
    TRUE, "5. &gt;= 30m"
),"6. Invalid (Order rejected)")</f>
        <v>1. 0s - &lt;30s</v>
      </c>
    </row>
    <row r="675" spans="1:30" x14ac:dyDescent="0.3">
      <c r="A675" t="s">
        <v>4402</v>
      </c>
      <c r="B675" t="s">
        <v>3229</v>
      </c>
      <c r="C675">
        <v>13373294</v>
      </c>
      <c r="D675">
        <v>3693683</v>
      </c>
      <c r="E675" t="s">
        <v>25</v>
      </c>
      <c r="F675" t="s">
        <v>75</v>
      </c>
      <c r="G675" t="s">
        <v>360</v>
      </c>
      <c r="H675" t="s">
        <v>4403</v>
      </c>
      <c r="I675" t="s">
        <v>4404</v>
      </c>
      <c r="J675" t="s">
        <v>4405</v>
      </c>
      <c r="K675" t="s">
        <v>26</v>
      </c>
      <c r="L675" t="s">
        <v>25</v>
      </c>
      <c r="M675" t="s">
        <v>25</v>
      </c>
      <c r="N675" t="s">
        <v>4406</v>
      </c>
      <c r="O675" t="s">
        <v>4407</v>
      </c>
      <c r="P675" t="s">
        <v>4408</v>
      </c>
      <c r="Q675" t="s">
        <v>4409</v>
      </c>
      <c r="R675">
        <v>328968</v>
      </c>
      <c r="S675">
        <v>255026</v>
      </c>
      <c r="T675">
        <v>73942</v>
      </c>
      <c r="U675" t="s">
        <v>35</v>
      </c>
      <c r="V675" t="s">
        <v>4410</v>
      </c>
      <c r="W675" t="s">
        <v>4411</v>
      </c>
      <c r="X675" s="4">
        <v>1</v>
      </c>
      <c r="Y675" s="4"/>
      <c r="Z675">
        <f t="shared" si="40"/>
        <v>8</v>
      </c>
      <c r="AA675">
        <f t="shared" si="41"/>
        <v>19</v>
      </c>
      <c r="AB675" s="5">
        <f t="shared" si="42"/>
        <v>0.35079861111444188</v>
      </c>
      <c r="AC675" s="3" t="str">
        <f t="shared" si="43"/>
        <v>Order rejected, no time available</v>
      </c>
      <c r="AD675" t="str" cm="1">
        <f t="array" ref="AD675">IFERROR(_xlfn.IFS(
    AC675="", "",
    AC675*86400 &lt; 30, "1. 0s - &lt;30s",
    AC675*86400 &lt; 60, "2. 30s - &lt;1m",
    AC675*86400 &lt; 300, "3. 1m - &lt;5m",
    AC675*86400 &lt; 1800, "4. 5m - &lt;30m",
    TRUE, "5. &gt;= 30m"
),"6. Invalid (Order rejected)")</f>
        <v>6. Invalid (Order rejected)</v>
      </c>
    </row>
    <row r="676" spans="1:30" hidden="1" x14ac:dyDescent="0.3">
      <c r="A676" t="s">
        <v>4412</v>
      </c>
      <c r="B676" t="s">
        <v>3229</v>
      </c>
      <c r="C676">
        <v>13373294</v>
      </c>
      <c r="D676">
        <v>4411069</v>
      </c>
      <c r="E676" t="s">
        <v>25</v>
      </c>
      <c r="F676" t="s">
        <v>75</v>
      </c>
      <c r="G676" t="s">
        <v>76</v>
      </c>
      <c r="H676" t="s">
        <v>4413</v>
      </c>
      <c r="I676" t="s">
        <v>4414</v>
      </c>
      <c r="J676" t="s">
        <v>4415</v>
      </c>
      <c r="K676" t="s">
        <v>26</v>
      </c>
      <c r="L676" t="s">
        <v>4416</v>
      </c>
      <c r="M676" t="s">
        <v>25</v>
      </c>
      <c r="N676" t="s">
        <v>4368</v>
      </c>
      <c r="O676" t="s">
        <v>4369</v>
      </c>
      <c r="P676" t="s">
        <v>4417</v>
      </c>
      <c r="Q676" t="s">
        <v>4418</v>
      </c>
      <c r="R676">
        <v>282204</v>
      </c>
      <c r="S676">
        <v>218773</v>
      </c>
      <c r="T676">
        <v>63431</v>
      </c>
      <c r="U676" t="s">
        <v>35</v>
      </c>
      <c r="V676" t="s">
        <v>4372</v>
      </c>
      <c r="W676" t="s">
        <v>4419</v>
      </c>
      <c r="X676" s="4">
        <v>1</v>
      </c>
      <c r="Y676" s="4"/>
      <c r="Z676">
        <f t="shared" si="40"/>
        <v>8</v>
      </c>
      <c r="AA676">
        <f t="shared" si="41"/>
        <v>19</v>
      </c>
      <c r="AB676" s="5">
        <f t="shared" si="42"/>
        <v>0.34886574074334931</v>
      </c>
      <c r="AC676" s="3">
        <f t="shared" si="43"/>
        <v>3.1689814815763384E-2</v>
      </c>
      <c r="AD676" t="str" cm="1">
        <f t="array" ref="AD676">IFERROR(_xlfn.IFS(
    AC676="", "",
    AC676*86400 &lt; 30, "1. 0s - &lt;30s",
    AC676*86400 &lt; 60, "2. 30s - &lt;1m",
    AC676*86400 &lt; 300, "3. 1m - &lt;5m",
    AC676*86400 &lt; 1800, "4. 5m - &lt;30m",
    TRUE, "5. &gt;= 30m"
),"6. Invalid (Order rejected)")</f>
        <v>5. &gt;= 30m</v>
      </c>
    </row>
    <row r="677" spans="1:30" hidden="1" x14ac:dyDescent="0.3">
      <c r="A677" t="s">
        <v>4420</v>
      </c>
      <c r="B677" t="s">
        <v>25</v>
      </c>
      <c r="C677">
        <v>23938356</v>
      </c>
      <c r="D677">
        <v>3092718</v>
      </c>
      <c r="E677" t="s">
        <v>4421</v>
      </c>
      <c r="F677" t="s">
        <v>75</v>
      </c>
      <c r="G677" t="s">
        <v>76</v>
      </c>
      <c r="H677" t="s">
        <v>4422</v>
      </c>
      <c r="I677" t="s">
        <v>4423</v>
      </c>
      <c r="J677" t="s">
        <v>4424</v>
      </c>
      <c r="K677" t="s">
        <v>26</v>
      </c>
      <c r="L677" t="s">
        <v>4425</v>
      </c>
      <c r="M677" t="s">
        <v>25</v>
      </c>
      <c r="N677" t="s">
        <v>4426</v>
      </c>
      <c r="O677" t="s">
        <v>4427</v>
      </c>
      <c r="P677" t="s">
        <v>4428</v>
      </c>
      <c r="Q677" t="s">
        <v>4429</v>
      </c>
      <c r="R677">
        <v>541944</v>
      </c>
      <c r="S677">
        <v>420132</v>
      </c>
      <c r="T677">
        <v>121812</v>
      </c>
      <c r="U677" t="s">
        <v>35</v>
      </c>
      <c r="V677" t="s">
        <v>4430</v>
      </c>
      <c r="W677" t="s">
        <v>4431</v>
      </c>
      <c r="X677" s="4">
        <v>1</v>
      </c>
      <c r="Y677" s="4"/>
      <c r="Z677">
        <f t="shared" si="40"/>
        <v>8</v>
      </c>
      <c r="AA677">
        <f t="shared" si="41"/>
        <v>19</v>
      </c>
      <c r="AB677" s="5">
        <f t="shared" si="42"/>
        <v>0.35612268518161727</v>
      </c>
      <c r="AC677" s="3">
        <f t="shared" si="43"/>
        <v>3.819444464170374E-4</v>
      </c>
      <c r="AD677" t="str" cm="1">
        <f t="array" ref="AD677">IFERROR(_xlfn.IFS(
    AC677="", "",
    AC677*86400 &lt; 30, "1. 0s - &lt;30s",
    AC677*86400 &lt; 60, "2. 30s - &lt;1m",
    AC677*86400 &lt; 300, "3. 1m - &lt;5m",
    AC677*86400 &lt; 1800, "4. 5m - &lt;30m",
    TRUE, "5. &gt;= 30m"
),"6. Invalid (Order rejected)")</f>
        <v>2. 30s - &lt;1m</v>
      </c>
    </row>
    <row r="678" spans="1:30" hidden="1" x14ac:dyDescent="0.3">
      <c r="A678" t="s">
        <v>4432</v>
      </c>
      <c r="B678" t="s">
        <v>25</v>
      </c>
      <c r="C678">
        <v>23938356</v>
      </c>
      <c r="D678">
        <v>3737957</v>
      </c>
      <c r="E678" t="s">
        <v>25</v>
      </c>
      <c r="F678" t="s">
        <v>75</v>
      </c>
      <c r="G678" t="s">
        <v>76</v>
      </c>
      <c r="H678" t="s">
        <v>4433</v>
      </c>
      <c r="I678" t="s">
        <v>4434</v>
      </c>
      <c r="J678" t="s">
        <v>4435</v>
      </c>
      <c r="K678" t="s">
        <v>26</v>
      </c>
      <c r="L678" t="s">
        <v>4436</v>
      </c>
      <c r="M678" t="s">
        <v>25</v>
      </c>
      <c r="N678" t="s">
        <v>4426</v>
      </c>
      <c r="O678" t="s">
        <v>4427</v>
      </c>
      <c r="P678" t="s">
        <v>390</v>
      </c>
      <c r="Q678" t="s">
        <v>391</v>
      </c>
      <c r="R678">
        <v>239004</v>
      </c>
      <c r="S678">
        <v>196182</v>
      </c>
      <c r="T678">
        <v>42822</v>
      </c>
      <c r="U678" t="s">
        <v>35</v>
      </c>
      <c r="V678" t="s">
        <v>4430</v>
      </c>
      <c r="W678" t="s">
        <v>392</v>
      </c>
      <c r="X678" s="4">
        <v>1</v>
      </c>
      <c r="Y678" s="4"/>
      <c r="Z678">
        <f t="shared" si="40"/>
        <v>8</v>
      </c>
      <c r="AA678">
        <f t="shared" si="41"/>
        <v>19</v>
      </c>
      <c r="AB678" s="5">
        <f t="shared" si="42"/>
        <v>0.35843749999912689</v>
      </c>
      <c r="AC678" s="3">
        <f t="shared" si="43"/>
        <v>4.7453703882638365E-4</v>
      </c>
      <c r="AD678" t="str" cm="1">
        <f t="array" ref="AD678">IFERROR(_xlfn.IFS(
    AC678="", "",
    AC678*86400 &lt; 30, "1. 0s - &lt;30s",
    AC678*86400 &lt; 60, "2. 30s - &lt;1m",
    AC678*86400 &lt; 300, "3. 1m - &lt;5m",
    AC678*86400 &lt; 1800, "4. 5m - &lt;30m",
    TRUE, "5. &gt;= 30m"
),"6. Invalid (Order rejected)")</f>
        <v>2. 30s - &lt;1m</v>
      </c>
    </row>
    <row r="679" spans="1:30" hidden="1" x14ac:dyDescent="0.3">
      <c r="A679" t="s">
        <v>4437</v>
      </c>
      <c r="B679" t="s">
        <v>25</v>
      </c>
      <c r="C679">
        <v>23938356</v>
      </c>
      <c r="D679">
        <v>3763978</v>
      </c>
      <c r="E679" t="s">
        <v>25</v>
      </c>
      <c r="F679" t="s">
        <v>75</v>
      </c>
      <c r="G679" t="s">
        <v>76</v>
      </c>
      <c r="H679" t="s">
        <v>4438</v>
      </c>
      <c r="I679" t="s">
        <v>4439</v>
      </c>
      <c r="J679" t="s">
        <v>4440</v>
      </c>
      <c r="K679" t="s">
        <v>26</v>
      </c>
      <c r="L679" t="s">
        <v>4441</v>
      </c>
      <c r="M679" t="s">
        <v>25</v>
      </c>
      <c r="N679" t="s">
        <v>4426</v>
      </c>
      <c r="O679" t="s">
        <v>4427</v>
      </c>
      <c r="P679" t="s">
        <v>124</v>
      </c>
      <c r="Q679" t="s">
        <v>125</v>
      </c>
      <c r="R679">
        <v>177012</v>
      </c>
      <c r="S679">
        <v>137225</v>
      </c>
      <c r="T679">
        <v>39787</v>
      </c>
      <c r="U679" t="s">
        <v>35</v>
      </c>
      <c r="V679" t="s">
        <v>4430</v>
      </c>
      <c r="W679" t="s">
        <v>2689</v>
      </c>
      <c r="X679" s="4">
        <v>1</v>
      </c>
      <c r="Y679" s="4"/>
      <c r="Z679">
        <f t="shared" si="40"/>
        <v>8</v>
      </c>
      <c r="AA679">
        <f t="shared" si="41"/>
        <v>19</v>
      </c>
      <c r="AB679" s="5">
        <f t="shared" si="42"/>
        <v>0.36049768518569181</v>
      </c>
      <c r="AC679" s="3">
        <f t="shared" si="43"/>
        <v>5.5555555445607752E-4</v>
      </c>
      <c r="AD679" t="str" cm="1">
        <f t="array" ref="AD679">IFERROR(_xlfn.IFS(
    AC679="", "",
    AC679*86400 &lt; 30, "1. 0s - &lt;30s",
    AC679*86400 &lt; 60, "2. 30s - &lt;1m",
    AC679*86400 &lt; 300, "3. 1m - &lt;5m",
    AC679*86400 &lt; 1800, "4. 5m - &lt;30m",
    TRUE, "5. &gt;= 30m"
),"6. Invalid (Order rejected)")</f>
        <v>2. 30s - &lt;1m</v>
      </c>
    </row>
    <row r="680" spans="1:30" hidden="1" x14ac:dyDescent="0.3">
      <c r="A680" t="s">
        <v>4442</v>
      </c>
      <c r="B680" t="s">
        <v>3229</v>
      </c>
      <c r="C680">
        <v>13373294</v>
      </c>
      <c r="D680">
        <v>3746341</v>
      </c>
      <c r="E680" t="s">
        <v>25</v>
      </c>
      <c r="F680" t="s">
        <v>75</v>
      </c>
      <c r="G680" t="s">
        <v>76</v>
      </c>
      <c r="H680" t="s">
        <v>4443</v>
      </c>
      <c r="I680" t="s">
        <v>4439</v>
      </c>
      <c r="J680" t="s">
        <v>4444</v>
      </c>
      <c r="K680" t="s">
        <v>26</v>
      </c>
      <c r="L680" t="s">
        <v>4445</v>
      </c>
      <c r="M680" t="s">
        <v>25</v>
      </c>
      <c r="N680" t="s">
        <v>4446</v>
      </c>
      <c r="O680" t="s">
        <v>4447</v>
      </c>
      <c r="P680" t="s">
        <v>4448</v>
      </c>
      <c r="Q680" t="s">
        <v>4449</v>
      </c>
      <c r="R680">
        <v>186516</v>
      </c>
      <c r="S680">
        <v>153099</v>
      </c>
      <c r="T680">
        <v>33417</v>
      </c>
      <c r="U680" t="s">
        <v>35</v>
      </c>
      <c r="V680" t="s">
        <v>4450</v>
      </c>
      <c r="W680" t="s">
        <v>4451</v>
      </c>
      <c r="X680" s="4">
        <v>1</v>
      </c>
      <c r="Y680" s="4"/>
      <c r="Z680">
        <f t="shared" si="40"/>
        <v>8</v>
      </c>
      <c r="AA680">
        <f t="shared" si="41"/>
        <v>19</v>
      </c>
      <c r="AB680" s="5">
        <f t="shared" si="42"/>
        <v>0.36050925926247146</v>
      </c>
      <c r="AC680" s="3">
        <f t="shared" si="43"/>
        <v>1.0902777772571426E-2</v>
      </c>
      <c r="AD680" t="str" cm="1">
        <f t="array" ref="AD680">IFERROR(_xlfn.IFS(
    AC680="", "",
    AC680*86400 &lt; 30, "1. 0s - &lt;30s",
    AC680*86400 &lt; 60, "2. 30s - &lt;1m",
    AC680*86400 &lt; 300, "3. 1m - &lt;5m",
    AC680*86400 &lt; 1800, "4. 5m - &lt;30m",
    TRUE, "5. &gt;= 30m"
),"6. Invalid (Order rejected)")</f>
        <v>4. 5m - &lt;30m</v>
      </c>
    </row>
    <row r="681" spans="1:30" hidden="1" x14ac:dyDescent="0.3">
      <c r="A681" t="s">
        <v>4452</v>
      </c>
      <c r="B681" t="s">
        <v>25</v>
      </c>
      <c r="C681">
        <v>23938356</v>
      </c>
      <c r="D681">
        <v>3188102</v>
      </c>
      <c r="E681" t="s">
        <v>4453</v>
      </c>
      <c r="F681" t="s">
        <v>75</v>
      </c>
      <c r="G681" t="s">
        <v>76</v>
      </c>
      <c r="H681" t="s">
        <v>4454</v>
      </c>
      <c r="I681" t="s">
        <v>4455</v>
      </c>
      <c r="J681" t="s">
        <v>4456</v>
      </c>
      <c r="K681" t="s">
        <v>26</v>
      </c>
      <c r="L681" t="s">
        <v>4457</v>
      </c>
      <c r="M681" t="s">
        <v>25</v>
      </c>
      <c r="N681" t="s">
        <v>4426</v>
      </c>
      <c r="O681" t="s">
        <v>4427</v>
      </c>
      <c r="P681" t="s">
        <v>4458</v>
      </c>
      <c r="Q681" t="s">
        <v>4459</v>
      </c>
      <c r="R681">
        <v>260172</v>
      </c>
      <c r="S681">
        <v>201694</v>
      </c>
      <c r="T681">
        <v>58478</v>
      </c>
      <c r="U681" t="s">
        <v>35</v>
      </c>
      <c r="V681" t="s">
        <v>4430</v>
      </c>
      <c r="W681" t="s">
        <v>4460</v>
      </c>
      <c r="X681" s="4">
        <v>1</v>
      </c>
      <c r="Y681" s="4"/>
      <c r="Z681">
        <f t="shared" si="40"/>
        <v>8</v>
      </c>
      <c r="AA681">
        <f t="shared" si="41"/>
        <v>19</v>
      </c>
      <c r="AB681" s="5">
        <f t="shared" si="42"/>
        <v>0.35703703703620704</v>
      </c>
      <c r="AC681" s="3">
        <f t="shared" si="43"/>
        <v>4.1666666948003694E-4</v>
      </c>
      <c r="AD681" t="str" cm="1">
        <f t="array" ref="AD681">IFERROR(_xlfn.IFS(
    AC681="", "",
    AC681*86400 &lt; 30, "1. 0s - &lt;30s",
    AC681*86400 &lt; 60, "2. 30s - &lt;1m",
    AC681*86400 &lt; 300, "3. 1m - &lt;5m",
    AC681*86400 &lt; 1800, "4. 5m - &lt;30m",
    TRUE, "5. &gt;= 30m"
),"6. Invalid (Order rejected)")</f>
        <v>2. 30s - &lt;1m</v>
      </c>
    </row>
    <row r="682" spans="1:30" hidden="1" x14ac:dyDescent="0.3">
      <c r="A682" t="s">
        <v>4461</v>
      </c>
      <c r="B682" t="s">
        <v>25</v>
      </c>
      <c r="C682">
        <v>23938356</v>
      </c>
      <c r="D682">
        <v>4629465</v>
      </c>
      <c r="E682" t="s">
        <v>4462</v>
      </c>
      <c r="F682" t="s">
        <v>75</v>
      </c>
      <c r="G682" t="s">
        <v>76</v>
      </c>
      <c r="H682" t="s">
        <v>4463</v>
      </c>
      <c r="I682" t="s">
        <v>4464</v>
      </c>
      <c r="J682" t="s">
        <v>4465</v>
      </c>
      <c r="K682" t="s">
        <v>26</v>
      </c>
      <c r="L682" t="s">
        <v>4466</v>
      </c>
      <c r="M682" t="s">
        <v>25</v>
      </c>
      <c r="N682" t="s">
        <v>4426</v>
      </c>
      <c r="O682" t="s">
        <v>4427</v>
      </c>
      <c r="P682" t="s">
        <v>180</v>
      </c>
      <c r="Q682" t="s">
        <v>181</v>
      </c>
      <c r="R682">
        <v>148716</v>
      </c>
      <c r="S682">
        <v>115289</v>
      </c>
      <c r="T682">
        <v>33427</v>
      </c>
      <c r="U682" t="s">
        <v>35</v>
      </c>
      <c r="V682" t="s">
        <v>4430</v>
      </c>
      <c r="W682" t="s">
        <v>4467</v>
      </c>
      <c r="X682" s="4">
        <v>1</v>
      </c>
      <c r="Y682" s="4"/>
      <c r="Z682">
        <f t="shared" si="40"/>
        <v>8</v>
      </c>
      <c r="AA682">
        <f t="shared" si="41"/>
        <v>19</v>
      </c>
      <c r="AB682" s="5">
        <f t="shared" si="42"/>
        <v>0.35938657407677965</v>
      </c>
      <c r="AC682" s="3">
        <f t="shared" si="43"/>
        <v>4.9768518510973081E-4</v>
      </c>
      <c r="AD682" t="str" cm="1">
        <f t="array" ref="AD682">IFERROR(_xlfn.IFS(
    AC682="", "",
    AC682*86400 &lt; 30, "1. 0s - &lt;30s",
    AC682*86400 &lt; 60, "2. 30s - &lt;1m",
    AC682*86400 &lt; 300, "3. 1m - &lt;5m",
    AC682*86400 &lt; 1800, "4. 5m - &lt;30m",
    TRUE, "5. &gt;= 30m"
),"6. Invalid (Order rejected)")</f>
        <v>2. 30s - &lt;1m</v>
      </c>
    </row>
    <row r="683" spans="1:30" hidden="1" x14ac:dyDescent="0.3">
      <c r="A683" t="s">
        <v>4468</v>
      </c>
      <c r="B683" t="s">
        <v>3229</v>
      </c>
      <c r="C683">
        <v>13373294</v>
      </c>
      <c r="D683">
        <v>4629889</v>
      </c>
      <c r="E683" t="s">
        <v>25</v>
      </c>
      <c r="F683" t="s">
        <v>75</v>
      </c>
      <c r="G683" t="s">
        <v>76</v>
      </c>
      <c r="H683" t="s">
        <v>4469</v>
      </c>
      <c r="I683" t="s">
        <v>4464</v>
      </c>
      <c r="J683" t="s">
        <v>4470</v>
      </c>
      <c r="K683" t="s">
        <v>26</v>
      </c>
      <c r="L683" t="s">
        <v>4471</v>
      </c>
      <c r="M683" t="s">
        <v>25</v>
      </c>
      <c r="N683" t="s">
        <v>4472</v>
      </c>
      <c r="O683" t="s">
        <v>4473</v>
      </c>
      <c r="P683" t="s">
        <v>4370</v>
      </c>
      <c r="Q683" t="s">
        <v>4371</v>
      </c>
      <c r="R683">
        <v>239868</v>
      </c>
      <c r="S683">
        <v>185953</v>
      </c>
      <c r="T683">
        <v>53915</v>
      </c>
      <c r="U683" t="s">
        <v>35</v>
      </c>
      <c r="V683" t="s">
        <v>4474</v>
      </c>
      <c r="W683" t="s">
        <v>4373</v>
      </c>
      <c r="X683" s="4">
        <v>1</v>
      </c>
      <c r="Y683" s="4"/>
      <c r="Z683">
        <f t="shared" si="40"/>
        <v>8</v>
      </c>
      <c r="AA683">
        <f t="shared" si="41"/>
        <v>19</v>
      </c>
      <c r="AB683" s="5">
        <f t="shared" si="42"/>
        <v>0.35924768518452765</v>
      </c>
      <c r="AC683" s="3">
        <f t="shared" si="43"/>
        <v>1.7569444447872229E-2</v>
      </c>
      <c r="AD683" t="str" cm="1">
        <f t="array" ref="AD683">IFERROR(_xlfn.IFS(
    AC683="", "",
    AC683*86400 &lt; 30, "1. 0s - &lt;30s",
    AC683*86400 &lt; 60, "2. 30s - &lt;1m",
    AC683*86400 &lt; 300, "3. 1m - &lt;5m",
    AC683*86400 &lt; 1800, "4. 5m - &lt;30m",
    TRUE, "5. &gt;= 30m"
),"6. Invalid (Order rejected)")</f>
        <v>4. 5m - &lt;30m</v>
      </c>
    </row>
    <row r="684" spans="1:30" hidden="1" x14ac:dyDescent="0.3">
      <c r="A684" t="s">
        <v>4475</v>
      </c>
      <c r="B684" t="s">
        <v>3229</v>
      </c>
      <c r="C684">
        <v>13373294</v>
      </c>
      <c r="D684">
        <v>3936015</v>
      </c>
      <c r="E684" t="s">
        <v>25</v>
      </c>
      <c r="F684" t="s">
        <v>75</v>
      </c>
      <c r="G684" t="s">
        <v>76</v>
      </c>
      <c r="H684" t="s">
        <v>4476</v>
      </c>
      <c r="I684" t="s">
        <v>4477</v>
      </c>
      <c r="J684" t="s">
        <v>4478</v>
      </c>
      <c r="K684" t="s">
        <v>26</v>
      </c>
      <c r="L684" t="s">
        <v>4479</v>
      </c>
      <c r="M684" t="s">
        <v>25</v>
      </c>
      <c r="N684" t="s">
        <v>4480</v>
      </c>
      <c r="O684" t="s">
        <v>4481</v>
      </c>
      <c r="P684" t="s">
        <v>4417</v>
      </c>
      <c r="Q684" t="s">
        <v>4418</v>
      </c>
      <c r="R684">
        <v>168372</v>
      </c>
      <c r="S684">
        <v>130527</v>
      </c>
      <c r="T684">
        <v>37845</v>
      </c>
      <c r="U684" t="s">
        <v>35</v>
      </c>
      <c r="V684" t="s">
        <v>4482</v>
      </c>
      <c r="W684" t="s">
        <v>4419</v>
      </c>
      <c r="X684" s="4">
        <v>1</v>
      </c>
      <c r="Y684" s="4"/>
      <c r="Z684">
        <f t="shared" si="40"/>
        <v>8</v>
      </c>
      <c r="AA684">
        <f t="shared" si="41"/>
        <v>19</v>
      </c>
      <c r="AB684" s="5">
        <f t="shared" si="42"/>
        <v>0.36211805555649335</v>
      </c>
      <c r="AC684" s="3">
        <f t="shared" si="43"/>
        <v>7.0370370376622304E-3</v>
      </c>
      <c r="AD684" t="str" cm="1">
        <f t="array" ref="AD684">IFERROR(_xlfn.IFS(
    AC684="", "",
    AC684*86400 &lt; 30, "1. 0s - &lt;30s",
    AC684*86400 &lt; 60, "2. 30s - &lt;1m",
    AC684*86400 &lt; 300, "3. 1m - &lt;5m",
    AC684*86400 &lt; 1800, "4. 5m - &lt;30m",
    TRUE, "5. &gt;= 30m"
),"6. Invalid (Order rejected)")</f>
        <v>4. 5m - &lt;30m</v>
      </c>
    </row>
    <row r="685" spans="1:30" hidden="1" x14ac:dyDescent="0.3">
      <c r="A685" t="s">
        <v>4483</v>
      </c>
      <c r="B685" t="s">
        <v>25</v>
      </c>
      <c r="C685">
        <v>23938356</v>
      </c>
      <c r="D685">
        <v>4241180</v>
      </c>
      <c r="E685" t="s">
        <v>25</v>
      </c>
      <c r="F685" t="s">
        <v>75</v>
      </c>
      <c r="G685" t="s">
        <v>76</v>
      </c>
      <c r="H685" t="s">
        <v>4484</v>
      </c>
      <c r="I685" t="s">
        <v>4485</v>
      </c>
      <c r="J685" t="s">
        <v>4486</v>
      </c>
      <c r="K685" t="s">
        <v>26</v>
      </c>
      <c r="L685" t="s">
        <v>4487</v>
      </c>
      <c r="M685" t="s">
        <v>25</v>
      </c>
      <c r="N685" t="s">
        <v>4426</v>
      </c>
      <c r="O685" t="s">
        <v>4427</v>
      </c>
      <c r="P685" t="s">
        <v>124</v>
      </c>
      <c r="Q685" t="s">
        <v>125</v>
      </c>
      <c r="R685">
        <v>177012</v>
      </c>
      <c r="S685">
        <v>145297</v>
      </c>
      <c r="T685">
        <v>31715</v>
      </c>
      <c r="U685" t="s">
        <v>35</v>
      </c>
      <c r="V685" t="s">
        <v>4430</v>
      </c>
      <c r="W685" t="s">
        <v>2689</v>
      </c>
      <c r="X685" s="4">
        <v>1</v>
      </c>
      <c r="Y685" s="4"/>
      <c r="Z685">
        <f t="shared" si="40"/>
        <v>8</v>
      </c>
      <c r="AA685">
        <f t="shared" si="41"/>
        <v>19</v>
      </c>
      <c r="AB685" s="5">
        <f t="shared" si="42"/>
        <v>0.36116898147884058</v>
      </c>
      <c r="AC685" s="3">
        <f t="shared" si="43"/>
        <v>4.5138889254303649E-4</v>
      </c>
      <c r="AD685" t="str" cm="1">
        <f t="array" ref="AD685">IFERROR(_xlfn.IFS(
    AC685="", "",
    AC685*86400 &lt; 30, "1. 0s - &lt;30s",
    AC685*86400 &lt; 60, "2. 30s - &lt;1m",
    AC685*86400 &lt; 300, "3. 1m - &lt;5m",
    AC685*86400 &lt; 1800, "4. 5m - &lt;30m",
    TRUE, "5. &gt;= 30m"
),"6. Invalid (Order rejected)")</f>
        <v>2. 30s - &lt;1m</v>
      </c>
    </row>
    <row r="686" spans="1:30" hidden="1" x14ac:dyDescent="0.3">
      <c r="A686" t="s">
        <v>4488</v>
      </c>
      <c r="B686" t="s">
        <v>25</v>
      </c>
      <c r="C686">
        <v>23938356</v>
      </c>
      <c r="D686">
        <v>3763978</v>
      </c>
      <c r="E686" t="s">
        <v>25</v>
      </c>
      <c r="F686" t="s">
        <v>75</v>
      </c>
      <c r="G686" t="s">
        <v>76</v>
      </c>
      <c r="H686" t="s">
        <v>4489</v>
      </c>
      <c r="I686" t="s">
        <v>4477</v>
      </c>
      <c r="J686" t="s">
        <v>4490</v>
      </c>
      <c r="K686" t="s">
        <v>26</v>
      </c>
      <c r="L686" t="s">
        <v>4491</v>
      </c>
      <c r="M686" t="s">
        <v>25</v>
      </c>
      <c r="N686" t="s">
        <v>4426</v>
      </c>
      <c r="O686" t="s">
        <v>4427</v>
      </c>
      <c r="P686" t="s">
        <v>2258</v>
      </c>
      <c r="Q686" t="s">
        <v>2259</v>
      </c>
      <c r="R686">
        <v>160812</v>
      </c>
      <c r="S686">
        <v>124667</v>
      </c>
      <c r="T686">
        <v>36145</v>
      </c>
      <c r="U686" t="s">
        <v>35</v>
      </c>
      <c r="V686" t="s">
        <v>4430</v>
      </c>
      <c r="W686" t="s">
        <v>2261</v>
      </c>
      <c r="X686" s="4">
        <v>1</v>
      </c>
      <c r="Y686" s="4"/>
      <c r="Z686">
        <f t="shared" si="40"/>
        <v>8</v>
      </c>
      <c r="AA686">
        <f t="shared" si="41"/>
        <v>19</v>
      </c>
      <c r="AB686" s="5">
        <f t="shared" si="42"/>
        <v>0.36221064814890269</v>
      </c>
      <c r="AC686" s="3">
        <f t="shared" si="43"/>
        <v>3.7037036963738501E-4</v>
      </c>
      <c r="AD686" t="str" cm="1">
        <f t="array" ref="AD686">IFERROR(_xlfn.IFS(
    AC686="", "",
    AC686*86400 &lt; 30, "1. 0s - &lt;30s",
    AC686*86400 &lt; 60, "2. 30s - &lt;1m",
    AC686*86400 &lt; 300, "3. 1m - &lt;5m",
    AC686*86400 &lt; 1800, "4. 5m - &lt;30m",
    TRUE, "5. &gt;= 30m"
),"6. Invalid (Order rejected)")</f>
        <v>2. 30s - &lt;1m</v>
      </c>
    </row>
    <row r="687" spans="1:30" hidden="1" x14ac:dyDescent="0.3">
      <c r="A687" t="s">
        <v>4492</v>
      </c>
      <c r="B687" t="s">
        <v>25</v>
      </c>
      <c r="C687">
        <v>23938356</v>
      </c>
      <c r="D687">
        <v>3616275</v>
      </c>
      <c r="E687" t="s">
        <v>4493</v>
      </c>
      <c r="F687" t="s">
        <v>75</v>
      </c>
      <c r="G687" t="s">
        <v>76</v>
      </c>
      <c r="H687" t="s">
        <v>4494</v>
      </c>
      <c r="I687" t="s">
        <v>4495</v>
      </c>
      <c r="J687" t="s">
        <v>4496</v>
      </c>
      <c r="K687" t="s">
        <v>26</v>
      </c>
      <c r="L687" t="s">
        <v>4497</v>
      </c>
      <c r="M687" t="s">
        <v>25</v>
      </c>
      <c r="N687" t="s">
        <v>4426</v>
      </c>
      <c r="O687" t="s">
        <v>4427</v>
      </c>
      <c r="P687" t="s">
        <v>4498</v>
      </c>
      <c r="Q687" t="s">
        <v>4499</v>
      </c>
      <c r="R687">
        <v>253800</v>
      </c>
      <c r="S687">
        <v>196754</v>
      </c>
      <c r="T687">
        <v>57046</v>
      </c>
      <c r="U687" t="s">
        <v>35</v>
      </c>
      <c r="V687" t="s">
        <v>4430</v>
      </c>
      <c r="W687" t="s">
        <v>4500</v>
      </c>
      <c r="X687" s="4">
        <v>1</v>
      </c>
      <c r="Y687" s="4"/>
      <c r="Z687">
        <f t="shared" si="40"/>
        <v>8</v>
      </c>
      <c r="AA687">
        <f t="shared" si="41"/>
        <v>19</v>
      </c>
      <c r="AB687" s="5">
        <f t="shared" si="42"/>
        <v>0.36359953703504289</v>
      </c>
      <c r="AC687" s="3">
        <f t="shared" si="43"/>
        <v>3.4722222335403785E-4</v>
      </c>
      <c r="AD687" t="str" cm="1">
        <f t="array" ref="AD687">IFERROR(_xlfn.IFS(
    AC687="", "",
    AC687*86400 &lt; 30, "1. 0s - &lt;30s",
    AC687*86400 &lt; 60, "2. 30s - &lt;1m",
    AC687*86400 &lt; 300, "3. 1m - &lt;5m",
    AC687*86400 &lt; 1800, "4. 5m - &lt;30m",
    TRUE, "5. &gt;= 30m"
),"6. Invalid (Order rejected)")</f>
        <v>2. 30s - &lt;1m</v>
      </c>
    </row>
    <row r="688" spans="1:30" hidden="1" x14ac:dyDescent="0.3">
      <c r="A688" t="s">
        <v>4501</v>
      </c>
      <c r="B688" t="s">
        <v>3229</v>
      </c>
      <c r="C688">
        <v>13373294</v>
      </c>
      <c r="D688">
        <v>0</v>
      </c>
      <c r="E688" t="s">
        <v>4502</v>
      </c>
      <c r="F688" t="s">
        <v>26</v>
      </c>
      <c r="G688" t="s">
        <v>27</v>
      </c>
      <c r="H688" t="s">
        <v>4503</v>
      </c>
      <c r="I688" t="s">
        <v>4504</v>
      </c>
      <c r="J688" t="s">
        <v>26</v>
      </c>
      <c r="K688" t="s">
        <v>26</v>
      </c>
      <c r="L688" t="s">
        <v>4505</v>
      </c>
      <c r="M688" t="s">
        <v>25</v>
      </c>
      <c r="N688" t="s">
        <v>4368</v>
      </c>
      <c r="O688" t="s">
        <v>4369</v>
      </c>
      <c r="P688" t="s">
        <v>4417</v>
      </c>
      <c r="Q688" t="s">
        <v>4418</v>
      </c>
      <c r="R688">
        <v>359100</v>
      </c>
      <c r="S688">
        <v>0</v>
      </c>
      <c r="T688">
        <v>359100</v>
      </c>
      <c r="U688" t="s">
        <v>35</v>
      </c>
      <c r="V688" t="s">
        <v>4372</v>
      </c>
      <c r="W688" t="s">
        <v>4419</v>
      </c>
      <c r="X688" s="4">
        <v>1</v>
      </c>
      <c r="Y688" s="4"/>
      <c r="Z688">
        <f t="shared" si="40"/>
        <v>8</v>
      </c>
      <c r="AA688">
        <f t="shared" si="41"/>
        <v>19</v>
      </c>
      <c r="AB688" s="5">
        <f t="shared" si="42"/>
        <v>0.38124999999854481</v>
      </c>
      <c r="AC688" s="3">
        <f t="shared" si="43"/>
        <v>0.13304398148466134</v>
      </c>
      <c r="AD688" t="str" cm="1">
        <f t="array" ref="AD688">IFERROR(_xlfn.IFS(
    AC688="", "",
    AC688*86400 &lt; 30, "1. 0s - &lt;30s",
    AC688*86400 &lt; 60, "2. 30s - &lt;1m",
    AC688*86400 &lt; 300, "3. 1m - &lt;5m",
    AC688*86400 &lt; 1800, "4. 5m - &lt;30m",
    TRUE, "5. &gt;= 30m"
),"6. Invalid (Order rejected)")</f>
        <v>5. &gt;= 30m</v>
      </c>
    </row>
    <row r="689" spans="1:30" x14ac:dyDescent="0.3">
      <c r="A689" t="s">
        <v>4506</v>
      </c>
      <c r="B689" t="s">
        <v>25</v>
      </c>
      <c r="C689">
        <v>43740668</v>
      </c>
      <c r="D689">
        <v>1644969</v>
      </c>
      <c r="E689" t="s">
        <v>25</v>
      </c>
      <c r="F689" t="s">
        <v>75</v>
      </c>
      <c r="G689" t="s">
        <v>360</v>
      </c>
      <c r="H689" t="s">
        <v>4507</v>
      </c>
      <c r="I689" t="s">
        <v>4508</v>
      </c>
      <c r="J689" t="s">
        <v>4509</v>
      </c>
      <c r="K689" t="s">
        <v>26</v>
      </c>
      <c r="L689" t="s">
        <v>25</v>
      </c>
      <c r="M689" t="s">
        <v>25</v>
      </c>
      <c r="N689" t="s">
        <v>4510</v>
      </c>
      <c r="O689" t="s">
        <v>4511</v>
      </c>
      <c r="P689" t="s">
        <v>4512</v>
      </c>
      <c r="Q689" t="s">
        <v>4513</v>
      </c>
      <c r="R689">
        <v>292032</v>
      </c>
      <c r="S689">
        <v>226392</v>
      </c>
      <c r="T689">
        <v>65640</v>
      </c>
      <c r="U689" t="s">
        <v>35</v>
      </c>
      <c r="V689" t="s">
        <v>4514</v>
      </c>
      <c r="W689" t="s">
        <v>4515</v>
      </c>
      <c r="X689" s="4">
        <v>1</v>
      </c>
      <c r="Y689" s="4"/>
      <c r="Z689">
        <f t="shared" si="40"/>
        <v>8</v>
      </c>
      <c r="AA689">
        <f t="shared" si="41"/>
        <v>19</v>
      </c>
      <c r="AB689" s="5">
        <f t="shared" si="42"/>
        <v>0.56486111111007631</v>
      </c>
      <c r="AC689" s="3" t="str">
        <f t="shared" si="43"/>
        <v>Order rejected, no time available</v>
      </c>
      <c r="AD689" t="str" cm="1">
        <f t="array" ref="AD689">IFERROR(_xlfn.IFS(
    AC689="", "",
    AC689*86400 &lt; 30, "1. 0s - &lt;30s",
    AC689*86400 &lt; 60, "2. 30s - &lt;1m",
    AC689*86400 &lt; 300, "3. 1m - &lt;5m",
    AC689*86400 &lt; 1800, "4. 5m - &lt;30m",
    TRUE, "5. &gt;= 30m"
),"6. Invalid (Order rejected)")</f>
        <v>6. Invalid (Order rejected)</v>
      </c>
    </row>
    <row r="690" spans="1:30" hidden="1" x14ac:dyDescent="0.3">
      <c r="A690" t="s">
        <v>4516</v>
      </c>
      <c r="B690" t="s">
        <v>25</v>
      </c>
      <c r="C690">
        <v>43740668</v>
      </c>
      <c r="D690">
        <v>0</v>
      </c>
      <c r="E690" t="s">
        <v>25</v>
      </c>
      <c r="F690" t="s">
        <v>26</v>
      </c>
      <c r="G690" t="s">
        <v>27</v>
      </c>
      <c r="H690" t="s">
        <v>4517</v>
      </c>
      <c r="I690" t="s">
        <v>4518</v>
      </c>
      <c r="J690" t="s">
        <v>26</v>
      </c>
      <c r="K690" t="s">
        <v>26</v>
      </c>
      <c r="L690" t="s">
        <v>4519</v>
      </c>
      <c r="M690" t="s">
        <v>25</v>
      </c>
      <c r="N690" t="s">
        <v>4520</v>
      </c>
      <c r="O690" t="s">
        <v>4521</v>
      </c>
      <c r="P690" t="s">
        <v>4522</v>
      </c>
      <c r="Q690" t="s">
        <v>4523</v>
      </c>
      <c r="R690">
        <v>334044</v>
      </c>
      <c r="S690">
        <v>0</v>
      </c>
      <c r="T690">
        <v>334044</v>
      </c>
      <c r="U690" t="s">
        <v>35</v>
      </c>
      <c r="V690" t="s">
        <v>4524</v>
      </c>
      <c r="W690" t="s">
        <v>4525</v>
      </c>
      <c r="X690" s="4">
        <v>1</v>
      </c>
      <c r="Y690" s="4"/>
      <c r="Z690">
        <f t="shared" si="40"/>
        <v>8</v>
      </c>
      <c r="AA690">
        <f t="shared" si="41"/>
        <v>19</v>
      </c>
      <c r="AB690" s="5">
        <f t="shared" si="42"/>
        <v>0.56659722221957054</v>
      </c>
      <c r="AC690" s="3">
        <f t="shared" si="43"/>
        <v>0.10157407407677965</v>
      </c>
      <c r="AD690" t="str" cm="1">
        <f t="array" ref="AD690">IFERROR(_xlfn.IFS(
    AC690="", "",
    AC690*86400 &lt; 30, "1. 0s - &lt;30s",
    AC690*86400 &lt; 60, "2. 30s - &lt;1m",
    AC690*86400 &lt; 300, "3. 1m - &lt;5m",
    AC690*86400 &lt; 1800, "4. 5m - &lt;30m",
    TRUE, "5. &gt;= 30m"
),"6. Invalid (Order rejected)")</f>
        <v>5. &gt;= 30m</v>
      </c>
    </row>
    <row r="691" spans="1:30" x14ac:dyDescent="0.3">
      <c r="A691" t="s">
        <v>4526</v>
      </c>
      <c r="B691" t="s">
        <v>25</v>
      </c>
      <c r="C691">
        <v>43740668</v>
      </c>
      <c r="D691">
        <v>1977244</v>
      </c>
      <c r="E691" t="s">
        <v>25</v>
      </c>
      <c r="F691" t="s">
        <v>75</v>
      </c>
      <c r="G691" t="s">
        <v>360</v>
      </c>
      <c r="H691" t="s">
        <v>4527</v>
      </c>
      <c r="I691" t="s">
        <v>4528</v>
      </c>
      <c r="J691" t="s">
        <v>4529</v>
      </c>
      <c r="K691" t="s">
        <v>26</v>
      </c>
      <c r="L691" t="s">
        <v>25</v>
      </c>
      <c r="M691" t="s">
        <v>25</v>
      </c>
      <c r="N691" t="s">
        <v>4530</v>
      </c>
      <c r="O691" t="s">
        <v>4531</v>
      </c>
      <c r="P691" t="s">
        <v>4532</v>
      </c>
      <c r="Q691" t="s">
        <v>4533</v>
      </c>
      <c r="R691">
        <v>289224</v>
      </c>
      <c r="S691">
        <v>224216</v>
      </c>
      <c r="T691">
        <v>65008</v>
      </c>
      <c r="U691" t="s">
        <v>35</v>
      </c>
      <c r="V691" t="s">
        <v>4534</v>
      </c>
      <c r="W691" t="s">
        <v>4535</v>
      </c>
      <c r="X691" s="4">
        <v>1</v>
      </c>
      <c r="Y691" s="4"/>
      <c r="Z691">
        <f t="shared" si="40"/>
        <v>8</v>
      </c>
      <c r="AA691">
        <f t="shared" si="41"/>
        <v>19</v>
      </c>
      <c r="AB691" s="5">
        <f t="shared" si="42"/>
        <v>0.56717592592758592</v>
      </c>
      <c r="AC691" s="3" t="str">
        <f t="shared" si="43"/>
        <v>Order rejected, no time available</v>
      </c>
      <c r="AD691" t="str" cm="1">
        <f t="array" ref="AD691">IFERROR(_xlfn.IFS(
    AC691="", "",
    AC691*86400 &lt; 30, "1. 0s - &lt;30s",
    AC691*86400 &lt; 60, "2. 30s - &lt;1m",
    AC691*86400 &lt; 300, "3. 1m - &lt;5m",
    AC691*86400 &lt; 1800, "4. 5m - &lt;30m",
    TRUE, "5. &gt;= 30m"
),"6. Invalid (Order rejected)")</f>
        <v>6. Invalid (Order rejected)</v>
      </c>
    </row>
    <row r="692" spans="1:30" hidden="1" x14ac:dyDescent="0.3">
      <c r="A692" t="s">
        <v>4536</v>
      </c>
      <c r="B692" t="s">
        <v>25</v>
      </c>
      <c r="C692">
        <v>43740668</v>
      </c>
      <c r="D692">
        <v>0</v>
      </c>
      <c r="E692" t="s">
        <v>25</v>
      </c>
      <c r="F692" t="s">
        <v>26</v>
      </c>
      <c r="G692" t="s">
        <v>27</v>
      </c>
      <c r="H692" t="s">
        <v>4537</v>
      </c>
      <c r="I692" t="s">
        <v>4538</v>
      </c>
      <c r="J692" t="s">
        <v>26</v>
      </c>
      <c r="K692" t="s">
        <v>26</v>
      </c>
      <c r="L692" t="s">
        <v>4539</v>
      </c>
      <c r="M692" t="s">
        <v>25</v>
      </c>
      <c r="N692" t="s">
        <v>4540</v>
      </c>
      <c r="O692" t="s">
        <v>4541</v>
      </c>
      <c r="P692" t="s">
        <v>4542</v>
      </c>
      <c r="Q692" t="s">
        <v>4543</v>
      </c>
      <c r="R692">
        <v>286524</v>
      </c>
      <c r="S692">
        <v>0</v>
      </c>
      <c r="T692">
        <v>286524</v>
      </c>
      <c r="U692" t="s">
        <v>35</v>
      </c>
      <c r="V692" t="s">
        <v>4372</v>
      </c>
      <c r="W692" t="s">
        <v>4544</v>
      </c>
      <c r="X692" s="4">
        <v>1</v>
      </c>
      <c r="Y692" s="4"/>
      <c r="Z692">
        <f t="shared" si="40"/>
        <v>8</v>
      </c>
      <c r="AA692">
        <f t="shared" si="41"/>
        <v>20</v>
      </c>
      <c r="AB692" s="5">
        <f t="shared" si="42"/>
        <v>0.29417824074334931</v>
      </c>
      <c r="AC692" s="3">
        <f t="shared" si="43"/>
        <v>8.9849537034751847E-2</v>
      </c>
      <c r="AD692" t="str" cm="1">
        <f t="array" ref="AD692">IFERROR(_xlfn.IFS(
    AC692="", "",
    AC692*86400 &lt; 30, "1. 0s - &lt;30s",
    AC692*86400 &lt; 60, "2. 30s - &lt;1m",
    AC692*86400 &lt; 300, "3. 1m - &lt;5m",
    AC692*86400 &lt; 1800, "4. 5m - &lt;30m",
    TRUE, "5. &gt;= 30m"
),"6. Invalid (Order rejected)")</f>
        <v>5. &gt;= 30m</v>
      </c>
    </row>
    <row r="693" spans="1:30" hidden="1" x14ac:dyDescent="0.3">
      <c r="A693" t="s">
        <v>4545</v>
      </c>
      <c r="B693" t="s">
        <v>25</v>
      </c>
      <c r="C693">
        <v>43756635</v>
      </c>
      <c r="D693">
        <v>0</v>
      </c>
      <c r="E693" t="s">
        <v>25</v>
      </c>
      <c r="F693" t="s">
        <v>26</v>
      </c>
      <c r="G693" t="s">
        <v>27</v>
      </c>
      <c r="H693" t="s">
        <v>4546</v>
      </c>
      <c r="I693" t="s">
        <v>4547</v>
      </c>
      <c r="J693" t="s">
        <v>26</v>
      </c>
      <c r="K693" t="s">
        <v>26</v>
      </c>
      <c r="L693" t="s">
        <v>4548</v>
      </c>
      <c r="M693" t="s">
        <v>25</v>
      </c>
      <c r="N693" t="s">
        <v>4025</v>
      </c>
      <c r="O693" t="s">
        <v>4026</v>
      </c>
      <c r="P693" t="s">
        <v>4549</v>
      </c>
      <c r="Q693" t="s">
        <v>4550</v>
      </c>
      <c r="R693">
        <v>306072</v>
      </c>
      <c r="S693">
        <v>0</v>
      </c>
      <c r="T693">
        <v>306072</v>
      </c>
      <c r="U693" t="s">
        <v>35</v>
      </c>
      <c r="V693" t="s">
        <v>4029</v>
      </c>
      <c r="W693" t="s">
        <v>4551</v>
      </c>
      <c r="X693" s="4">
        <v>1</v>
      </c>
      <c r="Y693" s="4"/>
      <c r="Z693">
        <f t="shared" si="40"/>
        <v>8</v>
      </c>
      <c r="AA693">
        <f t="shared" si="41"/>
        <v>20</v>
      </c>
      <c r="AB693" s="5">
        <f t="shared" si="42"/>
        <v>0.29728009259270038</v>
      </c>
      <c r="AC693" s="3">
        <f t="shared" si="43"/>
        <v>9.6018518517666962E-2</v>
      </c>
      <c r="AD693" t="str" cm="1">
        <f t="array" ref="AD693">IFERROR(_xlfn.IFS(
    AC693="", "",
    AC693*86400 &lt; 30, "1. 0s - &lt;30s",
    AC693*86400 &lt; 60, "2. 30s - &lt;1m",
    AC693*86400 &lt; 300, "3. 1m - &lt;5m",
    AC693*86400 &lt; 1800, "4. 5m - &lt;30m",
    TRUE, "5. &gt;= 30m"
),"6. Invalid (Order rejected)")</f>
        <v>5. &gt;= 30m</v>
      </c>
    </row>
    <row r="694" spans="1:30" x14ac:dyDescent="0.3">
      <c r="A694" t="s">
        <v>4552</v>
      </c>
      <c r="B694" t="s">
        <v>25</v>
      </c>
      <c r="C694">
        <v>43740668</v>
      </c>
      <c r="D694">
        <v>4868126</v>
      </c>
      <c r="E694" t="s">
        <v>25</v>
      </c>
      <c r="F694" t="s">
        <v>75</v>
      </c>
      <c r="G694" t="s">
        <v>360</v>
      </c>
      <c r="H694" t="s">
        <v>4553</v>
      </c>
      <c r="I694" t="s">
        <v>4554</v>
      </c>
      <c r="J694" t="s">
        <v>4555</v>
      </c>
      <c r="K694" t="s">
        <v>26</v>
      </c>
      <c r="L694" t="s">
        <v>25</v>
      </c>
      <c r="M694" t="s">
        <v>25</v>
      </c>
      <c r="N694" t="s">
        <v>4556</v>
      </c>
      <c r="O694" t="s">
        <v>4557</v>
      </c>
      <c r="P694" t="s">
        <v>4558</v>
      </c>
      <c r="Q694" t="s">
        <v>4559</v>
      </c>
      <c r="R694">
        <v>283716</v>
      </c>
      <c r="S694">
        <v>219946</v>
      </c>
      <c r="T694">
        <v>63770</v>
      </c>
      <c r="U694" t="s">
        <v>35</v>
      </c>
      <c r="V694" t="s">
        <v>4560</v>
      </c>
      <c r="W694" t="s">
        <v>4561</v>
      </c>
      <c r="X694" s="4">
        <v>1</v>
      </c>
      <c r="Y694" s="4"/>
      <c r="Z694">
        <f t="shared" si="40"/>
        <v>8</v>
      </c>
      <c r="AA694">
        <f t="shared" si="41"/>
        <v>20</v>
      </c>
      <c r="AB694" s="5">
        <f t="shared" si="42"/>
        <v>0.29056712963210884</v>
      </c>
      <c r="AC694" s="3" t="str">
        <f t="shared" si="43"/>
        <v>Order rejected, no time available</v>
      </c>
      <c r="AD694" t="str" cm="1">
        <f t="array" ref="AD694">IFERROR(_xlfn.IFS(
    AC694="", "",
    AC694*86400 &lt; 30, "1. 0s - &lt;30s",
    AC694*86400 &lt; 60, "2. 30s - &lt;1m",
    AC694*86400 &lt; 300, "3. 1m - &lt;5m",
    AC694*86400 &lt; 1800, "4. 5m - &lt;30m",
    TRUE, "5. &gt;= 30m"
),"6. Invalid (Order rejected)")</f>
        <v>6. Invalid (Order rejected)</v>
      </c>
    </row>
    <row r="695" spans="1:30" hidden="1" x14ac:dyDescent="0.3">
      <c r="A695" t="s">
        <v>4562</v>
      </c>
      <c r="B695" t="s">
        <v>25</v>
      </c>
      <c r="C695">
        <v>43740668</v>
      </c>
      <c r="D695">
        <v>0</v>
      </c>
      <c r="E695" t="s">
        <v>25</v>
      </c>
      <c r="F695" t="s">
        <v>26</v>
      </c>
      <c r="G695" t="s">
        <v>27</v>
      </c>
      <c r="H695" t="s">
        <v>4563</v>
      </c>
      <c r="I695" t="s">
        <v>4564</v>
      </c>
      <c r="J695" t="s">
        <v>26</v>
      </c>
      <c r="K695" t="s">
        <v>26</v>
      </c>
      <c r="L695" t="s">
        <v>4565</v>
      </c>
      <c r="M695" t="s">
        <v>25</v>
      </c>
      <c r="N695" t="s">
        <v>4566</v>
      </c>
      <c r="O695" t="s">
        <v>4567</v>
      </c>
      <c r="P695" t="s">
        <v>4568</v>
      </c>
      <c r="Q695" t="s">
        <v>4569</v>
      </c>
      <c r="R695">
        <v>178200</v>
      </c>
      <c r="S695">
        <v>0</v>
      </c>
      <c r="T695">
        <v>178200</v>
      </c>
      <c r="U695" t="s">
        <v>35</v>
      </c>
      <c r="V695" t="s">
        <v>4570</v>
      </c>
      <c r="W695" t="s">
        <v>4571</v>
      </c>
      <c r="X695" s="4">
        <v>1</v>
      </c>
      <c r="Y695" s="4"/>
      <c r="Z695">
        <f t="shared" si="40"/>
        <v>8</v>
      </c>
      <c r="AA695">
        <f t="shared" si="41"/>
        <v>20</v>
      </c>
      <c r="AB695" s="5">
        <f t="shared" si="42"/>
        <v>0.29165509259473765</v>
      </c>
      <c r="AC695" s="3">
        <f t="shared" si="43"/>
        <v>9.1562499997962732E-2</v>
      </c>
      <c r="AD695" t="str" cm="1">
        <f t="array" ref="AD695">IFERROR(_xlfn.IFS(
    AC695="", "",
    AC695*86400 &lt; 30, "1. 0s - &lt;30s",
    AC695*86400 &lt; 60, "2. 30s - &lt;1m",
    AC695*86400 &lt; 300, "3. 1m - &lt;5m",
    AC695*86400 &lt; 1800, "4. 5m - &lt;30m",
    TRUE, "5. &gt;= 30m"
),"6. Invalid (Order rejected)")</f>
        <v>5. &gt;= 30m</v>
      </c>
    </row>
    <row r="696" spans="1:30" hidden="1" x14ac:dyDescent="0.3">
      <c r="A696" t="s">
        <v>4572</v>
      </c>
      <c r="B696" t="s">
        <v>25</v>
      </c>
      <c r="C696">
        <v>43740668</v>
      </c>
      <c r="D696">
        <v>0</v>
      </c>
      <c r="E696" t="s">
        <v>25</v>
      </c>
      <c r="F696" t="s">
        <v>26</v>
      </c>
      <c r="G696" t="s">
        <v>27</v>
      </c>
      <c r="H696" t="s">
        <v>4573</v>
      </c>
      <c r="I696" t="s">
        <v>4574</v>
      </c>
      <c r="J696" t="s">
        <v>26</v>
      </c>
      <c r="K696" t="s">
        <v>26</v>
      </c>
      <c r="L696" t="s">
        <v>4575</v>
      </c>
      <c r="M696" t="s">
        <v>25</v>
      </c>
      <c r="N696" t="s">
        <v>4576</v>
      </c>
      <c r="O696" t="s">
        <v>4577</v>
      </c>
      <c r="P696" t="s">
        <v>4578</v>
      </c>
      <c r="Q696" t="s">
        <v>4579</v>
      </c>
      <c r="R696">
        <v>288252</v>
      </c>
      <c r="S696">
        <v>0</v>
      </c>
      <c r="T696">
        <v>288252</v>
      </c>
      <c r="U696" t="s">
        <v>35</v>
      </c>
      <c r="V696" t="s">
        <v>4580</v>
      </c>
      <c r="W696" t="s">
        <v>4581</v>
      </c>
      <c r="X696" s="4">
        <v>1</v>
      </c>
      <c r="Y696" s="4"/>
      <c r="Z696">
        <f t="shared" si="40"/>
        <v>8</v>
      </c>
      <c r="AA696">
        <f t="shared" si="41"/>
        <v>20</v>
      </c>
      <c r="AB696" s="5">
        <f t="shared" si="42"/>
        <v>0.29618055555329192</v>
      </c>
      <c r="AC696" s="3">
        <f t="shared" si="43"/>
        <v>0.10996527777751908</v>
      </c>
      <c r="AD696" t="str" cm="1">
        <f t="array" ref="AD696">IFERROR(_xlfn.IFS(
    AC696="", "",
    AC696*86400 &lt; 30, "1. 0s - &lt;30s",
    AC696*86400 &lt; 60, "2. 30s - &lt;1m",
    AC696*86400 &lt; 300, "3. 1m - &lt;5m",
    AC696*86400 &lt; 1800, "4. 5m - &lt;30m",
    TRUE, "5. &gt;= 30m"
),"6. Invalid (Order rejected)")</f>
        <v>5. &gt;= 30m</v>
      </c>
    </row>
    <row r="697" spans="1:30" hidden="1" x14ac:dyDescent="0.3">
      <c r="A697" t="s">
        <v>4582</v>
      </c>
      <c r="B697" t="s">
        <v>25</v>
      </c>
      <c r="C697">
        <v>43756635</v>
      </c>
      <c r="D697">
        <v>0</v>
      </c>
      <c r="E697" t="s">
        <v>25</v>
      </c>
      <c r="F697" t="s">
        <v>26</v>
      </c>
      <c r="G697" t="s">
        <v>27</v>
      </c>
      <c r="H697" t="s">
        <v>4583</v>
      </c>
      <c r="I697" t="s">
        <v>4584</v>
      </c>
      <c r="J697" t="s">
        <v>26</v>
      </c>
      <c r="K697" t="s">
        <v>26</v>
      </c>
      <c r="L697" t="s">
        <v>4585</v>
      </c>
      <c r="M697" t="s">
        <v>25</v>
      </c>
      <c r="N697" t="s">
        <v>4025</v>
      </c>
      <c r="O697" t="s">
        <v>4026</v>
      </c>
      <c r="P697" t="s">
        <v>4586</v>
      </c>
      <c r="Q697" t="s">
        <v>4587</v>
      </c>
      <c r="R697">
        <v>239760</v>
      </c>
      <c r="S697">
        <v>0</v>
      </c>
      <c r="T697">
        <v>239760</v>
      </c>
      <c r="U697" t="s">
        <v>35</v>
      </c>
      <c r="V697" t="s">
        <v>4029</v>
      </c>
      <c r="W697" t="s">
        <v>4588</v>
      </c>
      <c r="X697" s="4">
        <v>1</v>
      </c>
      <c r="Y697" s="4"/>
      <c r="Z697">
        <f t="shared" si="40"/>
        <v>8</v>
      </c>
      <c r="AA697">
        <f t="shared" si="41"/>
        <v>20</v>
      </c>
      <c r="AB697" s="5">
        <f t="shared" si="42"/>
        <v>0.29856481481692754</v>
      </c>
      <c r="AC697" s="3">
        <f t="shared" si="43"/>
        <v>9.0266203704231884E-2</v>
      </c>
      <c r="AD697" t="str" cm="1">
        <f t="array" ref="AD697">IFERROR(_xlfn.IFS(
    AC697="", "",
    AC697*86400 &lt; 30, "1. 0s - &lt;30s",
    AC697*86400 &lt; 60, "2. 30s - &lt;1m",
    AC697*86400 &lt; 300, "3. 1m - &lt;5m",
    AC697*86400 &lt; 1800, "4. 5m - &lt;30m",
    TRUE, "5. &gt;= 30m"
),"6. Invalid (Order rejected)")</f>
        <v>5. &gt;= 30m</v>
      </c>
    </row>
    <row r="698" spans="1:30" hidden="1" x14ac:dyDescent="0.3">
      <c r="A698" t="s">
        <v>4589</v>
      </c>
      <c r="B698" t="s">
        <v>25</v>
      </c>
      <c r="C698">
        <v>43740668</v>
      </c>
      <c r="D698">
        <v>0</v>
      </c>
      <c r="E698" t="s">
        <v>25</v>
      </c>
      <c r="F698" t="s">
        <v>26</v>
      </c>
      <c r="G698" t="s">
        <v>27</v>
      </c>
      <c r="H698" t="s">
        <v>4590</v>
      </c>
      <c r="I698" t="s">
        <v>4591</v>
      </c>
      <c r="J698" t="s">
        <v>26</v>
      </c>
      <c r="K698" t="s">
        <v>26</v>
      </c>
      <c r="L698" t="s">
        <v>4592</v>
      </c>
      <c r="M698" t="s">
        <v>25</v>
      </c>
      <c r="N698" t="s">
        <v>4593</v>
      </c>
      <c r="O698" t="s">
        <v>4594</v>
      </c>
      <c r="P698" t="s">
        <v>4595</v>
      </c>
      <c r="Q698" t="s">
        <v>4596</v>
      </c>
      <c r="R698">
        <v>275076</v>
      </c>
      <c r="S698">
        <v>0</v>
      </c>
      <c r="T698">
        <v>275076</v>
      </c>
      <c r="U698" t="s">
        <v>35</v>
      </c>
      <c r="V698" t="s">
        <v>4597</v>
      </c>
      <c r="W698" t="s">
        <v>4598</v>
      </c>
      <c r="X698" s="4">
        <v>1</v>
      </c>
      <c r="Y698" s="4"/>
      <c r="Z698">
        <f t="shared" si="40"/>
        <v>8</v>
      </c>
      <c r="AA698">
        <f t="shared" si="41"/>
        <v>20</v>
      </c>
      <c r="AB698" s="5">
        <f t="shared" si="42"/>
        <v>0.29250000000320142</v>
      </c>
      <c r="AC698" s="3">
        <f t="shared" si="43"/>
        <v>9.0138888888759539E-2</v>
      </c>
      <c r="AD698" t="str" cm="1">
        <f t="array" ref="AD698">IFERROR(_xlfn.IFS(
    AC698="", "",
    AC698*86400 &lt; 30, "1. 0s - &lt;30s",
    AC698*86400 &lt; 60, "2. 30s - &lt;1m",
    AC698*86400 &lt; 300, "3. 1m - &lt;5m",
    AC698*86400 &lt; 1800, "4. 5m - &lt;30m",
    TRUE, "5. &gt;= 30m"
),"6. Invalid (Order rejected)")</f>
        <v>5. &gt;= 30m</v>
      </c>
    </row>
    <row r="699" spans="1:30" hidden="1" x14ac:dyDescent="0.3">
      <c r="A699" t="s">
        <v>4599</v>
      </c>
      <c r="B699" t="s">
        <v>25</v>
      </c>
      <c r="C699">
        <v>43756635</v>
      </c>
      <c r="D699">
        <v>0</v>
      </c>
      <c r="E699" t="s">
        <v>25</v>
      </c>
      <c r="F699" t="s">
        <v>26</v>
      </c>
      <c r="G699" t="s">
        <v>27</v>
      </c>
      <c r="H699" t="s">
        <v>4600</v>
      </c>
      <c r="I699" t="s">
        <v>4601</v>
      </c>
      <c r="J699" t="s">
        <v>26</v>
      </c>
      <c r="K699" t="s">
        <v>26</v>
      </c>
      <c r="L699" t="s">
        <v>4602</v>
      </c>
      <c r="M699" t="s">
        <v>25</v>
      </c>
      <c r="N699" t="s">
        <v>4603</v>
      </c>
      <c r="O699" t="s">
        <v>4604</v>
      </c>
      <c r="P699" t="s">
        <v>4605</v>
      </c>
      <c r="Q699" t="s">
        <v>4606</v>
      </c>
      <c r="R699">
        <v>198936</v>
      </c>
      <c r="S699">
        <v>0</v>
      </c>
      <c r="T699">
        <v>198936</v>
      </c>
      <c r="U699" t="s">
        <v>35</v>
      </c>
      <c r="V699" t="s">
        <v>4607</v>
      </c>
      <c r="W699" t="s">
        <v>4608</v>
      </c>
      <c r="X699" s="4">
        <v>1</v>
      </c>
      <c r="Y699" s="4"/>
      <c r="Z699">
        <f t="shared" si="40"/>
        <v>8</v>
      </c>
      <c r="AA699">
        <f t="shared" si="41"/>
        <v>20</v>
      </c>
      <c r="AB699" s="5">
        <f t="shared" si="42"/>
        <v>0.302210648151231</v>
      </c>
      <c r="AC699" s="3">
        <f t="shared" si="43"/>
        <v>9.0254629627452232E-2</v>
      </c>
      <c r="AD699" t="str" cm="1">
        <f t="array" ref="AD699">IFERROR(_xlfn.IFS(
    AC699="", "",
    AC699*86400 &lt; 30, "1. 0s - &lt;30s",
    AC699*86400 &lt; 60, "2. 30s - &lt;1m",
    AC699*86400 &lt; 300, "3. 1m - &lt;5m",
    AC699*86400 &lt; 1800, "4. 5m - &lt;30m",
    TRUE, "5. &gt;= 30m"
),"6. Invalid (Order rejected)")</f>
        <v>5. &gt;= 30m</v>
      </c>
    </row>
    <row r="700" spans="1:30" hidden="1" x14ac:dyDescent="0.3">
      <c r="A700" t="s">
        <v>4609</v>
      </c>
      <c r="B700" t="s">
        <v>25</v>
      </c>
      <c r="C700">
        <v>43756635</v>
      </c>
      <c r="D700">
        <v>0</v>
      </c>
      <c r="E700" t="s">
        <v>25</v>
      </c>
      <c r="F700" t="s">
        <v>26</v>
      </c>
      <c r="G700" t="s">
        <v>27</v>
      </c>
      <c r="H700" t="s">
        <v>4610</v>
      </c>
      <c r="I700" t="s">
        <v>4611</v>
      </c>
      <c r="J700" t="s">
        <v>26</v>
      </c>
      <c r="K700" t="s">
        <v>26</v>
      </c>
      <c r="L700" t="s">
        <v>4612</v>
      </c>
      <c r="M700" t="s">
        <v>25</v>
      </c>
      <c r="N700" t="s">
        <v>1349</v>
      </c>
      <c r="O700" t="s">
        <v>1350</v>
      </c>
      <c r="P700" t="s">
        <v>4613</v>
      </c>
      <c r="Q700" t="s">
        <v>4614</v>
      </c>
      <c r="R700">
        <v>170424</v>
      </c>
      <c r="S700">
        <v>0</v>
      </c>
      <c r="T700">
        <v>170424</v>
      </c>
      <c r="U700" t="s">
        <v>35</v>
      </c>
      <c r="V700" t="s">
        <v>1353</v>
      </c>
      <c r="W700" t="s">
        <v>4615</v>
      </c>
      <c r="X700" s="4">
        <v>1</v>
      </c>
      <c r="Y700" s="4"/>
      <c r="Z700">
        <f t="shared" si="40"/>
        <v>8</v>
      </c>
      <c r="AA700">
        <f t="shared" si="41"/>
        <v>20</v>
      </c>
      <c r="AB700" s="5">
        <f t="shared" si="42"/>
        <v>0.30449074073840166</v>
      </c>
      <c r="AC700" s="3">
        <f t="shared" si="43"/>
        <v>9.025462963472819E-2</v>
      </c>
      <c r="AD700" t="str" cm="1">
        <f t="array" ref="AD700">IFERROR(_xlfn.IFS(
    AC700="", "",
    AC700*86400 &lt; 30, "1. 0s - &lt;30s",
    AC700*86400 &lt; 60, "2. 30s - &lt;1m",
    AC700*86400 &lt; 300, "3. 1m - &lt;5m",
    AC700*86400 &lt; 1800, "4. 5m - &lt;30m",
    TRUE, "5. &gt;= 30m"
),"6. Invalid (Order rejected)")</f>
        <v>5. &gt;= 30m</v>
      </c>
    </row>
    <row r="701" spans="1:30" x14ac:dyDescent="0.3">
      <c r="A701" t="s">
        <v>4616</v>
      </c>
      <c r="B701" t="s">
        <v>25</v>
      </c>
      <c r="C701">
        <v>43740668</v>
      </c>
      <c r="D701">
        <v>3728922</v>
      </c>
      <c r="E701" t="s">
        <v>4617</v>
      </c>
      <c r="F701" t="s">
        <v>75</v>
      </c>
      <c r="G701" t="s">
        <v>360</v>
      </c>
      <c r="H701" t="s">
        <v>4618</v>
      </c>
      <c r="I701" t="s">
        <v>4619</v>
      </c>
      <c r="J701" t="s">
        <v>4620</v>
      </c>
      <c r="K701" t="s">
        <v>4621</v>
      </c>
      <c r="L701" t="s">
        <v>25</v>
      </c>
      <c r="M701" t="s">
        <v>25</v>
      </c>
      <c r="N701" t="s">
        <v>4622</v>
      </c>
      <c r="O701" t="s">
        <v>4623</v>
      </c>
      <c r="P701" t="s">
        <v>4624</v>
      </c>
      <c r="Q701" t="s">
        <v>4625</v>
      </c>
      <c r="R701">
        <v>319680</v>
      </c>
      <c r="S701">
        <v>247826</v>
      </c>
      <c r="T701">
        <v>71854</v>
      </c>
      <c r="U701" t="s">
        <v>35</v>
      </c>
      <c r="V701" t="s">
        <v>4626</v>
      </c>
      <c r="W701" t="s">
        <v>4627</v>
      </c>
      <c r="X701" s="4">
        <v>1</v>
      </c>
      <c r="Y701" s="4"/>
      <c r="Z701">
        <f t="shared" si="40"/>
        <v>8</v>
      </c>
      <c r="AA701">
        <f t="shared" si="41"/>
        <v>20</v>
      </c>
      <c r="AB701" s="5">
        <f t="shared" si="42"/>
        <v>0.29511574074422242</v>
      </c>
      <c r="AC701" s="3" t="str">
        <f t="shared" si="43"/>
        <v>Order rejected, no time available</v>
      </c>
      <c r="AD701" t="str" cm="1">
        <f t="array" ref="AD701">IFERROR(_xlfn.IFS(
    AC701="", "",
    AC701*86400 &lt; 30, "1. 0s - &lt;30s",
    AC701*86400 &lt; 60, "2. 30s - &lt;1m",
    AC701*86400 &lt; 300, "3. 1m - &lt;5m",
    AC701*86400 &lt; 1800, "4. 5m - &lt;30m",
    TRUE, "5. &gt;= 30m"
),"6. Invalid (Order rejected)")</f>
        <v>6. Invalid (Order rejected)</v>
      </c>
    </row>
    <row r="702" spans="1:30" hidden="1" x14ac:dyDescent="0.3">
      <c r="A702" t="s">
        <v>4628</v>
      </c>
      <c r="B702" t="s">
        <v>25</v>
      </c>
      <c r="C702">
        <v>43756635</v>
      </c>
      <c r="D702">
        <v>0</v>
      </c>
      <c r="E702" t="s">
        <v>25</v>
      </c>
      <c r="F702" t="s">
        <v>26</v>
      </c>
      <c r="G702" t="s">
        <v>27</v>
      </c>
      <c r="H702" t="s">
        <v>4629</v>
      </c>
      <c r="I702" t="s">
        <v>4630</v>
      </c>
      <c r="J702" t="s">
        <v>26</v>
      </c>
      <c r="K702" t="s">
        <v>26</v>
      </c>
      <c r="L702" t="s">
        <v>4631</v>
      </c>
      <c r="M702" t="s">
        <v>25</v>
      </c>
      <c r="N702" t="s">
        <v>4603</v>
      </c>
      <c r="O702" t="s">
        <v>4604</v>
      </c>
      <c r="P702" t="s">
        <v>4632</v>
      </c>
      <c r="Q702" t="s">
        <v>4633</v>
      </c>
      <c r="R702">
        <v>138780</v>
      </c>
      <c r="S702">
        <v>0</v>
      </c>
      <c r="T702">
        <v>138780</v>
      </c>
      <c r="U702" t="s">
        <v>35</v>
      </c>
      <c r="V702" t="s">
        <v>4607</v>
      </c>
      <c r="W702" t="s">
        <v>4634</v>
      </c>
      <c r="X702" s="4">
        <v>1</v>
      </c>
      <c r="Y702" s="4"/>
      <c r="Z702">
        <f t="shared" si="40"/>
        <v>8</v>
      </c>
      <c r="AA702">
        <f t="shared" si="41"/>
        <v>20</v>
      </c>
      <c r="AB702" s="5">
        <f t="shared" si="42"/>
        <v>0.30394675926072523</v>
      </c>
      <c r="AC702" s="3">
        <f t="shared" si="43"/>
        <v>9.0254629627452232E-2</v>
      </c>
      <c r="AD702" t="str" cm="1">
        <f t="array" ref="AD702">IFERROR(_xlfn.IFS(
    AC702="", "",
    AC702*86400 &lt; 30, "1. 0s - &lt;30s",
    AC702*86400 &lt; 60, "2. 30s - &lt;1m",
    AC702*86400 &lt; 300, "3. 1m - &lt;5m",
    AC702*86400 &lt; 1800, "4. 5m - &lt;30m",
    TRUE, "5. &gt;= 30m"
),"6. Invalid (Order rejected)")</f>
        <v>5. &gt;= 30m</v>
      </c>
    </row>
    <row r="703" spans="1:30" x14ac:dyDescent="0.3">
      <c r="A703" t="s">
        <v>4635</v>
      </c>
      <c r="B703" t="s">
        <v>25</v>
      </c>
      <c r="C703">
        <v>43740668</v>
      </c>
      <c r="D703">
        <v>3052631</v>
      </c>
      <c r="E703" t="s">
        <v>25</v>
      </c>
      <c r="F703" t="s">
        <v>75</v>
      </c>
      <c r="G703" t="s">
        <v>360</v>
      </c>
      <c r="H703" t="s">
        <v>4636</v>
      </c>
      <c r="I703" t="s">
        <v>4637</v>
      </c>
      <c r="J703" t="s">
        <v>4638</v>
      </c>
      <c r="K703" t="s">
        <v>26</v>
      </c>
      <c r="L703" t="s">
        <v>25</v>
      </c>
      <c r="M703" t="s">
        <v>25</v>
      </c>
      <c r="N703" t="s">
        <v>4639</v>
      </c>
      <c r="O703" t="s">
        <v>4640</v>
      </c>
      <c r="P703" t="s">
        <v>4641</v>
      </c>
      <c r="Q703" t="s">
        <v>4642</v>
      </c>
      <c r="R703">
        <v>328428</v>
      </c>
      <c r="S703">
        <v>254608</v>
      </c>
      <c r="T703">
        <v>73820</v>
      </c>
      <c r="U703" t="s">
        <v>35</v>
      </c>
      <c r="V703" t="s">
        <v>4643</v>
      </c>
      <c r="W703" t="s">
        <v>4644</v>
      </c>
      <c r="X703" s="4">
        <v>1</v>
      </c>
      <c r="Y703" s="4"/>
      <c r="Z703">
        <f t="shared" si="40"/>
        <v>8</v>
      </c>
      <c r="AA703">
        <f t="shared" si="41"/>
        <v>20</v>
      </c>
      <c r="AB703" s="5">
        <f t="shared" si="42"/>
        <v>0.296805555553874</v>
      </c>
      <c r="AC703" s="3" t="str">
        <f t="shared" si="43"/>
        <v>Order rejected, no time available</v>
      </c>
      <c r="AD703" t="str" cm="1">
        <f t="array" ref="AD703">IFERROR(_xlfn.IFS(
    AC703="", "",
    AC703*86400 &lt; 30, "1. 0s - &lt;30s",
    AC703*86400 &lt; 60, "2. 30s - &lt;1m",
    AC703*86400 &lt; 300, "3. 1m - &lt;5m",
    AC703*86400 &lt; 1800, "4. 5m - &lt;30m",
    TRUE, "5. &gt;= 30m"
),"6. Invalid (Order rejected)")</f>
        <v>6. Invalid (Order rejected)</v>
      </c>
    </row>
    <row r="704" spans="1:30" hidden="1" x14ac:dyDescent="0.3">
      <c r="A704" t="s">
        <v>4645</v>
      </c>
      <c r="B704" t="s">
        <v>25</v>
      </c>
      <c r="C704">
        <v>43756635</v>
      </c>
      <c r="D704">
        <v>0</v>
      </c>
      <c r="E704" t="s">
        <v>25</v>
      </c>
      <c r="F704" t="s">
        <v>26</v>
      </c>
      <c r="G704" t="s">
        <v>27</v>
      </c>
      <c r="H704" t="s">
        <v>4646</v>
      </c>
      <c r="I704" t="s">
        <v>4647</v>
      </c>
      <c r="J704" t="s">
        <v>26</v>
      </c>
      <c r="K704" t="s">
        <v>26</v>
      </c>
      <c r="L704" t="s">
        <v>4648</v>
      </c>
      <c r="M704" t="s">
        <v>25</v>
      </c>
      <c r="N704" t="s">
        <v>2811</v>
      </c>
      <c r="O704" t="s">
        <v>2812</v>
      </c>
      <c r="P704" t="s">
        <v>4649</v>
      </c>
      <c r="Q704" t="s">
        <v>4650</v>
      </c>
      <c r="R704">
        <v>215784</v>
      </c>
      <c r="S704">
        <v>0</v>
      </c>
      <c r="T704">
        <v>215784</v>
      </c>
      <c r="U704" t="s">
        <v>35</v>
      </c>
      <c r="V704" t="s">
        <v>2813</v>
      </c>
      <c r="W704" t="s">
        <v>4651</v>
      </c>
      <c r="X704" s="4">
        <v>1</v>
      </c>
      <c r="Y704" s="4"/>
      <c r="Z704">
        <f t="shared" si="40"/>
        <v>8</v>
      </c>
      <c r="AA704">
        <f t="shared" si="41"/>
        <v>20</v>
      </c>
      <c r="AB704" s="5">
        <f t="shared" si="42"/>
        <v>0.30694444444088731</v>
      </c>
      <c r="AC704" s="3">
        <f t="shared" si="43"/>
        <v>9.0266203704231884E-2</v>
      </c>
      <c r="AD704" t="str" cm="1">
        <f t="array" ref="AD704">IFERROR(_xlfn.IFS(
    AC704="", "",
    AC704*86400 &lt; 30, "1. 0s - &lt;30s",
    AC704*86400 &lt; 60, "2. 30s - &lt;1m",
    AC704*86400 &lt; 300, "3. 1m - &lt;5m",
    AC704*86400 &lt; 1800, "4. 5m - &lt;30m",
    TRUE, "5. &gt;= 30m"
),"6. Invalid (Order rejected)")</f>
        <v>5. &gt;= 30m</v>
      </c>
    </row>
    <row r="705" spans="1:30" hidden="1" x14ac:dyDescent="0.3">
      <c r="A705" t="s">
        <v>4652</v>
      </c>
      <c r="B705" t="s">
        <v>25</v>
      </c>
      <c r="C705">
        <v>43756635</v>
      </c>
      <c r="D705">
        <v>0</v>
      </c>
      <c r="E705" t="s">
        <v>25</v>
      </c>
      <c r="F705" t="s">
        <v>26</v>
      </c>
      <c r="G705" t="s">
        <v>27</v>
      </c>
      <c r="H705" t="s">
        <v>4653</v>
      </c>
      <c r="I705" t="s">
        <v>4654</v>
      </c>
      <c r="J705" t="s">
        <v>26</v>
      </c>
      <c r="K705" t="s">
        <v>26</v>
      </c>
      <c r="L705" t="s">
        <v>4655</v>
      </c>
      <c r="M705" t="s">
        <v>25</v>
      </c>
      <c r="N705" t="s">
        <v>4656</v>
      </c>
      <c r="O705" t="s">
        <v>4657</v>
      </c>
      <c r="P705" t="s">
        <v>2833</v>
      </c>
      <c r="Q705" t="s">
        <v>2834</v>
      </c>
      <c r="R705">
        <v>226584</v>
      </c>
      <c r="S705">
        <v>0</v>
      </c>
      <c r="T705">
        <v>226584</v>
      </c>
      <c r="U705" t="s">
        <v>35</v>
      </c>
      <c r="V705" t="s">
        <v>4658</v>
      </c>
      <c r="W705" t="s">
        <v>2836</v>
      </c>
      <c r="X705" s="4">
        <v>1</v>
      </c>
      <c r="Y705" s="4"/>
      <c r="Z705">
        <f t="shared" si="40"/>
        <v>8</v>
      </c>
      <c r="AA705">
        <f t="shared" si="41"/>
        <v>20</v>
      </c>
      <c r="AB705" s="5">
        <f t="shared" si="42"/>
        <v>0.31079861111356877</v>
      </c>
      <c r="AC705" s="3">
        <f t="shared" si="43"/>
        <v>9.0254629627452232E-2</v>
      </c>
      <c r="AD705" t="str" cm="1">
        <f t="array" ref="AD705">IFERROR(_xlfn.IFS(
    AC705="", "",
    AC705*86400 &lt; 30, "1. 0s - &lt;30s",
    AC705*86400 &lt; 60, "2. 30s - &lt;1m",
    AC705*86400 &lt; 300, "3. 1m - &lt;5m",
    AC705*86400 &lt; 1800, "4. 5m - &lt;30m",
    TRUE, "5. &gt;= 30m"
),"6. Invalid (Order rejected)")</f>
        <v>5. &gt;= 30m</v>
      </c>
    </row>
    <row r="706" spans="1:30" hidden="1" x14ac:dyDescent="0.3">
      <c r="A706" t="s">
        <v>4659</v>
      </c>
      <c r="B706" t="s">
        <v>25</v>
      </c>
      <c r="C706">
        <v>43756635</v>
      </c>
      <c r="D706">
        <v>3746341</v>
      </c>
      <c r="E706" t="s">
        <v>25</v>
      </c>
      <c r="F706" t="s">
        <v>75</v>
      </c>
      <c r="G706" t="s">
        <v>76</v>
      </c>
      <c r="H706" t="s">
        <v>4660</v>
      </c>
      <c r="I706" t="s">
        <v>4661</v>
      </c>
      <c r="J706" t="s">
        <v>4662</v>
      </c>
      <c r="K706" t="s">
        <v>26</v>
      </c>
      <c r="L706" t="s">
        <v>4663</v>
      </c>
      <c r="M706" t="s">
        <v>25</v>
      </c>
      <c r="N706" t="s">
        <v>4664</v>
      </c>
      <c r="O706" t="s">
        <v>4665</v>
      </c>
      <c r="P706" t="s">
        <v>4666</v>
      </c>
      <c r="Q706" t="s">
        <v>4667</v>
      </c>
      <c r="R706">
        <v>257256</v>
      </c>
      <c r="S706">
        <v>211164</v>
      </c>
      <c r="T706">
        <v>46092</v>
      </c>
      <c r="U706" t="s">
        <v>35</v>
      </c>
      <c r="V706" t="s">
        <v>4668</v>
      </c>
      <c r="W706" t="s">
        <v>4669</v>
      </c>
      <c r="X706" s="4">
        <v>1</v>
      </c>
      <c r="Y706" s="4"/>
      <c r="Z706">
        <f t="shared" si="40"/>
        <v>8</v>
      </c>
      <c r="AA706">
        <f t="shared" si="41"/>
        <v>20</v>
      </c>
      <c r="AB706" s="5">
        <f t="shared" si="42"/>
        <v>0.31146990740671754</v>
      </c>
      <c r="AC706" s="3">
        <f t="shared" si="43"/>
        <v>2.0312499997089617E-2</v>
      </c>
      <c r="AD706" t="str" cm="1">
        <f t="array" ref="AD706">IFERROR(_xlfn.IFS(
    AC706="", "",
    AC706*86400 &lt; 30, "1. 0s - &lt;30s",
    AC706*86400 &lt; 60, "2. 30s - &lt;1m",
    AC706*86400 &lt; 300, "3. 1m - &lt;5m",
    AC706*86400 &lt; 1800, "4. 5m - &lt;30m",
    TRUE, "5. &gt;= 30m"
),"6. Invalid (Order rejected)")</f>
        <v>4. 5m - &lt;30m</v>
      </c>
    </row>
    <row r="707" spans="1:30" hidden="1" x14ac:dyDescent="0.3">
      <c r="A707" t="s">
        <v>4670</v>
      </c>
      <c r="B707" t="s">
        <v>25</v>
      </c>
      <c r="C707">
        <v>43756635</v>
      </c>
      <c r="D707">
        <v>0</v>
      </c>
      <c r="E707" t="s">
        <v>25</v>
      </c>
      <c r="F707" t="s">
        <v>26</v>
      </c>
      <c r="G707" t="s">
        <v>27</v>
      </c>
      <c r="H707" t="s">
        <v>4671</v>
      </c>
      <c r="I707" t="s">
        <v>4672</v>
      </c>
      <c r="J707" t="s">
        <v>26</v>
      </c>
      <c r="K707" t="s">
        <v>26</v>
      </c>
      <c r="L707" t="s">
        <v>4673</v>
      </c>
      <c r="M707" t="s">
        <v>25</v>
      </c>
      <c r="N707" t="s">
        <v>1349</v>
      </c>
      <c r="O707" t="s">
        <v>1350</v>
      </c>
      <c r="P707" t="s">
        <v>4674</v>
      </c>
      <c r="Q707" t="s">
        <v>4675</v>
      </c>
      <c r="R707">
        <v>288684</v>
      </c>
      <c r="S707">
        <v>0</v>
      </c>
      <c r="T707">
        <v>288684</v>
      </c>
      <c r="U707" t="s">
        <v>35</v>
      </c>
      <c r="V707" t="s">
        <v>1353</v>
      </c>
      <c r="W707" t="s">
        <v>4676</v>
      </c>
      <c r="X707" s="4">
        <v>1</v>
      </c>
      <c r="Y707" s="4"/>
      <c r="Z707">
        <f t="shared" ref="Z707:Z770" si="44">MONTH(H707)</f>
        <v>8</v>
      </c>
      <c r="AA707">
        <f t="shared" ref="AA707:AA770" si="45">DAY(H707)</f>
        <v>20</v>
      </c>
      <c r="AB707" s="5">
        <f t="shared" ref="AB707:AB770" si="46">MOD(H707, 1)</f>
        <v>0.30562500000087311</v>
      </c>
      <c r="AC707" s="3">
        <f t="shared" ref="AC707:AC770" si="47">IFERROR(IF(M707="",L707-H707,M707-H707),"Order rejected, no time available")</f>
        <v>9.0266203704231884E-2</v>
      </c>
      <c r="AD707" t="str" cm="1">
        <f t="array" ref="AD707">IFERROR(_xlfn.IFS(
    AC707="", "",
    AC707*86400 &lt; 30, "1. 0s - &lt;30s",
    AC707*86400 &lt; 60, "2. 30s - &lt;1m",
    AC707*86400 &lt; 300, "3. 1m - &lt;5m",
    AC707*86400 &lt; 1800, "4. 5m - &lt;30m",
    TRUE, "5. &gt;= 30m"
),"6. Invalid (Order rejected)")</f>
        <v>5. &gt;= 30m</v>
      </c>
    </row>
    <row r="708" spans="1:30" hidden="1" x14ac:dyDescent="0.3">
      <c r="A708" t="s">
        <v>4677</v>
      </c>
      <c r="B708" t="s">
        <v>25</v>
      </c>
      <c r="C708">
        <v>43756635</v>
      </c>
      <c r="D708">
        <v>0</v>
      </c>
      <c r="E708" t="s">
        <v>25</v>
      </c>
      <c r="F708" t="s">
        <v>26</v>
      </c>
      <c r="G708" t="s">
        <v>27</v>
      </c>
      <c r="H708" t="s">
        <v>4678</v>
      </c>
      <c r="I708" t="s">
        <v>4679</v>
      </c>
      <c r="J708" t="s">
        <v>26</v>
      </c>
      <c r="K708" t="s">
        <v>26</v>
      </c>
      <c r="L708" t="s">
        <v>4680</v>
      </c>
      <c r="M708" t="s">
        <v>25</v>
      </c>
      <c r="N708" t="s">
        <v>4681</v>
      </c>
      <c r="O708" t="s">
        <v>4682</v>
      </c>
      <c r="P708" t="s">
        <v>4674</v>
      </c>
      <c r="Q708" t="s">
        <v>4675</v>
      </c>
      <c r="R708">
        <v>276480</v>
      </c>
      <c r="S708">
        <v>0</v>
      </c>
      <c r="T708">
        <v>276480</v>
      </c>
      <c r="U708" t="s">
        <v>35</v>
      </c>
      <c r="V708" t="s">
        <v>4683</v>
      </c>
      <c r="W708" t="s">
        <v>4676</v>
      </c>
      <c r="X708" s="4">
        <v>1</v>
      </c>
      <c r="Y708" s="4"/>
      <c r="Z708">
        <f t="shared" si="44"/>
        <v>8</v>
      </c>
      <c r="AA708">
        <f t="shared" si="45"/>
        <v>20</v>
      </c>
      <c r="AB708" s="5">
        <f t="shared" si="46"/>
        <v>0.30956018518190831</v>
      </c>
      <c r="AC708" s="3">
        <f t="shared" si="47"/>
        <v>9.0266203704231884E-2</v>
      </c>
      <c r="AD708" t="str" cm="1">
        <f t="array" ref="AD708">IFERROR(_xlfn.IFS(
    AC708="", "",
    AC708*86400 &lt; 30, "1. 0s - &lt;30s",
    AC708*86400 &lt; 60, "2. 30s - &lt;1m",
    AC708*86400 &lt; 300, "3. 1m - &lt;5m",
    AC708*86400 &lt; 1800, "4. 5m - &lt;30m",
    TRUE, "5. &gt;= 30m"
),"6. Invalid (Order rejected)")</f>
        <v>5. &gt;= 30m</v>
      </c>
    </row>
    <row r="709" spans="1:30" x14ac:dyDescent="0.3">
      <c r="A709" t="s">
        <v>4684</v>
      </c>
      <c r="B709" t="s">
        <v>25</v>
      </c>
      <c r="C709">
        <v>43756635</v>
      </c>
      <c r="D709">
        <v>4537684</v>
      </c>
      <c r="E709" t="s">
        <v>25</v>
      </c>
      <c r="F709" t="s">
        <v>75</v>
      </c>
      <c r="G709" t="s">
        <v>360</v>
      </c>
      <c r="H709" t="s">
        <v>4685</v>
      </c>
      <c r="I709" t="s">
        <v>4686</v>
      </c>
      <c r="J709" t="s">
        <v>4687</v>
      </c>
      <c r="K709" t="s">
        <v>26</v>
      </c>
      <c r="L709" t="s">
        <v>25</v>
      </c>
      <c r="M709" t="s">
        <v>25</v>
      </c>
      <c r="N709" t="s">
        <v>4688</v>
      </c>
      <c r="O709" t="s">
        <v>4689</v>
      </c>
      <c r="P709" t="s">
        <v>4586</v>
      </c>
      <c r="Q709" t="s">
        <v>4587</v>
      </c>
      <c r="R709">
        <v>295272</v>
      </c>
      <c r="S709">
        <v>228904</v>
      </c>
      <c r="T709">
        <v>66368</v>
      </c>
      <c r="U709" t="s">
        <v>35</v>
      </c>
      <c r="V709" t="s">
        <v>4690</v>
      </c>
      <c r="W709" t="s">
        <v>4588</v>
      </c>
      <c r="X709" s="4">
        <v>1</v>
      </c>
      <c r="Y709" s="4"/>
      <c r="Z709">
        <f t="shared" si="44"/>
        <v>8</v>
      </c>
      <c r="AA709">
        <f t="shared" si="45"/>
        <v>20</v>
      </c>
      <c r="AB709" s="5">
        <f t="shared" si="46"/>
        <v>0.31038194444408873</v>
      </c>
      <c r="AC709" s="3" t="str">
        <f t="shared" si="47"/>
        <v>Order rejected, no time available</v>
      </c>
      <c r="AD709" t="str" cm="1">
        <f t="array" ref="AD709">IFERROR(_xlfn.IFS(
    AC709="", "",
    AC709*86400 &lt; 30, "1. 0s - &lt;30s",
    AC709*86400 &lt; 60, "2. 30s - &lt;1m",
    AC709*86400 &lt; 300, "3. 1m - &lt;5m",
    AC709*86400 &lt; 1800, "4. 5m - &lt;30m",
    TRUE, "5. &gt;= 30m"
),"6. Invalid (Order rejected)")</f>
        <v>6. Invalid (Order rejected)</v>
      </c>
    </row>
    <row r="710" spans="1:30" hidden="1" x14ac:dyDescent="0.3">
      <c r="A710" t="s">
        <v>4691</v>
      </c>
      <c r="B710" t="s">
        <v>25</v>
      </c>
      <c r="C710">
        <v>43756635</v>
      </c>
      <c r="D710">
        <v>0</v>
      </c>
      <c r="E710" t="s">
        <v>25</v>
      </c>
      <c r="F710" t="s">
        <v>26</v>
      </c>
      <c r="G710" t="s">
        <v>27</v>
      </c>
      <c r="H710" t="s">
        <v>4692</v>
      </c>
      <c r="I710" t="s">
        <v>4693</v>
      </c>
      <c r="J710" t="s">
        <v>26</v>
      </c>
      <c r="K710" t="s">
        <v>26</v>
      </c>
      <c r="L710" t="s">
        <v>4694</v>
      </c>
      <c r="M710" t="s">
        <v>25</v>
      </c>
      <c r="N710" t="s">
        <v>4695</v>
      </c>
      <c r="O710" t="s">
        <v>4696</v>
      </c>
      <c r="P710" t="s">
        <v>4697</v>
      </c>
      <c r="Q710" t="s">
        <v>4698</v>
      </c>
      <c r="R710">
        <v>263304</v>
      </c>
      <c r="S710">
        <v>0</v>
      </c>
      <c r="T710">
        <v>263304</v>
      </c>
      <c r="U710" t="s">
        <v>35</v>
      </c>
      <c r="V710" t="s">
        <v>4699</v>
      </c>
      <c r="W710" t="s">
        <v>4700</v>
      </c>
      <c r="X710" s="4">
        <v>1</v>
      </c>
      <c r="Y710" s="4"/>
      <c r="Z710">
        <f t="shared" si="44"/>
        <v>8</v>
      </c>
      <c r="AA710">
        <f t="shared" si="45"/>
        <v>20</v>
      </c>
      <c r="AB710" s="5">
        <f t="shared" si="46"/>
        <v>0.31182870370685123</v>
      </c>
      <c r="AC710" s="3">
        <f t="shared" si="47"/>
        <v>9.0254629627452232E-2</v>
      </c>
      <c r="AD710" t="str" cm="1">
        <f t="array" ref="AD710">IFERROR(_xlfn.IFS(
    AC710="", "",
    AC710*86400 &lt; 30, "1. 0s - &lt;30s",
    AC710*86400 &lt; 60, "2. 30s - &lt;1m",
    AC710*86400 &lt; 300, "3. 1m - &lt;5m",
    AC710*86400 &lt; 1800, "4. 5m - &lt;30m",
    TRUE, "5. &gt;= 30m"
),"6. Invalid (Order rejected)")</f>
        <v>5. &gt;= 30m</v>
      </c>
    </row>
    <row r="711" spans="1:30" hidden="1" x14ac:dyDescent="0.3">
      <c r="A711" t="s">
        <v>4701</v>
      </c>
      <c r="B711" t="s">
        <v>25</v>
      </c>
      <c r="C711">
        <v>43756635</v>
      </c>
      <c r="D711">
        <v>0</v>
      </c>
      <c r="E711" t="s">
        <v>25</v>
      </c>
      <c r="F711" t="s">
        <v>26</v>
      </c>
      <c r="G711" t="s">
        <v>27</v>
      </c>
      <c r="H711" t="s">
        <v>4702</v>
      </c>
      <c r="I711" t="s">
        <v>4703</v>
      </c>
      <c r="J711" t="s">
        <v>26</v>
      </c>
      <c r="K711" t="s">
        <v>26</v>
      </c>
      <c r="L711" t="s">
        <v>4704</v>
      </c>
      <c r="M711" t="s">
        <v>25</v>
      </c>
      <c r="N711" t="s">
        <v>4705</v>
      </c>
      <c r="O711" t="s">
        <v>4706</v>
      </c>
      <c r="P711" t="s">
        <v>4707</v>
      </c>
      <c r="Q711" t="s">
        <v>4708</v>
      </c>
      <c r="R711">
        <v>155088</v>
      </c>
      <c r="S711">
        <v>0</v>
      </c>
      <c r="T711">
        <v>155088</v>
      </c>
      <c r="U711" t="s">
        <v>35</v>
      </c>
      <c r="V711" t="s">
        <v>4709</v>
      </c>
      <c r="W711" t="s">
        <v>4710</v>
      </c>
      <c r="X711" s="4">
        <v>1</v>
      </c>
      <c r="Y711" s="4"/>
      <c r="Z711">
        <f t="shared" si="44"/>
        <v>8</v>
      </c>
      <c r="AA711">
        <f t="shared" si="45"/>
        <v>20</v>
      </c>
      <c r="AB711" s="5">
        <f t="shared" si="46"/>
        <v>0.31322916666977108</v>
      </c>
      <c r="AC711" s="3">
        <f t="shared" si="47"/>
        <v>9.0266203704231884E-2</v>
      </c>
      <c r="AD711" t="str" cm="1">
        <f t="array" ref="AD711">IFERROR(_xlfn.IFS(
    AC711="", "",
    AC711*86400 &lt; 30, "1. 0s - &lt;30s",
    AC711*86400 &lt; 60, "2. 30s - &lt;1m",
    AC711*86400 &lt; 300, "3. 1m - &lt;5m",
    AC711*86400 &lt; 1800, "4. 5m - &lt;30m",
    TRUE, "5. &gt;= 30m"
),"6. Invalid (Order rejected)")</f>
        <v>5. &gt;= 30m</v>
      </c>
    </row>
    <row r="712" spans="1:30" hidden="1" x14ac:dyDescent="0.3">
      <c r="A712" t="s">
        <v>4711</v>
      </c>
      <c r="B712" t="s">
        <v>25</v>
      </c>
      <c r="C712">
        <v>43756635</v>
      </c>
      <c r="D712">
        <v>0</v>
      </c>
      <c r="E712" t="s">
        <v>25</v>
      </c>
      <c r="F712" t="s">
        <v>26</v>
      </c>
      <c r="G712" t="s">
        <v>27</v>
      </c>
      <c r="H712" t="s">
        <v>4712</v>
      </c>
      <c r="I712" t="s">
        <v>4713</v>
      </c>
      <c r="J712" t="s">
        <v>26</v>
      </c>
      <c r="K712" t="s">
        <v>26</v>
      </c>
      <c r="L712" t="s">
        <v>4714</v>
      </c>
      <c r="M712" t="s">
        <v>25</v>
      </c>
      <c r="N712" t="s">
        <v>1848</v>
      </c>
      <c r="O712" t="s">
        <v>1849</v>
      </c>
      <c r="P712" t="s">
        <v>4715</v>
      </c>
      <c r="Q712" t="s">
        <v>4716</v>
      </c>
      <c r="R712">
        <v>261360</v>
      </c>
      <c r="S712">
        <v>0</v>
      </c>
      <c r="T712">
        <v>261360</v>
      </c>
      <c r="U712" t="s">
        <v>35</v>
      </c>
      <c r="V712" t="s">
        <v>1852</v>
      </c>
      <c r="W712" t="s">
        <v>4608</v>
      </c>
      <c r="X712" s="4">
        <v>1</v>
      </c>
      <c r="Y712" s="4"/>
      <c r="Z712">
        <f t="shared" si="44"/>
        <v>8</v>
      </c>
      <c r="AA712">
        <f t="shared" si="45"/>
        <v>20</v>
      </c>
      <c r="AB712" s="5">
        <f t="shared" si="46"/>
        <v>0.30785879629547708</v>
      </c>
      <c r="AC712" s="3">
        <f t="shared" si="47"/>
        <v>9.0266203704231884E-2</v>
      </c>
      <c r="AD712" t="str" cm="1">
        <f t="array" ref="AD712">IFERROR(_xlfn.IFS(
    AC712="", "",
    AC712*86400 &lt; 30, "1. 0s - &lt;30s",
    AC712*86400 &lt; 60, "2. 30s - &lt;1m",
    AC712*86400 &lt; 300, "3. 1m - &lt;5m",
    AC712*86400 &lt; 1800, "4. 5m - &lt;30m",
    TRUE, "5. &gt;= 30m"
),"6. Invalid (Order rejected)")</f>
        <v>5. &gt;= 30m</v>
      </c>
    </row>
    <row r="713" spans="1:30" hidden="1" x14ac:dyDescent="0.3">
      <c r="A713" t="s">
        <v>4717</v>
      </c>
      <c r="B713" t="s">
        <v>25</v>
      </c>
      <c r="C713">
        <v>43740668</v>
      </c>
      <c r="D713">
        <v>4629889</v>
      </c>
      <c r="E713" t="s">
        <v>25</v>
      </c>
      <c r="F713" t="s">
        <v>75</v>
      </c>
      <c r="G713" t="s">
        <v>76</v>
      </c>
      <c r="H713" t="s">
        <v>4718</v>
      </c>
      <c r="I713" t="s">
        <v>4719</v>
      </c>
      <c r="J713" t="s">
        <v>4720</v>
      </c>
      <c r="K713" t="s">
        <v>26</v>
      </c>
      <c r="L713" t="s">
        <v>4721</v>
      </c>
      <c r="M713" t="s">
        <v>25</v>
      </c>
      <c r="N713" t="s">
        <v>4722</v>
      </c>
      <c r="O713" t="s">
        <v>4723</v>
      </c>
      <c r="P713" t="s">
        <v>4724</v>
      </c>
      <c r="Q713" t="s">
        <v>4725</v>
      </c>
      <c r="R713">
        <v>197748</v>
      </c>
      <c r="S713">
        <v>153300</v>
      </c>
      <c r="T713">
        <v>44448</v>
      </c>
      <c r="U713" t="s">
        <v>35</v>
      </c>
      <c r="V713" t="s">
        <v>4726</v>
      </c>
      <c r="W713" t="s">
        <v>4727</v>
      </c>
      <c r="X713" s="4">
        <v>1</v>
      </c>
      <c r="Y713" s="4"/>
      <c r="Z713">
        <f t="shared" si="44"/>
        <v>8</v>
      </c>
      <c r="AA713">
        <f t="shared" si="45"/>
        <v>20</v>
      </c>
      <c r="AB713" s="5">
        <f t="shared" si="46"/>
        <v>0.30872685185022419</v>
      </c>
      <c r="AC713" s="3">
        <f t="shared" si="47"/>
        <v>2.5451388893998228E-2</v>
      </c>
      <c r="AD713" t="str" cm="1">
        <f t="array" ref="AD713">IFERROR(_xlfn.IFS(
    AC713="", "",
    AC713*86400 &lt; 30, "1. 0s - &lt;30s",
    AC713*86400 &lt; 60, "2. 30s - &lt;1m",
    AC713*86400 &lt; 300, "3. 1m - &lt;5m",
    AC713*86400 &lt; 1800, "4. 5m - &lt;30m",
    TRUE, "5. &gt;= 30m"
),"6. Invalid (Order rejected)")</f>
        <v>5. &gt;= 30m</v>
      </c>
    </row>
    <row r="714" spans="1:30" hidden="1" x14ac:dyDescent="0.3">
      <c r="A714" t="s">
        <v>4728</v>
      </c>
      <c r="B714" t="s">
        <v>25</v>
      </c>
      <c r="C714">
        <v>43756635</v>
      </c>
      <c r="D714">
        <v>0</v>
      </c>
      <c r="E714" t="s">
        <v>25</v>
      </c>
      <c r="F714" t="s">
        <v>26</v>
      </c>
      <c r="G714" t="s">
        <v>27</v>
      </c>
      <c r="H714" t="s">
        <v>4729</v>
      </c>
      <c r="I714" t="s">
        <v>4730</v>
      </c>
      <c r="J714" t="s">
        <v>26</v>
      </c>
      <c r="K714" t="s">
        <v>26</v>
      </c>
      <c r="L714" t="s">
        <v>4731</v>
      </c>
      <c r="M714" t="s">
        <v>25</v>
      </c>
      <c r="N714" t="s">
        <v>4732</v>
      </c>
      <c r="O714" t="s">
        <v>4733</v>
      </c>
      <c r="P714" t="s">
        <v>4734</v>
      </c>
      <c r="Q714" t="s">
        <v>4735</v>
      </c>
      <c r="R714">
        <v>193644</v>
      </c>
      <c r="S714">
        <v>0</v>
      </c>
      <c r="T714">
        <v>193644</v>
      </c>
      <c r="U714" t="s">
        <v>35</v>
      </c>
      <c r="V714" t="s">
        <v>4736</v>
      </c>
      <c r="W714" t="s">
        <v>4737</v>
      </c>
      <c r="X714" s="4">
        <v>1</v>
      </c>
      <c r="Y714" s="4"/>
      <c r="Z714">
        <f t="shared" si="44"/>
        <v>8</v>
      </c>
      <c r="AA714">
        <f t="shared" si="45"/>
        <v>20</v>
      </c>
      <c r="AB714" s="5">
        <f t="shared" si="46"/>
        <v>0.30874999999650754</v>
      </c>
      <c r="AC714" s="3">
        <f t="shared" si="47"/>
        <v>9.0289351857791189E-2</v>
      </c>
      <c r="AD714" t="str" cm="1">
        <f t="array" ref="AD714">IFERROR(_xlfn.IFS(
    AC714="", "",
    AC714*86400 &lt; 30, "1. 0s - &lt;30s",
    AC714*86400 &lt; 60, "2. 30s - &lt;1m",
    AC714*86400 &lt; 300, "3. 1m - &lt;5m",
    AC714*86400 &lt; 1800, "4. 5m - &lt;30m",
    TRUE, "5. &gt;= 30m"
),"6. Invalid (Order rejected)")</f>
        <v>5. &gt;= 30m</v>
      </c>
    </row>
    <row r="715" spans="1:30" x14ac:dyDescent="0.3">
      <c r="A715" t="s">
        <v>4738</v>
      </c>
      <c r="B715" t="s">
        <v>25</v>
      </c>
      <c r="C715">
        <v>43756635</v>
      </c>
      <c r="D715">
        <v>4540326</v>
      </c>
      <c r="E715" t="s">
        <v>25</v>
      </c>
      <c r="F715" t="s">
        <v>75</v>
      </c>
      <c r="G715" t="s">
        <v>360</v>
      </c>
      <c r="H715" t="s">
        <v>4739</v>
      </c>
      <c r="I715" t="s">
        <v>4740</v>
      </c>
      <c r="J715" t="s">
        <v>4741</v>
      </c>
      <c r="K715" t="s">
        <v>26</v>
      </c>
      <c r="L715" t="s">
        <v>25</v>
      </c>
      <c r="M715" t="s">
        <v>25</v>
      </c>
      <c r="N715" t="s">
        <v>4742</v>
      </c>
      <c r="O715" t="s">
        <v>4743</v>
      </c>
      <c r="P715" t="s">
        <v>2833</v>
      </c>
      <c r="Q715" t="s">
        <v>2834</v>
      </c>
      <c r="R715">
        <v>288036</v>
      </c>
      <c r="S715">
        <v>223295</v>
      </c>
      <c r="T715">
        <v>64741</v>
      </c>
      <c r="U715" t="s">
        <v>35</v>
      </c>
      <c r="V715" t="s">
        <v>4744</v>
      </c>
      <c r="W715" t="s">
        <v>2836</v>
      </c>
      <c r="X715" s="4">
        <v>1</v>
      </c>
      <c r="Y715" s="4"/>
      <c r="Z715">
        <f t="shared" si="44"/>
        <v>8</v>
      </c>
      <c r="AA715">
        <f t="shared" si="45"/>
        <v>20</v>
      </c>
      <c r="AB715" s="5">
        <f t="shared" si="46"/>
        <v>0.31506944444117835</v>
      </c>
      <c r="AC715" s="3" t="str">
        <f t="shared" si="47"/>
        <v>Order rejected, no time available</v>
      </c>
      <c r="AD715" t="str" cm="1">
        <f t="array" ref="AD715">IFERROR(_xlfn.IFS(
    AC715="", "",
    AC715*86400 &lt; 30, "1. 0s - &lt;30s",
    AC715*86400 &lt; 60, "2. 30s - &lt;1m",
    AC715*86400 &lt; 300, "3. 1m - &lt;5m",
    AC715*86400 &lt; 1800, "4. 5m - &lt;30m",
    TRUE, "5. &gt;= 30m"
),"6. Invalid (Order rejected)")</f>
        <v>6. Invalid (Order rejected)</v>
      </c>
    </row>
    <row r="716" spans="1:30" hidden="1" x14ac:dyDescent="0.3">
      <c r="A716" t="s">
        <v>4745</v>
      </c>
      <c r="B716" t="s">
        <v>25</v>
      </c>
      <c r="C716">
        <v>43756635</v>
      </c>
      <c r="D716">
        <v>0</v>
      </c>
      <c r="E716" t="s">
        <v>25</v>
      </c>
      <c r="F716" t="s">
        <v>26</v>
      </c>
      <c r="G716" t="s">
        <v>27</v>
      </c>
      <c r="H716" t="s">
        <v>4746</v>
      </c>
      <c r="I716" t="s">
        <v>4747</v>
      </c>
      <c r="J716" t="s">
        <v>26</v>
      </c>
      <c r="K716" t="s">
        <v>26</v>
      </c>
      <c r="L716" t="s">
        <v>4748</v>
      </c>
      <c r="M716" t="s">
        <v>25</v>
      </c>
      <c r="N716" t="s">
        <v>1349</v>
      </c>
      <c r="O716" t="s">
        <v>1350</v>
      </c>
      <c r="P716" t="s">
        <v>4749</v>
      </c>
      <c r="Q716" t="s">
        <v>4750</v>
      </c>
      <c r="R716">
        <v>242892</v>
      </c>
      <c r="S716">
        <v>0</v>
      </c>
      <c r="T716">
        <v>242892</v>
      </c>
      <c r="U716" t="s">
        <v>35</v>
      </c>
      <c r="V716" t="s">
        <v>1353</v>
      </c>
      <c r="W716" t="s">
        <v>4751</v>
      </c>
      <c r="X716" s="4">
        <v>1</v>
      </c>
      <c r="Y716" s="4"/>
      <c r="Z716">
        <f t="shared" si="44"/>
        <v>8</v>
      </c>
      <c r="AA716">
        <f t="shared" si="45"/>
        <v>20</v>
      </c>
      <c r="AB716" s="5">
        <f t="shared" si="46"/>
        <v>0.30600694444729015</v>
      </c>
      <c r="AC716" s="3">
        <f t="shared" si="47"/>
        <v>9.0254629627452232E-2</v>
      </c>
      <c r="AD716" t="str" cm="1">
        <f t="array" ref="AD716">IFERROR(_xlfn.IFS(
    AC716="", "",
    AC716*86400 &lt; 30, "1. 0s - &lt;30s",
    AC716*86400 &lt; 60, "2. 30s - &lt;1m",
    AC716*86400 &lt; 300, "3. 1m - &lt;5m",
    AC716*86400 &lt; 1800, "4. 5m - &lt;30m",
    TRUE, "5. &gt;= 30m"
),"6. Invalid (Order rejected)")</f>
        <v>5. &gt;= 30m</v>
      </c>
    </row>
    <row r="717" spans="1:30" hidden="1" x14ac:dyDescent="0.3">
      <c r="A717" t="s">
        <v>4752</v>
      </c>
      <c r="B717" t="s">
        <v>25</v>
      </c>
      <c r="C717">
        <v>43756635</v>
      </c>
      <c r="D717">
        <v>0</v>
      </c>
      <c r="E717" t="s">
        <v>25</v>
      </c>
      <c r="F717" t="s">
        <v>26</v>
      </c>
      <c r="G717" t="s">
        <v>27</v>
      </c>
      <c r="H717" t="s">
        <v>4753</v>
      </c>
      <c r="I717" t="s">
        <v>4754</v>
      </c>
      <c r="J717" t="s">
        <v>26</v>
      </c>
      <c r="K717" t="s">
        <v>26</v>
      </c>
      <c r="L717" t="s">
        <v>4755</v>
      </c>
      <c r="M717" t="s">
        <v>25</v>
      </c>
      <c r="N717" t="s">
        <v>1848</v>
      </c>
      <c r="O717" t="s">
        <v>1849</v>
      </c>
      <c r="P717" t="s">
        <v>4756</v>
      </c>
      <c r="Q717" t="s">
        <v>4757</v>
      </c>
      <c r="R717">
        <v>182628</v>
      </c>
      <c r="S717">
        <v>0</v>
      </c>
      <c r="T717">
        <v>182628</v>
      </c>
      <c r="U717" t="s">
        <v>35</v>
      </c>
      <c r="V717" t="s">
        <v>1852</v>
      </c>
      <c r="W717" t="s">
        <v>4758</v>
      </c>
      <c r="X717" s="4">
        <v>1</v>
      </c>
      <c r="Y717" s="4"/>
      <c r="Z717">
        <f t="shared" si="44"/>
        <v>8</v>
      </c>
      <c r="AA717">
        <f t="shared" si="45"/>
        <v>20</v>
      </c>
      <c r="AB717" s="5">
        <f t="shared" si="46"/>
        <v>0.30811342592642177</v>
      </c>
      <c r="AC717" s="3">
        <f t="shared" si="47"/>
        <v>9.0266203704231884E-2</v>
      </c>
      <c r="AD717" t="str" cm="1">
        <f t="array" ref="AD717">IFERROR(_xlfn.IFS(
    AC717="", "",
    AC717*86400 &lt; 30, "1. 0s - &lt;30s",
    AC717*86400 &lt; 60, "2. 30s - &lt;1m",
    AC717*86400 &lt; 300, "3. 1m - &lt;5m",
    AC717*86400 &lt; 1800, "4. 5m - &lt;30m",
    TRUE, "5. &gt;= 30m"
),"6. Invalid (Order rejected)")</f>
        <v>5. &gt;= 30m</v>
      </c>
    </row>
    <row r="718" spans="1:30" x14ac:dyDescent="0.3">
      <c r="A718" t="s">
        <v>4759</v>
      </c>
      <c r="B718" t="s">
        <v>25</v>
      </c>
      <c r="C718">
        <v>43756635</v>
      </c>
      <c r="D718">
        <v>2285746</v>
      </c>
      <c r="E718" t="s">
        <v>25</v>
      </c>
      <c r="F718" t="s">
        <v>75</v>
      </c>
      <c r="G718" t="s">
        <v>360</v>
      </c>
      <c r="H718" t="s">
        <v>4760</v>
      </c>
      <c r="I718" t="s">
        <v>4761</v>
      </c>
      <c r="J718" t="s">
        <v>4762</v>
      </c>
      <c r="K718" t="s">
        <v>26</v>
      </c>
      <c r="L718" t="s">
        <v>25</v>
      </c>
      <c r="M718" t="s">
        <v>25</v>
      </c>
      <c r="N718" t="s">
        <v>4688</v>
      </c>
      <c r="O718" t="s">
        <v>4689</v>
      </c>
      <c r="P718" t="s">
        <v>4763</v>
      </c>
      <c r="Q718" t="s">
        <v>4764</v>
      </c>
      <c r="R718">
        <v>204444</v>
      </c>
      <c r="S718">
        <v>158491</v>
      </c>
      <c r="T718">
        <v>45953</v>
      </c>
      <c r="U718" t="s">
        <v>35</v>
      </c>
      <c r="V718" t="s">
        <v>4690</v>
      </c>
      <c r="W718" t="s">
        <v>4765</v>
      </c>
      <c r="X718" s="4">
        <v>1</v>
      </c>
      <c r="Y718" s="4"/>
      <c r="Z718">
        <f t="shared" si="44"/>
        <v>8</v>
      </c>
      <c r="AA718">
        <f t="shared" si="45"/>
        <v>20</v>
      </c>
      <c r="AB718" s="5">
        <f t="shared" si="46"/>
        <v>0.31023148148233304</v>
      </c>
      <c r="AC718" s="3" t="str">
        <f t="shared" si="47"/>
        <v>Order rejected, no time available</v>
      </c>
      <c r="AD718" t="str" cm="1">
        <f t="array" ref="AD718">IFERROR(_xlfn.IFS(
    AC718="", "",
    AC718*86400 &lt; 30, "1. 0s - &lt;30s",
    AC718*86400 &lt; 60, "2. 30s - &lt;1m",
    AC718*86400 &lt; 300, "3. 1m - &lt;5m",
    AC718*86400 &lt; 1800, "4. 5m - &lt;30m",
    TRUE, "5. &gt;= 30m"
),"6. Invalid (Order rejected)")</f>
        <v>6. Invalid (Order rejected)</v>
      </c>
    </row>
    <row r="719" spans="1:30" hidden="1" x14ac:dyDescent="0.3">
      <c r="A719" t="s">
        <v>4766</v>
      </c>
      <c r="B719" t="s">
        <v>25</v>
      </c>
      <c r="C719">
        <v>43756635</v>
      </c>
      <c r="D719">
        <v>0</v>
      </c>
      <c r="E719" t="s">
        <v>25</v>
      </c>
      <c r="F719" t="s">
        <v>26</v>
      </c>
      <c r="G719" t="s">
        <v>27</v>
      </c>
      <c r="H719" t="s">
        <v>4767</v>
      </c>
      <c r="I719" t="s">
        <v>4768</v>
      </c>
      <c r="J719" t="s">
        <v>26</v>
      </c>
      <c r="K719" t="s">
        <v>26</v>
      </c>
      <c r="L719" t="s">
        <v>4769</v>
      </c>
      <c r="M719" t="s">
        <v>25</v>
      </c>
      <c r="N719" t="s">
        <v>4695</v>
      </c>
      <c r="O719" t="s">
        <v>4696</v>
      </c>
      <c r="P719" t="s">
        <v>4770</v>
      </c>
      <c r="Q719" t="s">
        <v>4771</v>
      </c>
      <c r="R719">
        <v>249048</v>
      </c>
      <c r="S719">
        <v>0</v>
      </c>
      <c r="T719">
        <v>249048</v>
      </c>
      <c r="U719" t="s">
        <v>35</v>
      </c>
      <c r="V719" t="s">
        <v>4699</v>
      </c>
      <c r="W719" t="s">
        <v>4772</v>
      </c>
      <c r="X719" s="4">
        <v>1</v>
      </c>
      <c r="Y719" s="4"/>
      <c r="Z719">
        <f t="shared" si="44"/>
        <v>8</v>
      </c>
      <c r="AA719">
        <f t="shared" si="45"/>
        <v>20</v>
      </c>
      <c r="AB719" s="5">
        <f t="shared" si="46"/>
        <v>0.31200231481489027</v>
      </c>
      <c r="AC719" s="3">
        <f t="shared" si="47"/>
        <v>9.0254629627452232E-2</v>
      </c>
      <c r="AD719" t="str" cm="1">
        <f t="array" ref="AD719">IFERROR(_xlfn.IFS(
    AC719="", "",
    AC719*86400 &lt; 30, "1. 0s - &lt;30s",
    AC719*86400 &lt; 60, "2. 30s - &lt;1m",
    AC719*86400 &lt; 300, "3. 1m - &lt;5m",
    AC719*86400 &lt; 1800, "4. 5m - &lt;30m",
    TRUE, "5. &gt;= 30m"
),"6. Invalid (Order rejected)")</f>
        <v>5. &gt;= 30m</v>
      </c>
    </row>
    <row r="720" spans="1:30" x14ac:dyDescent="0.3">
      <c r="A720" t="s">
        <v>4773</v>
      </c>
      <c r="B720" t="s">
        <v>25</v>
      </c>
      <c r="C720">
        <v>43740668</v>
      </c>
      <c r="D720">
        <v>4561193</v>
      </c>
      <c r="E720" t="s">
        <v>25</v>
      </c>
      <c r="F720" t="s">
        <v>75</v>
      </c>
      <c r="G720" t="s">
        <v>360</v>
      </c>
      <c r="H720" t="s">
        <v>4774</v>
      </c>
      <c r="I720" t="s">
        <v>4775</v>
      </c>
      <c r="J720" t="s">
        <v>4776</v>
      </c>
      <c r="K720" t="s">
        <v>26</v>
      </c>
      <c r="L720" t="s">
        <v>25</v>
      </c>
      <c r="M720" t="s">
        <v>25</v>
      </c>
      <c r="N720" t="s">
        <v>4777</v>
      </c>
      <c r="O720" t="s">
        <v>4778</v>
      </c>
      <c r="P720" t="s">
        <v>4779</v>
      </c>
      <c r="Q720" t="s">
        <v>4780</v>
      </c>
      <c r="R720">
        <v>226584</v>
      </c>
      <c r="S720">
        <v>175655</v>
      </c>
      <c r="T720">
        <v>50929</v>
      </c>
      <c r="U720" t="s">
        <v>35</v>
      </c>
      <c r="V720" t="s">
        <v>4781</v>
      </c>
      <c r="W720" t="s">
        <v>4782</v>
      </c>
      <c r="X720" s="4">
        <v>1</v>
      </c>
      <c r="Y720" s="4"/>
      <c r="Z720">
        <f t="shared" si="44"/>
        <v>8</v>
      </c>
      <c r="AA720">
        <f t="shared" si="45"/>
        <v>20</v>
      </c>
      <c r="AB720" s="5">
        <f t="shared" si="46"/>
        <v>0.30787037037225673</v>
      </c>
      <c r="AC720" s="3" t="str">
        <f t="shared" si="47"/>
        <v>Order rejected, no time available</v>
      </c>
      <c r="AD720" t="str" cm="1">
        <f t="array" ref="AD720">IFERROR(_xlfn.IFS(
    AC720="", "",
    AC720*86400 &lt; 30, "1. 0s - &lt;30s",
    AC720*86400 &lt; 60, "2. 30s - &lt;1m",
    AC720*86400 &lt; 300, "3. 1m - &lt;5m",
    AC720*86400 &lt; 1800, "4. 5m - &lt;30m",
    TRUE, "5. &gt;= 30m"
),"6. Invalid (Order rejected)")</f>
        <v>6. Invalid (Order rejected)</v>
      </c>
    </row>
    <row r="721" spans="1:30" hidden="1" x14ac:dyDescent="0.3">
      <c r="A721" t="s">
        <v>4783</v>
      </c>
      <c r="B721" t="s">
        <v>25</v>
      </c>
      <c r="C721">
        <v>43756635</v>
      </c>
      <c r="D721">
        <v>0</v>
      </c>
      <c r="E721" t="s">
        <v>25</v>
      </c>
      <c r="F721" t="s">
        <v>26</v>
      </c>
      <c r="G721" t="s">
        <v>27</v>
      </c>
      <c r="H721" t="s">
        <v>4784</v>
      </c>
      <c r="I721" t="s">
        <v>4785</v>
      </c>
      <c r="J721" t="s">
        <v>26</v>
      </c>
      <c r="K721" t="s">
        <v>26</v>
      </c>
      <c r="L721" t="s">
        <v>4786</v>
      </c>
      <c r="M721" t="s">
        <v>25</v>
      </c>
      <c r="N721" t="s">
        <v>4681</v>
      </c>
      <c r="O721" t="s">
        <v>4682</v>
      </c>
      <c r="P721" t="s">
        <v>4787</v>
      </c>
      <c r="Q721" t="s">
        <v>4788</v>
      </c>
      <c r="R721">
        <v>272484</v>
      </c>
      <c r="S721">
        <v>0</v>
      </c>
      <c r="T721">
        <v>272484</v>
      </c>
      <c r="U721" t="s">
        <v>35</v>
      </c>
      <c r="V721" t="s">
        <v>4683</v>
      </c>
      <c r="W721" t="s">
        <v>4789</v>
      </c>
      <c r="X721" s="4">
        <v>1</v>
      </c>
      <c r="Y721" s="4"/>
      <c r="Z721">
        <f t="shared" si="44"/>
        <v>8</v>
      </c>
      <c r="AA721">
        <f t="shared" si="45"/>
        <v>20</v>
      </c>
      <c r="AB721" s="5">
        <f t="shared" si="46"/>
        <v>0.30942129629693227</v>
      </c>
      <c r="AC721" s="3">
        <f t="shared" si="47"/>
        <v>9.0266203704231884E-2</v>
      </c>
      <c r="AD721" t="str" cm="1">
        <f t="array" ref="AD721">IFERROR(_xlfn.IFS(
    AC721="", "",
    AC721*86400 &lt; 30, "1. 0s - &lt;30s",
    AC721*86400 &lt; 60, "2. 30s - &lt;1m",
    AC721*86400 &lt; 300, "3. 1m - &lt;5m",
    AC721*86400 &lt; 1800, "4. 5m - &lt;30m",
    TRUE, "5. &gt;= 30m"
),"6. Invalid (Order rejected)")</f>
        <v>5. &gt;= 30m</v>
      </c>
    </row>
    <row r="722" spans="1:30" hidden="1" x14ac:dyDescent="0.3">
      <c r="A722" t="s">
        <v>4790</v>
      </c>
      <c r="B722" t="s">
        <v>25</v>
      </c>
      <c r="C722">
        <v>43756635</v>
      </c>
      <c r="D722">
        <v>0</v>
      </c>
      <c r="E722" t="s">
        <v>25</v>
      </c>
      <c r="F722" t="s">
        <v>26</v>
      </c>
      <c r="G722" t="s">
        <v>27</v>
      </c>
      <c r="H722" t="s">
        <v>4791</v>
      </c>
      <c r="I722" t="s">
        <v>4792</v>
      </c>
      <c r="J722" t="s">
        <v>26</v>
      </c>
      <c r="K722" t="s">
        <v>26</v>
      </c>
      <c r="L722" t="s">
        <v>4793</v>
      </c>
      <c r="M722" t="s">
        <v>25</v>
      </c>
      <c r="N722" t="s">
        <v>2046</v>
      </c>
      <c r="O722" t="s">
        <v>2047</v>
      </c>
      <c r="P722" t="s">
        <v>4674</v>
      </c>
      <c r="Q722" t="s">
        <v>4675</v>
      </c>
      <c r="R722">
        <v>268596</v>
      </c>
      <c r="S722">
        <v>0</v>
      </c>
      <c r="T722">
        <v>268596</v>
      </c>
      <c r="U722" t="s">
        <v>35</v>
      </c>
      <c r="V722" t="s">
        <v>4794</v>
      </c>
      <c r="W722" t="s">
        <v>4676</v>
      </c>
      <c r="X722" s="4">
        <v>1</v>
      </c>
      <c r="Y722" s="4"/>
      <c r="Z722">
        <f t="shared" si="44"/>
        <v>8</v>
      </c>
      <c r="AA722">
        <f t="shared" si="45"/>
        <v>20</v>
      </c>
      <c r="AB722" s="5">
        <f t="shared" si="46"/>
        <v>0.31372685185488081</v>
      </c>
      <c r="AC722" s="3">
        <f t="shared" si="47"/>
        <v>9.0266203704231884E-2</v>
      </c>
      <c r="AD722" t="str" cm="1">
        <f t="array" ref="AD722">IFERROR(_xlfn.IFS(
    AC722="", "",
    AC722*86400 &lt; 30, "1. 0s - &lt;30s",
    AC722*86400 &lt; 60, "2. 30s - &lt;1m",
    AC722*86400 &lt; 300, "3. 1m - &lt;5m",
    AC722*86400 &lt; 1800, "4. 5m - &lt;30m",
    TRUE, "5. &gt;= 30m"
),"6. Invalid (Order rejected)")</f>
        <v>5. &gt;= 30m</v>
      </c>
    </row>
    <row r="723" spans="1:30" hidden="1" x14ac:dyDescent="0.3">
      <c r="A723" t="s">
        <v>4795</v>
      </c>
      <c r="B723" t="s">
        <v>25</v>
      </c>
      <c r="C723">
        <v>43756635</v>
      </c>
      <c r="D723">
        <v>0</v>
      </c>
      <c r="E723" t="s">
        <v>25</v>
      </c>
      <c r="F723" t="s">
        <v>26</v>
      </c>
      <c r="G723" t="s">
        <v>27</v>
      </c>
      <c r="H723" t="s">
        <v>4796</v>
      </c>
      <c r="I723" t="s">
        <v>4797</v>
      </c>
      <c r="J723" t="s">
        <v>26</v>
      </c>
      <c r="K723" t="s">
        <v>26</v>
      </c>
      <c r="L723" t="s">
        <v>4798</v>
      </c>
      <c r="M723" t="s">
        <v>25</v>
      </c>
      <c r="N723" t="s">
        <v>1716</v>
      </c>
      <c r="O723" t="s">
        <v>1717</v>
      </c>
      <c r="P723" t="s">
        <v>4799</v>
      </c>
      <c r="Q723" t="s">
        <v>4800</v>
      </c>
      <c r="R723">
        <v>193104</v>
      </c>
      <c r="S723">
        <v>0</v>
      </c>
      <c r="T723">
        <v>193104</v>
      </c>
      <c r="U723" t="s">
        <v>35</v>
      </c>
      <c r="V723" t="s">
        <v>1720</v>
      </c>
      <c r="W723" t="s">
        <v>4801</v>
      </c>
      <c r="X723" s="4">
        <v>1</v>
      </c>
      <c r="Y723" s="4"/>
      <c r="Z723">
        <f t="shared" si="44"/>
        <v>8</v>
      </c>
      <c r="AA723">
        <f t="shared" si="45"/>
        <v>20</v>
      </c>
      <c r="AB723" s="5">
        <f t="shared" si="46"/>
        <v>0.31623842592671281</v>
      </c>
      <c r="AC723" s="3">
        <f t="shared" si="47"/>
        <v>9.0254629627452232E-2</v>
      </c>
      <c r="AD723" t="str" cm="1">
        <f t="array" ref="AD723">IFERROR(_xlfn.IFS(
    AC723="", "",
    AC723*86400 &lt; 30, "1. 0s - &lt;30s",
    AC723*86400 &lt; 60, "2. 30s - &lt;1m",
    AC723*86400 &lt; 300, "3. 1m - &lt;5m",
    AC723*86400 &lt; 1800, "4. 5m - &lt;30m",
    TRUE, "5. &gt;= 30m"
),"6. Invalid (Order rejected)")</f>
        <v>5. &gt;= 30m</v>
      </c>
    </row>
    <row r="724" spans="1:30" hidden="1" x14ac:dyDescent="0.3">
      <c r="A724" t="s">
        <v>4802</v>
      </c>
      <c r="B724" t="s">
        <v>25</v>
      </c>
      <c r="C724">
        <v>43756635</v>
      </c>
      <c r="D724">
        <v>0</v>
      </c>
      <c r="E724" t="s">
        <v>25</v>
      </c>
      <c r="F724" t="s">
        <v>26</v>
      </c>
      <c r="G724" t="s">
        <v>27</v>
      </c>
      <c r="H724" t="s">
        <v>4803</v>
      </c>
      <c r="I724" t="s">
        <v>4804</v>
      </c>
      <c r="J724" t="s">
        <v>26</v>
      </c>
      <c r="K724" t="s">
        <v>26</v>
      </c>
      <c r="L724" t="s">
        <v>4805</v>
      </c>
      <c r="M724" t="s">
        <v>25</v>
      </c>
      <c r="N724" t="s">
        <v>1642</v>
      </c>
      <c r="O724" t="s">
        <v>1643</v>
      </c>
      <c r="P724" t="s">
        <v>4806</v>
      </c>
      <c r="Q724" t="s">
        <v>4807</v>
      </c>
      <c r="R724">
        <v>259092</v>
      </c>
      <c r="S724">
        <v>0</v>
      </c>
      <c r="T724">
        <v>259092</v>
      </c>
      <c r="U724" t="s">
        <v>35</v>
      </c>
      <c r="V724" t="s">
        <v>1646</v>
      </c>
      <c r="W724" t="s">
        <v>4808</v>
      </c>
      <c r="X724" s="4">
        <v>1</v>
      </c>
      <c r="Y724" s="4"/>
      <c r="Z724">
        <f t="shared" si="44"/>
        <v>8</v>
      </c>
      <c r="AA724">
        <f t="shared" si="45"/>
        <v>20</v>
      </c>
      <c r="AB724" s="5">
        <f t="shared" si="46"/>
        <v>0.31891203703708015</v>
      </c>
      <c r="AC724" s="3">
        <f t="shared" si="47"/>
        <v>9.0254629627452232E-2</v>
      </c>
      <c r="AD724" t="str" cm="1">
        <f t="array" ref="AD724">IFERROR(_xlfn.IFS(
    AC724="", "",
    AC724*86400 &lt; 30, "1. 0s - &lt;30s",
    AC724*86400 &lt; 60, "2. 30s - &lt;1m",
    AC724*86400 &lt; 300, "3. 1m - &lt;5m",
    AC724*86400 &lt; 1800, "4. 5m - &lt;30m",
    TRUE, "5. &gt;= 30m"
),"6. Invalid (Order rejected)")</f>
        <v>5. &gt;= 30m</v>
      </c>
    </row>
    <row r="725" spans="1:30" x14ac:dyDescent="0.3">
      <c r="A725" t="s">
        <v>4809</v>
      </c>
      <c r="B725" t="s">
        <v>25</v>
      </c>
      <c r="C725">
        <v>43756635</v>
      </c>
      <c r="D725">
        <v>4221342</v>
      </c>
      <c r="E725" t="s">
        <v>25</v>
      </c>
      <c r="F725" t="s">
        <v>75</v>
      </c>
      <c r="G725" t="s">
        <v>360</v>
      </c>
      <c r="H725" t="s">
        <v>4810</v>
      </c>
      <c r="I725" t="s">
        <v>4811</v>
      </c>
      <c r="J725" t="s">
        <v>4812</v>
      </c>
      <c r="K725" t="s">
        <v>26</v>
      </c>
      <c r="L725" t="s">
        <v>25</v>
      </c>
      <c r="M725" t="s">
        <v>25</v>
      </c>
      <c r="N725" t="s">
        <v>2992</v>
      </c>
      <c r="O725" t="s">
        <v>2993</v>
      </c>
      <c r="P725" t="s">
        <v>4586</v>
      </c>
      <c r="Q725" t="s">
        <v>4587</v>
      </c>
      <c r="R725">
        <v>262224</v>
      </c>
      <c r="S725">
        <v>203284</v>
      </c>
      <c r="T725">
        <v>58940</v>
      </c>
      <c r="U725" t="s">
        <v>35</v>
      </c>
      <c r="V725" t="s">
        <v>2994</v>
      </c>
      <c r="W725" t="s">
        <v>4588</v>
      </c>
      <c r="X725" s="4">
        <v>1</v>
      </c>
      <c r="Y725" s="4"/>
      <c r="Z725">
        <f t="shared" si="44"/>
        <v>8</v>
      </c>
      <c r="AA725">
        <f t="shared" si="45"/>
        <v>20</v>
      </c>
      <c r="AB725" s="5">
        <f t="shared" si="46"/>
        <v>0.32009259259211831</v>
      </c>
      <c r="AC725" s="3" t="str">
        <f t="shared" si="47"/>
        <v>Order rejected, no time available</v>
      </c>
      <c r="AD725" t="str" cm="1">
        <f t="array" ref="AD725">IFERROR(_xlfn.IFS(
    AC725="", "",
    AC725*86400 &lt; 30, "1. 0s - &lt;30s",
    AC725*86400 &lt; 60, "2. 30s - &lt;1m",
    AC725*86400 &lt; 300, "3. 1m - &lt;5m",
    AC725*86400 &lt; 1800, "4. 5m - &lt;30m",
    TRUE, "5. &gt;= 30m"
),"6. Invalid (Order rejected)")</f>
        <v>6. Invalid (Order rejected)</v>
      </c>
    </row>
    <row r="726" spans="1:30" hidden="1" x14ac:dyDescent="0.3">
      <c r="A726" t="s">
        <v>4813</v>
      </c>
      <c r="B726" t="s">
        <v>25</v>
      </c>
      <c r="C726">
        <v>43756635</v>
      </c>
      <c r="D726">
        <v>0</v>
      </c>
      <c r="E726" t="s">
        <v>25</v>
      </c>
      <c r="F726" t="s">
        <v>26</v>
      </c>
      <c r="G726" t="s">
        <v>27</v>
      </c>
      <c r="H726" t="s">
        <v>4814</v>
      </c>
      <c r="I726" t="s">
        <v>4815</v>
      </c>
      <c r="J726" t="s">
        <v>26</v>
      </c>
      <c r="K726" t="s">
        <v>26</v>
      </c>
      <c r="L726" t="s">
        <v>4816</v>
      </c>
      <c r="M726" t="s">
        <v>25</v>
      </c>
      <c r="N726" t="s">
        <v>4817</v>
      </c>
      <c r="O726" t="s">
        <v>4818</v>
      </c>
      <c r="P726" t="s">
        <v>4819</v>
      </c>
      <c r="Q726" t="s">
        <v>4820</v>
      </c>
      <c r="R726">
        <v>147312</v>
      </c>
      <c r="S726">
        <v>0</v>
      </c>
      <c r="T726">
        <v>147312</v>
      </c>
      <c r="U726" t="s">
        <v>35</v>
      </c>
      <c r="V726" t="s">
        <v>4821</v>
      </c>
      <c r="W726" t="s">
        <v>4822</v>
      </c>
      <c r="X726" s="4">
        <v>1</v>
      </c>
      <c r="Y726" s="4"/>
      <c r="Z726">
        <f t="shared" si="44"/>
        <v>8</v>
      </c>
      <c r="AA726">
        <f t="shared" si="45"/>
        <v>20</v>
      </c>
      <c r="AB726" s="5">
        <f t="shared" si="46"/>
        <v>0.31424768518627388</v>
      </c>
      <c r="AC726" s="3">
        <f t="shared" si="47"/>
        <v>9.0254629627452232E-2</v>
      </c>
      <c r="AD726" t="str" cm="1">
        <f t="array" ref="AD726">IFERROR(_xlfn.IFS(
    AC726="", "",
    AC726*86400 &lt; 30, "1. 0s - &lt;30s",
    AC726*86400 &lt; 60, "2. 30s - &lt;1m",
    AC726*86400 &lt; 300, "3. 1m - &lt;5m",
    AC726*86400 &lt; 1800, "4. 5m - &lt;30m",
    TRUE, "5. &gt;= 30m"
),"6. Invalid (Order rejected)")</f>
        <v>5. &gt;= 30m</v>
      </c>
    </row>
    <row r="727" spans="1:30" hidden="1" x14ac:dyDescent="0.3">
      <c r="A727" t="s">
        <v>4823</v>
      </c>
      <c r="B727" t="s">
        <v>25</v>
      </c>
      <c r="C727">
        <v>43756635</v>
      </c>
      <c r="D727">
        <v>0</v>
      </c>
      <c r="E727" t="s">
        <v>25</v>
      </c>
      <c r="F727" t="s">
        <v>26</v>
      </c>
      <c r="G727" t="s">
        <v>27</v>
      </c>
      <c r="H727" t="s">
        <v>4824</v>
      </c>
      <c r="I727" t="s">
        <v>4825</v>
      </c>
      <c r="J727" t="s">
        <v>26</v>
      </c>
      <c r="K727" t="s">
        <v>26</v>
      </c>
      <c r="L727" t="s">
        <v>4826</v>
      </c>
      <c r="M727" t="s">
        <v>25</v>
      </c>
      <c r="N727" t="s">
        <v>1642</v>
      </c>
      <c r="O727" t="s">
        <v>1643</v>
      </c>
      <c r="P727" t="s">
        <v>4827</v>
      </c>
      <c r="Q727" t="s">
        <v>4828</v>
      </c>
      <c r="R727">
        <v>199800</v>
      </c>
      <c r="S727">
        <v>0</v>
      </c>
      <c r="T727">
        <v>199800</v>
      </c>
      <c r="U727" t="s">
        <v>35</v>
      </c>
      <c r="V727" t="s">
        <v>1646</v>
      </c>
      <c r="W727" t="s">
        <v>4829</v>
      </c>
      <c r="X727" s="4">
        <v>1</v>
      </c>
      <c r="Y727" s="4"/>
      <c r="Z727">
        <f t="shared" si="44"/>
        <v>8</v>
      </c>
      <c r="AA727">
        <f t="shared" si="45"/>
        <v>20</v>
      </c>
      <c r="AB727" s="5">
        <f t="shared" si="46"/>
        <v>0.31688657407357823</v>
      </c>
      <c r="AC727" s="3">
        <f t="shared" si="47"/>
        <v>9.0254629627452232E-2</v>
      </c>
      <c r="AD727" t="str" cm="1">
        <f t="array" ref="AD727">IFERROR(_xlfn.IFS(
    AC727="", "",
    AC727*86400 &lt; 30, "1. 0s - &lt;30s",
    AC727*86400 &lt; 60, "2. 30s - &lt;1m",
    AC727*86400 &lt; 300, "3. 1m - &lt;5m",
    AC727*86400 &lt; 1800, "4. 5m - &lt;30m",
    TRUE, "5. &gt;= 30m"
),"6. Invalid (Order rejected)")</f>
        <v>5. &gt;= 30m</v>
      </c>
    </row>
    <row r="728" spans="1:30" hidden="1" x14ac:dyDescent="0.3">
      <c r="A728" t="s">
        <v>4830</v>
      </c>
      <c r="B728" t="s">
        <v>25</v>
      </c>
      <c r="C728">
        <v>43756635</v>
      </c>
      <c r="D728">
        <v>0</v>
      </c>
      <c r="E728" t="s">
        <v>25</v>
      </c>
      <c r="F728" t="s">
        <v>26</v>
      </c>
      <c r="G728" t="s">
        <v>27</v>
      </c>
      <c r="H728" t="s">
        <v>4831</v>
      </c>
      <c r="I728" t="s">
        <v>4832</v>
      </c>
      <c r="J728" t="s">
        <v>26</v>
      </c>
      <c r="K728" t="s">
        <v>26</v>
      </c>
      <c r="L728" t="s">
        <v>4833</v>
      </c>
      <c r="M728" t="s">
        <v>25</v>
      </c>
      <c r="N728" t="s">
        <v>4834</v>
      </c>
      <c r="O728" t="s">
        <v>4835</v>
      </c>
      <c r="P728" t="s">
        <v>147</v>
      </c>
      <c r="Q728" t="s">
        <v>148</v>
      </c>
      <c r="R728">
        <v>166212</v>
      </c>
      <c r="S728">
        <v>0</v>
      </c>
      <c r="T728">
        <v>166212</v>
      </c>
      <c r="U728" t="s">
        <v>35</v>
      </c>
      <c r="V728" t="s">
        <v>3847</v>
      </c>
      <c r="W728" t="s">
        <v>149</v>
      </c>
      <c r="X728" s="4">
        <v>1</v>
      </c>
      <c r="Y728" s="4"/>
      <c r="Z728">
        <f t="shared" si="44"/>
        <v>8</v>
      </c>
      <c r="AA728">
        <f t="shared" si="45"/>
        <v>20</v>
      </c>
      <c r="AB728" s="5">
        <f t="shared" si="46"/>
        <v>0.32303240741021</v>
      </c>
      <c r="AC728" s="3">
        <f t="shared" si="47"/>
        <v>9.0266203704231884E-2</v>
      </c>
      <c r="AD728" t="str" cm="1">
        <f t="array" ref="AD728">IFERROR(_xlfn.IFS(
    AC728="", "",
    AC728*86400 &lt; 30, "1. 0s - &lt;30s",
    AC728*86400 &lt; 60, "2. 30s - &lt;1m",
    AC728*86400 &lt; 300, "3. 1m - &lt;5m",
    AC728*86400 &lt; 1800, "4. 5m - &lt;30m",
    TRUE, "5. &gt;= 30m"
),"6. Invalid (Order rejected)")</f>
        <v>5. &gt;= 30m</v>
      </c>
    </row>
    <row r="729" spans="1:30" x14ac:dyDescent="0.3">
      <c r="A729" t="s">
        <v>4836</v>
      </c>
      <c r="B729" t="s">
        <v>25</v>
      </c>
      <c r="C729">
        <v>43756635</v>
      </c>
      <c r="D729">
        <v>4670599</v>
      </c>
      <c r="E729" t="s">
        <v>25</v>
      </c>
      <c r="F729" t="s">
        <v>75</v>
      </c>
      <c r="G729" t="s">
        <v>360</v>
      </c>
      <c r="H729" t="s">
        <v>4837</v>
      </c>
      <c r="I729" t="s">
        <v>4838</v>
      </c>
      <c r="J729" t="s">
        <v>4839</v>
      </c>
      <c r="K729" t="s">
        <v>26</v>
      </c>
      <c r="L729" t="s">
        <v>25</v>
      </c>
      <c r="M729" t="s">
        <v>25</v>
      </c>
      <c r="N729" t="s">
        <v>2992</v>
      </c>
      <c r="O729" t="s">
        <v>2993</v>
      </c>
      <c r="P729" t="s">
        <v>4666</v>
      </c>
      <c r="Q729" t="s">
        <v>4667</v>
      </c>
      <c r="R729">
        <v>249264</v>
      </c>
      <c r="S729">
        <v>193237</v>
      </c>
      <c r="T729">
        <v>56027</v>
      </c>
      <c r="U729" t="s">
        <v>35</v>
      </c>
      <c r="V729" t="s">
        <v>2994</v>
      </c>
      <c r="W729" t="s">
        <v>4669</v>
      </c>
      <c r="X729" s="4">
        <v>1</v>
      </c>
      <c r="Y729" s="4"/>
      <c r="Z729">
        <f t="shared" si="44"/>
        <v>8</v>
      </c>
      <c r="AA729">
        <f t="shared" si="45"/>
        <v>20</v>
      </c>
      <c r="AB729" s="5">
        <f t="shared" si="46"/>
        <v>0.32077546296204673</v>
      </c>
      <c r="AC729" s="3" t="str">
        <f t="shared" si="47"/>
        <v>Order rejected, no time available</v>
      </c>
      <c r="AD729" t="str" cm="1">
        <f t="array" ref="AD729">IFERROR(_xlfn.IFS(
    AC729="", "",
    AC729*86400 &lt; 30, "1. 0s - &lt;30s",
    AC729*86400 &lt; 60, "2. 30s - &lt;1m",
    AC729*86400 &lt; 300, "3. 1m - &lt;5m",
    AC729*86400 &lt; 1800, "4. 5m - &lt;30m",
    TRUE, "5. &gt;= 30m"
),"6. Invalid (Order rejected)")</f>
        <v>6. Invalid (Order rejected)</v>
      </c>
    </row>
    <row r="730" spans="1:30" hidden="1" x14ac:dyDescent="0.3">
      <c r="A730" t="s">
        <v>4840</v>
      </c>
      <c r="B730" t="s">
        <v>25</v>
      </c>
      <c r="C730">
        <v>43756635</v>
      </c>
      <c r="D730">
        <v>0</v>
      </c>
      <c r="E730" t="s">
        <v>25</v>
      </c>
      <c r="F730" t="s">
        <v>26</v>
      </c>
      <c r="G730" t="s">
        <v>27</v>
      </c>
      <c r="H730" t="s">
        <v>4841</v>
      </c>
      <c r="I730" t="s">
        <v>4842</v>
      </c>
      <c r="J730" t="s">
        <v>26</v>
      </c>
      <c r="K730" t="s">
        <v>26</v>
      </c>
      <c r="L730" t="s">
        <v>4843</v>
      </c>
      <c r="M730" t="s">
        <v>25</v>
      </c>
      <c r="N730" t="s">
        <v>4844</v>
      </c>
      <c r="O730" t="s">
        <v>4845</v>
      </c>
      <c r="P730" t="s">
        <v>89</v>
      </c>
      <c r="Q730" t="s">
        <v>90</v>
      </c>
      <c r="R730">
        <v>248292</v>
      </c>
      <c r="S730">
        <v>0</v>
      </c>
      <c r="T730">
        <v>248292</v>
      </c>
      <c r="U730" t="s">
        <v>35</v>
      </c>
      <c r="V730" t="s">
        <v>4846</v>
      </c>
      <c r="W730" t="s">
        <v>91</v>
      </c>
      <c r="X730" s="4">
        <v>1</v>
      </c>
      <c r="Y730" s="4"/>
      <c r="Z730">
        <f t="shared" si="44"/>
        <v>8</v>
      </c>
      <c r="AA730">
        <f t="shared" si="45"/>
        <v>20</v>
      </c>
      <c r="AB730" s="5">
        <f t="shared" si="46"/>
        <v>0.32505787037371192</v>
      </c>
      <c r="AC730" s="3">
        <f t="shared" si="47"/>
        <v>9.0266203696955927E-2</v>
      </c>
      <c r="AD730" t="str" cm="1">
        <f t="array" ref="AD730">IFERROR(_xlfn.IFS(
    AC730="", "",
    AC730*86400 &lt; 30, "1. 0s - &lt;30s",
    AC730*86400 &lt; 60, "2. 30s - &lt;1m",
    AC730*86400 &lt; 300, "3. 1m - &lt;5m",
    AC730*86400 &lt; 1800, "4. 5m - &lt;30m",
    TRUE, "5. &gt;= 30m"
),"6. Invalid (Order rejected)")</f>
        <v>5. &gt;= 30m</v>
      </c>
    </row>
    <row r="731" spans="1:30" hidden="1" x14ac:dyDescent="0.3">
      <c r="A731" t="s">
        <v>4847</v>
      </c>
      <c r="B731" t="s">
        <v>25</v>
      </c>
      <c r="C731">
        <v>43756635</v>
      </c>
      <c r="D731">
        <v>0</v>
      </c>
      <c r="E731" t="s">
        <v>25</v>
      </c>
      <c r="F731" t="s">
        <v>26</v>
      </c>
      <c r="G731" t="s">
        <v>27</v>
      </c>
      <c r="H731" t="s">
        <v>4848</v>
      </c>
      <c r="I731" t="s">
        <v>4849</v>
      </c>
      <c r="J731" t="s">
        <v>26</v>
      </c>
      <c r="K731" t="s">
        <v>26</v>
      </c>
      <c r="L731" t="s">
        <v>4850</v>
      </c>
      <c r="M731" t="s">
        <v>25</v>
      </c>
      <c r="N731" t="s">
        <v>1642</v>
      </c>
      <c r="O731" t="s">
        <v>1643</v>
      </c>
      <c r="P731" t="s">
        <v>4851</v>
      </c>
      <c r="Q731" t="s">
        <v>4852</v>
      </c>
      <c r="R731">
        <v>149472</v>
      </c>
      <c r="S731">
        <v>0</v>
      </c>
      <c r="T731">
        <v>149472</v>
      </c>
      <c r="U731" t="s">
        <v>35</v>
      </c>
      <c r="V731" t="s">
        <v>1646</v>
      </c>
      <c r="W731" t="s">
        <v>4710</v>
      </c>
      <c r="X731" s="4">
        <v>1</v>
      </c>
      <c r="Y731" s="4"/>
      <c r="Z731">
        <f t="shared" si="44"/>
        <v>8</v>
      </c>
      <c r="AA731">
        <f t="shared" si="45"/>
        <v>20</v>
      </c>
      <c r="AB731" s="5">
        <f t="shared" si="46"/>
        <v>0.31753472222044365</v>
      </c>
      <c r="AC731" s="3">
        <f t="shared" si="47"/>
        <v>0.20339120370772434</v>
      </c>
      <c r="AD731" t="str" cm="1">
        <f t="array" ref="AD731">IFERROR(_xlfn.IFS(
    AC731="", "",
    AC731*86400 &lt; 30, "1. 0s - &lt;30s",
    AC731*86400 &lt; 60, "2. 30s - &lt;1m",
    AC731*86400 &lt; 300, "3. 1m - &lt;5m",
    AC731*86400 &lt; 1800, "4. 5m - &lt;30m",
    TRUE, "5. &gt;= 30m"
),"6. Invalid (Order rejected)")</f>
        <v>5. &gt;= 30m</v>
      </c>
    </row>
    <row r="732" spans="1:30" x14ac:dyDescent="0.3">
      <c r="A732" t="s">
        <v>4853</v>
      </c>
      <c r="B732" t="s">
        <v>25</v>
      </c>
      <c r="C732">
        <v>43756635</v>
      </c>
      <c r="D732">
        <v>4421808</v>
      </c>
      <c r="E732" t="s">
        <v>25</v>
      </c>
      <c r="F732" t="s">
        <v>75</v>
      </c>
      <c r="G732" t="s">
        <v>360</v>
      </c>
      <c r="H732" t="s">
        <v>4854</v>
      </c>
      <c r="I732" t="s">
        <v>4855</v>
      </c>
      <c r="J732" t="s">
        <v>4856</v>
      </c>
      <c r="K732" t="s">
        <v>26</v>
      </c>
      <c r="L732" t="s">
        <v>25</v>
      </c>
      <c r="M732" t="s">
        <v>25</v>
      </c>
      <c r="N732" t="s">
        <v>4834</v>
      </c>
      <c r="O732" t="s">
        <v>4835</v>
      </c>
      <c r="P732" t="s">
        <v>42</v>
      </c>
      <c r="Q732" t="s">
        <v>43</v>
      </c>
      <c r="R732">
        <v>131868</v>
      </c>
      <c r="S732">
        <v>102228</v>
      </c>
      <c r="T732">
        <v>29640</v>
      </c>
      <c r="U732" t="s">
        <v>35</v>
      </c>
      <c r="V732" t="s">
        <v>3847</v>
      </c>
      <c r="W732" t="s">
        <v>44</v>
      </c>
      <c r="X732" s="4">
        <v>1</v>
      </c>
      <c r="Y732" s="4"/>
      <c r="Z732">
        <f t="shared" si="44"/>
        <v>8</v>
      </c>
      <c r="AA732">
        <f t="shared" si="45"/>
        <v>20</v>
      </c>
      <c r="AB732" s="5">
        <f t="shared" si="46"/>
        <v>0.322824074071832</v>
      </c>
      <c r="AC732" s="3" t="str">
        <f t="shared" si="47"/>
        <v>Order rejected, no time available</v>
      </c>
      <c r="AD732" t="str" cm="1">
        <f t="array" ref="AD732">IFERROR(_xlfn.IFS(
    AC732="", "",
    AC732*86400 &lt; 30, "1. 0s - &lt;30s",
    AC732*86400 &lt; 60, "2. 30s - &lt;1m",
    AC732*86400 &lt; 300, "3. 1m - &lt;5m",
    AC732*86400 &lt; 1800, "4. 5m - &lt;30m",
    TRUE, "5. &gt;= 30m"
),"6. Invalid (Order rejected)")</f>
        <v>6. Invalid (Order rejected)</v>
      </c>
    </row>
    <row r="733" spans="1:30" hidden="1" x14ac:dyDescent="0.3">
      <c r="A733" t="s">
        <v>4857</v>
      </c>
      <c r="B733" t="s">
        <v>25</v>
      </c>
      <c r="C733">
        <v>43756635</v>
      </c>
      <c r="D733">
        <v>0</v>
      </c>
      <c r="E733" t="s">
        <v>25</v>
      </c>
      <c r="F733" t="s">
        <v>26</v>
      </c>
      <c r="G733" t="s">
        <v>27</v>
      </c>
      <c r="H733" t="s">
        <v>4858</v>
      </c>
      <c r="I733" t="s">
        <v>4859</v>
      </c>
      <c r="J733" t="s">
        <v>26</v>
      </c>
      <c r="K733" t="s">
        <v>26</v>
      </c>
      <c r="L733" t="s">
        <v>4860</v>
      </c>
      <c r="M733" t="s">
        <v>25</v>
      </c>
      <c r="N733" t="s">
        <v>1642</v>
      </c>
      <c r="O733" t="s">
        <v>1643</v>
      </c>
      <c r="P733" t="s">
        <v>4861</v>
      </c>
      <c r="Q733" t="s">
        <v>4862</v>
      </c>
      <c r="R733">
        <v>177768</v>
      </c>
      <c r="S733">
        <v>0</v>
      </c>
      <c r="T733">
        <v>177768</v>
      </c>
      <c r="U733" t="s">
        <v>35</v>
      </c>
      <c r="V733" t="s">
        <v>1646</v>
      </c>
      <c r="W733" t="s">
        <v>4863</v>
      </c>
      <c r="X733" s="4">
        <v>1</v>
      </c>
      <c r="Y733" s="4"/>
      <c r="Z733">
        <f t="shared" si="44"/>
        <v>8</v>
      </c>
      <c r="AA733">
        <f t="shared" si="45"/>
        <v>20</v>
      </c>
      <c r="AB733" s="5">
        <f t="shared" si="46"/>
        <v>0.31706018518161727</v>
      </c>
      <c r="AC733" s="3">
        <f t="shared" si="47"/>
        <v>9.0266203704231884E-2</v>
      </c>
      <c r="AD733" t="str" cm="1">
        <f t="array" ref="AD733">IFERROR(_xlfn.IFS(
    AC733="", "",
    AC733*86400 &lt; 30, "1. 0s - &lt;30s",
    AC733*86400 &lt; 60, "2. 30s - &lt;1m",
    AC733*86400 &lt; 300, "3. 1m - &lt;5m",
    AC733*86400 &lt; 1800, "4. 5m - &lt;30m",
    TRUE, "5. &gt;= 30m"
),"6. Invalid (Order rejected)")</f>
        <v>5. &gt;= 30m</v>
      </c>
    </row>
    <row r="734" spans="1:30" x14ac:dyDescent="0.3">
      <c r="A734" t="s">
        <v>4864</v>
      </c>
      <c r="B734" t="s">
        <v>25</v>
      </c>
      <c r="C734">
        <v>43756635</v>
      </c>
      <c r="D734">
        <v>3755745</v>
      </c>
      <c r="E734" t="s">
        <v>25</v>
      </c>
      <c r="F734" t="s">
        <v>75</v>
      </c>
      <c r="G734" t="s">
        <v>360</v>
      </c>
      <c r="H734" t="s">
        <v>4865</v>
      </c>
      <c r="I734" t="s">
        <v>4866</v>
      </c>
      <c r="J734" t="s">
        <v>4867</v>
      </c>
      <c r="K734" t="s">
        <v>26</v>
      </c>
      <c r="L734" t="s">
        <v>25</v>
      </c>
      <c r="M734" t="s">
        <v>25</v>
      </c>
      <c r="N734" t="s">
        <v>2992</v>
      </c>
      <c r="O734" t="s">
        <v>2993</v>
      </c>
      <c r="P734" t="s">
        <v>4649</v>
      </c>
      <c r="Q734" t="s">
        <v>4650</v>
      </c>
      <c r="R734">
        <v>290412</v>
      </c>
      <c r="S734">
        <v>225137</v>
      </c>
      <c r="T734">
        <v>65275</v>
      </c>
      <c r="U734" t="s">
        <v>35</v>
      </c>
      <c r="V734" t="s">
        <v>2994</v>
      </c>
      <c r="W734" t="s">
        <v>4651</v>
      </c>
      <c r="X734" s="4">
        <v>1</v>
      </c>
      <c r="Y734" s="4"/>
      <c r="Z734">
        <f t="shared" si="44"/>
        <v>8</v>
      </c>
      <c r="AA734">
        <f t="shared" si="45"/>
        <v>20</v>
      </c>
      <c r="AB734" s="5">
        <f t="shared" si="46"/>
        <v>0.32040509259240935</v>
      </c>
      <c r="AC734" s="3" t="str">
        <f t="shared" si="47"/>
        <v>Order rejected, no time available</v>
      </c>
      <c r="AD734" t="str" cm="1">
        <f t="array" ref="AD734">IFERROR(_xlfn.IFS(
    AC734="", "",
    AC734*86400 &lt; 30, "1. 0s - &lt;30s",
    AC734*86400 &lt; 60, "2. 30s - &lt;1m",
    AC734*86400 &lt; 300, "3. 1m - &lt;5m",
    AC734*86400 &lt; 1800, "4. 5m - &lt;30m",
    TRUE, "5. &gt;= 30m"
),"6. Invalid (Order rejected)")</f>
        <v>6. Invalid (Order rejected)</v>
      </c>
    </row>
    <row r="735" spans="1:30" x14ac:dyDescent="0.3">
      <c r="A735" t="s">
        <v>4868</v>
      </c>
      <c r="B735" t="s">
        <v>25</v>
      </c>
      <c r="C735">
        <v>43756635</v>
      </c>
      <c r="D735">
        <v>4446979</v>
      </c>
      <c r="E735" t="s">
        <v>25</v>
      </c>
      <c r="F735" t="s">
        <v>75</v>
      </c>
      <c r="G735" t="s">
        <v>360</v>
      </c>
      <c r="H735" t="s">
        <v>4869</v>
      </c>
      <c r="I735" t="s">
        <v>4870</v>
      </c>
      <c r="J735" t="s">
        <v>4871</v>
      </c>
      <c r="K735" t="s">
        <v>26</v>
      </c>
      <c r="L735" t="s">
        <v>25</v>
      </c>
      <c r="M735" t="s">
        <v>25</v>
      </c>
      <c r="N735" t="s">
        <v>4872</v>
      </c>
      <c r="O735" t="s">
        <v>4873</v>
      </c>
      <c r="P735" t="s">
        <v>180</v>
      </c>
      <c r="Q735" t="s">
        <v>181</v>
      </c>
      <c r="R735">
        <v>120528</v>
      </c>
      <c r="S735">
        <v>93437</v>
      </c>
      <c r="T735">
        <v>27091</v>
      </c>
      <c r="U735" t="s">
        <v>35</v>
      </c>
      <c r="V735" t="s">
        <v>4874</v>
      </c>
      <c r="W735" t="s">
        <v>182</v>
      </c>
      <c r="X735" s="4">
        <v>1</v>
      </c>
      <c r="Y735" s="4"/>
      <c r="Z735">
        <f t="shared" si="44"/>
        <v>8</v>
      </c>
      <c r="AA735">
        <f t="shared" si="45"/>
        <v>20</v>
      </c>
      <c r="AB735" s="5">
        <f t="shared" si="46"/>
        <v>0.32239583333284827</v>
      </c>
      <c r="AC735" s="3" t="str">
        <f t="shared" si="47"/>
        <v>Order rejected, no time available</v>
      </c>
      <c r="AD735" t="str" cm="1">
        <f t="array" ref="AD735">IFERROR(_xlfn.IFS(
    AC735="", "",
    AC735*86400 &lt; 30, "1. 0s - &lt;30s",
    AC735*86400 &lt; 60, "2. 30s - &lt;1m",
    AC735*86400 &lt; 300, "3. 1m - &lt;5m",
    AC735*86400 &lt; 1800, "4. 5m - &lt;30m",
    TRUE, "5. &gt;= 30m"
),"6. Invalid (Order rejected)")</f>
        <v>6. Invalid (Order rejected)</v>
      </c>
    </row>
    <row r="736" spans="1:30" hidden="1" x14ac:dyDescent="0.3">
      <c r="A736" t="s">
        <v>4875</v>
      </c>
      <c r="B736" t="s">
        <v>25</v>
      </c>
      <c r="C736">
        <v>43756635</v>
      </c>
      <c r="D736">
        <v>0</v>
      </c>
      <c r="E736" t="s">
        <v>25</v>
      </c>
      <c r="F736" t="s">
        <v>26</v>
      </c>
      <c r="G736" t="s">
        <v>27</v>
      </c>
      <c r="H736" t="s">
        <v>4876</v>
      </c>
      <c r="I736" t="s">
        <v>4877</v>
      </c>
      <c r="J736" t="s">
        <v>26</v>
      </c>
      <c r="K736" t="s">
        <v>26</v>
      </c>
      <c r="L736" t="s">
        <v>4878</v>
      </c>
      <c r="M736" t="s">
        <v>25</v>
      </c>
      <c r="N736" t="s">
        <v>4844</v>
      </c>
      <c r="O736" t="s">
        <v>4845</v>
      </c>
      <c r="P736" t="s">
        <v>3102</v>
      </c>
      <c r="Q736" t="s">
        <v>3103</v>
      </c>
      <c r="R736">
        <v>232308</v>
      </c>
      <c r="S736">
        <v>0</v>
      </c>
      <c r="T736">
        <v>232308</v>
      </c>
      <c r="U736" t="s">
        <v>35</v>
      </c>
      <c r="V736" t="s">
        <v>4846</v>
      </c>
      <c r="W736" t="s">
        <v>3104</v>
      </c>
      <c r="X736" s="4">
        <v>1</v>
      </c>
      <c r="Y736" s="4"/>
      <c r="Z736">
        <f t="shared" si="44"/>
        <v>8</v>
      </c>
      <c r="AA736">
        <f t="shared" si="45"/>
        <v>20</v>
      </c>
      <c r="AB736" s="5">
        <f t="shared" si="46"/>
        <v>0.32473379629664123</v>
      </c>
      <c r="AC736" s="3">
        <f t="shared" si="47"/>
        <v>0.13570601851824904</v>
      </c>
      <c r="AD736" t="str" cm="1">
        <f t="array" ref="AD736">IFERROR(_xlfn.IFS(
    AC736="", "",
    AC736*86400 &lt; 30, "1. 0s - &lt;30s",
    AC736*86400 &lt; 60, "2. 30s - &lt;1m",
    AC736*86400 &lt; 300, "3. 1m - &lt;5m",
    AC736*86400 &lt; 1800, "4. 5m - &lt;30m",
    TRUE, "5. &gt;= 30m"
),"6. Invalid (Order rejected)")</f>
        <v>5. &gt;= 30m</v>
      </c>
    </row>
    <row r="737" spans="1:30" hidden="1" x14ac:dyDescent="0.3">
      <c r="A737" t="s">
        <v>4879</v>
      </c>
      <c r="B737" t="s">
        <v>25</v>
      </c>
      <c r="C737">
        <v>43756635</v>
      </c>
      <c r="D737">
        <v>0</v>
      </c>
      <c r="E737" t="s">
        <v>25</v>
      </c>
      <c r="F737" t="s">
        <v>26</v>
      </c>
      <c r="G737" t="s">
        <v>27</v>
      </c>
      <c r="H737" t="s">
        <v>4880</v>
      </c>
      <c r="I737" t="s">
        <v>4881</v>
      </c>
      <c r="J737" t="s">
        <v>26</v>
      </c>
      <c r="K737" t="s">
        <v>26</v>
      </c>
      <c r="L737" t="s">
        <v>4882</v>
      </c>
      <c r="M737" t="s">
        <v>25</v>
      </c>
      <c r="N737" t="s">
        <v>4883</v>
      </c>
      <c r="O737" t="s">
        <v>4884</v>
      </c>
      <c r="P737" t="s">
        <v>147</v>
      </c>
      <c r="Q737" t="s">
        <v>148</v>
      </c>
      <c r="R737">
        <v>189216</v>
      </c>
      <c r="S737">
        <v>0</v>
      </c>
      <c r="T737">
        <v>189216</v>
      </c>
      <c r="U737" t="s">
        <v>35</v>
      </c>
      <c r="V737" t="s">
        <v>4885</v>
      </c>
      <c r="W737" t="s">
        <v>149</v>
      </c>
      <c r="X737" s="4">
        <v>1</v>
      </c>
      <c r="Y737" s="4"/>
      <c r="Z737">
        <f t="shared" si="44"/>
        <v>8</v>
      </c>
      <c r="AA737">
        <f t="shared" si="45"/>
        <v>20</v>
      </c>
      <c r="AB737" s="5">
        <f t="shared" si="46"/>
        <v>0.3266782407372375</v>
      </c>
      <c r="AC737" s="3">
        <f t="shared" si="47"/>
        <v>9.025462963472819E-2</v>
      </c>
      <c r="AD737" t="str" cm="1">
        <f t="array" ref="AD737">IFERROR(_xlfn.IFS(
    AC737="", "",
    AC737*86400 &lt; 30, "1. 0s - &lt;30s",
    AC737*86400 &lt; 60, "2. 30s - &lt;1m",
    AC737*86400 &lt; 300, "3. 1m - &lt;5m",
    AC737*86400 &lt; 1800, "4. 5m - &lt;30m",
    TRUE, "5. &gt;= 30m"
),"6. Invalid (Order rejected)")</f>
        <v>5. &gt;= 30m</v>
      </c>
    </row>
    <row r="738" spans="1:30" hidden="1" x14ac:dyDescent="0.3">
      <c r="A738" t="s">
        <v>4886</v>
      </c>
      <c r="B738" t="s">
        <v>25</v>
      </c>
      <c r="C738">
        <v>43756635</v>
      </c>
      <c r="D738">
        <v>0</v>
      </c>
      <c r="E738" t="s">
        <v>25</v>
      </c>
      <c r="F738" t="s">
        <v>26</v>
      </c>
      <c r="G738" t="s">
        <v>27</v>
      </c>
      <c r="H738" t="s">
        <v>4887</v>
      </c>
      <c r="I738" t="s">
        <v>4888</v>
      </c>
      <c r="J738" t="s">
        <v>26</v>
      </c>
      <c r="K738" t="s">
        <v>26</v>
      </c>
      <c r="L738" t="s">
        <v>4889</v>
      </c>
      <c r="M738" t="s">
        <v>25</v>
      </c>
      <c r="N738" t="s">
        <v>4883</v>
      </c>
      <c r="O738" t="s">
        <v>4884</v>
      </c>
      <c r="P738" t="s">
        <v>3102</v>
      </c>
      <c r="Q738" t="s">
        <v>3103</v>
      </c>
      <c r="R738">
        <v>203148</v>
      </c>
      <c r="S738">
        <v>0</v>
      </c>
      <c r="T738">
        <v>203148</v>
      </c>
      <c r="U738" t="s">
        <v>35</v>
      </c>
      <c r="V738" t="s">
        <v>4885</v>
      </c>
      <c r="W738" t="s">
        <v>3104</v>
      </c>
      <c r="X738" s="4">
        <v>1</v>
      </c>
      <c r="Y738" s="4"/>
      <c r="Z738">
        <f t="shared" si="44"/>
        <v>8</v>
      </c>
      <c r="AA738">
        <f t="shared" si="45"/>
        <v>20</v>
      </c>
      <c r="AB738" s="5">
        <f t="shared" si="46"/>
        <v>0.32591435185167938</v>
      </c>
      <c r="AC738" s="3">
        <f t="shared" si="47"/>
        <v>0.10914351851533866</v>
      </c>
      <c r="AD738" t="str" cm="1">
        <f t="array" ref="AD738">IFERROR(_xlfn.IFS(
    AC738="", "",
    AC738*86400 &lt; 30, "1. 0s - &lt;30s",
    AC738*86400 &lt; 60, "2. 30s - &lt;1m",
    AC738*86400 &lt; 300, "3. 1m - &lt;5m",
    AC738*86400 &lt; 1800, "4. 5m - &lt;30m",
    TRUE, "5. &gt;= 30m"
),"6. Invalid (Order rejected)")</f>
        <v>5. &gt;= 30m</v>
      </c>
    </row>
    <row r="739" spans="1:30" hidden="1" x14ac:dyDescent="0.3">
      <c r="A739" t="s">
        <v>4890</v>
      </c>
      <c r="B739" t="s">
        <v>25</v>
      </c>
      <c r="C739">
        <v>43756635</v>
      </c>
      <c r="D739">
        <v>0</v>
      </c>
      <c r="E739" t="s">
        <v>25</v>
      </c>
      <c r="F739" t="s">
        <v>26</v>
      </c>
      <c r="G739" t="s">
        <v>27</v>
      </c>
      <c r="H739" t="s">
        <v>4891</v>
      </c>
      <c r="I739" t="s">
        <v>4892</v>
      </c>
      <c r="J739" t="s">
        <v>26</v>
      </c>
      <c r="K739" t="s">
        <v>26</v>
      </c>
      <c r="L739" t="s">
        <v>4893</v>
      </c>
      <c r="M739" t="s">
        <v>25</v>
      </c>
      <c r="N739" t="s">
        <v>4883</v>
      </c>
      <c r="O739" t="s">
        <v>4884</v>
      </c>
      <c r="P739" t="s">
        <v>56</v>
      </c>
      <c r="Q739" t="s">
        <v>57</v>
      </c>
      <c r="R739">
        <v>148392</v>
      </c>
      <c r="S739">
        <v>0</v>
      </c>
      <c r="T739">
        <v>148392</v>
      </c>
      <c r="U739" t="s">
        <v>35</v>
      </c>
      <c r="V739" t="s">
        <v>4885</v>
      </c>
      <c r="W739" t="s">
        <v>58</v>
      </c>
      <c r="X739" s="4">
        <v>1</v>
      </c>
      <c r="Y739" s="4"/>
      <c r="Z739">
        <f t="shared" si="44"/>
        <v>8</v>
      </c>
      <c r="AA739">
        <f t="shared" si="45"/>
        <v>20</v>
      </c>
      <c r="AB739" s="5">
        <f t="shared" si="46"/>
        <v>0.32606481481343508</v>
      </c>
      <c r="AC739" s="3">
        <f t="shared" si="47"/>
        <v>9.0254629627452232E-2</v>
      </c>
      <c r="AD739" t="str" cm="1">
        <f t="array" ref="AD739">IFERROR(_xlfn.IFS(
    AC739="", "",
    AC739*86400 &lt; 30, "1. 0s - &lt;30s",
    AC739*86400 &lt; 60, "2. 30s - &lt;1m",
    AC739*86400 &lt; 300, "3. 1m - &lt;5m",
    AC739*86400 &lt; 1800, "4. 5m - &lt;30m",
    TRUE, "5. &gt;= 30m"
),"6. Invalid (Order rejected)")</f>
        <v>5. &gt;= 30m</v>
      </c>
    </row>
    <row r="740" spans="1:30" hidden="1" x14ac:dyDescent="0.3">
      <c r="A740" t="s">
        <v>4894</v>
      </c>
      <c r="B740" t="s">
        <v>25</v>
      </c>
      <c r="C740">
        <v>43756635</v>
      </c>
      <c r="D740">
        <v>0</v>
      </c>
      <c r="E740" t="s">
        <v>25</v>
      </c>
      <c r="F740" t="s">
        <v>26</v>
      </c>
      <c r="G740" t="s">
        <v>27</v>
      </c>
      <c r="H740" t="s">
        <v>4895</v>
      </c>
      <c r="I740" t="s">
        <v>4896</v>
      </c>
      <c r="J740" t="s">
        <v>26</v>
      </c>
      <c r="K740" t="s">
        <v>26</v>
      </c>
      <c r="L740" t="s">
        <v>4897</v>
      </c>
      <c r="M740" t="s">
        <v>25</v>
      </c>
      <c r="N740" t="s">
        <v>4883</v>
      </c>
      <c r="O740" t="s">
        <v>4884</v>
      </c>
      <c r="P740" t="s">
        <v>42</v>
      </c>
      <c r="Q740" t="s">
        <v>43</v>
      </c>
      <c r="R740">
        <v>160596</v>
      </c>
      <c r="S740">
        <v>0</v>
      </c>
      <c r="T740">
        <v>160596</v>
      </c>
      <c r="U740" t="s">
        <v>35</v>
      </c>
      <c r="V740" t="s">
        <v>4885</v>
      </c>
      <c r="W740" t="s">
        <v>44</v>
      </c>
      <c r="X740" s="4">
        <v>1</v>
      </c>
      <c r="Y740" s="4"/>
      <c r="Z740">
        <f t="shared" si="44"/>
        <v>8</v>
      </c>
      <c r="AA740">
        <f t="shared" si="45"/>
        <v>20</v>
      </c>
      <c r="AB740" s="5">
        <f t="shared" si="46"/>
        <v>0.32651620370597811</v>
      </c>
      <c r="AC740" s="3">
        <f t="shared" si="47"/>
        <v>9.0254629627452232E-2</v>
      </c>
      <c r="AD740" t="str" cm="1">
        <f t="array" ref="AD740">IFERROR(_xlfn.IFS(
    AC740="", "",
    AC740*86400 &lt; 30, "1. 0s - &lt;30s",
    AC740*86400 &lt; 60, "2. 30s - &lt;1m",
    AC740*86400 &lt; 300, "3. 1m - &lt;5m",
    AC740*86400 &lt; 1800, "4. 5m - &lt;30m",
    TRUE, "5. &gt;= 30m"
),"6. Invalid (Order rejected)")</f>
        <v>5. &gt;= 30m</v>
      </c>
    </row>
    <row r="741" spans="1:30" x14ac:dyDescent="0.3">
      <c r="A741" t="s">
        <v>4898</v>
      </c>
      <c r="B741" t="s">
        <v>25</v>
      </c>
      <c r="C741">
        <v>43756635</v>
      </c>
      <c r="D741">
        <v>4336533</v>
      </c>
      <c r="E741" t="s">
        <v>25</v>
      </c>
      <c r="F741" t="s">
        <v>75</v>
      </c>
      <c r="G741" t="s">
        <v>360</v>
      </c>
      <c r="H741" t="s">
        <v>4899</v>
      </c>
      <c r="I741" t="s">
        <v>4900</v>
      </c>
      <c r="J741" t="s">
        <v>4901</v>
      </c>
      <c r="K741" t="s">
        <v>26</v>
      </c>
      <c r="L741" t="s">
        <v>25</v>
      </c>
      <c r="M741" t="s">
        <v>25</v>
      </c>
      <c r="N741" t="s">
        <v>4872</v>
      </c>
      <c r="O741" t="s">
        <v>4873</v>
      </c>
      <c r="P741" t="s">
        <v>96</v>
      </c>
      <c r="Q741" t="s">
        <v>97</v>
      </c>
      <c r="R741">
        <v>177228</v>
      </c>
      <c r="S741">
        <v>137393</v>
      </c>
      <c r="T741">
        <v>39835</v>
      </c>
      <c r="U741" t="s">
        <v>35</v>
      </c>
      <c r="V741" t="s">
        <v>4874</v>
      </c>
      <c r="W741" t="s">
        <v>98</v>
      </c>
      <c r="X741" s="4">
        <v>1</v>
      </c>
      <c r="Y741" s="4"/>
      <c r="Z741">
        <f t="shared" si="44"/>
        <v>8</v>
      </c>
      <c r="AA741">
        <f t="shared" si="45"/>
        <v>20</v>
      </c>
      <c r="AB741" s="5">
        <f t="shared" si="46"/>
        <v>0.32186342592467554</v>
      </c>
      <c r="AC741" s="3" t="str">
        <f t="shared" si="47"/>
        <v>Order rejected, no time available</v>
      </c>
      <c r="AD741" t="str" cm="1">
        <f t="array" ref="AD741">IFERROR(_xlfn.IFS(
    AC741="", "",
    AC741*86400 &lt; 30, "1. 0s - &lt;30s",
    AC741*86400 &lt; 60, "2. 30s - &lt;1m",
    AC741*86400 &lt; 300, "3. 1m - &lt;5m",
    AC741*86400 &lt; 1800, "4. 5m - &lt;30m",
    TRUE, "5. &gt;= 30m"
),"6. Invalid (Order rejected)")</f>
        <v>6. Invalid (Order rejected)</v>
      </c>
    </row>
    <row r="742" spans="1:30" hidden="1" x14ac:dyDescent="0.3">
      <c r="A742" t="s">
        <v>4902</v>
      </c>
      <c r="B742" t="s">
        <v>25</v>
      </c>
      <c r="C742">
        <v>43756635</v>
      </c>
      <c r="D742">
        <v>0</v>
      </c>
      <c r="E742" t="s">
        <v>25</v>
      </c>
      <c r="F742" t="s">
        <v>26</v>
      </c>
      <c r="G742" t="s">
        <v>27</v>
      </c>
      <c r="H742" t="s">
        <v>4903</v>
      </c>
      <c r="I742" t="s">
        <v>4904</v>
      </c>
      <c r="J742" t="s">
        <v>26</v>
      </c>
      <c r="K742" t="s">
        <v>26</v>
      </c>
      <c r="L742" t="s">
        <v>4905</v>
      </c>
      <c r="M742" t="s">
        <v>25</v>
      </c>
      <c r="N742" t="s">
        <v>4844</v>
      </c>
      <c r="O742" t="s">
        <v>4845</v>
      </c>
      <c r="P742" t="s">
        <v>96</v>
      </c>
      <c r="Q742" t="s">
        <v>97</v>
      </c>
      <c r="R742">
        <v>195372</v>
      </c>
      <c r="S742">
        <v>0</v>
      </c>
      <c r="T742">
        <v>195372</v>
      </c>
      <c r="U742" t="s">
        <v>35</v>
      </c>
      <c r="V742" t="s">
        <v>4846</v>
      </c>
      <c r="W742" t="s">
        <v>98</v>
      </c>
      <c r="X742" s="4">
        <v>1</v>
      </c>
      <c r="Y742" s="4"/>
      <c r="Z742">
        <f t="shared" si="44"/>
        <v>8</v>
      </c>
      <c r="AA742">
        <f t="shared" si="45"/>
        <v>20</v>
      </c>
      <c r="AB742" s="5">
        <f t="shared" si="46"/>
        <v>0.32490740740468027</v>
      </c>
      <c r="AC742" s="3">
        <f t="shared" si="47"/>
        <v>9.0266203704231884E-2</v>
      </c>
      <c r="AD742" t="str" cm="1">
        <f t="array" ref="AD742">IFERROR(_xlfn.IFS(
    AC742="", "",
    AC742*86400 &lt; 30, "1. 0s - &lt;30s",
    AC742*86400 &lt; 60, "2. 30s - &lt;1m",
    AC742*86400 &lt; 300, "3. 1m - &lt;5m",
    AC742*86400 &lt; 1800, "4. 5m - &lt;30m",
    TRUE, "5. &gt;= 30m"
),"6. Invalid (Order rejected)")</f>
        <v>5. &gt;= 30m</v>
      </c>
    </row>
    <row r="743" spans="1:30" hidden="1" x14ac:dyDescent="0.3">
      <c r="A743" t="s">
        <v>4906</v>
      </c>
      <c r="B743" t="s">
        <v>25</v>
      </c>
      <c r="C743">
        <v>43756635</v>
      </c>
      <c r="D743">
        <v>0</v>
      </c>
      <c r="E743" t="s">
        <v>25</v>
      </c>
      <c r="F743" t="s">
        <v>26</v>
      </c>
      <c r="G743" t="s">
        <v>27</v>
      </c>
      <c r="H743" t="s">
        <v>4907</v>
      </c>
      <c r="I743" t="s">
        <v>4908</v>
      </c>
      <c r="J743" t="s">
        <v>26</v>
      </c>
      <c r="K743" t="s">
        <v>26</v>
      </c>
      <c r="L743" t="s">
        <v>4909</v>
      </c>
      <c r="M743" t="s">
        <v>25</v>
      </c>
      <c r="N743" t="s">
        <v>4883</v>
      </c>
      <c r="O743" t="s">
        <v>4884</v>
      </c>
      <c r="P743" t="s">
        <v>3865</v>
      </c>
      <c r="Q743" t="s">
        <v>3866</v>
      </c>
      <c r="R743">
        <v>176040</v>
      </c>
      <c r="S743">
        <v>0</v>
      </c>
      <c r="T743">
        <v>176040</v>
      </c>
      <c r="U743" t="s">
        <v>35</v>
      </c>
      <c r="V743" t="s">
        <v>4885</v>
      </c>
      <c r="W743" t="s">
        <v>3868</v>
      </c>
      <c r="X743" s="4">
        <v>1</v>
      </c>
      <c r="Y743" s="4"/>
      <c r="Z743">
        <f t="shared" si="44"/>
        <v>8</v>
      </c>
      <c r="AA743">
        <f t="shared" si="45"/>
        <v>20</v>
      </c>
      <c r="AB743" s="5">
        <f t="shared" si="46"/>
        <v>0.32682870370626915</v>
      </c>
      <c r="AC743" s="3">
        <f t="shared" si="47"/>
        <v>9.0266203704231884E-2</v>
      </c>
      <c r="AD743" t="str" cm="1">
        <f t="array" ref="AD743">IFERROR(_xlfn.IFS(
    AC743="", "",
    AC743*86400 &lt; 30, "1. 0s - &lt;30s",
    AC743*86400 &lt; 60, "2. 30s - &lt;1m",
    AC743*86400 &lt; 300, "3. 1m - &lt;5m",
    AC743*86400 &lt; 1800, "4. 5m - &lt;30m",
    TRUE, "5. &gt;= 30m"
),"6. Invalid (Order rejected)")</f>
        <v>5. &gt;= 30m</v>
      </c>
    </row>
    <row r="744" spans="1:30" hidden="1" x14ac:dyDescent="0.3">
      <c r="A744" t="s">
        <v>4910</v>
      </c>
      <c r="B744" t="s">
        <v>25</v>
      </c>
      <c r="C744">
        <v>43783789</v>
      </c>
      <c r="D744">
        <v>0</v>
      </c>
      <c r="E744" t="s">
        <v>25</v>
      </c>
      <c r="F744" t="s">
        <v>26</v>
      </c>
      <c r="G744" t="s">
        <v>27</v>
      </c>
      <c r="H744" t="s">
        <v>4911</v>
      </c>
      <c r="I744" t="s">
        <v>4912</v>
      </c>
      <c r="J744" t="s">
        <v>26</v>
      </c>
      <c r="K744" t="s">
        <v>26</v>
      </c>
      <c r="L744" t="s">
        <v>4913</v>
      </c>
      <c r="M744" t="s">
        <v>25</v>
      </c>
      <c r="N744" t="s">
        <v>4914</v>
      </c>
      <c r="O744" t="s">
        <v>4915</v>
      </c>
      <c r="P744" t="s">
        <v>4916</v>
      </c>
      <c r="Q744" t="s">
        <v>4917</v>
      </c>
      <c r="R744">
        <v>242568</v>
      </c>
      <c r="S744">
        <v>0</v>
      </c>
      <c r="T744">
        <v>242568</v>
      </c>
      <c r="U744" t="s">
        <v>35</v>
      </c>
      <c r="V744" t="s">
        <v>4918</v>
      </c>
      <c r="W744" t="s">
        <v>4919</v>
      </c>
      <c r="X744" s="4">
        <v>1</v>
      </c>
      <c r="Y744" s="4"/>
      <c r="Z744">
        <f t="shared" si="44"/>
        <v>8</v>
      </c>
      <c r="AA744">
        <f t="shared" si="45"/>
        <v>21</v>
      </c>
      <c r="AB744" s="5">
        <f t="shared" si="46"/>
        <v>0.30399305555329192</v>
      </c>
      <c r="AC744" s="3">
        <f t="shared" si="47"/>
        <v>9.025462963472819E-2</v>
      </c>
      <c r="AD744" t="str" cm="1">
        <f t="array" ref="AD744">IFERROR(_xlfn.IFS(
    AC744="", "",
    AC744*86400 &lt; 30, "1. 0s - &lt;30s",
    AC744*86400 &lt; 60, "2. 30s - &lt;1m",
    AC744*86400 &lt; 300, "3. 1m - &lt;5m",
    AC744*86400 &lt; 1800, "4. 5m - &lt;30m",
    TRUE, "5. &gt;= 30m"
),"6. Invalid (Order rejected)")</f>
        <v>5. &gt;= 30m</v>
      </c>
    </row>
    <row r="745" spans="1:30" hidden="1" x14ac:dyDescent="0.3">
      <c r="A745" t="s">
        <v>4920</v>
      </c>
      <c r="B745" t="s">
        <v>25</v>
      </c>
      <c r="C745">
        <v>43783789</v>
      </c>
      <c r="D745">
        <v>2852976</v>
      </c>
      <c r="E745" t="s">
        <v>25</v>
      </c>
      <c r="F745" t="s">
        <v>75</v>
      </c>
      <c r="G745" t="s">
        <v>76</v>
      </c>
      <c r="H745" t="s">
        <v>4921</v>
      </c>
      <c r="I745" t="s">
        <v>4922</v>
      </c>
      <c r="J745" t="s">
        <v>4923</v>
      </c>
      <c r="K745" t="s">
        <v>26</v>
      </c>
      <c r="L745" t="s">
        <v>4924</v>
      </c>
      <c r="M745" t="s">
        <v>25</v>
      </c>
      <c r="N745" t="s">
        <v>4914</v>
      </c>
      <c r="O745" t="s">
        <v>4915</v>
      </c>
      <c r="P745" t="s">
        <v>1361</v>
      </c>
      <c r="Q745" t="s">
        <v>1362</v>
      </c>
      <c r="R745">
        <v>312012</v>
      </c>
      <c r="S745">
        <v>256110</v>
      </c>
      <c r="T745">
        <v>55902</v>
      </c>
      <c r="U745" t="s">
        <v>35</v>
      </c>
      <c r="V745" t="s">
        <v>4918</v>
      </c>
      <c r="W745" t="s">
        <v>1364</v>
      </c>
      <c r="X745" s="4">
        <v>1</v>
      </c>
      <c r="Y745" s="4"/>
      <c r="Z745">
        <f t="shared" si="44"/>
        <v>8</v>
      </c>
      <c r="AA745">
        <f t="shared" si="45"/>
        <v>21</v>
      </c>
      <c r="AB745" s="5">
        <f t="shared" si="46"/>
        <v>0.30346064814511919</v>
      </c>
      <c r="AC745" s="3">
        <f t="shared" si="47"/>
        <v>3.055555556784384E-3</v>
      </c>
      <c r="AD745" t="str" cm="1">
        <f t="array" ref="AD745">IFERROR(_xlfn.IFS(
    AC745="", "",
    AC745*86400 &lt; 30, "1. 0s - &lt;30s",
    AC745*86400 &lt; 60, "2. 30s - &lt;1m",
    AC745*86400 &lt; 300, "3. 1m - &lt;5m",
    AC745*86400 &lt; 1800, "4. 5m - &lt;30m",
    TRUE, "5. &gt;= 30m"
),"6. Invalid (Order rejected)")</f>
        <v>3. 1m - &lt;5m</v>
      </c>
    </row>
    <row r="746" spans="1:30" hidden="1" x14ac:dyDescent="0.3">
      <c r="A746" t="s">
        <v>4925</v>
      </c>
      <c r="B746" t="s">
        <v>25</v>
      </c>
      <c r="C746">
        <v>43783789</v>
      </c>
      <c r="D746">
        <v>0</v>
      </c>
      <c r="E746" t="s">
        <v>25</v>
      </c>
      <c r="F746" t="s">
        <v>26</v>
      </c>
      <c r="G746" t="s">
        <v>27</v>
      </c>
      <c r="H746" t="s">
        <v>4926</v>
      </c>
      <c r="I746" t="s">
        <v>4927</v>
      </c>
      <c r="J746" t="s">
        <v>26</v>
      </c>
      <c r="K746" t="s">
        <v>26</v>
      </c>
      <c r="L746" t="s">
        <v>4928</v>
      </c>
      <c r="M746" t="s">
        <v>25</v>
      </c>
      <c r="N746" t="s">
        <v>4914</v>
      </c>
      <c r="O746" t="s">
        <v>4915</v>
      </c>
      <c r="P746" t="s">
        <v>4929</v>
      </c>
      <c r="Q746" t="s">
        <v>4930</v>
      </c>
      <c r="R746">
        <v>249696</v>
      </c>
      <c r="S746">
        <v>0</v>
      </c>
      <c r="T746">
        <v>249696</v>
      </c>
      <c r="U746" t="s">
        <v>35</v>
      </c>
      <c r="V746" t="s">
        <v>4918</v>
      </c>
      <c r="W746" t="s">
        <v>4931</v>
      </c>
      <c r="X746" s="4">
        <v>1</v>
      </c>
      <c r="Y746" s="4"/>
      <c r="Z746">
        <f t="shared" si="44"/>
        <v>8</v>
      </c>
      <c r="AA746">
        <f t="shared" si="45"/>
        <v>21</v>
      </c>
      <c r="AB746" s="5">
        <f t="shared" si="46"/>
        <v>0.30425925926101627</v>
      </c>
      <c r="AC746" s="3">
        <f t="shared" si="47"/>
        <v>9.0266203704231884E-2</v>
      </c>
      <c r="AD746" t="str" cm="1">
        <f t="array" ref="AD746">IFERROR(_xlfn.IFS(
    AC746="", "",
    AC746*86400 &lt; 30, "1. 0s - &lt;30s",
    AC746*86400 &lt; 60, "2. 30s - &lt;1m",
    AC746*86400 &lt; 300, "3. 1m - &lt;5m",
    AC746*86400 &lt; 1800, "4. 5m - &lt;30m",
    TRUE, "5. &gt;= 30m"
),"6. Invalid (Order rejected)")</f>
        <v>5. &gt;= 30m</v>
      </c>
    </row>
    <row r="747" spans="1:30" hidden="1" x14ac:dyDescent="0.3">
      <c r="A747" t="s">
        <v>4932</v>
      </c>
      <c r="B747" t="s">
        <v>25</v>
      </c>
      <c r="C747">
        <v>43783789</v>
      </c>
      <c r="D747">
        <v>3746341</v>
      </c>
      <c r="E747" t="s">
        <v>25</v>
      </c>
      <c r="F747" t="s">
        <v>75</v>
      </c>
      <c r="G747" t="s">
        <v>76</v>
      </c>
      <c r="H747" t="s">
        <v>4933</v>
      </c>
      <c r="I747" t="s">
        <v>4934</v>
      </c>
      <c r="J747" t="s">
        <v>4935</v>
      </c>
      <c r="K747" t="s">
        <v>26</v>
      </c>
      <c r="L747" t="s">
        <v>4936</v>
      </c>
      <c r="M747" t="s">
        <v>25</v>
      </c>
      <c r="N747" t="s">
        <v>2801</v>
      </c>
      <c r="O747" t="s">
        <v>2802</v>
      </c>
      <c r="P747" t="s">
        <v>4937</v>
      </c>
      <c r="Q747" t="s">
        <v>4938</v>
      </c>
      <c r="R747">
        <v>295272</v>
      </c>
      <c r="S747">
        <v>242369</v>
      </c>
      <c r="T747">
        <v>52903</v>
      </c>
      <c r="U747" t="s">
        <v>35</v>
      </c>
      <c r="V747" t="s">
        <v>2805</v>
      </c>
      <c r="W747" t="s">
        <v>4939</v>
      </c>
      <c r="X747" s="4">
        <v>1</v>
      </c>
      <c r="Y747" s="4"/>
      <c r="Z747">
        <f t="shared" si="44"/>
        <v>8</v>
      </c>
      <c r="AA747">
        <f t="shared" si="45"/>
        <v>21</v>
      </c>
      <c r="AB747" s="5">
        <f t="shared" si="46"/>
        <v>0.30706018518685596</v>
      </c>
      <c r="AC747" s="3">
        <f t="shared" si="47"/>
        <v>4.1087962963501923E-3</v>
      </c>
      <c r="AD747" t="str" cm="1">
        <f t="array" ref="AD747">IFERROR(_xlfn.IFS(
    AC747="", "",
    AC747*86400 &lt; 30, "1. 0s - &lt;30s",
    AC747*86400 &lt; 60, "2. 30s - &lt;1m",
    AC747*86400 &lt; 300, "3. 1m - &lt;5m",
    AC747*86400 &lt; 1800, "4. 5m - &lt;30m",
    TRUE, "5. &gt;= 30m"
),"6. Invalid (Order rejected)")</f>
        <v>4. 5m - &lt;30m</v>
      </c>
    </row>
    <row r="748" spans="1:30" hidden="1" x14ac:dyDescent="0.3">
      <c r="A748" t="s">
        <v>4940</v>
      </c>
      <c r="B748" t="s">
        <v>25</v>
      </c>
      <c r="C748">
        <v>43783789</v>
      </c>
      <c r="D748">
        <v>0</v>
      </c>
      <c r="E748" t="s">
        <v>25</v>
      </c>
      <c r="F748" t="s">
        <v>26</v>
      </c>
      <c r="G748" t="s">
        <v>27</v>
      </c>
      <c r="H748" t="s">
        <v>4941</v>
      </c>
      <c r="I748" t="s">
        <v>4942</v>
      </c>
      <c r="J748" t="s">
        <v>26</v>
      </c>
      <c r="K748" t="s">
        <v>26</v>
      </c>
      <c r="L748" t="s">
        <v>4943</v>
      </c>
      <c r="M748" t="s">
        <v>25</v>
      </c>
      <c r="N748" t="s">
        <v>2801</v>
      </c>
      <c r="O748" t="s">
        <v>2802</v>
      </c>
      <c r="P748" t="s">
        <v>1411</v>
      </c>
      <c r="Q748" t="s">
        <v>1412</v>
      </c>
      <c r="R748">
        <v>223344</v>
      </c>
      <c r="S748">
        <v>0</v>
      </c>
      <c r="T748">
        <v>223344</v>
      </c>
      <c r="U748" t="s">
        <v>35</v>
      </c>
      <c r="V748" t="s">
        <v>2805</v>
      </c>
      <c r="W748" t="s">
        <v>1414</v>
      </c>
      <c r="X748" s="4">
        <v>1</v>
      </c>
      <c r="Y748" s="4"/>
      <c r="Z748">
        <f t="shared" si="44"/>
        <v>8</v>
      </c>
      <c r="AA748">
        <f t="shared" si="45"/>
        <v>21</v>
      </c>
      <c r="AB748" s="5">
        <f t="shared" si="46"/>
        <v>0.30473379629984265</v>
      </c>
      <c r="AC748" s="3">
        <f t="shared" si="47"/>
        <v>9.0266203696955927E-2</v>
      </c>
      <c r="AD748" t="str" cm="1">
        <f t="array" ref="AD748">IFERROR(_xlfn.IFS(
    AC748="", "",
    AC748*86400 &lt; 30, "1. 0s - &lt;30s",
    AC748*86400 &lt; 60, "2. 30s - &lt;1m",
    AC748*86400 &lt; 300, "3. 1m - &lt;5m",
    AC748*86400 &lt; 1800, "4. 5m - &lt;30m",
    TRUE, "5. &gt;= 30m"
),"6. Invalid (Order rejected)")</f>
        <v>5. &gt;= 30m</v>
      </c>
    </row>
    <row r="749" spans="1:30" hidden="1" x14ac:dyDescent="0.3">
      <c r="A749" t="s">
        <v>4944</v>
      </c>
      <c r="B749" t="s">
        <v>25</v>
      </c>
      <c r="C749">
        <v>43783789</v>
      </c>
      <c r="D749">
        <v>0</v>
      </c>
      <c r="E749" t="s">
        <v>25</v>
      </c>
      <c r="F749" t="s">
        <v>26</v>
      </c>
      <c r="G749" t="s">
        <v>27</v>
      </c>
      <c r="H749" t="s">
        <v>4945</v>
      </c>
      <c r="I749" t="s">
        <v>4946</v>
      </c>
      <c r="J749" t="s">
        <v>26</v>
      </c>
      <c r="K749" t="s">
        <v>26</v>
      </c>
      <c r="L749" t="s">
        <v>4947</v>
      </c>
      <c r="M749" t="s">
        <v>25</v>
      </c>
      <c r="N749" t="s">
        <v>2801</v>
      </c>
      <c r="O749" t="s">
        <v>2802</v>
      </c>
      <c r="P749" t="s">
        <v>4948</v>
      </c>
      <c r="Q749" t="s">
        <v>4949</v>
      </c>
      <c r="R749">
        <v>312876</v>
      </c>
      <c r="S749">
        <v>0</v>
      </c>
      <c r="T749">
        <v>312876</v>
      </c>
      <c r="U749" t="s">
        <v>35</v>
      </c>
      <c r="V749" t="s">
        <v>2805</v>
      </c>
      <c r="W749" t="s">
        <v>4950</v>
      </c>
      <c r="X749" s="4">
        <v>1</v>
      </c>
      <c r="Y749" s="4"/>
      <c r="Z749">
        <f t="shared" si="44"/>
        <v>8</v>
      </c>
      <c r="AA749">
        <f t="shared" si="45"/>
        <v>21</v>
      </c>
      <c r="AB749" s="5">
        <f t="shared" si="46"/>
        <v>0.30526620370073942</v>
      </c>
      <c r="AC749" s="3">
        <f t="shared" si="47"/>
        <v>9.0266203704231884E-2</v>
      </c>
      <c r="AD749" t="str" cm="1">
        <f t="array" ref="AD749">IFERROR(_xlfn.IFS(
    AC749="", "",
    AC749*86400 &lt; 30, "1. 0s - &lt;30s",
    AC749*86400 &lt; 60, "2. 30s - &lt;1m",
    AC749*86400 &lt; 300, "3. 1m - &lt;5m",
    AC749*86400 &lt; 1800, "4. 5m - &lt;30m",
    TRUE, "5. &gt;= 30m"
),"6. Invalid (Order rejected)")</f>
        <v>5. &gt;= 30m</v>
      </c>
    </row>
    <row r="750" spans="1:30" hidden="1" x14ac:dyDescent="0.3">
      <c r="A750" t="s">
        <v>4951</v>
      </c>
      <c r="B750" t="s">
        <v>25</v>
      </c>
      <c r="C750">
        <v>43783789</v>
      </c>
      <c r="D750">
        <v>0</v>
      </c>
      <c r="E750" t="s">
        <v>25</v>
      </c>
      <c r="F750" t="s">
        <v>26</v>
      </c>
      <c r="G750" t="s">
        <v>27</v>
      </c>
      <c r="H750" t="s">
        <v>4952</v>
      </c>
      <c r="I750" t="s">
        <v>4953</v>
      </c>
      <c r="J750" t="s">
        <v>26</v>
      </c>
      <c r="K750" t="s">
        <v>26</v>
      </c>
      <c r="L750" t="s">
        <v>4954</v>
      </c>
      <c r="M750" t="s">
        <v>25</v>
      </c>
      <c r="N750" t="s">
        <v>4955</v>
      </c>
      <c r="O750" t="s">
        <v>4956</v>
      </c>
      <c r="P750" t="s">
        <v>4957</v>
      </c>
      <c r="Q750" t="s">
        <v>4958</v>
      </c>
      <c r="R750">
        <v>246564</v>
      </c>
      <c r="S750">
        <v>0</v>
      </c>
      <c r="T750">
        <v>246564</v>
      </c>
      <c r="U750" t="s">
        <v>35</v>
      </c>
      <c r="V750" t="s">
        <v>4959</v>
      </c>
      <c r="W750" t="s">
        <v>4960</v>
      </c>
      <c r="X750" s="4">
        <v>1</v>
      </c>
      <c r="Y750" s="4"/>
      <c r="Z750">
        <f t="shared" si="44"/>
        <v>8</v>
      </c>
      <c r="AA750">
        <f t="shared" si="45"/>
        <v>21</v>
      </c>
      <c r="AB750" s="5">
        <f t="shared" si="46"/>
        <v>0.31185185185313458</v>
      </c>
      <c r="AC750" s="3">
        <f t="shared" si="47"/>
        <v>9.0266203704231884E-2</v>
      </c>
      <c r="AD750" t="str" cm="1">
        <f t="array" ref="AD750">IFERROR(_xlfn.IFS(
    AC750="", "",
    AC750*86400 &lt; 30, "1. 0s - &lt;30s",
    AC750*86400 &lt; 60, "2. 30s - &lt;1m",
    AC750*86400 &lt; 300, "3. 1m - &lt;5m",
    AC750*86400 &lt; 1800, "4. 5m - &lt;30m",
    TRUE, "5. &gt;= 30m"
),"6. Invalid (Order rejected)")</f>
        <v>5. &gt;= 30m</v>
      </c>
    </row>
    <row r="751" spans="1:30" hidden="1" x14ac:dyDescent="0.3">
      <c r="A751" t="s">
        <v>4961</v>
      </c>
      <c r="B751" t="s">
        <v>25</v>
      </c>
      <c r="C751">
        <v>43783789</v>
      </c>
      <c r="D751">
        <v>0</v>
      </c>
      <c r="E751" t="s">
        <v>25</v>
      </c>
      <c r="F751" t="s">
        <v>26</v>
      </c>
      <c r="G751" t="s">
        <v>27</v>
      </c>
      <c r="H751" t="s">
        <v>4962</v>
      </c>
      <c r="I751" t="s">
        <v>4963</v>
      </c>
      <c r="J751" t="s">
        <v>26</v>
      </c>
      <c r="K751" t="s">
        <v>26</v>
      </c>
      <c r="L751" t="s">
        <v>4964</v>
      </c>
      <c r="M751" t="s">
        <v>25</v>
      </c>
      <c r="N751" t="s">
        <v>4965</v>
      </c>
      <c r="O751" t="s">
        <v>4966</v>
      </c>
      <c r="P751" t="s">
        <v>4967</v>
      </c>
      <c r="Q751" t="s">
        <v>4968</v>
      </c>
      <c r="R751">
        <v>272484</v>
      </c>
      <c r="S751">
        <v>0</v>
      </c>
      <c r="T751">
        <v>272484</v>
      </c>
      <c r="U751" t="s">
        <v>35</v>
      </c>
      <c r="V751" t="s">
        <v>4969</v>
      </c>
      <c r="W751" t="s">
        <v>4970</v>
      </c>
      <c r="X751" s="4">
        <v>1</v>
      </c>
      <c r="Y751" s="4"/>
      <c r="Z751">
        <f t="shared" si="44"/>
        <v>8</v>
      </c>
      <c r="AA751">
        <f t="shared" si="45"/>
        <v>21</v>
      </c>
      <c r="AB751" s="5">
        <f t="shared" si="46"/>
        <v>0.30980324074334931</v>
      </c>
      <c r="AC751" s="3">
        <f t="shared" si="47"/>
        <v>9.0266203704231884E-2</v>
      </c>
      <c r="AD751" t="str" cm="1">
        <f t="array" ref="AD751">IFERROR(_xlfn.IFS(
    AC751="", "",
    AC751*86400 &lt; 30, "1. 0s - &lt;30s",
    AC751*86400 &lt; 60, "2. 30s - &lt;1m",
    AC751*86400 &lt; 300, "3. 1m - &lt;5m",
    AC751*86400 &lt; 1800, "4. 5m - &lt;30m",
    TRUE, "5. &gt;= 30m"
),"6. Invalid (Order rejected)")</f>
        <v>5. &gt;= 30m</v>
      </c>
    </row>
    <row r="752" spans="1:30" hidden="1" x14ac:dyDescent="0.3">
      <c r="A752" t="s">
        <v>4971</v>
      </c>
      <c r="B752" t="s">
        <v>25</v>
      </c>
      <c r="C752">
        <v>43783789</v>
      </c>
      <c r="D752">
        <v>0</v>
      </c>
      <c r="E752" t="s">
        <v>25</v>
      </c>
      <c r="F752" t="s">
        <v>26</v>
      </c>
      <c r="G752" t="s">
        <v>27</v>
      </c>
      <c r="H752" t="s">
        <v>4972</v>
      </c>
      <c r="I752" t="s">
        <v>4973</v>
      </c>
      <c r="J752" t="s">
        <v>26</v>
      </c>
      <c r="K752" t="s">
        <v>26</v>
      </c>
      <c r="L752" t="s">
        <v>4974</v>
      </c>
      <c r="M752" t="s">
        <v>25</v>
      </c>
      <c r="N752" t="s">
        <v>2801</v>
      </c>
      <c r="O752" t="s">
        <v>2802</v>
      </c>
      <c r="P752" t="s">
        <v>4975</v>
      </c>
      <c r="Q752" t="s">
        <v>1809</v>
      </c>
      <c r="R752">
        <v>189000</v>
      </c>
      <c r="S752">
        <v>0</v>
      </c>
      <c r="T752">
        <v>189000</v>
      </c>
      <c r="U752" t="s">
        <v>35</v>
      </c>
      <c r="V752" t="s">
        <v>2805</v>
      </c>
      <c r="W752" t="s">
        <v>4976</v>
      </c>
      <c r="X752" s="4">
        <v>1</v>
      </c>
      <c r="Y752" s="4"/>
      <c r="Z752">
        <f t="shared" si="44"/>
        <v>8</v>
      </c>
      <c r="AA752">
        <f t="shared" si="45"/>
        <v>21</v>
      </c>
      <c r="AB752" s="5">
        <f t="shared" si="46"/>
        <v>0.30783564814919373</v>
      </c>
      <c r="AC752" s="3">
        <f t="shared" si="47"/>
        <v>9.0266203704231884E-2</v>
      </c>
      <c r="AD752" t="str" cm="1">
        <f t="array" ref="AD752">IFERROR(_xlfn.IFS(
    AC752="", "",
    AC752*86400 &lt; 30, "1. 0s - &lt;30s",
    AC752*86400 &lt; 60, "2. 30s - &lt;1m",
    AC752*86400 &lt; 300, "3. 1m - &lt;5m",
    AC752*86400 &lt; 1800, "4. 5m - &lt;30m",
    TRUE, "5. &gt;= 30m"
),"6. Invalid (Order rejected)")</f>
        <v>5. &gt;= 30m</v>
      </c>
    </row>
    <row r="753" spans="1:30" hidden="1" x14ac:dyDescent="0.3">
      <c r="A753" t="s">
        <v>4977</v>
      </c>
      <c r="B753" t="s">
        <v>25</v>
      </c>
      <c r="C753">
        <v>43783789</v>
      </c>
      <c r="D753">
        <v>0</v>
      </c>
      <c r="E753" t="s">
        <v>25</v>
      </c>
      <c r="F753" t="s">
        <v>26</v>
      </c>
      <c r="G753" t="s">
        <v>27</v>
      </c>
      <c r="H753" t="s">
        <v>4978</v>
      </c>
      <c r="I753" t="s">
        <v>4979</v>
      </c>
      <c r="J753" t="s">
        <v>26</v>
      </c>
      <c r="K753" t="s">
        <v>26</v>
      </c>
      <c r="L753" t="s">
        <v>4980</v>
      </c>
      <c r="M753" t="s">
        <v>25</v>
      </c>
      <c r="N753" t="s">
        <v>4981</v>
      </c>
      <c r="O753" t="s">
        <v>4982</v>
      </c>
      <c r="P753" t="s">
        <v>4983</v>
      </c>
      <c r="Q753" t="s">
        <v>4984</v>
      </c>
      <c r="R753">
        <v>208980</v>
      </c>
      <c r="S753">
        <v>0</v>
      </c>
      <c r="T753">
        <v>208980</v>
      </c>
      <c r="U753" t="s">
        <v>35</v>
      </c>
      <c r="V753" t="s">
        <v>4985</v>
      </c>
      <c r="W753" t="s">
        <v>4986</v>
      </c>
      <c r="X753" s="4">
        <v>1</v>
      </c>
      <c r="Y753" s="4"/>
      <c r="Z753">
        <f t="shared" si="44"/>
        <v>8</v>
      </c>
      <c r="AA753">
        <f t="shared" si="45"/>
        <v>21</v>
      </c>
      <c r="AB753" s="5">
        <f t="shared" si="46"/>
        <v>0.31525462962599704</v>
      </c>
      <c r="AC753" s="3">
        <f t="shared" si="47"/>
        <v>9.0266203704231884E-2</v>
      </c>
      <c r="AD753" t="str" cm="1">
        <f t="array" ref="AD753">IFERROR(_xlfn.IFS(
    AC753="", "",
    AC753*86400 &lt; 30, "1. 0s - &lt;30s",
    AC753*86400 &lt; 60, "2. 30s - &lt;1m",
    AC753*86400 &lt; 300, "3. 1m - &lt;5m",
    AC753*86400 &lt; 1800, "4. 5m - &lt;30m",
    TRUE, "5. &gt;= 30m"
),"6. Invalid (Order rejected)")</f>
        <v>5. &gt;= 30m</v>
      </c>
    </row>
    <row r="754" spans="1:30" hidden="1" x14ac:dyDescent="0.3">
      <c r="A754" t="s">
        <v>4987</v>
      </c>
      <c r="B754" t="s">
        <v>25</v>
      </c>
      <c r="C754">
        <v>43783789</v>
      </c>
      <c r="D754">
        <v>0</v>
      </c>
      <c r="E754" t="s">
        <v>25</v>
      </c>
      <c r="F754" t="s">
        <v>26</v>
      </c>
      <c r="G754" t="s">
        <v>27</v>
      </c>
      <c r="H754" t="s">
        <v>4988</v>
      </c>
      <c r="I754" t="s">
        <v>4989</v>
      </c>
      <c r="J754" t="s">
        <v>26</v>
      </c>
      <c r="K754" t="s">
        <v>26</v>
      </c>
      <c r="L754" t="s">
        <v>4990</v>
      </c>
      <c r="M754" t="s">
        <v>25</v>
      </c>
      <c r="N754" t="s">
        <v>4991</v>
      </c>
      <c r="O754" t="s">
        <v>4992</v>
      </c>
      <c r="P754" t="s">
        <v>4993</v>
      </c>
      <c r="Q754" t="s">
        <v>4994</v>
      </c>
      <c r="R754">
        <v>110916</v>
      </c>
      <c r="S754">
        <v>0</v>
      </c>
      <c r="T754">
        <v>110916</v>
      </c>
      <c r="U754" t="s">
        <v>35</v>
      </c>
      <c r="V754" t="s">
        <v>4995</v>
      </c>
      <c r="W754" t="s">
        <v>4996</v>
      </c>
      <c r="X754" s="4">
        <v>1</v>
      </c>
      <c r="Y754" s="4"/>
      <c r="Z754">
        <f t="shared" si="44"/>
        <v>8</v>
      </c>
      <c r="AA754">
        <f t="shared" si="45"/>
        <v>21</v>
      </c>
      <c r="AB754" s="5">
        <f t="shared" si="46"/>
        <v>0.31599537037254777</v>
      </c>
      <c r="AC754" s="3">
        <f t="shared" si="47"/>
        <v>9.0266203704231884E-2</v>
      </c>
      <c r="AD754" t="str" cm="1">
        <f t="array" ref="AD754">IFERROR(_xlfn.IFS(
    AC754="", "",
    AC754*86400 &lt; 30, "1. 0s - &lt;30s",
    AC754*86400 &lt; 60, "2. 30s - &lt;1m",
    AC754*86400 &lt; 300, "3. 1m - &lt;5m",
    AC754*86400 &lt; 1800, "4. 5m - &lt;30m",
    TRUE, "5. &gt;= 30m"
),"6. Invalid (Order rejected)")</f>
        <v>5. &gt;= 30m</v>
      </c>
    </row>
    <row r="755" spans="1:30" hidden="1" x14ac:dyDescent="0.3">
      <c r="A755" t="s">
        <v>4997</v>
      </c>
      <c r="B755" t="s">
        <v>25</v>
      </c>
      <c r="C755">
        <v>43783789</v>
      </c>
      <c r="D755">
        <v>0</v>
      </c>
      <c r="E755" t="s">
        <v>25</v>
      </c>
      <c r="F755" t="s">
        <v>26</v>
      </c>
      <c r="G755" t="s">
        <v>27</v>
      </c>
      <c r="H755" t="s">
        <v>4998</v>
      </c>
      <c r="I755" t="s">
        <v>4999</v>
      </c>
      <c r="J755" t="s">
        <v>26</v>
      </c>
      <c r="K755" t="s">
        <v>26</v>
      </c>
      <c r="L755" t="s">
        <v>5000</v>
      </c>
      <c r="M755" t="s">
        <v>25</v>
      </c>
      <c r="N755" t="s">
        <v>2801</v>
      </c>
      <c r="O755" t="s">
        <v>2802</v>
      </c>
      <c r="P755" t="s">
        <v>5001</v>
      </c>
      <c r="Q755" t="s">
        <v>5002</v>
      </c>
      <c r="R755">
        <v>176580</v>
      </c>
      <c r="S755">
        <v>0</v>
      </c>
      <c r="T755">
        <v>176580</v>
      </c>
      <c r="U755" t="s">
        <v>35</v>
      </c>
      <c r="V755" t="s">
        <v>2805</v>
      </c>
      <c r="W755" t="s">
        <v>5003</v>
      </c>
      <c r="X755" s="4">
        <v>1</v>
      </c>
      <c r="Y755" s="4"/>
      <c r="Z755">
        <f t="shared" si="44"/>
        <v>8</v>
      </c>
      <c r="AA755">
        <f t="shared" si="45"/>
        <v>21</v>
      </c>
      <c r="AB755" s="5">
        <f t="shared" si="46"/>
        <v>0.30734953703358769</v>
      </c>
      <c r="AC755" s="3">
        <f t="shared" si="47"/>
        <v>9.0266203704231884E-2</v>
      </c>
      <c r="AD755" t="str" cm="1">
        <f t="array" ref="AD755">IFERROR(_xlfn.IFS(
    AC755="", "",
    AC755*86400 &lt; 30, "1. 0s - &lt;30s",
    AC755*86400 &lt; 60, "2. 30s - &lt;1m",
    AC755*86400 &lt; 300, "3. 1m - &lt;5m",
    AC755*86400 &lt; 1800, "4. 5m - &lt;30m",
    TRUE, "5. &gt;= 30m"
),"6. Invalid (Order rejected)")</f>
        <v>5. &gt;= 30m</v>
      </c>
    </row>
    <row r="756" spans="1:30" hidden="1" x14ac:dyDescent="0.3">
      <c r="A756" t="s">
        <v>5004</v>
      </c>
      <c r="B756" t="s">
        <v>25</v>
      </c>
      <c r="C756">
        <v>43783789</v>
      </c>
      <c r="D756">
        <v>2852976</v>
      </c>
      <c r="E756" t="s">
        <v>25</v>
      </c>
      <c r="F756" t="s">
        <v>75</v>
      </c>
      <c r="G756" t="s">
        <v>76</v>
      </c>
      <c r="H756" t="s">
        <v>5005</v>
      </c>
      <c r="I756" t="s">
        <v>5006</v>
      </c>
      <c r="J756" t="s">
        <v>5007</v>
      </c>
      <c r="K756" t="s">
        <v>26</v>
      </c>
      <c r="L756" t="s">
        <v>5008</v>
      </c>
      <c r="M756" t="s">
        <v>25</v>
      </c>
      <c r="N756" t="s">
        <v>2999</v>
      </c>
      <c r="O756" t="s">
        <v>3000</v>
      </c>
      <c r="P756" t="s">
        <v>4937</v>
      </c>
      <c r="Q756" t="s">
        <v>4938</v>
      </c>
      <c r="R756">
        <v>398520</v>
      </c>
      <c r="S756">
        <v>327118</v>
      </c>
      <c r="T756">
        <v>71402</v>
      </c>
      <c r="U756" t="s">
        <v>35</v>
      </c>
      <c r="V756" t="s">
        <v>3003</v>
      </c>
      <c r="W756" t="s">
        <v>4939</v>
      </c>
      <c r="X756" s="4">
        <v>1</v>
      </c>
      <c r="Y756" s="4"/>
      <c r="Z756">
        <f t="shared" si="44"/>
        <v>8</v>
      </c>
      <c r="AA756">
        <f t="shared" si="45"/>
        <v>21</v>
      </c>
      <c r="AB756" s="5">
        <f t="shared" si="46"/>
        <v>0.31060185185197042</v>
      </c>
      <c r="AC756" s="3">
        <f t="shared" si="47"/>
        <v>3.4722222189884633E-3</v>
      </c>
      <c r="AD756" t="str" cm="1">
        <f t="array" ref="AD756">IFERROR(_xlfn.IFS(
    AC756="", "",
    AC756*86400 &lt; 30, "1. 0s - &lt;30s",
    AC756*86400 &lt; 60, "2. 30s - &lt;1m",
    AC756*86400 &lt; 300, "3. 1m - &lt;5m",
    AC756*86400 &lt; 1800, "4. 5m - &lt;30m",
    TRUE, "5. &gt;= 30m"
),"6. Invalid (Order rejected)")</f>
        <v>3. 1m - &lt;5m</v>
      </c>
    </row>
    <row r="757" spans="1:30" hidden="1" x14ac:dyDescent="0.3">
      <c r="A757" t="s">
        <v>5009</v>
      </c>
      <c r="B757" t="s">
        <v>25</v>
      </c>
      <c r="C757">
        <v>43783789</v>
      </c>
      <c r="D757">
        <v>0</v>
      </c>
      <c r="E757" t="s">
        <v>25</v>
      </c>
      <c r="F757" t="s">
        <v>26</v>
      </c>
      <c r="G757" t="s">
        <v>27</v>
      </c>
      <c r="H757" t="s">
        <v>5010</v>
      </c>
      <c r="I757" t="s">
        <v>5011</v>
      </c>
      <c r="J757" t="s">
        <v>26</v>
      </c>
      <c r="K757" t="s">
        <v>26</v>
      </c>
      <c r="L757" t="s">
        <v>5012</v>
      </c>
      <c r="M757" t="s">
        <v>25</v>
      </c>
      <c r="N757" t="s">
        <v>4955</v>
      </c>
      <c r="O757" t="s">
        <v>4956</v>
      </c>
      <c r="P757" t="s">
        <v>5013</v>
      </c>
      <c r="Q757" t="s">
        <v>5014</v>
      </c>
      <c r="R757">
        <v>232092</v>
      </c>
      <c r="S757">
        <v>0</v>
      </c>
      <c r="T757">
        <v>232092</v>
      </c>
      <c r="U757" t="s">
        <v>35</v>
      </c>
      <c r="V757" t="s">
        <v>4959</v>
      </c>
      <c r="W757" t="s">
        <v>5015</v>
      </c>
      <c r="X757" s="4">
        <v>1</v>
      </c>
      <c r="Y757" s="4"/>
      <c r="Z757">
        <f t="shared" si="44"/>
        <v>8</v>
      </c>
      <c r="AA757">
        <f t="shared" si="45"/>
        <v>21</v>
      </c>
      <c r="AB757" s="5">
        <f t="shared" si="46"/>
        <v>0.31203703703795327</v>
      </c>
      <c r="AC757" s="3">
        <f t="shared" si="47"/>
        <v>9.0266203704231884E-2</v>
      </c>
      <c r="AD757" t="str" cm="1">
        <f t="array" ref="AD757">IFERROR(_xlfn.IFS(
    AC757="", "",
    AC757*86400 &lt; 30, "1. 0s - &lt;30s",
    AC757*86400 &lt; 60, "2. 30s - &lt;1m",
    AC757*86400 &lt; 300, "3. 1m - &lt;5m",
    AC757*86400 &lt; 1800, "4. 5m - &lt;30m",
    TRUE, "5. &gt;= 30m"
),"6. Invalid (Order rejected)")</f>
        <v>5. &gt;= 30m</v>
      </c>
    </row>
    <row r="758" spans="1:30" hidden="1" x14ac:dyDescent="0.3">
      <c r="A758" t="s">
        <v>5016</v>
      </c>
      <c r="B758" t="s">
        <v>25</v>
      </c>
      <c r="C758">
        <v>43783789</v>
      </c>
      <c r="D758">
        <v>0</v>
      </c>
      <c r="E758" t="s">
        <v>25</v>
      </c>
      <c r="F758" t="s">
        <v>26</v>
      </c>
      <c r="G758" t="s">
        <v>27</v>
      </c>
      <c r="H758" t="s">
        <v>5017</v>
      </c>
      <c r="I758" t="s">
        <v>5018</v>
      </c>
      <c r="J758" t="s">
        <v>26</v>
      </c>
      <c r="K758" t="s">
        <v>26</v>
      </c>
      <c r="L758" t="s">
        <v>5019</v>
      </c>
      <c r="M758" t="s">
        <v>25</v>
      </c>
      <c r="N758" t="s">
        <v>1378</v>
      </c>
      <c r="O758" t="s">
        <v>1379</v>
      </c>
      <c r="P758" t="s">
        <v>5020</v>
      </c>
      <c r="Q758" t="s">
        <v>5021</v>
      </c>
      <c r="R758">
        <v>126360</v>
      </c>
      <c r="S758">
        <v>0</v>
      </c>
      <c r="T758">
        <v>126360</v>
      </c>
      <c r="U758" t="s">
        <v>35</v>
      </c>
      <c r="V758" t="s">
        <v>1382</v>
      </c>
      <c r="W758" t="s">
        <v>5022</v>
      </c>
      <c r="X758" s="4">
        <v>1</v>
      </c>
      <c r="Y758" s="4"/>
      <c r="Z758">
        <f t="shared" si="44"/>
        <v>8</v>
      </c>
      <c r="AA758">
        <f t="shared" si="45"/>
        <v>21</v>
      </c>
      <c r="AB758" s="5">
        <f t="shared" si="46"/>
        <v>0.312465277776937</v>
      </c>
      <c r="AC758" s="3">
        <f t="shared" si="47"/>
        <v>9.0266203704231884E-2</v>
      </c>
      <c r="AD758" t="str" cm="1">
        <f t="array" ref="AD758">IFERROR(_xlfn.IFS(
    AC758="", "",
    AC758*86400 &lt; 30, "1. 0s - &lt;30s",
    AC758*86400 &lt; 60, "2. 30s - &lt;1m",
    AC758*86400 &lt; 300, "3. 1m - &lt;5m",
    AC758*86400 &lt; 1800, "4. 5m - &lt;30m",
    TRUE, "5. &gt;= 30m"
),"6. Invalid (Order rejected)")</f>
        <v>5. &gt;= 30m</v>
      </c>
    </row>
    <row r="759" spans="1:30" hidden="1" x14ac:dyDescent="0.3">
      <c r="A759" t="s">
        <v>5023</v>
      </c>
      <c r="B759" t="s">
        <v>25</v>
      </c>
      <c r="C759">
        <v>43783789</v>
      </c>
      <c r="D759">
        <v>0</v>
      </c>
      <c r="E759" t="s">
        <v>25</v>
      </c>
      <c r="F759" t="s">
        <v>26</v>
      </c>
      <c r="G759" t="s">
        <v>27</v>
      </c>
      <c r="H759" t="s">
        <v>5024</v>
      </c>
      <c r="I759" t="s">
        <v>5025</v>
      </c>
      <c r="J759" t="s">
        <v>26</v>
      </c>
      <c r="K759" t="s">
        <v>26</v>
      </c>
      <c r="L759" t="s">
        <v>5026</v>
      </c>
      <c r="M759" t="s">
        <v>25</v>
      </c>
      <c r="N759" t="s">
        <v>1390</v>
      </c>
      <c r="O759" t="s">
        <v>1391</v>
      </c>
      <c r="P759" t="s">
        <v>5027</v>
      </c>
      <c r="Q759" t="s">
        <v>5028</v>
      </c>
      <c r="R759">
        <v>271296</v>
      </c>
      <c r="S759">
        <v>0</v>
      </c>
      <c r="T759">
        <v>271296</v>
      </c>
      <c r="U759" t="s">
        <v>35</v>
      </c>
      <c r="V759" t="s">
        <v>1394</v>
      </c>
      <c r="W759" t="s">
        <v>5029</v>
      </c>
      <c r="X759" s="4">
        <v>1</v>
      </c>
      <c r="Y759" s="4"/>
      <c r="Z759">
        <f t="shared" si="44"/>
        <v>8</v>
      </c>
      <c r="AA759">
        <f t="shared" si="45"/>
        <v>21</v>
      </c>
      <c r="AB759" s="5">
        <f t="shared" si="46"/>
        <v>0.31325231481605442</v>
      </c>
      <c r="AC759" s="3">
        <f t="shared" si="47"/>
        <v>9.0266203704231884E-2</v>
      </c>
      <c r="AD759" t="str" cm="1">
        <f t="array" ref="AD759">IFERROR(_xlfn.IFS(
    AC759="", "",
    AC759*86400 &lt; 30, "1. 0s - &lt;30s",
    AC759*86400 &lt; 60, "2. 30s - &lt;1m",
    AC759*86400 &lt; 300, "3. 1m - &lt;5m",
    AC759*86400 &lt; 1800, "4. 5m - &lt;30m",
    TRUE, "5. &gt;= 30m"
),"6. Invalid (Order rejected)")</f>
        <v>5. &gt;= 30m</v>
      </c>
    </row>
    <row r="760" spans="1:30" hidden="1" x14ac:dyDescent="0.3">
      <c r="A760" t="s">
        <v>5030</v>
      </c>
      <c r="B760" t="s">
        <v>25</v>
      </c>
      <c r="C760">
        <v>43783789</v>
      </c>
      <c r="D760">
        <v>4880327</v>
      </c>
      <c r="E760" t="s">
        <v>25</v>
      </c>
      <c r="F760" t="s">
        <v>75</v>
      </c>
      <c r="G760" t="s">
        <v>409</v>
      </c>
      <c r="H760" t="s">
        <v>5031</v>
      </c>
      <c r="I760" t="s">
        <v>5032</v>
      </c>
      <c r="J760" t="s">
        <v>5033</v>
      </c>
      <c r="K760" t="s">
        <v>26</v>
      </c>
      <c r="L760" t="s">
        <v>25</v>
      </c>
      <c r="M760" t="s">
        <v>5034</v>
      </c>
      <c r="N760" t="s">
        <v>2999</v>
      </c>
      <c r="O760" t="s">
        <v>3000</v>
      </c>
      <c r="P760" t="s">
        <v>5035</v>
      </c>
      <c r="Q760" t="s">
        <v>5036</v>
      </c>
      <c r="R760">
        <v>237708</v>
      </c>
      <c r="S760">
        <v>184279</v>
      </c>
      <c r="T760">
        <v>53429</v>
      </c>
      <c r="U760" t="s">
        <v>35</v>
      </c>
      <c r="V760" t="s">
        <v>3003</v>
      </c>
      <c r="W760" t="s">
        <v>5037</v>
      </c>
      <c r="X760" s="4">
        <v>1</v>
      </c>
      <c r="Y760" s="4"/>
      <c r="Z760">
        <f t="shared" si="44"/>
        <v>8</v>
      </c>
      <c r="AA760">
        <f t="shared" si="45"/>
        <v>21</v>
      </c>
      <c r="AB760" s="5">
        <f t="shared" si="46"/>
        <v>0.31082175925985212</v>
      </c>
      <c r="AC760" s="3">
        <f t="shared" si="47"/>
        <v>10.007627314815181</v>
      </c>
      <c r="AD760" t="str" cm="1">
        <f t="array" ref="AD760">IFERROR(_xlfn.IFS(
    AC760="", "",
    AC760*86400 &lt; 30, "1. 0s - &lt;30s",
    AC760*86400 &lt; 60, "2. 30s - &lt;1m",
    AC760*86400 &lt; 300, "3. 1m - &lt;5m",
    AC760*86400 &lt; 1800, "4. 5m - &lt;30m",
    TRUE, "5. &gt;= 30m"
),"6. Invalid (Order rejected)")</f>
        <v>5. &gt;= 30m</v>
      </c>
    </row>
    <row r="761" spans="1:30" x14ac:dyDescent="0.3">
      <c r="A761" t="s">
        <v>5038</v>
      </c>
      <c r="B761" t="s">
        <v>25</v>
      </c>
      <c r="C761">
        <v>43783789</v>
      </c>
      <c r="D761">
        <v>4879802</v>
      </c>
      <c r="E761" t="s">
        <v>25</v>
      </c>
      <c r="F761" t="s">
        <v>75</v>
      </c>
      <c r="G761" t="s">
        <v>360</v>
      </c>
      <c r="H761" t="s">
        <v>4934</v>
      </c>
      <c r="I761" t="s">
        <v>5039</v>
      </c>
      <c r="J761" t="s">
        <v>5040</v>
      </c>
      <c r="K761" t="s">
        <v>26</v>
      </c>
      <c r="L761" t="s">
        <v>25</v>
      </c>
      <c r="M761" t="s">
        <v>25</v>
      </c>
      <c r="N761" t="s">
        <v>4681</v>
      </c>
      <c r="O761" t="s">
        <v>4682</v>
      </c>
      <c r="P761" t="s">
        <v>5041</v>
      </c>
      <c r="Q761" t="s">
        <v>5042</v>
      </c>
      <c r="R761">
        <v>456516</v>
      </c>
      <c r="S761">
        <v>353906</v>
      </c>
      <c r="T761">
        <v>102610</v>
      </c>
      <c r="U761" t="s">
        <v>35</v>
      </c>
      <c r="V761" t="s">
        <v>4683</v>
      </c>
      <c r="W761" t="s">
        <v>5043</v>
      </c>
      <c r="X761" s="4">
        <v>1</v>
      </c>
      <c r="Y761" s="4"/>
      <c r="Z761">
        <f t="shared" si="44"/>
        <v>8</v>
      </c>
      <c r="AA761">
        <f t="shared" si="45"/>
        <v>21</v>
      </c>
      <c r="AB761" s="5">
        <f t="shared" si="46"/>
        <v>0.31399305555532919</v>
      </c>
      <c r="AC761" s="3" t="str">
        <f t="shared" si="47"/>
        <v>Order rejected, no time available</v>
      </c>
      <c r="AD761" t="str" cm="1">
        <f t="array" ref="AD761">IFERROR(_xlfn.IFS(
    AC761="", "",
    AC761*86400 &lt; 30, "1. 0s - &lt;30s",
    AC761*86400 &lt; 60, "2. 30s - &lt;1m",
    AC761*86400 &lt; 300, "3. 1m - &lt;5m",
    AC761*86400 &lt; 1800, "4. 5m - &lt;30m",
    TRUE, "5. &gt;= 30m"
),"6. Invalid (Order rejected)")</f>
        <v>6. Invalid (Order rejected)</v>
      </c>
    </row>
    <row r="762" spans="1:30" hidden="1" x14ac:dyDescent="0.3">
      <c r="A762" t="s">
        <v>5044</v>
      </c>
      <c r="B762" t="s">
        <v>25</v>
      </c>
      <c r="C762">
        <v>43783789</v>
      </c>
      <c r="D762">
        <v>0</v>
      </c>
      <c r="E762" t="s">
        <v>25</v>
      </c>
      <c r="F762" t="s">
        <v>26</v>
      </c>
      <c r="G762" t="s">
        <v>27</v>
      </c>
      <c r="H762" t="s">
        <v>5045</v>
      </c>
      <c r="I762" t="s">
        <v>5046</v>
      </c>
      <c r="J762" t="s">
        <v>26</v>
      </c>
      <c r="K762" t="s">
        <v>26</v>
      </c>
      <c r="L762" t="s">
        <v>5047</v>
      </c>
      <c r="M762" t="s">
        <v>25</v>
      </c>
      <c r="N762" t="s">
        <v>5048</v>
      </c>
      <c r="O762" t="s">
        <v>5049</v>
      </c>
      <c r="P762" t="s">
        <v>5050</v>
      </c>
      <c r="Q762" t="s">
        <v>5051</v>
      </c>
      <c r="R762">
        <v>154656</v>
      </c>
      <c r="S762">
        <v>0</v>
      </c>
      <c r="T762">
        <v>154656</v>
      </c>
      <c r="U762" t="s">
        <v>35</v>
      </c>
      <c r="V762" t="s">
        <v>5052</v>
      </c>
      <c r="W762" t="s">
        <v>5053</v>
      </c>
      <c r="X762" s="4">
        <v>1</v>
      </c>
      <c r="Y762" s="4"/>
      <c r="Z762">
        <f t="shared" si="44"/>
        <v>8</v>
      </c>
      <c r="AA762">
        <f t="shared" si="45"/>
        <v>21</v>
      </c>
      <c r="AB762" s="5">
        <f t="shared" si="46"/>
        <v>0.31445601851737592</v>
      </c>
      <c r="AC762" s="3">
        <f t="shared" si="47"/>
        <v>9.0266203704231884E-2</v>
      </c>
      <c r="AD762" t="str" cm="1">
        <f t="array" ref="AD762">IFERROR(_xlfn.IFS(
    AC762="", "",
    AC762*86400 &lt; 30, "1. 0s - &lt;30s",
    AC762*86400 &lt; 60, "2. 30s - &lt;1m",
    AC762*86400 &lt; 300, "3. 1m - &lt;5m",
    AC762*86400 &lt; 1800, "4. 5m - &lt;30m",
    TRUE, "5. &gt;= 30m"
),"6. Invalid (Order rejected)")</f>
        <v>5. &gt;= 30m</v>
      </c>
    </row>
    <row r="763" spans="1:30" hidden="1" x14ac:dyDescent="0.3">
      <c r="A763" t="s">
        <v>5054</v>
      </c>
      <c r="B763" t="s">
        <v>25</v>
      </c>
      <c r="C763">
        <v>43783789</v>
      </c>
      <c r="D763">
        <v>0</v>
      </c>
      <c r="E763" t="s">
        <v>25</v>
      </c>
      <c r="F763" t="s">
        <v>26</v>
      </c>
      <c r="G763" t="s">
        <v>27</v>
      </c>
      <c r="H763" t="s">
        <v>5055</v>
      </c>
      <c r="I763" t="s">
        <v>5056</v>
      </c>
      <c r="J763" t="s">
        <v>26</v>
      </c>
      <c r="K763" t="s">
        <v>26</v>
      </c>
      <c r="L763" t="s">
        <v>5057</v>
      </c>
      <c r="M763" t="s">
        <v>25</v>
      </c>
      <c r="N763" t="s">
        <v>4955</v>
      </c>
      <c r="O763" t="s">
        <v>4956</v>
      </c>
      <c r="P763" t="s">
        <v>5058</v>
      </c>
      <c r="Q763" t="s">
        <v>5059</v>
      </c>
      <c r="R763">
        <v>155304</v>
      </c>
      <c r="S763">
        <v>0</v>
      </c>
      <c r="T763">
        <v>155304</v>
      </c>
      <c r="U763" t="s">
        <v>35</v>
      </c>
      <c r="V763" t="s">
        <v>4959</v>
      </c>
      <c r="W763" t="s">
        <v>5060</v>
      </c>
      <c r="X763" s="4">
        <v>1</v>
      </c>
      <c r="Y763" s="4"/>
      <c r="Z763">
        <f t="shared" si="44"/>
        <v>8</v>
      </c>
      <c r="AA763">
        <f t="shared" si="45"/>
        <v>21</v>
      </c>
      <c r="AB763" s="5">
        <f t="shared" si="46"/>
        <v>0.31138888889108784</v>
      </c>
      <c r="AC763" s="3">
        <f t="shared" si="47"/>
        <v>9.0266203704231884E-2</v>
      </c>
      <c r="AD763" t="str" cm="1">
        <f t="array" ref="AD763">IFERROR(_xlfn.IFS(
    AC763="", "",
    AC763*86400 &lt; 30, "1. 0s - &lt;30s",
    AC763*86400 &lt; 60, "2. 30s - &lt;1m",
    AC763*86400 &lt; 300, "3. 1m - &lt;5m",
    AC763*86400 &lt; 1800, "4. 5m - &lt;30m",
    TRUE, "5. &gt;= 30m"
),"6. Invalid (Order rejected)")</f>
        <v>5. &gt;= 30m</v>
      </c>
    </row>
    <row r="764" spans="1:30" hidden="1" x14ac:dyDescent="0.3">
      <c r="A764" t="s">
        <v>5061</v>
      </c>
      <c r="B764" t="s">
        <v>25</v>
      </c>
      <c r="C764">
        <v>43783789</v>
      </c>
      <c r="D764">
        <v>0</v>
      </c>
      <c r="E764" t="s">
        <v>25</v>
      </c>
      <c r="F764" t="s">
        <v>26</v>
      </c>
      <c r="G764" t="s">
        <v>27</v>
      </c>
      <c r="H764" t="s">
        <v>5062</v>
      </c>
      <c r="I764" t="s">
        <v>5063</v>
      </c>
      <c r="J764" t="s">
        <v>26</v>
      </c>
      <c r="K764" t="s">
        <v>26</v>
      </c>
      <c r="L764" t="s">
        <v>5064</v>
      </c>
      <c r="M764" t="s">
        <v>25</v>
      </c>
      <c r="N764" t="s">
        <v>4955</v>
      </c>
      <c r="O764" t="s">
        <v>4956</v>
      </c>
      <c r="P764" t="s">
        <v>5065</v>
      </c>
      <c r="Q764" t="s">
        <v>5066</v>
      </c>
      <c r="R764">
        <v>251100</v>
      </c>
      <c r="S764">
        <v>0</v>
      </c>
      <c r="T764">
        <v>251100</v>
      </c>
      <c r="U764" t="s">
        <v>35</v>
      </c>
      <c r="V764" t="s">
        <v>4959</v>
      </c>
      <c r="W764" t="s">
        <v>4976</v>
      </c>
      <c r="X764" s="4">
        <v>1</v>
      </c>
      <c r="Y764" s="4"/>
      <c r="Z764">
        <f t="shared" si="44"/>
        <v>8</v>
      </c>
      <c r="AA764">
        <f t="shared" si="45"/>
        <v>21</v>
      </c>
      <c r="AB764" s="5">
        <f t="shared" si="46"/>
        <v>0.31163194444525288</v>
      </c>
      <c r="AC764" s="3">
        <f t="shared" si="47"/>
        <v>0.13245370369986631</v>
      </c>
      <c r="AD764" t="str" cm="1">
        <f t="array" ref="AD764">IFERROR(_xlfn.IFS(
    AC764="", "",
    AC764*86400 &lt; 30, "1. 0s - &lt;30s",
    AC764*86400 &lt; 60, "2. 30s - &lt;1m",
    AC764*86400 &lt; 300, "3. 1m - &lt;5m",
    AC764*86400 &lt; 1800, "4. 5m - &lt;30m",
    TRUE, "5. &gt;= 30m"
),"6. Invalid (Order rejected)")</f>
        <v>5. &gt;= 30m</v>
      </c>
    </row>
    <row r="765" spans="1:30" x14ac:dyDescent="0.3">
      <c r="A765" t="s">
        <v>5067</v>
      </c>
      <c r="B765" t="s">
        <v>25</v>
      </c>
      <c r="C765">
        <v>43783789</v>
      </c>
      <c r="D765">
        <v>4868126</v>
      </c>
      <c r="E765" t="s">
        <v>25</v>
      </c>
      <c r="F765" t="s">
        <v>75</v>
      </c>
      <c r="G765" t="s">
        <v>360</v>
      </c>
      <c r="H765" t="s">
        <v>5068</v>
      </c>
      <c r="I765" t="s">
        <v>5069</v>
      </c>
      <c r="J765" t="s">
        <v>5070</v>
      </c>
      <c r="K765" t="s">
        <v>26</v>
      </c>
      <c r="L765" t="s">
        <v>25</v>
      </c>
      <c r="M765" t="s">
        <v>25</v>
      </c>
      <c r="N765" t="s">
        <v>4732</v>
      </c>
      <c r="O765" t="s">
        <v>4733</v>
      </c>
      <c r="P765" t="s">
        <v>4967</v>
      </c>
      <c r="Q765" t="s">
        <v>4968</v>
      </c>
      <c r="R765">
        <v>244944</v>
      </c>
      <c r="S765">
        <v>189888</v>
      </c>
      <c r="T765">
        <v>55056</v>
      </c>
      <c r="U765" t="s">
        <v>35</v>
      </c>
      <c r="V765" t="s">
        <v>4736</v>
      </c>
      <c r="W765" t="s">
        <v>4970</v>
      </c>
      <c r="X765" s="4">
        <v>1</v>
      </c>
      <c r="Y765" s="4"/>
      <c r="Z765">
        <f t="shared" si="44"/>
        <v>8</v>
      </c>
      <c r="AA765">
        <f t="shared" si="45"/>
        <v>21</v>
      </c>
      <c r="AB765" s="5">
        <f t="shared" si="46"/>
        <v>0.31356481481634546</v>
      </c>
      <c r="AC765" s="3" t="str">
        <f t="shared" si="47"/>
        <v>Order rejected, no time available</v>
      </c>
      <c r="AD765" t="str" cm="1">
        <f t="array" ref="AD765">IFERROR(_xlfn.IFS(
    AC765="", "",
    AC765*86400 &lt; 30, "1. 0s - &lt;30s",
    AC765*86400 &lt; 60, "2. 30s - &lt;1m",
    AC765*86400 &lt; 300, "3. 1m - &lt;5m",
    AC765*86400 &lt; 1800, "4. 5m - &lt;30m",
    TRUE, "5. &gt;= 30m"
),"6. Invalid (Order rejected)")</f>
        <v>6. Invalid (Order rejected)</v>
      </c>
    </row>
    <row r="766" spans="1:30" hidden="1" x14ac:dyDescent="0.3">
      <c r="A766" t="s">
        <v>5071</v>
      </c>
      <c r="B766" t="s">
        <v>25</v>
      </c>
      <c r="C766">
        <v>43783789</v>
      </c>
      <c r="D766">
        <v>0</v>
      </c>
      <c r="E766" t="s">
        <v>25</v>
      </c>
      <c r="F766" t="s">
        <v>26</v>
      </c>
      <c r="G766" t="s">
        <v>27</v>
      </c>
      <c r="H766" t="s">
        <v>5072</v>
      </c>
      <c r="I766" t="s">
        <v>5073</v>
      </c>
      <c r="J766" t="s">
        <v>26</v>
      </c>
      <c r="K766" t="s">
        <v>26</v>
      </c>
      <c r="L766" t="s">
        <v>5074</v>
      </c>
      <c r="M766" t="s">
        <v>25</v>
      </c>
      <c r="N766" t="s">
        <v>5075</v>
      </c>
      <c r="O766" t="s">
        <v>5076</v>
      </c>
      <c r="P766" t="s">
        <v>1411</v>
      </c>
      <c r="Q766" t="s">
        <v>1412</v>
      </c>
      <c r="R766">
        <v>204984</v>
      </c>
      <c r="S766">
        <v>0</v>
      </c>
      <c r="T766">
        <v>204984</v>
      </c>
      <c r="U766" t="s">
        <v>35</v>
      </c>
      <c r="V766" t="s">
        <v>5077</v>
      </c>
      <c r="W766" t="s">
        <v>1414</v>
      </c>
      <c r="X766" s="4">
        <v>1</v>
      </c>
      <c r="Y766" s="4"/>
      <c r="Z766">
        <f t="shared" si="44"/>
        <v>8</v>
      </c>
      <c r="AA766">
        <f t="shared" si="45"/>
        <v>21</v>
      </c>
      <c r="AB766" s="5">
        <f t="shared" si="46"/>
        <v>0.3164930555576575</v>
      </c>
      <c r="AC766" s="3">
        <f t="shared" si="47"/>
        <v>9.0266203704231884E-2</v>
      </c>
      <c r="AD766" t="str" cm="1">
        <f t="array" ref="AD766">IFERROR(_xlfn.IFS(
    AC766="", "",
    AC766*86400 &lt; 30, "1. 0s - &lt;30s",
    AC766*86400 &lt; 60, "2. 30s - &lt;1m",
    AC766*86400 &lt; 300, "3. 1m - &lt;5m",
    AC766*86400 &lt; 1800, "4. 5m - &lt;30m",
    TRUE, "5. &gt;= 30m"
),"6. Invalid (Order rejected)")</f>
        <v>5. &gt;= 30m</v>
      </c>
    </row>
    <row r="767" spans="1:30" hidden="1" x14ac:dyDescent="0.3">
      <c r="A767" t="s">
        <v>5078</v>
      </c>
      <c r="B767" t="s">
        <v>25</v>
      </c>
      <c r="C767">
        <v>43783789</v>
      </c>
      <c r="D767">
        <v>0</v>
      </c>
      <c r="E767" t="s">
        <v>25</v>
      </c>
      <c r="F767" t="s">
        <v>26</v>
      </c>
      <c r="G767" t="s">
        <v>27</v>
      </c>
      <c r="H767" t="s">
        <v>5079</v>
      </c>
      <c r="I767" t="s">
        <v>5080</v>
      </c>
      <c r="J767" t="s">
        <v>26</v>
      </c>
      <c r="K767" t="s">
        <v>26</v>
      </c>
      <c r="L767" t="s">
        <v>5081</v>
      </c>
      <c r="M767" t="s">
        <v>25</v>
      </c>
      <c r="N767" t="s">
        <v>1378</v>
      </c>
      <c r="O767" t="s">
        <v>1379</v>
      </c>
      <c r="P767" t="s">
        <v>4929</v>
      </c>
      <c r="Q767" t="s">
        <v>4930</v>
      </c>
      <c r="R767">
        <v>332208</v>
      </c>
      <c r="S767">
        <v>0</v>
      </c>
      <c r="T767">
        <v>332208</v>
      </c>
      <c r="U767" t="s">
        <v>35</v>
      </c>
      <c r="V767" t="s">
        <v>1382</v>
      </c>
      <c r="W767" t="s">
        <v>4931</v>
      </c>
      <c r="X767" s="4">
        <v>1</v>
      </c>
      <c r="Y767" s="4"/>
      <c r="Z767">
        <f t="shared" si="44"/>
        <v>8</v>
      </c>
      <c r="AA767">
        <f t="shared" si="45"/>
        <v>21</v>
      </c>
      <c r="AB767" s="5">
        <f t="shared" si="46"/>
        <v>0.31261574073869269</v>
      </c>
      <c r="AC767" s="3">
        <f t="shared" si="47"/>
        <v>9.0266203704231884E-2</v>
      </c>
      <c r="AD767" t="str" cm="1">
        <f t="array" ref="AD767">IFERROR(_xlfn.IFS(
    AC767="", "",
    AC767*86400 &lt; 30, "1. 0s - &lt;30s",
    AC767*86400 &lt; 60, "2. 30s - &lt;1m",
    AC767*86400 &lt; 300, "3. 1m - &lt;5m",
    AC767*86400 &lt; 1800, "4. 5m - &lt;30m",
    TRUE, "5. &gt;= 30m"
),"6. Invalid (Order rejected)")</f>
        <v>5. &gt;= 30m</v>
      </c>
    </row>
    <row r="768" spans="1:30" hidden="1" x14ac:dyDescent="0.3">
      <c r="A768" t="s">
        <v>5082</v>
      </c>
      <c r="B768" t="s">
        <v>25</v>
      </c>
      <c r="C768">
        <v>43783789</v>
      </c>
      <c r="D768">
        <v>0</v>
      </c>
      <c r="E768" t="s">
        <v>25</v>
      </c>
      <c r="F768" t="s">
        <v>26</v>
      </c>
      <c r="G768" t="s">
        <v>27</v>
      </c>
      <c r="H768" t="s">
        <v>5083</v>
      </c>
      <c r="I768" t="s">
        <v>5084</v>
      </c>
      <c r="J768" t="s">
        <v>26</v>
      </c>
      <c r="K768" t="s">
        <v>26</v>
      </c>
      <c r="L768" t="s">
        <v>5085</v>
      </c>
      <c r="M768" t="s">
        <v>25</v>
      </c>
      <c r="N768" t="s">
        <v>1390</v>
      </c>
      <c r="O768" t="s">
        <v>1391</v>
      </c>
      <c r="P768" t="s">
        <v>4948</v>
      </c>
      <c r="Q768" t="s">
        <v>4949</v>
      </c>
      <c r="R768">
        <v>308448</v>
      </c>
      <c r="S768">
        <v>0</v>
      </c>
      <c r="T768">
        <v>308448</v>
      </c>
      <c r="U768" t="s">
        <v>35</v>
      </c>
      <c r="V768" t="s">
        <v>1394</v>
      </c>
      <c r="W768" t="s">
        <v>4950</v>
      </c>
      <c r="X768" s="4">
        <v>1</v>
      </c>
      <c r="Y768" s="4"/>
      <c r="Z768">
        <f t="shared" si="44"/>
        <v>8</v>
      </c>
      <c r="AA768">
        <f t="shared" si="45"/>
        <v>21</v>
      </c>
      <c r="AB768" s="5">
        <f t="shared" si="46"/>
        <v>0.31309027777751908</v>
      </c>
      <c r="AC768" s="3">
        <f t="shared" si="47"/>
        <v>9.0266203704231884E-2</v>
      </c>
      <c r="AD768" t="str" cm="1">
        <f t="array" ref="AD768">IFERROR(_xlfn.IFS(
    AC768="", "",
    AC768*86400 &lt; 30, "1. 0s - &lt;30s",
    AC768*86400 &lt; 60, "2. 30s - &lt;1m",
    AC768*86400 &lt; 300, "3. 1m - &lt;5m",
    AC768*86400 &lt; 1800, "4. 5m - &lt;30m",
    TRUE, "5. &gt;= 30m"
),"6. Invalid (Order rejected)")</f>
        <v>5. &gt;= 30m</v>
      </c>
    </row>
    <row r="769" spans="1:30" hidden="1" x14ac:dyDescent="0.3">
      <c r="A769" t="s">
        <v>5086</v>
      </c>
      <c r="B769" t="s">
        <v>25</v>
      </c>
      <c r="C769">
        <v>43783789</v>
      </c>
      <c r="D769">
        <v>0</v>
      </c>
      <c r="E769" t="s">
        <v>25</v>
      </c>
      <c r="F769" t="s">
        <v>26</v>
      </c>
      <c r="G769" t="s">
        <v>27</v>
      </c>
      <c r="H769" t="s">
        <v>5087</v>
      </c>
      <c r="I769" t="s">
        <v>5088</v>
      </c>
      <c r="J769" t="s">
        <v>26</v>
      </c>
      <c r="K769" t="s">
        <v>26</v>
      </c>
      <c r="L769" t="s">
        <v>5089</v>
      </c>
      <c r="M769" t="s">
        <v>25</v>
      </c>
      <c r="N769" t="s">
        <v>4981</v>
      </c>
      <c r="O769" t="s">
        <v>4982</v>
      </c>
      <c r="P769" t="s">
        <v>5090</v>
      </c>
      <c r="Q769" t="s">
        <v>5091</v>
      </c>
      <c r="R769">
        <v>195156</v>
      </c>
      <c r="S769">
        <v>0</v>
      </c>
      <c r="T769">
        <v>195156</v>
      </c>
      <c r="U769" t="s">
        <v>35</v>
      </c>
      <c r="V769" t="s">
        <v>4985</v>
      </c>
      <c r="W769" t="s">
        <v>5092</v>
      </c>
      <c r="X769" s="4">
        <v>1</v>
      </c>
      <c r="Y769" s="4"/>
      <c r="Z769">
        <f t="shared" si="44"/>
        <v>8</v>
      </c>
      <c r="AA769">
        <f t="shared" si="45"/>
        <v>21</v>
      </c>
      <c r="AB769" s="5">
        <f t="shared" si="46"/>
        <v>0.31546296296437504</v>
      </c>
      <c r="AC769" s="3">
        <f t="shared" si="47"/>
        <v>9.0266203704231884E-2</v>
      </c>
      <c r="AD769" t="str" cm="1">
        <f t="array" ref="AD769">IFERROR(_xlfn.IFS(
    AC769="", "",
    AC769*86400 &lt; 30, "1. 0s - &lt;30s",
    AC769*86400 &lt; 60, "2. 30s - &lt;1m",
    AC769*86400 &lt; 300, "3. 1m - &lt;5m",
    AC769*86400 &lt; 1800, "4. 5m - &lt;30m",
    TRUE, "5. &gt;= 30m"
),"6. Invalid (Order rejected)")</f>
        <v>5. &gt;= 30m</v>
      </c>
    </row>
    <row r="770" spans="1:30" hidden="1" x14ac:dyDescent="0.3">
      <c r="A770" t="s">
        <v>5093</v>
      </c>
      <c r="B770" t="s">
        <v>25</v>
      </c>
      <c r="C770">
        <v>43783789</v>
      </c>
      <c r="D770">
        <v>0</v>
      </c>
      <c r="E770" t="s">
        <v>25</v>
      </c>
      <c r="F770" t="s">
        <v>26</v>
      </c>
      <c r="G770" t="s">
        <v>27</v>
      </c>
      <c r="H770" t="s">
        <v>5094</v>
      </c>
      <c r="I770" t="s">
        <v>5095</v>
      </c>
      <c r="J770" t="s">
        <v>26</v>
      </c>
      <c r="K770" t="s">
        <v>26</v>
      </c>
      <c r="L770" t="s">
        <v>5096</v>
      </c>
      <c r="M770" t="s">
        <v>25</v>
      </c>
      <c r="N770" t="s">
        <v>4991</v>
      </c>
      <c r="O770" t="s">
        <v>4992</v>
      </c>
      <c r="P770" t="s">
        <v>4929</v>
      </c>
      <c r="Q770" t="s">
        <v>4930</v>
      </c>
      <c r="R770">
        <v>233712</v>
      </c>
      <c r="S770">
        <v>0</v>
      </c>
      <c r="T770">
        <v>233712</v>
      </c>
      <c r="U770" t="s">
        <v>35</v>
      </c>
      <c r="V770" t="s">
        <v>4995</v>
      </c>
      <c r="W770" t="s">
        <v>4931</v>
      </c>
      <c r="X770" s="4">
        <v>1</v>
      </c>
      <c r="Y770" s="4"/>
      <c r="Z770">
        <f t="shared" si="44"/>
        <v>8</v>
      </c>
      <c r="AA770">
        <f t="shared" si="45"/>
        <v>21</v>
      </c>
      <c r="AB770" s="5">
        <f t="shared" si="46"/>
        <v>0.31612268518802011</v>
      </c>
      <c r="AC770" s="3">
        <f t="shared" si="47"/>
        <v>9.0266203704231884E-2</v>
      </c>
      <c r="AD770" t="str" cm="1">
        <f t="array" ref="AD770">IFERROR(_xlfn.IFS(
    AC770="", "",
    AC770*86400 &lt; 30, "1. 0s - &lt;30s",
    AC770*86400 &lt; 60, "2. 30s - &lt;1m",
    AC770*86400 &lt; 300, "3. 1m - &lt;5m",
    AC770*86400 &lt; 1800, "4. 5m - &lt;30m",
    TRUE, "5. &gt;= 30m"
),"6. Invalid (Order rejected)")</f>
        <v>5. &gt;= 30m</v>
      </c>
    </row>
    <row r="771" spans="1:30" x14ac:dyDescent="0.3">
      <c r="A771" t="s">
        <v>5097</v>
      </c>
      <c r="B771" t="s">
        <v>25</v>
      </c>
      <c r="C771">
        <v>43783789</v>
      </c>
      <c r="D771">
        <v>4420373</v>
      </c>
      <c r="E771" t="s">
        <v>25</v>
      </c>
      <c r="F771" t="s">
        <v>75</v>
      </c>
      <c r="G771" t="s">
        <v>360</v>
      </c>
      <c r="H771" t="s">
        <v>5098</v>
      </c>
      <c r="I771" t="s">
        <v>5099</v>
      </c>
      <c r="J771" t="s">
        <v>5100</v>
      </c>
      <c r="K771" t="s">
        <v>5101</v>
      </c>
      <c r="L771" t="s">
        <v>25</v>
      </c>
      <c r="M771" t="s">
        <v>25</v>
      </c>
      <c r="N771" t="s">
        <v>5102</v>
      </c>
      <c r="O771" t="s">
        <v>5103</v>
      </c>
      <c r="P771" t="s">
        <v>5104</v>
      </c>
      <c r="Q771" t="s">
        <v>5105</v>
      </c>
      <c r="R771">
        <v>174636</v>
      </c>
      <c r="S771">
        <v>135383</v>
      </c>
      <c r="T771">
        <v>39253</v>
      </c>
      <c r="U771" t="s">
        <v>35</v>
      </c>
      <c r="V771" t="s">
        <v>5106</v>
      </c>
      <c r="W771" t="s">
        <v>5107</v>
      </c>
      <c r="X771" s="4">
        <v>1</v>
      </c>
      <c r="Y771" s="4"/>
      <c r="Z771">
        <f t="shared" ref="Z771:Z834" si="48">MONTH(H771)</f>
        <v>8</v>
      </c>
      <c r="AA771">
        <f t="shared" ref="AA771:AA834" si="49">DAY(H771)</f>
        <v>21</v>
      </c>
      <c r="AB771" s="5">
        <f t="shared" ref="AB771:AB834" si="50">MOD(H771, 1)</f>
        <v>0.31887731481401715</v>
      </c>
      <c r="AC771" s="3" t="str">
        <f t="shared" ref="AC771:AC834" si="51">IFERROR(IF(M771="",L771-H771,M771-H771),"Order rejected, no time available")</f>
        <v>Order rejected, no time available</v>
      </c>
      <c r="AD771" t="str" cm="1">
        <f t="array" ref="AD771">IFERROR(_xlfn.IFS(
    AC771="", "",
    AC771*86400 &lt; 30, "1. 0s - &lt;30s",
    AC771*86400 &lt; 60, "2. 30s - &lt;1m",
    AC771*86400 &lt; 300, "3. 1m - &lt;5m",
    AC771*86400 &lt; 1800, "4. 5m - &lt;30m",
    TRUE, "5. &gt;= 30m"
),"6. Invalid (Order rejected)")</f>
        <v>6. Invalid (Order rejected)</v>
      </c>
    </row>
    <row r="772" spans="1:30" x14ac:dyDescent="0.3">
      <c r="A772" t="s">
        <v>5108</v>
      </c>
      <c r="B772" t="s">
        <v>25</v>
      </c>
      <c r="C772">
        <v>43783789</v>
      </c>
      <c r="D772">
        <v>4518343</v>
      </c>
      <c r="E772" t="s">
        <v>25</v>
      </c>
      <c r="F772" t="s">
        <v>75</v>
      </c>
      <c r="G772" t="s">
        <v>360</v>
      </c>
      <c r="H772" t="s">
        <v>5109</v>
      </c>
      <c r="I772" t="s">
        <v>5110</v>
      </c>
      <c r="J772" t="s">
        <v>5111</v>
      </c>
      <c r="K772" t="s">
        <v>26</v>
      </c>
      <c r="L772" t="s">
        <v>25</v>
      </c>
      <c r="M772" t="s">
        <v>25</v>
      </c>
      <c r="N772" t="s">
        <v>1642</v>
      </c>
      <c r="O772" t="s">
        <v>1643</v>
      </c>
      <c r="P772" t="s">
        <v>5027</v>
      </c>
      <c r="Q772" t="s">
        <v>5028</v>
      </c>
      <c r="R772">
        <v>254124</v>
      </c>
      <c r="S772">
        <v>197005</v>
      </c>
      <c r="T772">
        <v>57119</v>
      </c>
      <c r="U772" t="s">
        <v>35</v>
      </c>
      <c r="V772" t="s">
        <v>1646</v>
      </c>
      <c r="W772" t="s">
        <v>5029</v>
      </c>
      <c r="X772" s="4">
        <v>1</v>
      </c>
      <c r="Y772" s="4"/>
      <c r="Z772">
        <f t="shared" si="48"/>
        <v>8</v>
      </c>
      <c r="AA772">
        <f t="shared" si="49"/>
        <v>21</v>
      </c>
      <c r="AB772" s="5">
        <f t="shared" si="50"/>
        <v>0.32011574073840166</v>
      </c>
      <c r="AC772" s="3" t="str">
        <f t="shared" si="51"/>
        <v>Order rejected, no time available</v>
      </c>
      <c r="AD772" t="str" cm="1">
        <f t="array" ref="AD772">IFERROR(_xlfn.IFS(
    AC772="", "",
    AC772*86400 &lt; 30, "1. 0s - &lt;30s",
    AC772*86400 &lt; 60, "2. 30s - &lt;1m",
    AC772*86400 &lt; 300, "3. 1m - &lt;5m",
    AC772*86400 &lt; 1800, "4. 5m - &lt;30m",
    TRUE, "5. &gt;= 30m"
),"6. Invalid (Order rejected)")</f>
        <v>6. Invalid (Order rejected)</v>
      </c>
    </row>
    <row r="773" spans="1:30" hidden="1" x14ac:dyDescent="0.3">
      <c r="A773" t="s">
        <v>5112</v>
      </c>
      <c r="B773" t="s">
        <v>25</v>
      </c>
      <c r="C773">
        <v>43783789</v>
      </c>
      <c r="D773">
        <v>0</v>
      </c>
      <c r="E773" t="s">
        <v>25</v>
      </c>
      <c r="F773" t="s">
        <v>26</v>
      </c>
      <c r="G773" t="s">
        <v>27</v>
      </c>
      <c r="H773" t="s">
        <v>5113</v>
      </c>
      <c r="I773" t="s">
        <v>5114</v>
      </c>
      <c r="J773" t="s">
        <v>26</v>
      </c>
      <c r="K773" t="s">
        <v>26</v>
      </c>
      <c r="L773" t="s">
        <v>5115</v>
      </c>
      <c r="M773" t="s">
        <v>25</v>
      </c>
      <c r="N773" t="s">
        <v>2046</v>
      </c>
      <c r="O773" t="s">
        <v>2047</v>
      </c>
      <c r="P773" t="s">
        <v>5116</v>
      </c>
      <c r="Q773" t="s">
        <v>5117</v>
      </c>
      <c r="R773">
        <v>203904</v>
      </c>
      <c r="S773">
        <v>0</v>
      </c>
      <c r="T773">
        <v>203904</v>
      </c>
      <c r="U773" t="s">
        <v>35</v>
      </c>
      <c r="V773" t="s">
        <v>4794</v>
      </c>
      <c r="W773" t="s">
        <v>5118</v>
      </c>
      <c r="X773" s="4">
        <v>1</v>
      </c>
      <c r="Y773" s="4"/>
      <c r="Z773">
        <f t="shared" si="48"/>
        <v>8</v>
      </c>
      <c r="AA773">
        <f t="shared" si="49"/>
        <v>21</v>
      </c>
      <c r="AB773" s="5">
        <f t="shared" si="50"/>
        <v>0.31800925925927004</v>
      </c>
      <c r="AC773" s="3">
        <f t="shared" si="51"/>
        <v>9.0266203704231884E-2</v>
      </c>
      <c r="AD773" t="str" cm="1">
        <f t="array" ref="AD773">IFERROR(_xlfn.IFS(
    AC773="", "",
    AC773*86400 &lt; 30, "1. 0s - &lt;30s",
    AC773*86400 &lt; 60, "2. 30s - &lt;1m",
    AC773*86400 &lt; 300, "3. 1m - &lt;5m",
    AC773*86400 &lt; 1800, "4. 5m - &lt;30m",
    TRUE, "5. &gt;= 30m"
),"6. Invalid (Order rejected)")</f>
        <v>5. &gt;= 30m</v>
      </c>
    </row>
    <row r="774" spans="1:30" x14ac:dyDescent="0.3">
      <c r="A774" t="s">
        <v>5119</v>
      </c>
      <c r="B774" t="s">
        <v>25</v>
      </c>
      <c r="C774">
        <v>43783789</v>
      </c>
      <c r="D774">
        <v>2109626</v>
      </c>
      <c r="E774" t="s">
        <v>25</v>
      </c>
      <c r="F774" t="s">
        <v>75</v>
      </c>
      <c r="G774" t="s">
        <v>360</v>
      </c>
      <c r="H774" t="s">
        <v>5120</v>
      </c>
      <c r="I774" t="s">
        <v>5121</v>
      </c>
      <c r="J774" t="s">
        <v>5122</v>
      </c>
      <c r="K774" t="s">
        <v>5123</v>
      </c>
      <c r="L774" t="s">
        <v>25</v>
      </c>
      <c r="M774" t="s">
        <v>25</v>
      </c>
      <c r="N774" t="s">
        <v>1642</v>
      </c>
      <c r="O774" t="s">
        <v>1643</v>
      </c>
      <c r="P774" t="s">
        <v>4967</v>
      </c>
      <c r="Q774" t="s">
        <v>4968</v>
      </c>
      <c r="R774">
        <v>235440</v>
      </c>
      <c r="S774">
        <v>182520</v>
      </c>
      <c r="T774">
        <v>52920</v>
      </c>
      <c r="U774" t="s">
        <v>35</v>
      </c>
      <c r="V774" t="s">
        <v>1646</v>
      </c>
      <c r="W774" t="s">
        <v>4970</v>
      </c>
      <c r="X774" s="4">
        <v>1</v>
      </c>
      <c r="Y774" s="4"/>
      <c r="Z774">
        <f t="shared" si="48"/>
        <v>8</v>
      </c>
      <c r="AA774">
        <f t="shared" si="49"/>
        <v>21</v>
      </c>
      <c r="AB774" s="5">
        <f t="shared" si="50"/>
        <v>0.32025462963065365</v>
      </c>
      <c r="AC774" s="3" t="str">
        <f t="shared" si="51"/>
        <v>Order rejected, no time available</v>
      </c>
      <c r="AD774" t="str" cm="1">
        <f t="array" ref="AD774">IFERROR(_xlfn.IFS(
    AC774="", "",
    AC774*86400 &lt; 30, "1. 0s - &lt;30s",
    AC774*86400 &lt; 60, "2. 30s - &lt;1m",
    AC774*86400 &lt; 300, "3. 1m - &lt;5m",
    AC774*86400 &lt; 1800, "4. 5m - &lt;30m",
    TRUE, "5. &gt;= 30m"
),"6. Invalid (Order rejected)")</f>
        <v>6. Invalid (Order rejected)</v>
      </c>
    </row>
    <row r="775" spans="1:30" hidden="1" x14ac:dyDescent="0.3">
      <c r="A775" t="s">
        <v>5124</v>
      </c>
      <c r="B775" t="s">
        <v>25</v>
      </c>
      <c r="C775">
        <v>43783789</v>
      </c>
      <c r="D775">
        <v>0</v>
      </c>
      <c r="E775" t="s">
        <v>25</v>
      </c>
      <c r="F775" t="s">
        <v>26</v>
      </c>
      <c r="G775" t="s">
        <v>27</v>
      </c>
      <c r="H775" t="s">
        <v>5125</v>
      </c>
      <c r="I775" t="s">
        <v>5126</v>
      </c>
      <c r="J775" t="s">
        <v>26</v>
      </c>
      <c r="K775" t="s">
        <v>26</v>
      </c>
      <c r="L775" t="s">
        <v>5127</v>
      </c>
      <c r="M775" t="s">
        <v>25</v>
      </c>
      <c r="N775" t="s">
        <v>1642</v>
      </c>
      <c r="O775" t="s">
        <v>1643</v>
      </c>
      <c r="P775" t="s">
        <v>5128</v>
      </c>
      <c r="Q775" t="s">
        <v>5129</v>
      </c>
      <c r="R775">
        <v>190188</v>
      </c>
      <c r="S775">
        <v>0</v>
      </c>
      <c r="T775">
        <v>190188</v>
      </c>
      <c r="U775" t="s">
        <v>35</v>
      </c>
      <c r="V775" t="s">
        <v>1646</v>
      </c>
      <c r="W775" t="s">
        <v>5130</v>
      </c>
      <c r="X775" s="4">
        <v>1</v>
      </c>
      <c r="Y775" s="4"/>
      <c r="Z775">
        <f t="shared" si="48"/>
        <v>8</v>
      </c>
      <c r="AA775">
        <f t="shared" si="49"/>
        <v>21</v>
      </c>
      <c r="AB775" s="5">
        <f t="shared" si="50"/>
        <v>0.32040509259240935</v>
      </c>
      <c r="AC775" s="3">
        <f t="shared" si="51"/>
        <v>9.0266203704231884E-2</v>
      </c>
      <c r="AD775" t="str" cm="1">
        <f t="array" ref="AD775">IFERROR(_xlfn.IFS(
    AC775="", "",
    AC775*86400 &lt; 30, "1. 0s - &lt;30s",
    AC775*86400 &lt; 60, "2. 30s - &lt;1m",
    AC775*86400 &lt; 300, "3. 1m - &lt;5m",
    AC775*86400 &lt; 1800, "4. 5m - &lt;30m",
    TRUE, "5. &gt;= 30m"
),"6. Invalid (Order rejected)")</f>
        <v>5. &gt;= 30m</v>
      </c>
    </row>
    <row r="776" spans="1:30" hidden="1" x14ac:dyDescent="0.3">
      <c r="A776" t="s">
        <v>5131</v>
      </c>
      <c r="B776" t="s">
        <v>25</v>
      </c>
      <c r="C776">
        <v>43783789</v>
      </c>
      <c r="D776">
        <v>0</v>
      </c>
      <c r="E776" t="s">
        <v>25</v>
      </c>
      <c r="F776" t="s">
        <v>26</v>
      </c>
      <c r="G776" t="s">
        <v>27</v>
      </c>
      <c r="H776" t="s">
        <v>5132</v>
      </c>
      <c r="I776" t="s">
        <v>5133</v>
      </c>
      <c r="J776" t="s">
        <v>26</v>
      </c>
      <c r="K776" t="s">
        <v>26</v>
      </c>
      <c r="L776" t="s">
        <v>5134</v>
      </c>
      <c r="M776" t="s">
        <v>25</v>
      </c>
      <c r="N776" t="s">
        <v>5135</v>
      </c>
      <c r="O776" t="s">
        <v>5136</v>
      </c>
      <c r="P776" t="s">
        <v>1411</v>
      </c>
      <c r="Q776" t="s">
        <v>1412</v>
      </c>
      <c r="R776">
        <v>273132</v>
      </c>
      <c r="S776">
        <v>0</v>
      </c>
      <c r="T776">
        <v>273132</v>
      </c>
      <c r="U776" t="s">
        <v>35</v>
      </c>
      <c r="V776" t="s">
        <v>5137</v>
      </c>
      <c r="W776" t="s">
        <v>1414</v>
      </c>
      <c r="X776" s="4">
        <v>1</v>
      </c>
      <c r="Y776" s="4"/>
      <c r="Z776">
        <f t="shared" si="48"/>
        <v>8</v>
      </c>
      <c r="AA776">
        <f t="shared" si="49"/>
        <v>21</v>
      </c>
      <c r="AB776" s="5">
        <f t="shared" si="50"/>
        <v>0.32274305555620231</v>
      </c>
      <c r="AC776" s="3">
        <f t="shared" si="51"/>
        <v>9.0266203704231884E-2</v>
      </c>
      <c r="AD776" t="str" cm="1">
        <f t="array" ref="AD776">IFERROR(_xlfn.IFS(
    AC776="", "",
    AC776*86400 &lt; 30, "1. 0s - &lt;30s",
    AC776*86400 &lt; 60, "2. 30s - &lt;1m",
    AC776*86400 &lt; 300, "3. 1m - &lt;5m",
    AC776*86400 &lt; 1800, "4. 5m - &lt;30m",
    TRUE, "5. &gt;= 30m"
),"6. Invalid (Order rejected)")</f>
        <v>5. &gt;= 30m</v>
      </c>
    </row>
    <row r="777" spans="1:30" hidden="1" x14ac:dyDescent="0.3">
      <c r="A777" t="s">
        <v>5138</v>
      </c>
      <c r="B777" t="s">
        <v>25</v>
      </c>
      <c r="C777">
        <v>43783789</v>
      </c>
      <c r="D777">
        <v>0</v>
      </c>
      <c r="E777" t="s">
        <v>25</v>
      </c>
      <c r="F777" t="s">
        <v>26</v>
      </c>
      <c r="G777" t="s">
        <v>27</v>
      </c>
      <c r="H777" t="s">
        <v>5139</v>
      </c>
      <c r="I777" t="s">
        <v>5140</v>
      </c>
      <c r="J777" t="s">
        <v>26</v>
      </c>
      <c r="K777" t="s">
        <v>26</v>
      </c>
      <c r="L777" t="s">
        <v>5141</v>
      </c>
      <c r="M777" t="s">
        <v>25</v>
      </c>
      <c r="N777" t="s">
        <v>1824</v>
      </c>
      <c r="O777" t="s">
        <v>1825</v>
      </c>
      <c r="P777" t="s">
        <v>3102</v>
      </c>
      <c r="Q777" t="s">
        <v>3103</v>
      </c>
      <c r="R777">
        <v>188028</v>
      </c>
      <c r="S777">
        <v>0</v>
      </c>
      <c r="T777">
        <v>188028</v>
      </c>
      <c r="U777" t="s">
        <v>35</v>
      </c>
      <c r="V777" t="s">
        <v>1828</v>
      </c>
      <c r="W777" t="s">
        <v>3104</v>
      </c>
      <c r="X777" s="4">
        <v>1</v>
      </c>
      <c r="Y777" s="4"/>
      <c r="Z777">
        <f t="shared" si="48"/>
        <v>8</v>
      </c>
      <c r="AA777">
        <f t="shared" si="49"/>
        <v>21</v>
      </c>
      <c r="AB777" s="5">
        <f t="shared" si="50"/>
        <v>0.32783564814599231</v>
      </c>
      <c r="AC777" s="3">
        <f t="shared" si="51"/>
        <v>9.0266203704231884E-2</v>
      </c>
      <c r="AD777" t="str" cm="1">
        <f t="array" ref="AD777">IFERROR(_xlfn.IFS(
    AC777="", "",
    AC777*86400 &lt; 30, "1. 0s - &lt;30s",
    AC777*86400 &lt; 60, "2. 30s - &lt;1m",
    AC777*86400 &lt; 300, "3. 1m - &lt;5m",
    AC777*86400 &lt; 1800, "4. 5m - &lt;30m",
    TRUE, "5. &gt;= 30m"
),"6. Invalid (Order rejected)")</f>
        <v>5. &gt;= 30m</v>
      </c>
    </row>
    <row r="778" spans="1:30" x14ac:dyDescent="0.3">
      <c r="A778" t="s">
        <v>5142</v>
      </c>
      <c r="B778" t="s">
        <v>25</v>
      </c>
      <c r="C778">
        <v>43783789</v>
      </c>
      <c r="D778">
        <v>3524241</v>
      </c>
      <c r="E778" t="s">
        <v>25</v>
      </c>
      <c r="F778" t="s">
        <v>75</v>
      </c>
      <c r="G778" t="s">
        <v>360</v>
      </c>
      <c r="H778" t="s">
        <v>5143</v>
      </c>
      <c r="I778" t="s">
        <v>5144</v>
      </c>
      <c r="J778" t="s">
        <v>5145</v>
      </c>
      <c r="K778" t="s">
        <v>26</v>
      </c>
      <c r="L778" t="s">
        <v>25</v>
      </c>
      <c r="M778" t="s">
        <v>25</v>
      </c>
      <c r="N778" t="s">
        <v>5102</v>
      </c>
      <c r="O778" t="s">
        <v>5103</v>
      </c>
      <c r="P778" t="s">
        <v>5146</v>
      </c>
      <c r="Q778" t="s">
        <v>5147</v>
      </c>
      <c r="R778">
        <v>104868</v>
      </c>
      <c r="S778">
        <v>81297</v>
      </c>
      <c r="T778">
        <v>23571</v>
      </c>
      <c r="U778" t="s">
        <v>35</v>
      </c>
      <c r="V778" t="s">
        <v>5106</v>
      </c>
      <c r="W778" t="s">
        <v>5148</v>
      </c>
      <c r="X778" s="4">
        <v>1</v>
      </c>
      <c r="Y778" s="4"/>
      <c r="Z778">
        <f t="shared" si="48"/>
        <v>8</v>
      </c>
      <c r="AA778">
        <f t="shared" si="49"/>
        <v>21</v>
      </c>
      <c r="AB778" s="5">
        <f t="shared" si="50"/>
        <v>0.31906249999883585</v>
      </c>
      <c r="AC778" s="3" t="str">
        <f t="shared" si="51"/>
        <v>Order rejected, no time available</v>
      </c>
      <c r="AD778" t="str" cm="1">
        <f t="array" ref="AD778">IFERROR(_xlfn.IFS(
    AC778="", "",
    AC778*86400 &lt; 30, "1. 0s - &lt;30s",
    AC778*86400 &lt; 60, "2. 30s - &lt;1m",
    AC778*86400 &lt; 300, "3. 1m - &lt;5m",
    AC778*86400 &lt; 1800, "4. 5m - &lt;30m",
    TRUE, "5. &gt;= 30m"
),"6. Invalid (Order rejected)")</f>
        <v>6. Invalid (Order rejected)</v>
      </c>
    </row>
    <row r="779" spans="1:30" hidden="1" x14ac:dyDescent="0.3">
      <c r="A779" t="s">
        <v>5149</v>
      </c>
      <c r="B779" t="s">
        <v>25</v>
      </c>
      <c r="C779">
        <v>43783789</v>
      </c>
      <c r="D779">
        <v>0</v>
      </c>
      <c r="E779" t="s">
        <v>25</v>
      </c>
      <c r="F779" t="s">
        <v>26</v>
      </c>
      <c r="G779" t="s">
        <v>27</v>
      </c>
      <c r="H779" t="s">
        <v>5150</v>
      </c>
      <c r="I779" t="s">
        <v>5151</v>
      </c>
      <c r="J779" t="s">
        <v>26</v>
      </c>
      <c r="K779" t="s">
        <v>26</v>
      </c>
      <c r="L779" t="s">
        <v>5152</v>
      </c>
      <c r="M779" t="s">
        <v>25</v>
      </c>
      <c r="N779" t="s">
        <v>1702</v>
      </c>
      <c r="O779" t="s">
        <v>1703</v>
      </c>
      <c r="P779" t="s">
        <v>5153</v>
      </c>
      <c r="Q779" t="s">
        <v>5154</v>
      </c>
      <c r="R779">
        <v>199368</v>
      </c>
      <c r="S779">
        <v>0</v>
      </c>
      <c r="T779">
        <v>199368</v>
      </c>
      <c r="U779" t="s">
        <v>35</v>
      </c>
      <c r="V779" t="s">
        <v>1706</v>
      </c>
      <c r="W779" t="s">
        <v>5053</v>
      </c>
      <c r="X779" s="4">
        <v>1</v>
      </c>
      <c r="Y779" s="4"/>
      <c r="Z779">
        <f t="shared" si="48"/>
        <v>8</v>
      </c>
      <c r="AA779">
        <f t="shared" si="49"/>
        <v>21</v>
      </c>
      <c r="AB779" s="5">
        <f t="shared" si="50"/>
        <v>0.32097222222364508</v>
      </c>
      <c r="AC779" s="3">
        <f t="shared" si="51"/>
        <v>9.0266203704231884E-2</v>
      </c>
      <c r="AD779" t="str" cm="1">
        <f t="array" ref="AD779">IFERROR(_xlfn.IFS(
    AC779="", "",
    AC779*86400 &lt; 30, "1. 0s - &lt;30s",
    AC779*86400 &lt; 60, "2. 30s - &lt;1m",
    AC779*86400 &lt; 300, "3. 1m - &lt;5m",
    AC779*86400 &lt; 1800, "4. 5m - &lt;30m",
    TRUE, "5. &gt;= 30m"
),"6. Invalid (Order rejected)")</f>
        <v>5. &gt;= 30m</v>
      </c>
    </row>
    <row r="780" spans="1:30" hidden="1" x14ac:dyDescent="0.3">
      <c r="A780" t="s">
        <v>5155</v>
      </c>
      <c r="B780" t="s">
        <v>25</v>
      </c>
      <c r="C780">
        <v>43783789</v>
      </c>
      <c r="D780">
        <v>0</v>
      </c>
      <c r="E780" t="s">
        <v>25</v>
      </c>
      <c r="F780" t="s">
        <v>26</v>
      </c>
      <c r="G780" t="s">
        <v>27</v>
      </c>
      <c r="H780" t="s">
        <v>5156</v>
      </c>
      <c r="I780" t="s">
        <v>5157</v>
      </c>
      <c r="J780" t="s">
        <v>26</v>
      </c>
      <c r="K780" t="s">
        <v>26</v>
      </c>
      <c r="L780" t="s">
        <v>5158</v>
      </c>
      <c r="M780" t="s">
        <v>25</v>
      </c>
      <c r="N780" t="s">
        <v>5159</v>
      </c>
      <c r="O780" t="s">
        <v>5160</v>
      </c>
      <c r="P780" t="s">
        <v>5161</v>
      </c>
      <c r="Q780" t="s">
        <v>5162</v>
      </c>
      <c r="R780">
        <v>164268</v>
      </c>
      <c r="S780">
        <v>0</v>
      </c>
      <c r="T780">
        <v>164268</v>
      </c>
      <c r="U780" t="s">
        <v>35</v>
      </c>
      <c r="V780" t="s">
        <v>5163</v>
      </c>
      <c r="W780" t="s">
        <v>5148</v>
      </c>
      <c r="X780" s="4">
        <v>1</v>
      </c>
      <c r="Y780" s="4"/>
      <c r="Z780">
        <f t="shared" si="48"/>
        <v>8</v>
      </c>
      <c r="AA780">
        <f t="shared" si="49"/>
        <v>21</v>
      </c>
      <c r="AB780" s="5">
        <f t="shared" si="50"/>
        <v>0.32215277777868323</v>
      </c>
      <c r="AC780" s="3">
        <f t="shared" si="51"/>
        <v>9.0277777773735579E-2</v>
      </c>
      <c r="AD780" t="str" cm="1">
        <f t="array" ref="AD780">IFERROR(_xlfn.IFS(
    AC780="", "",
    AC780*86400 &lt; 30, "1. 0s - &lt;30s",
    AC780*86400 &lt; 60, "2. 30s - &lt;1m",
    AC780*86400 &lt; 300, "3. 1m - &lt;5m",
    AC780*86400 &lt; 1800, "4. 5m - &lt;30m",
    TRUE, "5. &gt;= 30m"
),"6. Invalid (Order rejected)")</f>
        <v>5. &gt;= 30m</v>
      </c>
    </row>
    <row r="781" spans="1:30" hidden="1" x14ac:dyDescent="0.3">
      <c r="A781" t="s">
        <v>5164</v>
      </c>
      <c r="B781" t="s">
        <v>25</v>
      </c>
      <c r="C781">
        <v>43783789</v>
      </c>
      <c r="D781">
        <v>0</v>
      </c>
      <c r="E781" t="s">
        <v>25</v>
      </c>
      <c r="F781" t="s">
        <v>26</v>
      </c>
      <c r="G781" t="s">
        <v>27</v>
      </c>
      <c r="H781" t="s">
        <v>5165</v>
      </c>
      <c r="I781" t="s">
        <v>5166</v>
      </c>
      <c r="J781" t="s">
        <v>26</v>
      </c>
      <c r="K781" t="s">
        <v>26</v>
      </c>
      <c r="L781" t="s">
        <v>5167</v>
      </c>
      <c r="M781" t="s">
        <v>25</v>
      </c>
      <c r="N781" t="s">
        <v>5135</v>
      </c>
      <c r="O781" t="s">
        <v>5136</v>
      </c>
      <c r="P781" t="s">
        <v>4967</v>
      </c>
      <c r="Q781" t="s">
        <v>4968</v>
      </c>
      <c r="R781">
        <v>176580</v>
      </c>
      <c r="S781">
        <v>0</v>
      </c>
      <c r="T781">
        <v>176580</v>
      </c>
      <c r="U781" t="s">
        <v>35</v>
      </c>
      <c r="V781" t="s">
        <v>5137</v>
      </c>
      <c r="W781" t="s">
        <v>4970</v>
      </c>
      <c r="X781" s="4">
        <v>1</v>
      </c>
      <c r="Y781" s="4"/>
      <c r="Z781">
        <f t="shared" si="48"/>
        <v>8</v>
      </c>
      <c r="AA781">
        <f t="shared" si="49"/>
        <v>21</v>
      </c>
      <c r="AB781" s="5">
        <f t="shared" si="50"/>
        <v>0.32315972222568234</v>
      </c>
      <c r="AC781" s="3">
        <f t="shared" si="51"/>
        <v>9.0266203696955927E-2</v>
      </c>
      <c r="AD781" t="str" cm="1">
        <f t="array" ref="AD781">IFERROR(_xlfn.IFS(
    AC781="", "",
    AC781*86400 &lt; 30, "1. 0s - &lt;30s",
    AC781*86400 &lt; 60, "2. 30s - &lt;1m",
    AC781*86400 &lt; 300, "3. 1m - &lt;5m",
    AC781*86400 &lt; 1800, "4. 5m - &lt;30m",
    TRUE, "5. &gt;= 30m"
),"6. Invalid (Order rejected)")</f>
        <v>5. &gt;= 30m</v>
      </c>
    </row>
    <row r="782" spans="1:30" hidden="1" x14ac:dyDescent="0.3">
      <c r="A782" t="s">
        <v>5168</v>
      </c>
      <c r="B782" t="s">
        <v>25</v>
      </c>
      <c r="C782">
        <v>43783789</v>
      </c>
      <c r="D782">
        <v>0</v>
      </c>
      <c r="E782" t="s">
        <v>25</v>
      </c>
      <c r="F782" t="s">
        <v>26</v>
      </c>
      <c r="G782" t="s">
        <v>27</v>
      </c>
      <c r="H782" t="s">
        <v>5169</v>
      </c>
      <c r="I782" t="s">
        <v>5170</v>
      </c>
      <c r="J782" t="s">
        <v>26</v>
      </c>
      <c r="K782" t="s">
        <v>26</v>
      </c>
      <c r="L782" t="s">
        <v>5171</v>
      </c>
      <c r="M782" t="s">
        <v>25</v>
      </c>
      <c r="N782" t="s">
        <v>1824</v>
      </c>
      <c r="O782" t="s">
        <v>1825</v>
      </c>
      <c r="P782" t="s">
        <v>89</v>
      </c>
      <c r="Q782" t="s">
        <v>90</v>
      </c>
      <c r="R782">
        <v>248292</v>
      </c>
      <c r="S782">
        <v>0</v>
      </c>
      <c r="T782">
        <v>248292</v>
      </c>
      <c r="U782" t="s">
        <v>35</v>
      </c>
      <c r="V782" t="s">
        <v>1828</v>
      </c>
      <c r="W782" t="s">
        <v>91</v>
      </c>
      <c r="X782" s="4">
        <v>1</v>
      </c>
      <c r="Y782" s="4"/>
      <c r="Z782">
        <f t="shared" si="48"/>
        <v>8</v>
      </c>
      <c r="AA782">
        <f t="shared" si="49"/>
        <v>21</v>
      </c>
      <c r="AB782" s="5">
        <f t="shared" si="50"/>
        <v>0.32818287036934635</v>
      </c>
      <c r="AC782" s="3">
        <f t="shared" si="51"/>
        <v>9.0266203704231884E-2</v>
      </c>
      <c r="AD782" t="str" cm="1">
        <f t="array" ref="AD782">IFERROR(_xlfn.IFS(
    AC782="", "",
    AC782*86400 &lt; 30, "1. 0s - &lt;30s",
    AC782*86400 &lt; 60, "2. 30s - &lt;1m",
    AC782*86400 &lt; 300, "3. 1m - &lt;5m",
    AC782*86400 &lt; 1800, "4. 5m - &lt;30m",
    TRUE, "5. &gt;= 30m"
),"6. Invalid (Order rejected)")</f>
        <v>5. &gt;= 30m</v>
      </c>
    </row>
    <row r="783" spans="1:30" hidden="1" x14ac:dyDescent="0.3">
      <c r="A783" t="s">
        <v>5172</v>
      </c>
      <c r="B783" t="s">
        <v>25</v>
      </c>
      <c r="C783">
        <v>43783789</v>
      </c>
      <c r="D783">
        <v>0</v>
      </c>
      <c r="E783" t="s">
        <v>25</v>
      </c>
      <c r="F783" t="s">
        <v>26</v>
      </c>
      <c r="G783" t="s">
        <v>27</v>
      </c>
      <c r="H783" t="s">
        <v>5173</v>
      </c>
      <c r="I783" t="s">
        <v>5174</v>
      </c>
      <c r="J783" t="s">
        <v>26</v>
      </c>
      <c r="K783" t="s">
        <v>26</v>
      </c>
      <c r="L783" t="s">
        <v>5175</v>
      </c>
      <c r="M783" t="s">
        <v>25</v>
      </c>
      <c r="N783" t="s">
        <v>1716</v>
      </c>
      <c r="O783" t="s">
        <v>1717</v>
      </c>
      <c r="P783" t="s">
        <v>4948</v>
      </c>
      <c r="Q783" t="s">
        <v>4949</v>
      </c>
      <c r="R783">
        <v>304452</v>
      </c>
      <c r="S783">
        <v>0</v>
      </c>
      <c r="T783">
        <v>304452</v>
      </c>
      <c r="U783" t="s">
        <v>35</v>
      </c>
      <c r="V783" t="s">
        <v>1720</v>
      </c>
      <c r="W783" t="s">
        <v>4950</v>
      </c>
      <c r="X783" s="4">
        <v>1</v>
      </c>
      <c r="Y783" s="4"/>
      <c r="Z783">
        <f t="shared" si="48"/>
        <v>8</v>
      </c>
      <c r="AA783">
        <f t="shared" si="49"/>
        <v>21</v>
      </c>
      <c r="AB783" s="5">
        <f t="shared" si="50"/>
        <v>0.31982638889166992</v>
      </c>
      <c r="AC783" s="3">
        <f t="shared" si="51"/>
        <v>9.0266203704231884E-2</v>
      </c>
      <c r="AD783" t="str" cm="1">
        <f t="array" ref="AD783">IFERROR(_xlfn.IFS(
    AC783="", "",
    AC783*86400 &lt; 30, "1. 0s - &lt;30s",
    AC783*86400 &lt; 60, "2. 30s - &lt;1m",
    AC783*86400 &lt; 300, "3. 1m - &lt;5m",
    AC783*86400 &lt; 1800, "4. 5m - &lt;30m",
    TRUE, "5. &gt;= 30m"
),"6. Invalid (Order rejected)")</f>
        <v>5. &gt;= 30m</v>
      </c>
    </row>
    <row r="784" spans="1:30" hidden="1" x14ac:dyDescent="0.3">
      <c r="A784" t="s">
        <v>5176</v>
      </c>
      <c r="B784" t="s">
        <v>25</v>
      </c>
      <c r="C784">
        <v>43783789</v>
      </c>
      <c r="D784">
        <v>3711487</v>
      </c>
      <c r="E784" t="s">
        <v>25</v>
      </c>
      <c r="F784" t="s">
        <v>75</v>
      </c>
      <c r="G784" t="s">
        <v>409</v>
      </c>
      <c r="H784" t="s">
        <v>5177</v>
      </c>
      <c r="I784" t="s">
        <v>5178</v>
      </c>
      <c r="J784" t="s">
        <v>5179</v>
      </c>
      <c r="K784" t="s">
        <v>26</v>
      </c>
      <c r="L784" t="s">
        <v>25</v>
      </c>
      <c r="M784" t="s">
        <v>5180</v>
      </c>
      <c r="N784" t="s">
        <v>5181</v>
      </c>
      <c r="O784" t="s">
        <v>5182</v>
      </c>
      <c r="P784" t="s">
        <v>103</v>
      </c>
      <c r="Q784" t="s">
        <v>104</v>
      </c>
      <c r="R784">
        <v>116532</v>
      </c>
      <c r="S784">
        <v>90339</v>
      </c>
      <c r="T784">
        <v>26193</v>
      </c>
      <c r="U784" t="s">
        <v>35</v>
      </c>
      <c r="V784" t="s">
        <v>5183</v>
      </c>
      <c r="W784" t="s">
        <v>105</v>
      </c>
      <c r="X784" s="4">
        <v>1</v>
      </c>
      <c r="Y784" s="4"/>
      <c r="Z784">
        <f t="shared" si="48"/>
        <v>8</v>
      </c>
      <c r="AA784">
        <f t="shared" si="49"/>
        <v>21</v>
      </c>
      <c r="AB784" s="5">
        <f t="shared" si="50"/>
        <v>0.32592592592845904</v>
      </c>
      <c r="AC784" s="3">
        <f t="shared" si="51"/>
        <v>0.13021990740526235</v>
      </c>
      <c r="AD784" t="str" cm="1">
        <f t="array" ref="AD784">IFERROR(_xlfn.IFS(
    AC784="", "",
    AC784*86400 &lt; 30, "1. 0s - &lt;30s",
    AC784*86400 &lt; 60, "2. 30s - &lt;1m",
    AC784*86400 &lt; 300, "3. 1m - &lt;5m",
    AC784*86400 &lt; 1800, "4. 5m - &lt;30m",
    TRUE, "5. &gt;= 30m"
),"6. Invalid (Order rejected)")</f>
        <v>5. &gt;= 30m</v>
      </c>
    </row>
    <row r="785" spans="1:30" x14ac:dyDescent="0.3">
      <c r="A785" t="s">
        <v>5184</v>
      </c>
      <c r="B785" t="s">
        <v>25</v>
      </c>
      <c r="C785">
        <v>43783789</v>
      </c>
      <c r="D785">
        <v>469029</v>
      </c>
      <c r="E785" t="s">
        <v>25</v>
      </c>
      <c r="F785" t="s">
        <v>75</v>
      </c>
      <c r="G785" t="s">
        <v>360</v>
      </c>
      <c r="H785" t="s">
        <v>5185</v>
      </c>
      <c r="I785" t="s">
        <v>5186</v>
      </c>
      <c r="J785" t="s">
        <v>5187</v>
      </c>
      <c r="K785" t="s">
        <v>26</v>
      </c>
      <c r="L785" t="s">
        <v>25</v>
      </c>
      <c r="M785" t="s">
        <v>25</v>
      </c>
      <c r="N785" t="s">
        <v>1702</v>
      </c>
      <c r="O785" t="s">
        <v>1703</v>
      </c>
      <c r="P785" t="s">
        <v>5041</v>
      </c>
      <c r="Q785" t="s">
        <v>5042</v>
      </c>
      <c r="R785">
        <v>323244</v>
      </c>
      <c r="S785">
        <v>265329</v>
      </c>
      <c r="T785">
        <v>57915</v>
      </c>
      <c r="U785" t="s">
        <v>35</v>
      </c>
      <c r="V785" t="s">
        <v>1706</v>
      </c>
      <c r="W785" t="s">
        <v>5043</v>
      </c>
      <c r="X785" s="4">
        <v>1</v>
      </c>
      <c r="Y785" s="4"/>
      <c r="Z785">
        <f t="shared" si="48"/>
        <v>8</v>
      </c>
      <c r="AA785">
        <f t="shared" si="49"/>
        <v>21</v>
      </c>
      <c r="AB785" s="5">
        <f t="shared" si="50"/>
        <v>0.32068287036963739</v>
      </c>
      <c r="AC785" s="3" t="str">
        <f t="shared" si="51"/>
        <v>Order rejected, no time available</v>
      </c>
      <c r="AD785" t="str" cm="1">
        <f t="array" ref="AD785">IFERROR(_xlfn.IFS(
    AC785="", "",
    AC785*86400 &lt; 30, "1. 0s - &lt;30s",
    AC785*86400 &lt; 60, "2. 30s - &lt;1m",
    AC785*86400 &lt; 300, "3. 1m - &lt;5m",
    AC785*86400 &lt; 1800, "4. 5m - &lt;30m",
    TRUE, "5. &gt;= 30m"
),"6. Invalid (Order rejected)")</f>
        <v>6. Invalid (Order rejected)</v>
      </c>
    </row>
    <row r="786" spans="1:30" hidden="1" x14ac:dyDescent="0.3">
      <c r="A786" t="s">
        <v>5188</v>
      </c>
      <c r="B786" t="s">
        <v>25</v>
      </c>
      <c r="C786">
        <v>43783789</v>
      </c>
      <c r="D786">
        <v>0</v>
      </c>
      <c r="E786" t="s">
        <v>25</v>
      </c>
      <c r="F786" t="s">
        <v>26</v>
      </c>
      <c r="G786" t="s">
        <v>27</v>
      </c>
      <c r="H786" t="s">
        <v>5189</v>
      </c>
      <c r="I786" t="s">
        <v>5190</v>
      </c>
      <c r="J786" t="s">
        <v>26</v>
      </c>
      <c r="K786" t="s">
        <v>26</v>
      </c>
      <c r="L786" t="s">
        <v>5191</v>
      </c>
      <c r="M786" t="s">
        <v>25</v>
      </c>
      <c r="N786" t="s">
        <v>1702</v>
      </c>
      <c r="O786" t="s">
        <v>1703</v>
      </c>
      <c r="P786" t="s">
        <v>4937</v>
      </c>
      <c r="Q786" t="s">
        <v>4938</v>
      </c>
      <c r="R786">
        <v>259740</v>
      </c>
      <c r="S786">
        <v>0</v>
      </c>
      <c r="T786">
        <v>259740</v>
      </c>
      <c r="U786" t="s">
        <v>35</v>
      </c>
      <c r="V786" t="s">
        <v>1706</v>
      </c>
      <c r="W786" t="s">
        <v>4939</v>
      </c>
      <c r="X786" s="4">
        <v>1</v>
      </c>
      <c r="Y786" s="4"/>
      <c r="Z786">
        <f t="shared" si="48"/>
        <v>8</v>
      </c>
      <c r="AA786">
        <f t="shared" si="49"/>
        <v>21</v>
      </c>
      <c r="AB786" s="5">
        <f t="shared" si="50"/>
        <v>0.32083333333139308</v>
      </c>
      <c r="AC786" s="3">
        <f t="shared" si="51"/>
        <v>9.0266203704231884E-2</v>
      </c>
      <c r="AD786" t="str" cm="1">
        <f t="array" ref="AD786">IFERROR(_xlfn.IFS(
    AC786="", "",
    AC786*86400 &lt; 30, "1. 0s - &lt;30s",
    AC786*86400 &lt; 60, "2. 30s - &lt;1m",
    AC786*86400 &lt; 300, "3. 1m - &lt;5m",
    AC786*86400 &lt; 1800, "4. 5m - &lt;30m",
    TRUE, "5. &gt;= 30m"
),"6. Invalid (Order rejected)")</f>
        <v>5. &gt;= 30m</v>
      </c>
    </row>
    <row r="787" spans="1:30" hidden="1" x14ac:dyDescent="0.3">
      <c r="A787" t="s">
        <v>5192</v>
      </c>
      <c r="B787" t="s">
        <v>25</v>
      </c>
      <c r="C787">
        <v>43783789</v>
      </c>
      <c r="D787">
        <v>0</v>
      </c>
      <c r="E787" t="s">
        <v>25</v>
      </c>
      <c r="F787" t="s">
        <v>26</v>
      </c>
      <c r="G787" t="s">
        <v>27</v>
      </c>
      <c r="H787" t="s">
        <v>5193</v>
      </c>
      <c r="I787" t="s">
        <v>5194</v>
      </c>
      <c r="J787" t="s">
        <v>26</v>
      </c>
      <c r="K787" t="s">
        <v>26</v>
      </c>
      <c r="L787" t="s">
        <v>5195</v>
      </c>
      <c r="M787" t="s">
        <v>25</v>
      </c>
      <c r="N787" t="s">
        <v>1664</v>
      </c>
      <c r="O787" t="s">
        <v>1665</v>
      </c>
      <c r="P787" t="s">
        <v>5196</v>
      </c>
      <c r="Q787" t="s">
        <v>5197</v>
      </c>
      <c r="R787">
        <v>197208</v>
      </c>
      <c r="S787">
        <v>0</v>
      </c>
      <c r="T787">
        <v>197208</v>
      </c>
      <c r="U787" t="s">
        <v>35</v>
      </c>
      <c r="V787" t="s">
        <v>1668</v>
      </c>
      <c r="W787" t="s">
        <v>5198</v>
      </c>
      <c r="X787" s="4">
        <v>1</v>
      </c>
      <c r="Y787" s="4"/>
      <c r="Z787">
        <f t="shared" si="48"/>
        <v>8</v>
      </c>
      <c r="AA787">
        <f t="shared" si="49"/>
        <v>21</v>
      </c>
      <c r="AB787" s="5">
        <f t="shared" si="50"/>
        <v>0.32142361110891216</v>
      </c>
      <c r="AC787" s="3">
        <f t="shared" si="51"/>
        <v>9.0266203704231884E-2</v>
      </c>
      <c r="AD787" t="str" cm="1">
        <f t="array" ref="AD787">IFERROR(_xlfn.IFS(
    AC787="", "",
    AC787*86400 &lt; 30, "1. 0s - &lt;30s",
    AC787*86400 &lt; 60, "2. 30s - &lt;1m",
    AC787*86400 &lt; 300, "3. 1m - &lt;5m",
    AC787*86400 &lt; 1800, "4. 5m - &lt;30m",
    TRUE, "5. &gt;= 30m"
),"6. Invalid (Order rejected)")</f>
        <v>5. &gt;= 30m</v>
      </c>
    </row>
    <row r="788" spans="1:30" x14ac:dyDescent="0.3">
      <c r="A788" t="s">
        <v>5199</v>
      </c>
      <c r="B788" t="s">
        <v>25</v>
      </c>
      <c r="C788">
        <v>43783789</v>
      </c>
      <c r="D788">
        <v>3522477</v>
      </c>
      <c r="E788" t="s">
        <v>25</v>
      </c>
      <c r="F788" t="s">
        <v>75</v>
      </c>
      <c r="G788" t="s">
        <v>360</v>
      </c>
      <c r="H788" t="s">
        <v>5200</v>
      </c>
      <c r="I788" t="s">
        <v>5201</v>
      </c>
      <c r="J788" t="s">
        <v>5202</v>
      </c>
      <c r="K788" t="s">
        <v>5203</v>
      </c>
      <c r="L788" t="s">
        <v>25</v>
      </c>
      <c r="M788" t="s">
        <v>25</v>
      </c>
      <c r="N788" t="s">
        <v>5181</v>
      </c>
      <c r="O788" t="s">
        <v>5182</v>
      </c>
      <c r="P788" t="s">
        <v>180</v>
      </c>
      <c r="Q788" t="s">
        <v>181</v>
      </c>
      <c r="R788">
        <v>93312</v>
      </c>
      <c r="S788">
        <v>72338</v>
      </c>
      <c r="T788">
        <v>20974</v>
      </c>
      <c r="U788" t="s">
        <v>35</v>
      </c>
      <c r="V788" t="s">
        <v>5183</v>
      </c>
      <c r="W788" t="s">
        <v>182</v>
      </c>
      <c r="X788" s="4">
        <v>1</v>
      </c>
      <c r="Y788" s="4"/>
      <c r="Z788">
        <f t="shared" si="48"/>
        <v>8</v>
      </c>
      <c r="AA788">
        <f t="shared" si="49"/>
        <v>21</v>
      </c>
      <c r="AB788" s="5">
        <f t="shared" si="50"/>
        <v>0.32575231481314404</v>
      </c>
      <c r="AC788" s="3" t="str">
        <f t="shared" si="51"/>
        <v>Order rejected, no time available</v>
      </c>
      <c r="AD788" t="str" cm="1">
        <f t="array" ref="AD788">IFERROR(_xlfn.IFS(
    AC788="", "",
    AC788*86400 &lt; 30, "1. 0s - &lt;30s",
    AC788*86400 &lt; 60, "2. 30s - &lt;1m",
    AC788*86400 &lt; 300, "3. 1m - &lt;5m",
    AC788*86400 &lt; 1800, "4. 5m - &lt;30m",
    TRUE, "5. &gt;= 30m"
),"6. Invalid (Order rejected)")</f>
        <v>6. Invalid (Order rejected)</v>
      </c>
    </row>
    <row r="789" spans="1:30" hidden="1" x14ac:dyDescent="0.3">
      <c r="A789" t="s">
        <v>5204</v>
      </c>
      <c r="B789" t="s">
        <v>25</v>
      </c>
      <c r="C789">
        <v>43783789</v>
      </c>
      <c r="D789">
        <v>0</v>
      </c>
      <c r="E789" t="s">
        <v>25</v>
      </c>
      <c r="F789" t="s">
        <v>26</v>
      </c>
      <c r="G789" t="s">
        <v>27</v>
      </c>
      <c r="H789" t="s">
        <v>5205</v>
      </c>
      <c r="I789" t="s">
        <v>5206</v>
      </c>
      <c r="J789" t="s">
        <v>26</v>
      </c>
      <c r="K789" t="s">
        <v>26</v>
      </c>
      <c r="L789" t="s">
        <v>5207</v>
      </c>
      <c r="M789" t="s">
        <v>25</v>
      </c>
      <c r="N789" t="s">
        <v>5208</v>
      </c>
      <c r="O789" t="s">
        <v>5209</v>
      </c>
      <c r="P789" t="s">
        <v>96</v>
      </c>
      <c r="Q789" t="s">
        <v>97</v>
      </c>
      <c r="R789">
        <v>169776</v>
      </c>
      <c r="S789">
        <v>0</v>
      </c>
      <c r="T789">
        <v>169776</v>
      </c>
      <c r="U789" t="s">
        <v>35</v>
      </c>
      <c r="V789" t="s">
        <v>5210</v>
      </c>
      <c r="W789" t="s">
        <v>98</v>
      </c>
      <c r="X789" s="4">
        <v>1</v>
      </c>
      <c r="Y789" s="4"/>
      <c r="Z789">
        <f t="shared" si="48"/>
        <v>8</v>
      </c>
      <c r="AA789">
        <f t="shared" si="49"/>
        <v>21</v>
      </c>
      <c r="AB789" s="5">
        <f t="shared" si="50"/>
        <v>0.32879629629314877</v>
      </c>
      <c r="AC789" s="3">
        <f t="shared" si="51"/>
        <v>9.0266203704231884E-2</v>
      </c>
      <c r="AD789" t="str" cm="1">
        <f t="array" ref="AD789">IFERROR(_xlfn.IFS(
    AC789="", "",
    AC789*86400 &lt; 30, "1. 0s - &lt;30s",
    AC789*86400 &lt; 60, "2. 30s - &lt;1m",
    AC789*86400 &lt; 300, "3. 1m - &lt;5m",
    AC789*86400 &lt; 1800, "4. 5m - &lt;30m",
    TRUE, "5. &gt;= 30m"
),"6. Invalid (Order rejected)")</f>
        <v>5. &gt;= 30m</v>
      </c>
    </row>
    <row r="790" spans="1:30" x14ac:dyDescent="0.3">
      <c r="A790" t="s">
        <v>5211</v>
      </c>
      <c r="B790" t="s">
        <v>25</v>
      </c>
      <c r="C790">
        <v>43783789</v>
      </c>
      <c r="D790">
        <v>4279770</v>
      </c>
      <c r="E790" t="s">
        <v>25</v>
      </c>
      <c r="F790" t="s">
        <v>75</v>
      </c>
      <c r="G790" t="s">
        <v>360</v>
      </c>
      <c r="H790" t="s">
        <v>5212</v>
      </c>
      <c r="I790" t="s">
        <v>5213</v>
      </c>
      <c r="J790" t="s">
        <v>5214</v>
      </c>
      <c r="K790" t="s">
        <v>26</v>
      </c>
      <c r="L790" t="s">
        <v>25</v>
      </c>
      <c r="M790" t="s">
        <v>25</v>
      </c>
      <c r="N790" t="s">
        <v>5208</v>
      </c>
      <c r="O790" t="s">
        <v>5209</v>
      </c>
      <c r="P790" t="s">
        <v>42</v>
      </c>
      <c r="Q790" t="s">
        <v>43</v>
      </c>
      <c r="R790">
        <v>132948</v>
      </c>
      <c r="S790">
        <v>103065</v>
      </c>
      <c r="T790">
        <v>29883</v>
      </c>
      <c r="U790" t="s">
        <v>35</v>
      </c>
      <c r="V790" t="s">
        <v>5210</v>
      </c>
      <c r="W790" t="s">
        <v>44</v>
      </c>
      <c r="X790" s="4">
        <v>1</v>
      </c>
      <c r="Y790" s="4"/>
      <c r="Z790">
        <f t="shared" si="48"/>
        <v>8</v>
      </c>
      <c r="AA790">
        <f t="shared" si="49"/>
        <v>21</v>
      </c>
      <c r="AB790" s="5">
        <f t="shared" si="50"/>
        <v>0.32958333333226619</v>
      </c>
      <c r="AC790" s="3" t="str">
        <f t="shared" si="51"/>
        <v>Order rejected, no time available</v>
      </c>
      <c r="AD790" t="str" cm="1">
        <f t="array" ref="AD790">IFERROR(_xlfn.IFS(
    AC790="", "",
    AC790*86400 &lt; 30, "1. 0s - &lt;30s",
    AC790*86400 &lt; 60, "2. 30s - &lt;1m",
    AC790*86400 &lt; 300, "3. 1m - &lt;5m",
    AC790*86400 &lt; 1800, "4. 5m - &lt;30m",
    TRUE, "5. &gt;= 30m"
),"6. Invalid (Order rejected)")</f>
        <v>6. Invalid (Order rejected)</v>
      </c>
    </row>
    <row r="791" spans="1:30" hidden="1" x14ac:dyDescent="0.3">
      <c r="A791" t="s">
        <v>5215</v>
      </c>
      <c r="B791" t="s">
        <v>25</v>
      </c>
      <c r="C791">
        <v>43783789</v>
      </c>
      <c r="D791">
        <v>0</v>
      </c>
      <c r="E791" t="s">
        <v>25</v>
      </c>
      <c r="F791" t="s">
        <v>26</v>
      </c>
      <c r="G791" t="s">
        <v>27</v>
      </c>
      <c r="H791" t="s">
        <v>5216</v>
      </c>
      <c r="I791" t="s">
        <v>5217</v>
      </c>
      <c r="J791" t="s">
        <v>26</v>
      </c>
      <c r="K791" t="s">
        <v>26</v>
      </c>
      <c r="L791" t="s">
        <v>5218</v>
      </c>
      <c r="M791" t="s">
        <v>25</v>
      </c>
      <c r="N791" t="s">
        <v>5219</v>
      </c>
      <c r="O791" t="s">
        <v>5220</v>
      </c>
      <c r="P791" t="s">
        <v>5221</v>
      </c>
      <c r="Q791" t="s">
        <v>5222</v>
      </c>
      <c r="R791">
        <v>182844</v>
      </c>
      <c r="S791">
        <v>0</v>
      </c>
      <c r="T791">
        <v>182844</v>
      </c>
      <c r="U791" t="s">
        <v>35</v>
      </c>
      <c r="V791" t="s">
        <v>4874</v>
      </c>
      <c r="W791" t="s">
        <v>5198</v>
      </c>
      <c r="X791" s="4">
        <v>1</v>
      </c>
      <c r="Y791" s="4"/>
      <c r="Z791">
        <f t="shared" si="48"/>
        <v>8</v>
      </c>
      <c r="AA791">
        <f t="shared" si="49"/>
        <v>21</v>
      </c>
      <c r="AB791" s="5">
        <f t="shared" si="50"/>
        <v>0.32421296296524815</v>
      </c>
      <c r="AC791" s="3">
        <f t="shared" si="51"/>
        <v>9.0266203704231884E-2</v>
      </c>
      <c r="AD791" t="str" cm="1">
        <f t="array" ref="AD791">IFERROR(_xlfn.IFS(
    AC791="", "",
    AC791*86400 &lt; 30, "1. 0s - &lt;30s",
    AC791*86400 &lt; 60, "2. 30s - &lt;1m",
    AC791*86400 &lt; 300, "3. 1m - &lt;5m",
    AC791*86400 &lt; 1800, "4. 5m - &lt;30m",
    TRUE, "5. &gt;= 30m"
),"6. Invalid (Order rejected)")</f>
        <v>5. &gt;= 30m</v>
      </c>
    </row>
    <row r="792" spans="1:30" x14ac:dyDescent="0.3">
      <c r="A792" t="s">
        <v>5223</v>
      </c>
      <c r="B792" t="s">
        <v>25</v>
      </c>
      <c r="C792">
        <v>43783789</v>
      </c>
      <c r="D792">
        <v>3491557</v>
      </c>
      <c r="E792" t="s">
        <v>25</v>
      </c>
      <c r="F792" t="s">
        <v>75</v>
      </c>
      <c r="G792" t="s">
        <v>360</v>
      </c>
      <c r="H792" t="s">
        <v>5224</v>
      </c>
      <c r="I792" t="s">
        <v>5225</v>
      </c>
      <c r="J792" t="s">
        <v>5226</v>
      </c>
      <c r="K792" t="s">
        <v>5227</v>
      </c>
      <c r="L792" t="s">
        <v>25</v>
      </c>
      <c r="M792" t="s">
        <v>25</v>
      </c>
      <c r="N792" t="s">
        <v>5181</v>
      </c>
      <c r="O792" t="s">
        <v>5182</v>
      </c>
      <c r="P792" t="s">
        <v>3865</v>
      </c>
      <c r="Q792" t="s">
        <v>3866</v>
      </c>
      <c r="R792">
        <v>93420</v>
      </c>
      <c r="S792">
        <v>72422</v>
      </c>
      <c r="T792">
        <v>20998</v>
      </c>
      <c r="U792" t="s">
        <v>35</v>
      </c>
      <c r="V792" t="s">
        <v>5183</v>
      </c>
      <c r="W792" t="s">
        <v>3868</v>
      </c>
      <c r="X792" s="4">
        <v>1</v>
      </c>
      <c r="Y792" s="4"/>
      <c r="Z792">
        <f t="shared" si="48"/>
        <v>8</v>
      </c>
      <c r="AA792">
        <f t="shared" si="49"/>
        <v>21</v>
      </c>
      <c r="AB792" s="5">
        <f t="shared" si="50"/>
        <v>0.32641203703678912</v>
      </c>
      <c r="AC792" s="3" t="str">
        <f t="shared" si="51"/>
        <v>Order rejected, no time available</v>
      </c>
      <c r="AD792" t="str" cm="1">
        <f t="array" ref="AD792">IFERROR(_xlfn.IFS(
    AC792="", "",
    AC792*86400 &lt; 30, "1. 0s - &lt;30s",
    AC792*86400 &lt; 60, "2. 30s - &lt;1m",
    AC792*86400 &lt; 300, "3. 1m - &lt;5m",
    AC792*86400 &lt; 1800, "4. 5m - &lt;30m",
    TRUE, "5. &gt;= 30m"
),"6. Invalid (Order rejected)")</f>
        <v>6. Invalid (Order rejected)</v>
      </c>
    </row>
    <row r="793" spans="1:30" x14ac:dyDescent="0.3">
      <c r="A793" t="s">
        <v>5228</v>
      </c>
      <c r="B793" t="s">
        <v>25</v>
      </c>
      <c r="C793">
        <v>43783789</v>
      </c>
      <c r="D793">
        <v>3655869</v>
      </c>
      <c r="E793" t="s">
        <v>25</v>
      </c>
      <c r="F793" t="s">
        <v>75</v>
      </c>
      <c r="G793" t="s">
        <v>360</v>
      </c>
      <c r="H793" t="s">
        <v>5229</v>
      </c>
      <c r="I793" t="s">
        <v>5230</v>
      </c>
      <c r="J793" t="s">
        <v>5231</v>
      </c>
      <c r="K793" t="s">
        <v>26</v>
      </c>
      <c r="L793" t="s">
        <v>25</v>
      </c>
      <c r="M793" t="s">
        <v>25</v>
      </c>
      <c r="N793" t="s">
        <v>5135</v>
      </c>
      <c r="O793" t="s">
        <v>5136</v>
      </c>
      <c r="P793" t="s">
        <v>4948</v>
      </c>
      <c r="Q793" t="s">
        <v>4949</v>
      </c>
      <c r="R793">
        <v>293220</v>
      </c>
      <c r="S793">
        <v>227313</v>
      </c>
      <c r="T793">
        <v>65907</v>
      </c>
      <c r="U793" t="s">
        <v>35</v>
      </c>
      <c r="V793" t="s">
        <v>5137</v>
      </c>
      <c r="W793" t="s">
        <v>4950</v>
      </c>
      <c r="X793" s="4">
        <v>1</v>
      </c>
      <c r="Y793" s="4"/>
      <c r="Z793">
        <f t="shared" si="48"/>
        <v>8</v>
      </c>
      <c r="AA793">
        <f t="shared" si="49"/>
        <v>21</v>
      </c>
      <c r="AB793" s="5">
        <f t="shared" si="50"/>
        <v>0.32288194444117835</v>
      </c>
      <c r="AC793" s="3" t="str">
        <f t="shared" si="51"/>
        <v>Order rejected, no time available</v>
      </c>
      <c r="AD793" t="str" cm="1">
        <f t="array" ref="AD793">IFERROR(_xlfn.IFS(
    AC793="", "",
    AC793*86400 &lt; 30, "1. 0s - &lt;30s",
    AC793*86400 &lt; 60, "2. 30s - &lt;1m",
    AC793*86400 &lt; 300, "3. 1m - &lt;5m",
    AC793*86400 &lt; 1800, "4. 5m - &lt;30m",
    TRUE, "5. &gt;= 30m"
),"6. Invalid (Order rejected)")</f>
        <v>6. Invalid (Order rejected)</v>
      </c>
    </row>
    <row r="794" spans="1:30" hidden="1" x14ac:dyDescent="0.3">
      <c r="A794" t="s">
        <v>5232</v>
      </c>
      <c r="B794" t="s">
        <v>25</v>
      </c>
      <c r="C794">
        <v>43783789</v>
      </c>
      <c r="D794">
        <v>0</v>
      </c>
      <c r="E794" t="s">
        <v>25</v>
      </c>
      <c r="F794" t="s">
        <v>26</v>
      </c>
      <c r="G794" t="s">
        <v>27</v>
      </c>
      <c r="H794" t="s">
        <v>5233</v>
      </c>
      <c r="I794" t="s">
        <v>5234</v>
      </c>
      <c r="J794" t="s">
        <v>26</v>
      </c>
      <c r="K794" t="s">
        <v>26</v>
      </c>
      <c r="L794" t="s">
        <v>5235</v>
      </c>
      <c r="M794" t="s">
        <v>25</v>
      </c>
      <c r="N794" t="s">
        <v>5219</v>
      </c>
      <c r="O794" t="s">
        <v>5220</v>
      </c>
      <c r="P794" t="s">
        <v>4937</v>
      </c>
      <c r="Q794" t="s">
        <v>4938</v>
      </c>
      <c r="R794">
        <v>254124</v>
      </c>
      <c r="S794">
        <v>0</v>
      </c>
      <c r="T794">
        <v>254124</v>
      </c>
      <c r="U794" t="s">
        <v>35</v>
      </c>
      <c r="V794" t="s">
        <v>4874</v>
      </c>
      <c r="W794" t="s">
        <v>4939</v>
      </c>
      <c r="X794" s="4">
        <v>1</v>
      </c>
      <c r="Y794" s="4"/>
      <c r="Z794">
        <f t="shared" si="48"/>
        <v>8</v>
      </c>
      <c r="AA794">
        <f t="shared" si="49"/>
        <v>21</v>
      </c>
      <c r="AB794" s="5">
        <f t="shared" si="50"/>
        <v>0.32376157407270512</v>
      </c>
      <c r="AC794" s="3">
        <f t="shared" si="51"/>
        <v>9.0266203704231884E-2</v>
      </c>
      <c r="AD794" t="str" cm="1">
        <f t="array" ref="AD794">IFERROR(_xlfn.IFS(
    AC794="", "",
    AC794*86400 &lt; 30, "1. 0s - &lt;30s",
    AC794*86400 &lt; 60, "2. 30s - &lt;1m",
    AC794*86400 &lt; 300, "3. 1m - &lt;5m",
    AC794*86400 &lt; 1800, "4. 5m - &lt;30m",
    TRUE, "5. &gt;= 30m"
),"6. Invalid (Order rejected)")</f>
        <v>5. &gt;= 30m</v>
      </c>
    </row>
    <row r="795" spans="1:30" hidden="1" x14ac:dyDescent="0.3">
      <c r="A795" t="s">
        <v>5236</v>
      </c>
      <c r="B795" t="s">
        <v>25</v>
      </c>
      <c r="C795">
        <v>43783789</v>
      </c>
      <c r="D795">
        <v>0</v>
      </c>
      <c r="E795" t="s">
        <v>25</v>
      </c>
      <c r="F795" t="s">
        <v>26</v>
      </c>
      <c r="G795" t="s">
        <v>27</v>
      </c>
      <c r="H795" t="s">
        <v>5237</v>
      </c>
      <c r="I795" t="s">
        <v>5238</v>
      </c>
      <c r="J795" t="s">
        <v>26</v>
      </c>
      <c r="K795" t="s">
        <v>26</v>
      </c>
      <c r="L795" t="s">
        <v>5239</v>
      </c>
      <c r="M795" t="s">
        <v>25</v>
      </c>
      <c r="N795" t="s">
        <v>5159</v>
      </c>
      <c r="O795" t="s">
        <v>5160</v>
      </c>
      <c r="P795" t="s">
        <v>5240</v>
      </c>
      <c r="Q795" t="s">
        <v>5241</v>
      </c>
      <c r="R795">
        <v>139968</v>
      </c>
      <c r="S795">
        <v>0</v>
      </c>
      <c r="T795">
        <v>139968</v>
      </c>
      <c r="U795" t="s">
        <v>35</v>
      </c>
      <c r="V795" t="s">
        <v>5163</v>
      </c>
      <c r="W795" t="s">
        <v>5242</v>
      </c>
      <c r="X795" s="4">
        <v>1</v>
      </c>
      <c r="Y795" s="4"/>
      <c r="Z795">
        <f t="shared" si="48"/>
        <v>8</v>
      </c>
      <c r="AA795">
        <f t="shared" si="49"/>
        <v>21</v>
      </c>
      <c r="AB795" s="5">
        <f t="shared" si="50"/>
        <v>0.32197916666336823</v>
      </c>
      <c r="AC795" s="3">
        <f t="shared" si="51"/>
        <v>9.0266203704231884E-2</v>
      </c>
      <c r="AD795" t="str" cm="1">
        <f t="array" ref="AD795">IFERROR(_xlfn.IFS(
    AC795="", "",
    AC795*86400 &lt; 30, "1. 0s - &lt;30s",
    AC795*86400 &lt; 60, "2. 30s - &lt;1m",
    AC795*86400 &lt; 300, "3. 1m - &lt;5m",
    AC795*86400 &lt; 1800, "4. 5m - &lt;30m",
    TRUE, "5. &gt;= 30m"
),"6. Invalid (Order rejected)")</f>
        <v>5. &gt;= 30m</v>
      </c>
    </row>
    <row r="796" spans="1:30" hidden="1" x14ac:dyDescent="0.3">
      <c r="A796" t="s">
        <v>5243</v>
      </c>
      <c r="B796" t="s">
        <v>25</v>
      </c>
      <c r="C796">
        <v>43783789</v>
      </c>
      <c r="D796">
        <v>0</v>
      </c>
      <c r="E796" t="s">
        <v>25</v>
      </c>
      <c r="F796" t="s">
        <v>26</v>
      </c>
      <c r="G796" t="s">
        <v>27</v>
      </c>
      <c r="H796" t="s">
        <v>5244</v>
      </c>
      <c r="I796" t="s">
        <v>5245</v>
      </c>
      <c r="J796" t="s">
        <v>26</v>
      </c>
      <c r="K796" t="s">
        <v>26</v>
      </c>
      <c r="L796" t="s">
        <v>5246</v>
      </c>
      <c r="M796" t="s">
        <v>25</v>
      </c>
      <c r="N796" t="s">
        <v>5135</v>
      </c>
      <c r="O796" t="s">
        <v>5136</v>
      </c>
      <c r="P796" t="s">
        <v>5027</v>
      </c>
      <c r="Q796" t="s">
        <v>5028</v>
      </c>
      <c r="R796">
        <v>266868</v>
      </c>
      <c r="S796">
        <v>0</v>
      </c>
      <c r="T796">
        <v>266868</v>
      </c>
      <c r="U796" t="s">
        <v>35</v>
      </c>
      <c r="V796" t="s">
        <v>5137</v>
      </c>
      <c r="W796" t="s">
        <v>5029</v>
      </c>
      <c r="X796" s="4">
        <v>1</v>
      </c>
      <c r="Y796" s="4"/>
      <c r="Z796">
        <f t="shared" si="48"/>
        <v>8</v>
      </c>
      <c r="AA796">
        <f t="shared" si="49"/>
        <v>21</v>
      </c>
      <c r="AB796" s="5">
        <f t="shared" si="50"/>
        <v>0.32302083333343035</v>
      </c>
      <c r="AC796" s="3">
        <f t="shared" si="51"/>
        <v>9.0266203704231884E-2</v>
      </c>
      <c r="AD796" t="str" cm="1">
        <f t="array" ref="AD796">IFERROR(_xlfn.IFS(
    AC796="", "",
    AC796*86400 &lt; 30, "1. 0s - &lt;30s",
    AC796*86400 &lt; 60, "2. 30s - &lt;1m",
    AC796*86400 &lt; 300, "3. 1m - &lt;5m",
    AC796*86400 &lt; 1800, "4. 5m - &lt;30m",
    TRUE, "5. &gt;= 30m"
),"6. Invalid (Order rejected)")</f>
        <v>5. &gt;= 30m</v>
      </c>
    </row>
    <row r="797" spans="1:30" x14ac:dyDescent="0.3">
      <c r="A797" t="s">
        <v>5247</v>
      </c>
      <c r="B797" t="s">
        <v>25</v>
      </c>
      <c r="C797">
        <v>43783789</v>
      </c>
      <c r="D797">
        <v>3635033</v>
      </c>
      <c r="E797" t="s">
        <v>25</v>
      </c>
      <c r="F797" t="s">
        <v>75</v>
      </c>
      <c r="G797" t="s">
        <v>360</v>
      </c>
      <c r="H797" t="s">
        <v>5248</v>
      </c>
      <c r="I797" t="s">
        <v>5249</v>
      </c>
      <c r="J797" t="s">
        <v>5250</v>
      </c>
      <c r="K797" t="s">
        <v>26</v>
      </c>
      <c r="L797" t="s">
        <v>25</v>
      </c>
      <c r="M797" t="s">
        <v>25</v>
      </c>
      <c r="N797" t="s">
        <v>5219</v>
      </c>
      <c r="O797" t="s">
        <v>5220</v>
      </c>
      <c r="P797" t="s">
        <v>5041</v>
      </c>
      <c r="Q797" t="s">
        <v>5042</v>
      </c>
      <c r="R797">
        <v>247968</v>
      </c>
      <c r="S797">
        <v>192233</v>
      </c>
      <c r="T797">
        <v>55735</v>
      </c>
      <c r="U797" t="s">
        <v>35</v>
      </c>
      <c r="V797" t="s">
        <v>4874</v>
      </c>
      <c r="W797" t="s">
        <v>5043</v>
      </c>
      <c r="X797" s="4">
        <v>1</v>
      </c>
      <c r="Y797" s="4"/>
      <c r="Z797">
        <f t="shared" si="48"/>
        <v>8</v>
      </c>
      <c r="AA797">
        <f t="shared" si="49"/>
        <v>21</v>
      </c>
      <c r="AB797" s="5">
        <f t="shared" si="50"/>
        <v>0.32362268518772908</v>
      </c>
      <c r="AC797" s="3" t="str">
        <f t="shared" si="51"/>
        <v>Order rejected, no time available</v>
      </c>
      <c r="AD797" t="str" cm="1">
        <f t="array" ref="AD797">IFERROR(_xlfn.IFS(
    AC797="", "",
    AC797*86400 &lt; 30, "1. 0s - &lt;30s",
    AC797*86400 &lt; 60, "2. 30s - &lt;1m",
    AC797*86400 &lt; 300, "3. 1m - &lt;5m",
    AC797*86400 &lt; 1800, "4. 5m - &lt;30m",
    TRUE, "5. &gt;= 30m"
),"6. Invalid (Order rejected)")</f>
        <v>6. Invalid (Order rejected)</v>
      </c>
    </row>
    <row r="798" spans="1:30" hidden="1" x14ac:dyDescent="0.3">
      <c r="A798" t="s">
        <v>5251</v>
      </c>
      <c r="B798" t="s">
        <v>25</v>
      </c>
      <c r="C798">
        <v>43783789</v>
      </c>
      <c r="D798">
        <v>0</v>
      </c>
      <c r="E798" t="s">
        <v>25</v>
      </c>
      <c r="F798" t="s">
        <v>26</v>
      </c>
      <c r="G798" t="s">
        <v>27</v>
      </c>
      <c r="H798" t="s">
        <v>5252</v>
      </c>
      <c r="I798" t="s">
        <v>5253</v>
      </c>
      <c r="J798" t="s">
        <v>26</v>
      </c>
      <c r="K798" t="s">
        <v>26</v>
      </c>
      <c r="L798" t="s">
        <v>5254</v>
      </c>
      <c r="M798" t="s">
        <v>25</v>
      </c>
      <c r="N798" t="s">
        <v>5208</v>
      </c>
      <c r="O798" t="s">
        <v>5209</v>
      </c>
      <c r="P798" t="s">
        <v>3102</v>
      </c>
      <c r="Q798" t="s">
        <v>3103</v>
      </c>
      <c r="R798">
        <v>166536</v>
      </c>
      <c r="S798">
        <v>0</v>
      </c>
      <c r="T798">
        <v>166536</v>
      </c>
      <c r="U798" t="s">
        <v>35</v>
      </c>
      <c r="V798" t="s">
        <v>5210</v>
      </c>
      <c r="W798" t="s">
        <v>3104</v>
      </c>
      <c r="X798" s="4">
        <v>1</v>
      </c>
      <c r="Y798" s="4"/>
      <c r="Z798">
        <f t="shared" si="48"/>
        <v>8</v>
      </c>
      <c r="AA798">
        <f t="shared" si="49"/>
        <v>21</v>
      </c>
      <c r="AB798" s="5">
        <f t="shared" si="50"/>
        <v>0.32896990740846377</v>
      </c>
      <c r="AC798" s="3">
        <f t="shared" si="51"/>
        <v>9.0266203704231884E-2</v>
      </c>
      <c r="AD798" t="str" cm="1">
        <f t="array" ref="AD798">IFERROR(_xlfn.IFS(
    AC798="", "",
    AC798*86400 &lt; 30, "1. 0s - &lt;30s",
    AC798*86400 &lt; 60, "2. 30s - &lt;1m",
    AC798*86400 &lt; 300, "3. 1m - &lt;5m",
    AC798*86400 &lt; 1800, "4. 5m - &lt;30m",
    TRUE, "5. &gt;= 30m"
),"6. Invalid (Order rejected)")</f>
        <v>5. &gt;= 30m</v>
      </c>
    </row>
    <row r="799" spans="1:30" hidden="1" x14ac:dyDescent="0.3">
      <c r="A799" t="s">
        <v>5255</v>
      </c>
      <c r="B799" t="s">
        <v>25</v>
      </c>
      <c r="C799">
        <v>43783789</v>
      </c>
      <c r="D799">
        <v>0</v>
      </c>
      <c r="E799" t="s">
        <v>25</v>
      </c>
      <c r="F799" t="s">
        <v>26</v>
      </c>
      <c r="G799" t="s">
        <v>27</v>
      </c>
      <c r="H799" t="s">
        <v>5256</v>
      </c>
      <c r="I799" t="s">
        <v>5257</v>
      </c>
      <c r="J799" t="s">
        <v>26</v>
      </c>
      <c r="K799" t="s">
        <v>26</v>
      </c>
      <c r="L799" t="s">
        <v>5258</v>
      </c>
      <c r="M799" t="s">
        <v>25</v>
      </c>
      <c r="N799" t="s">
        <v>5208</v>
      </c>
      <c r="O799" t="s">
        <v>5209</v>
      </c>
      <c r="P799" t="s">
        <v>103</v>
      </c>
      <c r="Q799" t="s">
        <v>104</v>
      </c>
      <c r="R799">
        <v>158760</v>
      </c>
      <c r="S799">
        <v>0</v>
      </c>
      <c r="T799">
        <v>158760</v>
      </c>
      <c r="U799" t="s">
        <v>35</v>
      </c>
      <c r="V799" t="s">
        <v>5210</v>
      </c>
      <c r="W799" t="s">
        <v>105</v>
      </c>
      <c r="X799" s="4">
        <v>1</v>
      </c>
      <c r="Y799" s="4"/>
      <c r="Z799">
        <f t="shared" si="48"/>
        <v>8</v>
      </c>
      <c r="AA799">
        <f t="shared" si="49"/>
        <v>21</v>
      </c>
      <c r="AB799" s="5">
        <f t="shared" si="50"/>
        <v>0.3294328703705105</v>
      </c>
      <c r="AC799" s="3">
        <f t="shared" si="51"/>
        <v>9.0277777781011537E-2</v>
      </c>
      <c r="AD799" t="str" cm="1">
        <f t="array" ref="AD799">IFERROR(_xlfn.IFS(
    AC799="", "",
    AC799*86400 &lt; 30, "1. 0s - &lt;30s",
    AC799*86400 &lt; 60, "2. 30s - &lt;1m",
    AC799*86400 &lt; 300, "3. 1m - &lt;5m",
    AC799*86400 &lt; 1800, "4. 5m - &lt;30m",
    TRUE, "5. &gt;= 30m"
),"6. Invalid (Order rejected)")</f>
        <v>5. &gt;= 30m</v>
      </c>
    </row>
    <row r="800" spans="1:30" x14ac:dyDescent="0.3">
      <c r="A800" t="s">
        <v>5259</v>
      </c>
      <c r="B800" t="s">
        <v>25</v>
      </c>
      <c r="C800">
        <v>43783789</v>
      </c>
      <c r="D800">
        <v>3836681</v>
      </c>
      <c r="E800" t="s">
        <v>25</v>
      </c>
      <c r="F800" t="s">
        <v>75</v>
      </c>
      <c r="G800" t="s">
        <v>360</v>
      </c>
      <c r="H800" t="s">
        <v>5260</v>
      </c>
      <c r="I800" t="s">
        <v>5261</v>
      </c>
      <c r="J800" t="s">
        <v>5262</v>
      </c>
      <c r="K800" t="s">
        <v>26</v>
      </c>
      <c r="L800" t="s">
        <v>25</v>
      </c>
      <c r="M800" t="s">
        <v>25</v>
      </c>
      <c r="N800" t="s">
        <v>3093</v>
      </c>
      <c r="O800" t="s">
        <v>3094</v>
      </c>
      <c r="P800" t="s">
        <v>96</v>
      </c>
      <c r="Q800" t="s">
        <v>97</v>
      </c>
      <c r="R800">
        <v>124848</v>
      </c>
      <c r="S800">
        <v>96786</v>
      </c>
      <c r="T800">
        <v>28062</v>
      </c>
      <c r="U800" t="s">
        <v>35</v>
      </c>
      <c r="V800" t="s">
        <v>3095</v>
      </c>
      <c r="W800" t="s">
        <v>98</v>
      </c>
      <c r="X800" s="4">
        <v>1</v>
      </c>
      <c r="Y800" s="4"/>
      <c r="Z800">
        <f t="shared" si="48"/>
        <v>8</v>
      </c>
      <c r="AA800">
        <f t="shared" si="49"/>
        <v>21</v>
      </c>
      <c r="AB800" s="5">
        <f t="shared" si="50"/>
        <v>0.32504629629693227</v>
      </c>
      <c r="AC800" s="3" t="str">
        <f t="shared" si="51"/>
        <v>Order rejected, no time available</v>
      </c>
      <c r="AD800" t="str" cm="1">
        <f t="array" ref="AD800">IFERROR(_xlfn.IFS(
    AC800="", "",
    AC800*86400 &lt; 30, "1. 0s - &lt;30s",
    AC800*86400 &lt; 60, "2. 30s - &lt;1m",
    AC800*86400 &lt; 300, "3. 1m - &lt;5m",
    AC800*86400 &lt; 1800, "4. 5m - &lt;30m",
    TRUE, "5. &gt;= 30m"
),"6. Invalid (Order rejected)")</f>
        <v>6. Invalid (Order rejected)</v>
      </c>
    </row>
    <row r="801" spans="1:30" hidden="1" x14ac:dyDescent="0.3">
      <c r="A801" t="s">
        <v>5263</v>
      </c>
      <c r="B801" t="s">
        <v>25</v>
      </c>
      <c r="C801">
        <v>43783789</v>
      </c>
      <c r="D801">
        <v>0</v>
      </c>
      <c r="E801" t="s">
        <v>25</v>
      </c>
      <c r="F801" t="s">
        <v>26</v>
      </c>
      <c r="G801" t="s">
        <v>27</v>
      </c>
      <c r="H801" t="s">
        <v>5264</v>
      </c>
      <c r="I801" t="s">
        <v>5265</v>
      </c>
      <c r="J801" t="s">
        <v>26</v>
      </c>
      <c r="K801" t="s">
        <v>26</v>
      </c>
      <c r="L801" t="s">
        <v>5266</v>
      </c>
      <c r="M801" t="s">
        <v>25</v>
      </c>
      <c r="N801" t="s">
        <v>1824</v>
      </c>
      <c r="O801" t="s">
        <v>1825</v>
      </c>
      <c r="P801" t="s">
        <v>103</v>
      </c>
      <c r="Q801" t="s">
        <v>104</v>
      </c>
      <c r="R801">
        <v>182844</v>
      </c>
      <c r="S801">
        <v>0</v>
      </c>
      <c r="T801">
        <v>182844</v>
      </c>
      <c r="U801" t="s">
        <v>35</v>
      </c>
      <c r="V801" t="s">
        <v>1828</v>
      </c>
      <c r="W801" t="s">
        <v>105</v>
      </c>
      <c r="X801" s="4">
        <v>1</v>
      </c>
      <c r="Y801" s="4"/>
      <c r="Z801">
        <f t="shared" si="48"/>
        <v>8</v>
      </c>
      <c r="AA801">
        <f t="shared" si="49"/>
        <v>21</v>
      </c>
      <c r="AB801" s="5">
        <f t="shared" si="50"/>
        <v>0.32739583333022892</v>
      </c>
      <c r="AC801" s="3">
        <f t="shared" si="51"/>
        <v>9.0266203704231884E-2</v>
      </c>
      <c r="AD801" t="str" cm="1">
        <f t="array" ref="AD801">IFERROR(_xlfn.IFS(
    AC801="", "",
    AC801*86400 &lt; 30, "1. 0s - &lt;30s",
    AC801*86400 &lt; 60, "2. 30s - &lt;1m",
    AC801*86400 &lt; 300, "3. 1m - &lt;5m",
    AC801*86400 &lt; 1800, "4. 5m - &lt;30m",
    TRUE, "5. &gt;= 30m"
),"6. Invalid (Order rejected)")</f>
        <v>5. &gt;= 30m</v>
      </c>
    </row>
    <row r="802" spans="1:30" hidden="1" x14ac:dyDescent="0.3">
      <c r="A802" t="s">
        <v>5267</v>
      </c>
      <c r="B802" t="s">
        <v>25</v>
      </c>
      <c r="C802">
        <v>43783789</v>
      </c>
      <c r="D802">
        <v>0</v>
      </c>
      <c r="E802" t="s">
        <v>25</v>
      </c>
      <c r="F802" t="s">
        <v>26</v>
      </c>
      <c r="G802" t="s">
        <v>27</v>
      </c>
      <c r="H802" t="s">
        <v>5268</v>
      </c>
      <c r="I802" t="s">
        <v>5269</v>
      </c>
      <c r="J802" t="s">
        <v>26</v>
      </c>
      <c r="K802" t="s">
        <v>26</v>
      </c>
      <c r="L802" t="s">
        <v>5270</v>
      </c>
      <c r="M802" t="s">
        <v>25</v>
      </c>
      <c r="N802" t="s">
        <v>1824</v>
      </c>
      <c r="O802" t="s">
        <v>1825</v>
      </c>
      <c r="P802" t="s">
        <v>96</v>
      </c>
      <c r="Q802" t="s">
        <v>97</v>
      </c>
      <c r="R802">
        <v>190188</v>
      </c>
      <c r="S802">
        <v>0</v>
      </c>
      <c r="T802">
        <v>190188</v>
      </c>
      <c r="U802" t="s">
        <v>35</v>
      </c>
      <c r="V802" t="s">
        <v>1828</v>
      </c>
      <c r="W802" t="s">
        <v>98</v>
      </c>
      <c r="X802" s="4">
        <v>1</v>
      </c>
      <c r="Y802" s="4"/>
      <c r="Z802">
        <f t="shared" si="48"/>
        <v>8</v>
      </c>
      <c r="AA802">
        <f t="shared" si="49"/>
        <v>21</v>
      </c>
      <c r="AB802" s="5">
        <f t="shared" si="50"/>
        <v>0.32799768518452765</v>
      </c>
      <c r="AC802" s="3">
        <f t="shared" si="51"/>
        <v>9.0266203704231884E-2</v>
      </c>
      <c r="AD802" t="str" cm="1">
        <f t="array" ref="AD802">IFERROR(_xlfn.IFS(
    AC802="", "",
    AC802*86400 &lt; 30, "1. 0s - &lt;30s",
    AC802*86400 &lt; 60, "2. 30s - &lt;1m",
    AC802*86400 &lt; 300, "3. 1m - &lt;5m",
    AC802*86400 &lt; 1800, "4. 5m - &lt;30m",
    TRUE, "5. &gt;= 30m"
),"6. Invalid (Order rejected)")</f>
        <v>5. &gt;= 30m</v>
      </c>
    </row>
    <row r="803" spans="1:30" x14ac:dyDescent="0.3">
      <c r="A803" t="s">
        <v>5271</v>
      </c>
      <c r="B803" t="s">
        <v>25</v>
      </c>
      <c r="C803">
        <v>43783789</v>
      </c>
      <c r="D803">
        <v>864345</v>
      </c>
      <c r="E803" t="s">
        <v>25</v>
      </c>
      <c r="F803" t="s">
        <v>75</v>
      </c>
      <c r="G803" t="s">
        <v>360</v>
      </c>
      <c r="H803" t="s">
        <v>5272</v>
      </c>
      <c r="I803" t="s">
        <v>5273</v>
      </c>
      <c r="J803" t="s">
        <v>5274</v>
      </c>
      <c r="K803" t="s">
        <v>26</v>
      </c>
      <c r="L803" t="s">
        <v>25</v>
      </c>
      <c r="M803" t="s">
        <v>25</v>
      </c>
      <c r="N803" t="s">
        <v>5219</v>
      </c>
      <c r="O803" t="s">
        <v>5220</v>
      </c>
      <c r="P803" t="s">
        <v>5116</v>
      </c>
      <c r="Q803" t="s">
        <v>5117</v>
      </c>
      <c r="R803">
        <v>115560</v>
      </c>
      <c r="S803">
        <v>89586</v>
      </c>
      <c r="T803">
        <v>25974</v>
      </c>
      <c r="U803" t="s">
        <v>35</v>
      </c>
      <c r="V803" t="s">
        <v>4874</v>
      </c>
      <c r="W803" t="s">
        <v>5118</v>
      </c>
      <c r="X803" s="4">
        <v>1</v>
      </c>
      <c r="Y803" s="4"/>
      <c r="Z803">
        <f t="shared" si="48"/>
        <v>8</v>
      </c>
      <c r="AA803">
        <f t="shared" si="49"/>
        <v>21</v>
      </c>
      <c r="AB803" s="5">
        <f t="shared" si="50"/>
        <v>0.32405092592671281</v>
      </c>
      <c r="AC803" s="3" t="str">
        <f t="shared" si="51"/>
        <v>Order rejected, no time available</v>
      </c>
      <c r="AD803" t="str" cm="1">
        <f t="array" ref="AD803">IFERROR(_xlfn.IFS(
    AC803="", "",
    AC803*86400 &lt; 30, "1. 0s - &lt;30s",
    AC803*86400 &lt; 60, "2. 30s - &lt;1m",
    AC803*86400 &lt; 300, "3. 1m - &lt;5m",
    AC803*86400 &lt; 1800, "4. 5m - &lt;30m",
    TRUE, "5. &gt;= 30m"
),"6. Invalid (Order rejected)")</f>
        <v>6. Invalid (Order rejected)</v>
      </c>
    </row>
    <row r="804" spans="1:30" hidden="1" x14ac:dyDescent="0.3">
      <c r="A804" t="s">
        <v>5275</v>
      </c>
      <c r="B804" t="s">
        <v>25</v>
      </c>
      <c r="C804">
        <v>43811059</v>
      </c>
      <c r="D804">
        <v>0</v>
      </c>
      <c r="E804" t="s">
        <v>25</v>
      </c>
      <c r="F804" t="s">
        <v>26</v>
      </c>
      <c r="G804" t="s">
        <v>27</v>
      </c>
      <c r="H804" t="s">
        <v>5276</v>
      </c>
      <c r="I804" t="s">
        <v>5277</v>
      </c>
      <c r="J804" t="s">
        <v>26</v>
      </c>
      <c r="K804" t="s">
        <v>26</v>
      </c>
      <c r="L804" t="s">
        <v>5278</v>
      </c>
      <c r="M804" t="s">
        <v>25</v>
      </c>
      <c r="N804" t="s">
        <v>1838</v>
      </c>
      <c r="O804" t="s">
        <v>1839</v>
      </c>
      <c r="P804" t="s">
        <v>1741</v>
      </c>
      <c r="Q804" t="s">
        <v>1742</v>
      </c>
      <c r="R804">
        <v>307260</v>
      </c>
      <c r="S804">
        <v>0</v>
      </c>
      <c r="T804">
        <v>307260</v>
      </c>
      <c r="U804" t="s">
        <v>35</v>
      </c>
      <c r="V804" t="s">
        <v>1842</v>
      </c>
      <c r="W804" t="s">
        <v>1743</v>
      </c>
      <c r="X804" s="4">
        <v>1</v>
      </c>
      <c r="Y804" s="4"/>
      <c r="Z804">
        <f t="shared" si="48"/>
        <v>8</v>
      </c>
      <c r="AA804">
        <f t="shared" si="49"/>
        <v>22</v>
      </c>
      <c r="AB804" s="5">
        <f t="shared" si="50"/>
        <v>0.31603009259561077</v>
      </c>
      <c r="AC804" s="3">
        <f t="shared" si="51"/>
        <v>9.1550925921183079E-2</v>
      </c>
      <c r="AD804" t="str" cm="1">
        <f t="array" ref="AD804">IFERROR(_xlfn.IFS(
    AC804="", "",
    AC804*86400 &lt; 30, "1. 0s - &lt;30s",
    AC804*86400 &lt; 60, "2. 30s - &lt;1m",
    AC804*86400 &lt; 300, "3. 1m - &lt;5m",
    AC804*86400 &lt; 1800, "4. 5m - &lt;30m",
    TRUE, "5. &gt;= 30m"
),"6. Invalid (Order rejected)")</f>
        <v>5. &gt;= 30m</v>
      </c>
    </row>
    <row r="805" spans="1:30" x14ac:dyDescent="0.3">
      <c r="A805" t="s">
        <v>5279</v>
      </c>
      <c r="B805" t="s">
        <v>25</v>
      </c>
      <c r="C805">
        <v>43811059</v>
      </c>
      <c r="D805">
        <v>4823731</v>
      </c>
      <c r="E805" t="s">
        <v>25</v>
      </c>
      <c r="F805" t="s">
        <v>75</v>
      </c>
      <c r="G805" t="s">
        <v>360</v>
      </c>
      <c r="H805" t="s">
        <v>5280</v>
      </c>
      <c r="I805" t="s">
        <v>5281</v>
      </c>
      <c r="J805" t="s">
        <v>5282</v>
      </c>
      <c r="K805" t="s">
        <v>26</v>
      </c>
      <c r="L805" t="s">
        <v>25</v>
      </c>
      <c r="M805" t="s">
        <v>25</v>
      </c>
      <c r="N805" t="s">
        <v>1838</v>
      </c>
      <c r="O805" t="s">
        <v>1839</v>
      </c>
      <c r="P805" t="s">
        <v>1840</v>
      </c>
      <c r="Q805" t="s">
        <v>1841</v>
      </c>
      <c r="R805">
        <v>237276</v>
      </c>
      <c r="S805">
        <v>183944</v>
      </c>
      <c r="T805">
        <v>53332</v>
      </c>
      <c r="U805" t="s">
        <v>35</v>
      </c>
      <c r="V805" t="s">
        <v>1842</v>
      </c>
      <c r="W805" t="s">
        <v>1843</v>
      </c>
      <c r="X805" s="4">
        <v>1</v>
      </c>
      <c r="Y805" s="4"/>
      <c r="Z805">
        <f t="shared" si="48"/>
        <v>8</v>
      </c>
      <c r="AA805">
        <f t="shared" si="49"/>
        <v>22</v>
      </c>
      <c r="AB805" s="5">
        <f t="shared" si="50"/>
        <v>0.31746527777431766</v>
      </c>
      <c r="AC805" s="3" t="str">
        <f t="shared" si="51"/>
        <v>Order rejected, no time available</v>
      </c>
      <c r="AD805" t="str" cm="1">
        <f t="array" ref="AD805">IFERROR(_xlfn.IFS(
    AC805="", "",
    AC805*86400 &lt; 30, "1. 0s - &lt;30s",
    AC805*86400 &lt; 60, "2. 30s - &lt;1m",
    AC805*86400 &lt; 300, "3. 1m - &lt;5m",
    AC805*86400 &lt; 1800, "4. 5m - &lt;30m",
    TRUE, "5. &gt;= 30m"
),"6. Invalid (Order rejected)")</f>
        <v>6. Invalid (Order rejected)</v>
      </c>
    </row>
    <row r="806" spans="1:30" x14ac:dyDescent="0.3">
      <c r="A806" t="s">
        <v>5283</v>
      </c>
      <c r="B806" t="s">
        <v>25</v>
      </c>
      <c r="C806">
        <v>43811059</v>
      </c>
      <c r="D806">
        <v>3424733</v>
      </c>
      <c r="E806" t="s">
        <v>25</v>
      </c>
      <c r="F806" t="s">
        <v>75</v>
      </c>
      <c r="G806" t="s">
        <v>360</v>
      </c>
      <c r="H806" t="s">
        <v>5284</v>
      </c>
      <c r="I806" t="s">
        <v>5285</v>
      </c>
      <c r="J806" t="s">
        <v>5286</v>
      </c>
      <c r="K806" t="s">
        <v>26</v>
      </c>
      <c r="L806" t="s">
        <v>25</v>
      </c>
      <c r="M806" t="s">
        <v>25</v>
      </c>
      <c r="N806" t="s">
        <v>5287</v>
      </c>
      <c r="O806" t="s">
        <v>5288</v>
      </c>
      <c r="P806" t="s">
        <v>1840</v>
      </c>
      <c r="Q806" t="s">
        <v>1841</v>
      </c>
      <c r="R806">
        <v>223776</v>
      </c>
      <c r="S806">
        <v>173478</v>
      </c>
      <c r="T806">
        <v>50298</v>
      </c>
      <c r="U806" t="s">
        <v>35</v>
      </c>
      <c r="V806" t="s">
        <v>5289</v>
      </c>
      <c r="W806" t="s">
        <v>1843</v>
      </c>
      <c r="X806" s="4">
        <v>1</v>
      </c>
      <c r="Y806" s="4"/>
      <c r="Z806">
        <f t="shared" si="48"/>
        <v>8</v>
      </c>
      <c r="AA806">
        <f t="shared" si="49"/>
        <v>22</v>
      </c>
      <c r="AB806" s="5">
        <f t="shared" si="50"/>
        <v>0.32170138888614019</v>
      </c>
      <c r="AC806" s="3" t="str">
        <f t="shared" si="51"/>
        <v>Order rejected, no time available</v>
      </c>
      <c r="AD806" t="str" cm="1">
        <f t="array" ref="AD806">IFERROR(_xlfn.IFS(
    AC806="", "",
    AC806*86400 &lt; 30, "1. 0s - &lt;30s",
    AC806*86400 &lt; 60, "2. 30s - &lt;1m",
    AC806*86400 &lt; 300, "3. 1m - &lt;5m",
    AC806*86400 &lt; 1800, "4. 5m - &lt;30m",
    TRUE, "5. &gt;= 30m"
),"6. Invalid (Order rejected)")</f>
        <v>6. Invalid (Order rejected)</v>
      </c>
    </row>
    <row r="807" spans="1:30" hidden="1" x14ac:dyDescent="0.3">
      <c r="A807" t="s">
        <v>5290</v>
      </c>
      <c r="B807" t="s">
        <v>25</v>
      </c>
      <c r="C807">
        <v>43811059</v>
      </c>
      <c r="D807">
        <v>0</v>
      </c>
      <c r="E807" t="s">
        <v>25</v>
      </c>
      <c r="F807" t="s">
        <v>26</v>
      </c>
      <c r="G807" t="s">
        <v>27</v>
      </c>
      <c r="H807" t="s">
        <v>5291</v>
      </c>
      <c r="I807" t="s">
        <v>5292</v>
      </c>
      <c r="J807" t="s">
        <v>26</v>
      </c>
      <c r="K807" t="s">
        <v>26</v>
      </c>
      <c r="L807" t="s">
        <v>5293</v>
      </c>
      <c r="M807" t="s">
        <v>25</v>
      </c>
      <c r="N807" t="s">
        <v>1642</v>
      </c>
      <c r="O807" t="s">
        <v>1643</v>
      </c>
      <c r="P807" t="s">
        <v>246</v>
      </c>
      <c r="Q807" t="s">
        <v>247</v>
      </c>
      <c r="R807">
        <v>139968</v>
      </c>
      <c r="S807">
        <v>0</v>
      </c>
      <c r="T807">
        <v>139968</v>
      </c>
      <c r="U807" t="s">
        <v>35</v>
      </c>
      <c r="V807" t="s">
        <v>1646</v>
      </c>
      <c r="W807" t="s">
        <v>249</v>
      </c>
      <c r="X807" s="4">
        <v>1</v>
      </c>
      <c r="Y807" s="4"/>
      <c r="Z807">
        <f t="shared" si="48"/>
        <v>8</v>
      </c>
      <c r="AA807">
        <f t="shared" si="49"/>
        <v>22</v>
      </c>
      <c r="AB807" s="5">
        <f t="shared" si="50"/>
        <v>0.32436342592700385</v>
      </c>
      <c r="AC807" s="3">
        <f t="shared" si="51"/>
        <v>9.4502314816054422E-2</v>
      </c>
      <c r="AD807" t="str" cm="1">
        <f t="array" ref="AD807">IFERROR(_xlfn.IFS(
    AC807="", "",
    AC807*86400 &lt; 30, "1. 0s - &lt;30s",
    AC807*86400 &lt; 60, "2. 30s - &lt;1m",
    AC807*86400 &lt; 300, "3. 1m - &lt;5m",
    AC807*86400 &lt; 1800, "4. 5m - &lt;30m",
    TRUE, "5. &gt;= 30m"
),"6. Invalid (Order rejected)")</f>
        <v>5. &gt;= 30m</v>
      </c>
    </row>
    <row r="808" spans="1:30" x14ac:dyDescent="0.3">
      <c r="A808" t="s">
        <v>5294</v>
      </c>
      <c r="B808" t="s">
        <v>25</v>
      </c>
      <c r="C808">
        <v>43811059</v>
      </c>
      <c r="D808">
        <v>3922341</v>
      </c>
      <c r="E808" t="s">
        <v>25</v>
      </c>
      <c r="F808" t="s">
        <v>75</v>
      </c>
      <c r="G808" t="s">
        <v>360</v>
      </c>
      <c r="H808" t="s">
        <v>5295</v>
      </c>
      <c r="I808" t="s">
        <v>5296</v>
      </c>
      <c r="J808" t="s">
        <v>5297</v>
      </c>
      <c r="K808" t="s">
        <v>26</v>
      </c>
      <c r="L808" t="s">
        <v>25</v>
      </c>
      <c r="M808" t="s">
        <v>25</v>
      </c>
      <c r="N808" t="s">
        <v>5287</v>
      </c>
      <c r="O808" t="s">
        <v>5288</v>
      </c>
      <c r="P808" t="s">
        <v>1666</v>
      </c>
      <c r="Q808" t="s">
        <v>1667</v>
      </c>
      <c r="R808">
        <v>305640</v>
      </c>
      <c r="S808">
        <v>236942</v>
      </c>
      <c r="T808">
        <v>68698</v>
      </c>
      <c r="U808" t="s">
        <v>35</v>
      </c>
      <c r="V808" t="s">
        <v>5289</v>
      </c>
      <c r="W808" t="s">
        <v>1669</v>
      </c>
      <c r="X808" s="4">
        <v>1</v>
      </c>
      <c r="Y808" s="4"/>
      <c r="Z808">
        <f t="shared" si="48"/>
        <v>8</v>
      </c>
      <c r="AA808">
        <f t="shared" si="49"/>
        <v>22</v>
      </c>
      <c r="AB808" s="5">
        <f t="shared" si="50"/>
        <v>0.32128472222393611</v>
      </c>
      <c r="AC808" s="3" t="str">
        <f t="shared" si="51"/>
        <v>Order rejected, no time available</v>
      </c>
      <c r="AD808" t="str" cm="1">
        <f t="array" ref="AD808">IFERROR(_xlfn.IFS(
    AC808="", "",
    AC808*86400 &lt; 30, "1. 0s - &lt;30s",
    AC808*86400 &lt; 60, "2. 30s - &lt;1m",
    AC808*86400 &lt; 300, "3. 1m - &lt;5m",
    AC808*86400 &lt; 1800, "4. 5m - &lt;30m",
    TRUE, "5. &gt;= 30m"
),"6. Invalid (Order rejected)")</f>
        <v>6. Invalid (Order rejected)</v>
      </c>
    </row>
    <row r="809" spans="1:30" hidden="1" x14ac:dyDescent="0.3">
      <c r="A809" t="s">
        <v>5298</v>
      </c>
      <c r="B809" t="s">
        <v>25</v>
      </c>
      <c r="C809">
        <v>43811059</v>
      </c>
      <c r="D809">
        <v>0</v>
      </c>
      <c r="E809" t="s">
        <v>25</v>
      </c>
      <c r="F809" t="s">
        <v>26</v>
      </c>
      <c r="G809" t="s">
        <v>27</v>
      </c>
      <c r="H809" t="s">
        <v>5299</v>
      </c>
      <c r="I809" t="s">
        <v>5300</v>
      </c>
      <c r="J809" t="s">
        <v>26</v>
      </c>
      <c r="K809" t="s">
        <v>26</v>
      </c>
      <c r="L809" t="s">
        <v>5301</v>
      </c>
      <c r="M809" t="s">
        <v>25</v>
      </c>
      <c r="N809" t="s">
        <v>2046</v>
      </c>
      <c r="O809" t="s">
        <v>2047</v>
      </c>
      <c r="P809" t="s">
        <v>5302</v>
      </c>
      <c r="Q809" t="s">
        <v>5303</v>
      </c>
      <c r="R809">
        <v>144288</v>
      </c>
      <c r="S809">
        <v>0</v>
      </c>
      <c r="T809">
        <v>144288</v>
      </c>
      <c r="U809" t="s">
        <v>35</v>
      </c>
      <c r="V809" t="s">
        <v>4794</v>
      </c>
      <c r="W809" t="s">
        <v>5304</v>
      </c>
      <c r="X809" s="4">
        <v>1</v>
      </c>
      <c r="Y809" s="4"/>
      <c r="Z809">
        <f t="shared" si="48"/>
        <v>8</v>
      </c>
      <c r="AA809">
        <f t="shared" si="49"/>
        <v>22</v>
      </c>
      <c r="AB809" s="5">
        <f t="shared" si="50"/>
        <v>0.32322916666453239</v>
      </c>
      <c r="AC809" s="3">
        <f t="shared" si="51"/>
        <v>9.0277777781011537E-2</v>
      </c>
      <c r="AD809" t="str" cm="1">
        <f t="array" ref="AD809">IFERROR(_xlfn.IFS(
    AC809="", "",
    AC809*86400 &lt; 30, "1. 0s - &lt;30s",
    AC809*86400 &lt; 60, "2. 30s - &lt;1m",
    AC809*86400 &lt; 300, "3. 1m - &lt;5m",
    AC809*86400 &lt; 1800, "4. 5m - &lt;30m",
    TRUE, "5. &gt;= 30m"
),"6. Invalid (Order rejected)")</f>
        <v>5. &gt;= 30m</v>
      </c>
    </row>
    <row r="810" spans="1:30" hidden="1" x14ac:dyDescent="0.3">
      <c r="A810" t="s">
        <v>5305</v>
      </c>
      <c r="B810" t="s">
        <v>25</v>
      </c>
      <c r="C810">
        <v>43811059</v>
      </c>
      <c r="D810">
        <v>0</v>
      </c>
      <c r="E810" t="s">
        <v>25</v>
      </c>
      <c r="F810" t="s">
        <v>26</v>
      </c>
      <c r="G810" t="s">
        <v>27</v>
      </c>
      <c r="H810" t="s">
        <v>5306</v>
      </c>
      <c r="I810" t="s">
        <v>5307</v>
      </c>
      <c r="J810" t="s">
        <v>26</v>
      </c>
      <c r="K810" t="s">
        <v>26</v>
      </c>
      <c r="L810" t="s">
        <v>5308</v>
      </c>
      <c r="M810" t="s">
        <v>25</v>
      </c>
      <c r="N810" t="s">
        <v>1716</v>
      </c>
      <c r="O810" t="s">
        <v>1717</v>
      </c>
      <c r="P810" t="s">
        <v>289</v>
      </c>
      <c r="Q810" t="s">
        <v>290</v>
      </c>
      <c r="R810">
        <v>141372</v>
      </c>
      <c r="S810">
        <v>0</v>
      </c>
      <c r="T810">
        <v>141372</v>
      </c>
      <c r="U810" t="s">
        <v>35</v>
      </c>
      <c r="V810" t="s">
        <v>1720</v>
      </c>
      <c r="W810" t="s">
        <v>291</v>
      </c>
      <c r="X810" s="4">
        <v>1</v>
      </c>
      <c r="Y810" s="4"/>
      <c r="Z810">
        <f t="shared" si="48"/>
        <v>8</v>
      </c>
      <c r="AA810">
        <f t="shared" si="49"/>
        <v>22</v>
      </c>
      <c r="AB810" s="5">
        <f t="shared" si="50"/>
        <v>0.32362268518772908</v>
      </c>
      <c r="AC810" s="3">
        <f t="shared" si="51"/>
        <v>9.0277777773735579E-2</v>
      </c>
      <c r="AD810" t="str" cm="1">
        <f t="array" ref="AD810">IFERROR(_xlfn.IFS(
    AC810="", "",
    AC810*86400 &lt; 30, "1. 0s - &lt;30s",
    AC810*86400 &lt; 60, "2. 30s - &lt;1m",
    AC810*86400 &lt; 300, "3. 1m - &lt;5m",
    AC810*86400 &lt; 1800, "4. 5m - &lt;30m",
    TRUE, "5. &gt;= 30m"
),"6. Invalid (Order rejected)")</f>
        <v>5. &gt;= 30m</v>
      </c>
    </row>
    <row r="811" spans="1:30" hidden="1" x14ac:dyDescent="0.3">
      <c r="A811" t="s">
        <v>5309</v>
      </c>
      <c r="B811" t="s">
        <v>25</v>
      </c>
      <c r="C811">
        <v>43811059</v>
      </c>
      <c r="D811">
        <v>0</v>
      </c>
      <c r="E811" t="s">
        <v>25</v>
      </c>
      <c r="F811" t="s">
        <v>26</v>
      </c>
      <c r="G811" t="s">
        <v>27</v>
      </c>
      <c r="H811" t="s">
        <v>5310</v>
      </c>
      <c r="I811" t="s">
        <v>5311</v>
      </c>
      <c r="J811" t="s">
        <v>26</v>
      </c>
      <c r="K811" t="s">
        <v>26</v>
      </c>
      <c r="L811" t="s">
        <v>5312</v>
      </c>
      <c r="M811" t="s">
        <v>25</v>
      </c>
      <c r="N811" t="s">
        <v>1702</v>
      </c>
      <c r="O811" t="s">
        <v>1703</v>
      </c>
      <c r="P811" t="s">
        <v>1741</v>
      </c>
      <c r="Q811" t="s">
        <v>1742</v>
      </c>
      <c r="R811">
        <v>282528</v>
      </c>
      <c r="S811">
        <v>0</v>
      </c>
      <c r="T811">
        <v>282528</v>
      </c>
      <c r="U811" t="s">
        <v>35</v>
      </c>
      <c r="V811" t="s">
        <v>1706</v>
      </c>
      <c r="W811" t="s">
        <v>1743</v>
      </c>
      <c r="X811" s="4">
        <v>1</v>
      </c>
      <c r="Y811" s="4"/>
      <c r="Z811">
        <f t="shared" si="48"/>
        <v>8</v>
      </c>
      <c r="AA811">
        <f t="shared" si="49"/>
        <v>22</v>
      </c>
      <c r="AB811" s="5">
        <f t="shared" si="50"/>
        <v>0.32483796296583023</v>
      </c>
      <c r="AC811" s="3">
        <f t="shared" si="51"/>
        <v>9.0277777773735579E-2</v>
      </c>
      <c r="AD811" t="str" cm="1">
        <f t="array" ref="AD811">IFERROR(_xlfn.IFS(
    AC811="", "",
    AC811*86400 &lt; 30, "1. 0s - &lt;30s",
    AC811*86400 &lt; 60, "2. 30s - &lt;1m",
    AC811*86400 &lt; 300, "3. 1m - &lt;5m",
    AC811*86400 &lt; 1800, "4. 5m - &lt;30m",
    TRUE, "5. &gt;= 30m"
),"6. Invalid (Order rejected)")</f>
        <v>5. &gt;= 30m</v>
      </c>
    </row>
    <row r="812" spans="1:30" x14ac:dyDescent="0.3">
      <c r="A812" t="s">
        <v>5313</v>
      </c>
      <c r="B812" t="s">
        <v>25</v>
      </c>
      <c r="C812">
        <v>43811059</v>
      </c>
      <c r="D812">
        <v>3058182</v>
      </c>
      <c r="E812" t="s">
        <v>25</v>
      </c>
      <c r="F812" t="s">
        <v>75</v>
      </c>
      <c r="G812" t="s">
        <v>360</v>
      </c>
      <c r="H812" t="s">
        <v>5314</v>
      </c>
      <c r="I812" t="s">
        <v>5315</v>
      </c>
      <c r="J812" t="s">
        <v>5316</v>
      </c>
      <c r="K812" t="s">
        <v>5317</v>
      </c>
      <c r="L812" t="s">
        <v>25</v>
      </c>
      <c r="M812" t="s">
        <v>25</v>
      </c>
      <c r="N812" t="s">
        <v>5318</v>
      </c>
      <c r="O812" t="s">
        <v>5319</v>
      </c>
      <c r="P812" t="s">
        <v>3144</v>
      </c>
      <c r="Q812" t="s">
        <v>3145</v>
      </c>
      <c r="R812">
        <v>196128</v>
      </c>
      <c r="S812">
        <v>152045</v>
      </c>
      <c r="T812">
        <v>44083</v>
      </c>
      <c r="U812" t="s">
        <v>35</v>
      </c>
      <c r="V812" t="s">
        <v>5320</v>
      </c>
      <c r="W812" t="s">
        <v>3146</v>
      </c>
      <c r="X812" s="4">
        <v>1</v>
      </c>
      <c r="Y812" s="4"/>
      <c r="Z812">
        <f t="shared" si="48"/>
        <v>8</v>
      </c>
      <c r="AA812">
        <f t="shared" si="49"/>
        <v>22</v>
      </c>
      <c r="AB812" s="5">
        <f t="shared" si="50"/>
        <v>0.32645833333663177</v>
      </c>
      <c r="AC812" s="3" t="str">
        <f t="shared" si="51"/>
        <v>Order rejected, no time available</v>
      </c>
      <c r="AD812" t="str" cm="1">
        <f t="array" ref="AD812">IFERROR(_xlfn.IFS(
    AC812="", "",
    AC812*86400 &lt; 30, "1. 0s - &lt;30s",
    AC812*86400 &lt; 60, "2. 30s - &lt;1m",
    AC812*86400 &lt; 300, "3. 1m - &lt;5m",
    AC812*86400 &lt; 1800, "4. 5m - &lt;30m",
    TRUE, "5. &gt;= 30m"
),"6. Invalid (Order rejected)")</f>
        <v>6. Invalid (Order rejected)</v>
      </c>
    </row>
    <row r="813" spans="1:30" hidden="1" x14ac:dyDescent="0.3">
      <c r="A813" t="s">
        <v>5321</v>
      </c>
      <c r="B813" t="s">
        <v>25</v>
      </c>
      <c r="C813">
        <v>43811059</v>
      </c>
      <c r="D813">
        <v>0</v>
      </c>
      <c r="E813" t="s">
        <v>25</v>
      </c>
      <c r="F813" t="s">
        <v>26</v>
      </c>
      <c r="G813" t="s">
        <v>27</v>
      </c>
      <c r="H813" t="s">
        <v>5322</v>
      </c>
      <c r="I813" t="s">
        <v>5323</v>
      </c>
      <c r="J813" t="s">
        <v>26</v>
      </c>
      <c r="K813" t="s">
        <v>26</v>
      </c>
      <c r="L813" t="s">
        <v>5324</v>
      </c>
      <c r="M813" t="s">
        <v>25</v>
      </c>
      <c r="N813" t="s">
        <v>2811</v>
      </c>
      <c r="O813" t="s">
        <v>2812</v>
      </c>
      <c r="P813" t="s">
        <v>5325</v>
      </c>
      <c r="Q813" t="s">
        <v>5326</v>
      </c>
      <c r="R813">
        <v>210492</v>
      </c>
      <c r="S813">
        <v>0</v>
      </c>
      <c r="T813">
        <v>210492</v>
      </c>
      <c r="U813" t="s">
        <v>35</v>
      </c>
      <c r="V813" t="s">
        <v>2813</v>
      </c>
      <c r="W813" t="s">
        <v>5304</v>
      </c>
      <c r="X813" s="4">
        <v>1</v>
      </c>
      <c r="Y813" s="4"/>
      <c r="Z813">
        <f t="shared" si="48"/>
        <v>8</v>
      </c>
      <c r="AA813">
        <f t="shared" si="49"/>
        <v>22</v>
      </c>
      <c r="AB813" s="5">
        <f t="shared" si="50"/>
        <v>0.31973379629926058</v>
      </c>
      <c r="AC813" s="3">
        <f t="shared" si="51"/>
        <v>9.0266203704231884E-2</v>
      </c>
      <c r="AD813" t="str" cm="1">
        <f t="array" ref="AD813">IFERROR(_xlfn.IFS(
    AC813="", "",
    AC813*86400 &lt; 30, "1. 0s - &lt;30s",
    AC813*86400 &lt; 60, "2. 30s - &lt;1m",
    AC813*86400 &lt; 300, "3. 1m - &lt;5m",
    AC813*86400 &lt; 1800, "4. 5m - &lt;30m",
    TRUE, "5. &gt;= 30m"
),"6. Invalid (Order rejected)")</f>
        <v>5. &gt;= 30m</v>
      </c>
    </row>
    <row r="814" spans="1:30" hidden="1" x14ac:dyDescent="0.3">
      <c r="A814" t="s">
        <v>5327</v>
      </c>
      <c r="B814" t="s">
        <v>25</v>
      </c>
      <c r="C814">
        <v>43811059</v>
      </c>
      <c r="D814">
        <v>4007956</v>
      </c>
      <c r="E814" t="s">
        <v>25</v>
      </c>
      <c r="F814" t="s">
        <v>75</v>
      </c>
      <c r="G814" t="s">
        <v>76</v>
      </c>
      <c r="H814" t="s">
        <v>5328</v>
      </c>
      <c r="I814" t="s">
        <v>5329</v>
      </c>
      <c r="J814" t="s">
        <v>5330</v>
      </c>
      <c r="K814" t="s">
        <v>26</v>
      </c>
      <c r="L814" t="s">
        <v>5331</v>
      </c>
      <c r="M814" t="s">
        <v>25</v>
      </c>
      <c r="N814" t="s">
        <v>5332</v>
      </c>
      <c r="O814" t="s">
        <v>5333</v>
      </c>
      <c r="P814" t="s">
        <v>1928</v>
      </c>
      <c r="Q814" t="s">
        <v>1929</v>
      </c>
      <c r="R814">
        <v>232956</v>
      </c>
      <c r="S814">
        <v>180595</v>
      </c>
      <c r="T814">
        <v>52361</v>
      </c>
      <c r="U814" t="s">
        <v>35</v>
      </c>
      <c r="V814" t="s">
        <v>4874</v>
      </c>
      <c r="W814" t="s">
        <v>1930</v>
      </c>
      <c r="X814" s="4">
        <v>1</v>
      </c>
      <c r="Y814" s="4"/>
      <c r="Z814">
        <f t="shared" si="48"/>
        <v>8</v>
      </c>
      <c r="AA814">
        <f t="shared" si="49"/>
        <v>22</v>
      </c>
      <c r="AB814" s="5">
        <f t="shared" si="50"/>
        <v>0.32585648148233304</v>
      </c>
      <c r="AC814" s="3">
        <f t="shared" si="51"/>
        <v>7.3148148148902692E-3</v>
      </c>
      <c r="AD814" t="str" cm="1">
        <f t="array" ref="AD814">IFERROR(_xlfn.IFS(
    AC814="", "",
    AC814*86400 &lt; 30, "1. 0s - &lt;30s",
    AC814*86400 &lt; 60, "2. 30s - &lt;1m",
    AC814*86400 &lt; 300, "3. 1m - &lt;5m",
    AC814*86400 &lt; 1800, "4. 5m - &lt;30m",
    TRUE, "5. &gt;= 30m"
),"6. Invalid (Order rejected)")</f>
        <v>4. 5m - &lt;30m</v>
      </c>
    </row>
    <row r="815" spans="1:30" hidden="1" x14ac:dyDescent="0.3">
      <c r="A815" t="s">
        <v>5334</v>
      </c>
      <c r="B815" t="s">
        <v>25</v>
      </c>
      <c r="C815">
        <v>43811059</v>
      </c>
      <c r="D815">
        <v>0</v>
      </c>
      <c r="E815" t="s">
        <v>25</v>
      </c>
      <c r="F815" t="s">
        <v>26</v>
      </c>
      <c r="G815" t="s">
        <v>27</v>
      </c>
      <c r="H815" t="s">
        <v>5335</v>
      </c>
      <c r="I815" t="s">
        <v>5336</v>
      </c>
      <c r="J815" t="s">
        <v>26</v>
      </c>
      <c r="K815" t="s">
        <v>26</v>
      </c>
      <c r="L815" t="s">
        <v>5337</v>
      </c>
      <c r="M815" t="s">
        <v>25</v>
      </c>
      <c r="N815" t="s">
        <v>2811</v>
      </c>
      <c r="O815" t="s">
        <v>2812</v>
      </c>
      <c r="P815" t="s">
        <v>246</v>
      </c>
      <c r="Q815" t="s">
        <v>247</v>
      </c>
      <c r="R815">
        <v>168696</v>
      </c>
      <c r="S815">
        <v>0</v>
      </c>
      <c r="T815">
        <v>168696</v>
      </c>
      <c r="U815" t="s">
        <v>35</v>
      </c>
      <c r="V815" t="s">
        <v>2813</v>
      </c>
      <c r="W815" t="s">
        <v>249</v>
      </c>
      <c r="X815" s="4">
        <v>1</v>
      </c>
      <c r="Y815" s="4"/>
      <c r="Z815">
        <f t="shared" si="48"/>
        <v>8</v>
      </c>
      <c r="AA815">
        <f t="shared" si="49"/>
        <v>22</v>
      </c>
      <c r="AB815" s="5">
        <f t="shared" si="50"/>
        <v>0.320451388892252</v>
      </c>
      <c r="AC815" s="3">
        <f t="shared" si="51"/>
        <v>9.0277777773735579E-2</v>
      </c>
      <c r="AD815" t="str" cm="1">
        <f t="array" ref="AD815">IFERROR(_xlfn.IFS(
    AC815="", "",
    AC815*86400 &lt; 30, "1. 0s - &lt;30s",
    AC815*86400 &lt; 60, "2. 30s - &lt;1m",
    AC815*86400 &lt; 300, "3. 1m - &lt;5m",
    AC815*86400 &lt; 1800, "4. 5m - &lt;30m",
    TRUE, "5. &gt;= 30m"
),"6. Invalid (Order rejected)")</f>
        <v>5. &gt;= 30m</v>
      </c>
    </row>
    <row r="816" spans="1:30" hidden="1" x14ac:dyDescent="0.3">
      <c r="A816" t="s">
        <v>5338</v>
      </c>
      <c r="B816" t="s">
        <v>25</v>
      </c>
      <c r="C816">
        <v>43811059</v>
      </c>
      <c r="D816">
        <v>0</v>
      </c>
      <c r="E816" t="s">
        <v>25</v>
      </c>
      <c r="F816" t="s">
        <v>26</v>
      </c>
      <c r="G816" t="s">
        <v>27</v>
      </c>
      <c r="H816" t="s">
        <v>5339</v>
      </c>
      <c r="I816" t="s">
        <v>5340</v>
      </c>
      <c r="J816" t="s">
        <v>26</v>
      </c>
      <c r="K816" t="s">
        <v>26</v>
      </c>
      <c r="L816" t="s">
        <v>5341</v>
      </c>
      <c r="M816" t="s">
        <v>25</v>
      </c>
      <c r="N816" t="s">
        <v>5318</v>
      </c>
      <c r="O816" t="s">
        <v>5319</v>
      </c>
      <c r="P816" t="s">
        <v>1892</v>
      </c>
      <c r="Q816" t="s">
        <v>1893</v>
      </c>
      <c r="R816">
        <v>150552</v>
      </c>
      <c r="S816">
        <v>0</v>
      </c>
      <c r="T816">
        <v>150552</v>
      </c>
      <c r="U816" t="s">
        <v>35</v>
      </c>
      <c r="V816" t="s">
        <v>5320</v>
      </c>
      <c r="W816" t="s">
        <v>1895</v>
      </c>
      <c r="X816" s="4">
        <v>1</v>
      </c>
      <c r="Y816" s="4"/>
      <c r="Z816">
        <f t="shared" si="48"/>
        <v>8</v>
      </c>
      <c r="AA816">
        <f t="shared" si="49"/>
        <v>22</v>
      </c>
      <c r="AB816" s="5">
        <f t="shared" si="50"/>
        <v>0.32629629629809642</v>
      </c>
      <c r="AC816" s="3">
        <f t="shared" si="51"/>
        <v>0.17483796296437504</v>
      </c>
      <c r="AD816" t="str" cm="1">
        <f t="array" ref="AD816">IFERROR(_xlfn.IFS(
    AC816="", "",
    AC816*86400 &lt; 30, "1. 0s - &lt;30s",
    AC816*86400 &lt; 60, "2. 30s - &lt;1m",
    AC816*86400 &lt; 300, "3. 1m - &lt;5m",
    AC816*86400 &lt; 1800, "4. 5m - &lt;30m",
    TRUE, "5. &gt;= 30m"
),"6. Invalid (Order rejected)")</f>
        <v>5. &gt;= 30m</v>
      </c>
    </row>
    <row r="817" spans="1:30" hidden="1" x14ac:dyDescent="0.3">
      <c r="A817" t="s">
        <v>5342</v>
      </c>
      <c r="B817" t="s">
        <v>25</v>
      </c>
      <c r="C817">
        <v>43811059</v>
      </c>
      <c r="D817">
        <v>4007956</v>
      </c>
      <c r="E817" t="s">
        <v>25</v>
      </c>
      <c r="F817" t="s">
        <v>75</v>
      </c>
      <c r="G817" t="s">
        <v>76</v>
      </c>
      <c r="H817" t="s">
        <v>5343</v>
      </c>
      <c r="I817" t="s">
        <v>5344</v>
      </c>
      <c r="J817" t="s">
        <v>5345</v>
      </c>
      <c r="K817" t="s">
        <v>26</v>
      </c>
      <c r="L817" t="s">
        <v>5346</v>
      </c>
      <c r="M817" t="s">
        <v>25</v>
      </c>
      <c r="N817" t="s">
        <v>5347</v>
      </c>
      <c r="O817" t="s">
        <v>5348</v>
      </c>
      <c r="P817" t="s">
        <v>1928</v>
      </c>
      <c r="Q817" t="s">
        <v>1929</v>
      </c>
      <c r="R817">
        <v>254556</v>
      </c>
      <c r="S817">
        <v>197340</v>
      </c>
      <c r="T817">
        <v>57216</v>
      </c>
      <c r="U817" t="s">
        <v>35</v>
      </c>
      <c r="V817" t="s">
        <v>5349</v>
      </c>
      <c r="W817" t="s">
        <v>1930</v>
      </c>
      <c r="X817" s="4">
        <v>1</v>
      </c>
      <c r="Y817" s="4"/>
      <c r="Z817">
        <f t="shared" si="48"/>
        <v>8</v>
      </c>
      <c r="AA817">
        <f t="shared" si="49"/>
        <v>22</v>
      </c>
      <c r="AB817" s="5">
        <f t="shared" si="50"/>
        <v>0.32236111110978527</v>
      </c>
      <c r="AC817" s="3">
        <f t="shared" si="51"/>
        <v>1.0613425925839692E-2</v>
      </c>
      <c r="AD817" t="str" cm="1">
        <f t="array" ref="AD817">IFERROR(_xlfn.IFS(
    AC817="", "",
    AC817*86400 &lt; 30, "1. 0s - &lt;30s",
    AC817*86400 &lt; 60, "2. 30s - &lt;1m",
    AC817*86400 &lt; 300, "3. 1m - &lt;5m",
    AC817*86400 &lt; 1800, "4. 5m - &lt;30m",
    TRUE, "5. &gt;= 30m"
),"6. Invalid (Order rejected)")</f>
        <v>4. 5m - &lt;30m</v>
      </c>
    </row>
    <row r="818" spans="1:30" hidden="1" x14ac:dyDescent="0.3">
      <c r="A818" t="s">
        <v>5350</v>
      </c>
      <c r="B818" t="s">
        <v>25</v>
      </c>
      <c r="C818">
        <v>43811059</v>
      </c>
      <c r="D818">
        <v>4646720</v>
      </c>
      <c r="E818" t="s">
        <v>25</v>
      </c>
      <c r="F818" t="s">
        <v>75</v>
      </c>
      <c r="G818" t="s">
        <v>76</v>
      </c>
      <c r="H818" t="s">
        <v>5351</v>
      </c>
      <c r="I818" t="s">
        <v>5352</v>
      </c>
      <c r="J818" t="s">
        <v>5353</v>
      </c>
      <c r="K818" t="s">
        <v>26</v>
      </c>
      <c r="L818" t="s">
        <v>5354</v>
      </c>
      <c r="M818" t="s">
        <v>25</v>
      </c>
      <c r="N818" t="s">
        <v>5332</v>
      </c>
      <c r="O818" t="s">
        <v>5333</v>
      </c>
      <c r="P818" t="s">
        <v>5355</v>
      </c>
      <c r="Q818" t="s">
        <v>5356</v>
      </c>
      <c r="R818">
        <v>224100</v>
      </c>
      <c r="S818">
        <v>173729</v>
      </c>
      <c r="T818">
        <v>50371</v>
      </c>
      <c r="U818" t="s">
        <v>35</v>
      </c>
      <c r="V818" t="s">
        <v>4874</v>
      </c>
      <c r="W818" t="s">
        <v>5357</v>
      </c>
      <c r="X818" s="4">
        <v>1</v>
      </c>
      <c r="Y818" s="4"/>
      <c r="Z818">
        <f t="shared" si="48"/>
        <v>8</v>
      </c>
      <c r="AA818">
        <f t="shared" si="49"/>
        <v>22</v>
      </c>
      <c r="AB818" s="5">
        <f t="shared" si="50"/>
        <v>0.32542824074334931</v>
      </c>
      <c r="AC818" s="3">
        <f t="shared" si="51"/>
        <v>5.9722222220443655E-2</v>
      </c>
      <c r="AD818" t="str" cm="1">
        <f t="array" ref="AD818">IFERROR(_xlfn.IFS(
    AC818="", "",
    AC818*86400 &lt; 30, "1. 0s - &lt;30s",
    AC818*86400 &lt; 60, "2. 30s - &lt;1m",
    AC818*86400 &lt; 300, "3. 1m - &lt;5m",
    AC818*86400 &lt; 1800, "4. 5m - &lt;30m",
    TRUE, "5. &gt;= 30m"
),"6. Invalid (Order rejected)")</f>
        <v>5. &gt;= 30m</v>
      </c>
    </row>
    <row r="819" spans="1:30" hidden="1" x14ac:dyDescent="0.3">
      <c r="A819" t="s">
        <v>5358</v>
      </c>
      <c r="B819" t="s">
        <v>25</v>
      </c>
      <c r="C819">
        <v>43811059</v>
      </c>
      <c r="D819">
        <v>0</v>
      </c>
      <c r="E819" t="s">
        <v>25</v>
      </c>
      <c r="F819" t="s">
        <v>26</v>
      </c>
      <c r="G819" t="s">
        <v>27</v>
      </c>
      <c r="H819" t="s">
        <v>5359</v>
      </c>
      <c r="I819" t="s">
        <v>5360</v>
      </c>
      <c r="J819" t="s">
        <v>26</v>
      </c>
      <c r="K819" t="s">
        <v>26</v>
      </c>
      <c r="L819" t="s">
        <v>5361</v>
      </c>
      <c r="M819" t="s">
        <v>25</v>
      </c>
      <c r="N819" t="s">
        <v>1642</v>
      </c>
      <c r="O819" t="s">
        <v>1643</v>
      </c>
      <c r="P819" t="s">
        <v>5362</v>
      </c>
      <c r="Q819" t="s">
        <v>5363</v>
      </c>
      <c r="R819">
        <v>118584</v>
      </c>
      <c r="S819">
        <v>0</v>
      </c>
      <c r="T819">
        <v>118584</v>
      </c>
      <c r="U819" t="s">
        <v>35</v>
      </c>
      <c r="V819" t="s">
        <v>1646</v>
      </c>
      <c r="W819" t="s">
        <v>5364</v>
      </c>
      <c r="X819" s="4">
        <v>1</v>
      </c>
      <c r="Y819" s="4"/>
      <c r="Z819">
        <f t="shared" si="48"/>
        <v>8</v>
      </c>
      <c r="AA819">
        <f t="shared" si="49"/>
        <v>22</v>
      </c>
      <c r="AB819" s="5">
        <f t="shared" si="50"/>
        <v>0.32451388888875954</v>
      </c>
      <c r="AC819" s="3">
        <f t="shared" si="51"/>
        <v>9.0277777781011537E-2</v>
      </c>
      <c r="AD819" t="str" cm="1">
        <f t="array" ref="AD819">IFERROR(_xlfn.IFS(
    AC819="", "",
    AC819*86400 &lt; 30, "1. 0s - &lt;30s",
    AC819*86400 &lt; 60, "2. 30s - &lt;1m",
    AC819*86400 &lt; 300, "3. 1m - &lt;5m",
    AC819*86400 &lt; 1800, "4. 5m - &lt;30m",
    TRUE, "5. &gt;= 30m"
),"6. Invalid (Order rejected)")</f>
        <v>5. &gt;= 30m</v>
      </c>
    </row>
    <row r="820" spans="1:30" hidden="1" x14ac:dyDescent="0.3">
      <c r="A820" t="s">
        <v>5365</v>
      </c>
      <c r="B820" t="s">
        <v>25</v>
      </c>
      <c r="C820">
        <v>43811059</v>
      </c>
      <c r="D820">
        <v>4007956</v>
      </c>
      <c r="E820" t="s">
        <v>25</v>
      </c>
      <c r="F820" t="s">
        <v>75</v>
      </c>
      <c r="G820" t="s">
        <v>76</v>
      </c>
      <c r="H820" t="s">
        <v>5366</v>
      </c>
      <c r="I820" t="s">
        <v>5367</v>
      </c>
      <c r="J820" t="s">
        <v>5368</v>
      </c>
      <c r="K820" t="s">
        <v>26</v>
      </c>
      <c r="L820" t="s">
        <v>5369</v>
      </c>
      <c r="M820" t="s">
        <v>25</v>
      </c>
      <c r="N820" t="s">
        <v>5318</v>
      </c>
      <c r="O820" t="s">
        <v>5319</v>
      </c>
      <c r="P820" t="s">
        <v>5370</v>
      </c>
      <c r="Q820" t="s">
        <v>5371</v>
      </c>
      <c r="R820">
        <v>212112</v>
      </c>
      <c r="S820">
        <v>164436</v>
      </c>
      <c r="T820">
        <v>47676</v>
      </c>
      <c r="U820" t="s">
        <v>35</v>
      </c>
      <c r="V820" t="s">
        <v>5320</v>
      </c>
      <c r="W820" t="s">
        <v>5372</v>
      </c>
      <c r="X820" s="4">
        <v>1</v>
      </c>
      <c r="Y820" s="4"/>
      <c r="Z820">
        <f t="shared" si="48"/>
        <v>8</v>
      </c>
      <c r="AA820">
        <f t="shared" si="49"/>
        <v>22</v>
      </c>
      <c r="AB820" s="5">
        <f t="shared" si="50"/>
        <v>0.32611111111327773</v>
      </c>
      <c r="AC820" s="3">
        <f t="shared" si="51"/>
        <v>7.1412036995752715E-3</v>
      </c>
      <c r="AD820" t="str" cm="1">
        <f t="array" ref="AD820">IFERROR(_xlfn.IFS(
    AC820="", "",
    AC820*86400 &lt; 30, "1. 0s - &lt;30s",
    AC820*86400 &lt; 60, "2. 30s - &lt;1m",
    AC820*86400 &lt; 300, "3. 1m - &lt;5m",
    AC820*86400 &lt; 1800, "4. 5m - &lt;30m",
    TRUE, "5. &gt;= 30m"
),"6. Invalid (Order rejected)")</f>
        <v>4. 5m - &lt;30m</v>
      </c>
    </row>
    <row r="821" spans="1:30" hidden="1" x14ac:dyDescent="0.3">
      <c r="A821" t="s">
        <v>5373</v>
      </c>
      <c r="B821" t="s">
        <v>25</v>
      </c>
      <c r="C821">
        <v>43811059</v>
      </c>
      <c r="D821">
        <v>0</v>
      </c>
      <c r="E821" t="s">
        <v>25</v>
      </c>
      <c r="F821" t="s">
        <v>26</v>
      </c>
      <c r="G821" t="s">
        <v>27</v>
      </c>
      <c r="H821" t="s">
        <v>5374</v>
      </c>
      <c r="I821" t="s">
        <v>5375</v>
      </c>
      <c r="J821" t="s">
        <v>26</v>
      </c>
      <c r="K821" t="s">
        <v>26</v>
      </c>
      <c r="L821" t="s">
        <v>5376</v>
      </c>
      <c r="M821" t="s">
        <v>25</v>
      </c>
      <c r="N821" t="s">
        <v>1838</v>
      </c>
      <c r="O821" t="s">
        <v>1839</v>
      </c>
      <c r="P821" t="s">
        <v>3183</v>
      </c>
      <c r="Q821" t="s">
        <v>3184</v>
      </c>
      <c r="R821">
        <v>185436</v>
      </c>
      <c r="S821">
        <v>0</v>
      </c>
      <c r="T821">
        <v>185436</v>
      </c>
      <c r="U821" t="s">
        <v>35</v>
      </c>
      <c r="V821" t="s">
        <v>1842</v>
      </c>
      <c r="W821" t="s">
        <v>3185</v>
      </c>
      <c r="X821" s="4">
        <v>1</v>
      </c>
      <c r="Y821" s="4"/>
      <c r="Z821">
        <f t="shared" si="48"/>
        <v>8</v>
      </c>
      <c r="AA821">
        <f t="shared" si="49"/>
        <v>22</v>
      </c>
      <c r="AB821" s="5">
        <f t="shared" si="50"/>
        <v>0.34788194444263354</v>
      </c>
      <c r="AC821" s="3">
        <f t="shared" si="51"/>
        <v>9.0266203704231884E-2</v>
      </c>
      <c r="AD821" t="str" cm="1">
        <f t="array" ref="AD821">IFERROR(_xlfn.IFS(
    AC821="", "",
    AC821*86400 &lt; 30, "1. 0s - &lt;30s",
    AC821*86400 &lt; 60, "2. 30s - &lt;1m",
    AC821*86400 &lt; 300, "3. 1m - &lt;5m",
    AC821*86400 &lt; 1800, "4. 5m - &lt;30m",
    TRUE, "5. &gt;= 30m"
),"6. Invalid (Order rejected)")</f>
        <v>5. &gt;= 30m</v>
      </c>
    </row>
    <row r="822" spans="1:30" x14ac:dyDescent="0.3">
      <c r="A822" t="s">
        <v>5377</v>
      </c>
      <c r="B822" t="s">
        <v>25</v>
      </c>
      <c r="C822">
        <v>43811059</v>
      </c>
      <c r="D822">
        <v>3727801</v>
      </c>
      <c r="E822" t="s">
        <v>25</v>
      </c>
      <c r="F822" t="s">
        <v>75</v>
      </c>
      <c r="G822" t="s">
        <v>360</v>
      </c>
      <c r="H822" t="s">
        <v>5378</v>
      </c>
      <c r="I822" t="s">
        <v>5379</v>
      </c>
      <c r="J822" t="s">
        <v>5380</v>
      </c>
      <c r="K822" t="s">
        <v>26</v>
      </c>
      <c r="L822" t="s">
        <v>25</v>
      </c>
      <c r="M822" t="s">
        <v>25</v>
      </c>
      <c r="N822" t="s">
        <v>1838</v>
      </c>
      <c r="O822" t="s">
        <v>1839</v>
      </c>
      <c r="P822" t="s">
        <v>5381</v>
      </c>
      <c r="Q822" t="s">
        <v>5382</v>
      </c>
      <c r="R822">
        <v>210060</v>
      </c>
      <c r="S822">
        <v>162845</v>
      </c>
      <c r="T822">
        <v>47215</v>
      </c>
      <c r="U822" t="s">
        <v>35</v>
      </c>
      <c r="V822" t="s">
        <v>1842</v>
      </c>
      <c r="W822" t="s">
        <v>5383</v>
      </c>
      <c r="X822" s="4">
        <v>1</v>
      </c>
      <c r="Y822" s="4"/>
      <c r="Z822">
        <f t="shared" si="48"/>
        <v>8</v>
      </c>
      <c r="AA822">
        <f t="shared" si="49"/>
        <v>22</v>
      </c>
      <c r="AB822" s="5">
        <f t="shared" si="50"/>
        <v>0.35089120370685123</v>
      </c>
      <c r="AC822" s="3" t="str">
        <f t="shared" si="51"/>
        <v>Order rejected, no time available</v>
      </c>
      <c r="AD822" t="str" cm="1">
        <f t="array" ref="AD822">IFERROR(_xlfn.IFS(
    AC822="", "",
    AC822*86400 &lt; 30, "1. 0s - &lt;30s",
    AC822*86400 &lt; 60, "2. 30s - &lt;1m",
    AC822*86400 &lt; 300, "3. 1m - &lt;5m",
    AC822*86400 &lt; 1800, "4. 5m - &lt;30m",
    TRUE, "5. &gt;= 30m"
),"6. Invalid (Order rejected)")</f>
        <v>6. Invalid (Order rejected)</v>
      </c>
    </row>
    <row r="823" spans="1:30" hidden="1" x14ac:dyDescent="0.3">
      <c r="A823" t="s">
        <v>5384</v>
      </c>
      <c r="B823" t="s">
        <v>25</v>
      </c>
      <c r="C823">
        <v>43811059</v>
      </c>
      <c r="D823">
        <v>0</v>
      </c>
      <c r="E823" t="s">
        <v>25</v>
      </c>
      <c r="F823" t="s">
        <v>26</v>
      </c>
      <c r="G823" t="s">
        <v>27</v>
      </c>
      <c r="H823" t="s">
        <v>5385</v>
      </c>
      <c r="I823" t="s">
        <v>5386</v>
      </c>
      <c r="J823" t="s">
        <v>26</v>
      </c>
      <c r="K823" t="s">
        <v>26</v>
      </c>
      <c r="L823" t="s">
        <v>5387</v>
      </c>
      <c r="M823" t="s">
        <v>25</v>
      </c>
      <c r="N823" t="s">
        <v>1838</v>
      </c>
      <c r="O823" t="s">
        <v>1839</v>
      </c>
      <c r="P823" t="s">
        <v>5388</v>
      </c>
      <c r="Q823" t="s">
        <v>5389</v>
      </c>
      <c r="R823">
        <v>197208</v>
      </c>
      <c r="S823">
        <v>0</v>
      </c>
      <c r="T823">
        <v>197208</v>
      </c>
      <c r="U823" t="s">
        <v>35</v>
      </c>
      <c r="V823" t="s">
        <v>1842</v>
      </c>
      <c r="W823" t="s">
        <v>5390</v>
      </c>
      <c r="X823" s="4">
        <v>1</v>
      </c>
      <c r="Y823" s="4"/>
      <c r="Z823">
        <f t="shared" si="48"/>
        <v>8</v>
      </c>
      <c r="AA823">
        <f t="shared" si="49"/>
        <v>22</v>
      </c>
      <c r="AB823" s="5">
        <f t="shared" si="50"/>
        <v>0.34692129629547708</v>
      </c>
      <c r="AC823" s="3">
        <f t="shared" si="51"/>
        <v>9.0254629627452232E-2</v>
      </c>
      <c r="AD823" t="str" cm="1">
        <f t="array" ref="AD823">IFERROR(_xlfn.IFS(
    AC823="", "",
    AC823*86400 &lt; 30, "1. 0s - &lt;30s",
    AC823*86400 &lt; 60, "2. 30s - &lt;1m",
    AC823*86400 &lt; 300, "3. 1m - &lt;5m",
    AC823*86400 &lt; 1800, "4. 5m - &lt;30m",
    TRUE, "5. &gt;= 30m"
),"6. Invalid (Order rejected)")</f>
        <v>5. &gt;= 30m</v>
      </c>
    </row>
    <row r="824" spans="1:30" hidden="1" x14ac:dyDescent="0.3">
      <c r="A824" t="s">
        <v>5391</v>
      </c>
      <c r="B824" t="s">
        <v>25</v>
      </c>
      <c r="C824">
        <v>43811059</v>
      </c>
      <c r="D824">
        <v>0</v>
      </c>
      <c r="E824" t="s">
        <v>25</v>
      </c>
      <c r="F824" t="s">
        <v>26</v>
      </c>
      <c r="G824" t="s">
        <v>27</v>
      </c>
      <c r="H824" t="s">
        <v>5392</v>
      </c>
      <c r="I824" t="s">
        <v>5393</v>
      </c>
      <c r="J824" t="s">
        <v>26</v>
      </c>
      <c r="K824" t="s">
        <v>26</v>
      </c>
      <c r="L824" t="s">
        <v>5394</v>
      </c>
      <c r="M824" t="s">
        <v>25</v>
      </c>
      <c r="N824" t="s">
        <v>1838</v>
      </c>
      <c r="O824" t="s">
        <v>1839</v>
      </c>
      <c r="P824" t="s">
        <v>5395</v>
      </c>
      <c r="Q824" t="s">
        <v>5396</v>
      </c>
      <c r="R824">
        <v>174744</v>
      </c>
      <c r="S824">
        <v>0</v>
      </c>
      <c r="T824">
        <v>174744</v>
      </c>
      <c r="U824" t="s">
        <v>35</v>
      </c>
      <c r="V824" t="s">
        <v>1842</v>
      </c>
      <c r="W824" t="s">
        <v>5397</v>
      </c>
      <c r="X824" s="4">
        <v>1</v>
      </c>
      <c r="Y824" s="4"/>
      <c r="Z824">
        <f t="shared" si="48"/>
        <v>8</v>
      </c>
      <c r="AA824">
        <f t="shared" si="49"/>
        <v>22</v>
      </c>
      <c r="AB824" s="5">
        <f t="shared" si="50"/>
        <v>0.34893518518219935</v>
      </c>
      <c r="AC824" s="3">
        <f t="shared" si="51"/>
        <v>9.025462963472819E-2</v>
      </c>
      <c r="AD824" t="str" cm="1">
        <f t="array" ref="AD824">IFERROR(_xlfn.IFS(
    AC824="", "",
    AC824*86400 &lt; 30, "1. 0s - &lt;30s",
    AC824*86400 &lt; 60, "2. 30s - &lt;1m",
    AC824*86400 &lt; 300, "3. 1m - &lt;5m",
    AC824*86400 &lt; 1800, "4. 5m - &lt;30m",
    TRUE, "5. &gt;= 30m"
),"6. Invalid (Order rejected)")</f>
        <v>5. &gt;= 30m</v>
      </c>
    </row>
    <row r="825" spans="1:30" hidden="1" x14ac:dyDescent="0.3">
      <c r="A825" t="s">
        <v>5398</v>
      </c>
      <c r="B825" t="s">
        <v>25</v>
      </c>
      <c r="C825">
        <v>43811059</v>
      </c>
      <c r="D825">
        <v>4411069</v>
      </c>
      <c r="E825" t="s">
        <v>25</v>
      </c>
      <c r="F825" t="s">
        <v>75</v>
      </c>
      <c r="G825" t="s">
        <v>76</v>
      </c>
      <c r="H825" t="s">
        <v>5399</v>
      </c>
      <c r="I825" t="s">
        <v>5400</v>
      </c>
      <c r="J825" t="s">
        <v>5401</v>
      </c>
      <c r="K825" t="s">
        <v>26</v>
      </c>
      <c r="L825" t="s">
        <v>5402</v>
      </c>
      <c r="M825" t="s">
        <v>25</v>
      </c>
      <c r="N825" t="s">
        <v>1838</v>
      </c>
      <c r="O825" t="s">
        <v>1839</v>
      </c>
      <c r="P825" t="s">
        <v>3144</v>
      </c>
      <c r="Q825" t="s">
        <v>3145</v>
      </c>
      <c r="R825">
        <v>257796</v>
      </c>
      <c r="S825">
        <v>199852</v>
      </c>
      <c r="T825">
        <v>57944</v>
      </c>
      <c r="U825" t="s">
        <v>35</v>
      </c>
      <c r="V825" t="s">
        <v>1842</v>
      </c>
      <c r="W825" t="s">
        <v>3146</v>
      </c>
      <c r="X825" s="4">
        <v>1</v>
      </c>
      <c r="Y825" s="4"/>
      <c r="Z825">
        <f t="shared" si="48"/>
        <v>8</v>
      </c>
      <c r="AA825">
        <f t="shared" si="49"/>
        <v>22</v>
      </c>
      <c r="AB825" s="5">
        <f t="shared" si="50"/>
        <v>0.34984953703678912</v>
      </c>
      <c r="AC825" s="3">
        <f t="shared" si="51"/>
        <v>0.10697916666686069</v>
      </c>
      <c r="AD825" t="str" cm="1">
        <f t="array" ref="AD825">IFERROR(_xlfn.IFS(
    AC825="", "",
    AC825*86400 &lt; 30, "1. 0s - &lt;30s",
    AC825*86400 &lt; 60, "2. 30s - &lt;1m",
    AC825*86400 &lt; 300, "3. 1m - &lt;5m",
    AC825*86400 &lt; 1800, "4. 5m - &lt;30m",
    TRUE, "5. &gt;= 30m"
),"6. Invalid (Order rejected)")</f>
        <v>5. &gt;= 30m</v>
      </c>
    </row>
    <row r="826" spans="1:30" x14ac:dyDescent="0.3">
      <c r="A826" t="s">
        <v>5403</v>
      </c>
      <c r="B826" t="s">
        <v>25</v>
      </c>
      <c r="C826">
        <v>43811059</v>
      </c>
      <c r="D826">
        <v>4200093</v>
      </c>
      <c r="E826" t="s">
        <v>25</v>
      </c>
      <c r="F826" t="s">
        <v>75</v>
      </c>
      <c r="G826" t="s">
        <v>360</v>
      </c>
      <c r="H826" t="s">
        <v>5404</v>
      </c>
      <c r="I826" t="s">
        <v>5405</v>
      </c>
      <c r="J826" t="s">
        <v>5406</v>
      </c>
      <c r="K826" t="s">
        <v>5407</v>
      </c>
      <c r="L826" t="s">
        <v>25</v>
      </c>
      <c r="M826" t="s">
        <v>25</v>
      </c>
      <c r="N826" t="s">
        <v>1702</v>
      </c>
      <c r="O826" t="s">
        <v>1703</v>
      </c>
      <c r="P826" t="s">
        <v>3176</v>
      </c>
      <c r="Q826" t="s">
        <v>3177</v>
      </c>
      <c r="R826">
        <v>170316</v>
      </c>
      <c r="S826">
        <v>132034</v>
      </c>
      <c r="T826">
        <v>38282</v>
      </c>
      <c r="U826" t="s">
        <v>35</v>
      </c>
      <c r="V826" t="s">
        <v>1706</v>
      </c>
      <c r="W826" t="s">
        <v>3178</v>
      </c>
      <c r="X826" s="4">
        <v>1</v>
      </c>
      <c r="Y826" s="4"/>
      <c r="Z826">
        <f t="shared" si="48"/>
        <v>8</v>
      </c>
      <c r="AA826">
        <f t="shared" si="49"/>
        <v>22</v>
      </c>
      <c r="AB826" s="5">
        <f t="shared" si="50"/>
        <v>0.35199074073898373</v>
      </c>
      <c r="AC826" s="3" t="str">
        <f t="shared" si="51"/>
        <v>Order rejected, no time available</v>
      </c>
      <c r="AD826" t="str" cm="1">
        <f t="array" ref="AD826">IFERROR(_xlfn.IFS(
    AC826="", "",
    AC826*86400 &lt; 30, "1. 0s - &lt;30s",
    AC826*86400 &lt; 60, "2. 30s - &lt;1m",
    AC826*86400 &lt; 300, "3. 1m - &lt;5m",
    AC826*86400 &lt; 1800, "4. 5m - &lt;30m",
    TRUE, "5. &gt;= 30m"
),"6. Invalid (Order rejected)")</f>
        <v>6. Invalid (Order rejected)</v>
      </c>
    </row>
    <row r="827" spans="1:30" hidden="1" x14ac:dyDescent="0.3">
      <c r="A827" t="s">
        <v>5408</v>
      </c>
      <c r="B827" t="s">
        <v>25</v>
      </c>
      <c r="C827">
        <v>43811059</v>
      </c>
      <c r="D827">
        <v>0</v>
      </c>
      <c r="E827" t="s">
        <v>25</v>
      </c>
      <c r="F827" t="s">
        <v>26</v>
      </c>
      <c r="G827" t="s">
        <v>27</v>
      </c>
      <c r="H827" t="s">
        <v>5409</v>
      </c>
      <c r="I827" t="s">
        <v>5410</v>
      </c>
      <c r="J827" t="s">
        <v>26</v>
      </c>
      <c r="K827" t="s">
        <v>26</v>
      </c>
      <c r="L827" t="s">
        <v>5411</v>
      </c>
      <c r="M827" t="s">
        <v>25</v>
      </c>
      <c r="N827" t="s">
        <v>1838</v>
      </c>
      <c r="O827" t="s">
        <v>1839</v>
      </c>
      <c r="P827" t="s">
        <v>3198</v>
      </c>
      <c r="Q827" t="s">
        <v>3199</v>
      </c>
      <c r="R827">
        <v>184680</v>
      </c>
      <c r="S827">
        <v>0</v>
      </c>
      <c r="T827">
        <v>184680</v>
      </c>
      <c r="U827" t="s">
        <v>35</v>
      </c>
      <c r="V827" t="s">
        <v>1842</v>
      </c>
      <c r="W827" t="s">
        <v>3200</v>
      </c>
      <c r="X827" s="4">
        <v>1</v>
      </c>
      <c r="Y827" s="4"/>
      <c r="Z827">
        <f t="shared" si="48"/>
        <v>8</v>
      </c>
      <c r="AA827">
        <f t="shared" si="49"/>
        <v>22</v>
      </c>
      <c r="AB827" s="5">
        <f t="shared" si="50"/>
        <v>0.35012731481401715</v>
      </c>
      <c r="AC827" s="3">
        <f t="shared" si="51"/>
        <v>9.0266203704231884E-2</v>
      </c>
      <c r="AD827" t="str" cm="1">
        <f t="array" ref="AD827">IFERROR(_xlfn.IFS(
    AC827="", "",
    AC827*86400 &lt; 30, "1. 0s - &lt;30s",
    AC827*86400 &lt; 60, "2. 30s - &lt;1m",
    AC827*86400 &lt; 300, "3. 1m - &lt;5m",
    AC827*86400 &lt; 1800, "4. 5m - &lt;30m",
    TRUE, "5. &gt;= 30m"
),"6. Invalid (Order rejected)")</f>
        <v>5. &gt;= 30m</v>
      </c>
    </row>
    <row r="828" spans="1:30" x14ac:dyDescent="0.3">
      <c r="A828" t="s">
        <v>5412</v>
      </c>
      <c r="B828" t="s">
        <v>25</v>
      </c>
      <c r="C828">
        <v>43811059</v>
      </c>
      <c r="D828">
        <v>3058182</v>
      </c>
      <c r="E828" t="s">
        <v>25</v>
      </c>
      <c r="F828" t="s">
        <v>75</v>
      </c>
      <c r="G828" t="s">
        <v>360</v>
      </c>
      <c r="H828" t="s">
        <v>5413</v>
      </c>
      <c r="I828" t="s">
        <v>5414</v>
      </c>
      <c r="J828" t="s">
        <v>5415</v>
      </c>
      <c r="K828" t="s">
        <v>26</v>
      </c>
      <c r="L828" t="s">
        <v>25</v>
      </c>
      <c r="M828" t="s">
        <v>25</v>
      </c>
      <c r="N828" t="s">
        <v>1702</v>
      </c>
      <c r="O828" t="s">
        <v>1703</v>
      </c>
      <c r="P828" t="s">
        <v>180</v>
      </c>
      <c r="Q828" t="s">
        <v>181</v>
      </c>
      <c r="R828">
        <v>147636</v>
      </c>
      <c r="S828">
        <v>114452</v>
      </c>
      <c r="T828">
        <v>33184</v>
      </c>
      <c r="U828" t="s">
        <v>35</v>
      </c>
      <c r="V828" t="s">
        <v>1706</v>
      </c>
      <c r="W828" t="s">
        <v>182</v>
      </c>
      <c r="X828" s="4">
        <v>1</v>
      </c>
      <c r="Y828" s="4"/>
      <c r="Z828">
        <f t="shared" si="48"/>
        <v>8</v>
      </c>
      <c r="AA828">
        <f t="shared" si="49"/>
        <v>22</v>
      </c>
      <c r="AB828" s="5">
        <f t="shared" si="50"/>
        <v>0.35239583333168412</v>
      </c>
      <c r="AC828" s="3" t="str">
        <f t="shared" si="51"/>
        <v>Order rejected, no time available</v>
      </c>
      <c r="AD828" t="str" cm="1">
        <f t="array" ref="AD828">IFERROR(_xlfn.IFS(
    AC828="", "",
    AC828*86400 &lt; 30, "1. 0s - &lt;30s",
    AC828*86400 &lt; 60, "2. 30s - &lt;1m",
    AC828*86400 &lt; 300, "3. 1m - &lt;5m",
    AC828*86400 &lt; 1800, "4. 5m - &lt;30m",
    TRUE, "5. &gt;= 30m"
),"6. Invalid (Order rejected)")</f>
        <v>6. Invalid (Order rejected)</v>
      </c>
    </row>
    <row r="829" spans="1:30" hidden="1" x14ac:dyDescent="0.3">
      <c r="A829" t="s">
        <v>5416</v>
      </c>
      <c r="B829" t="s">
        <v>25</v>
      </c>
      <c r="C829">
        <v>42459206</v>
      </c>
      <c r="D829">
        <v>0</v>
      </c>
      <c r="E829" t="s">
        <v>25</v>
      </c>
      <c r="F829" t="s">
        <v>26</v>
      </c>
      <c r="G829" t="s">
        <v>27</v>
      </c>
      <c r="H829" t="s">
        <v>5417</v>
      </c>
      <c r="I829" t="s">
        <v>5418</v>
      </c>
      <c r="J829" t="s">
        <v>26</v>
      </c>
      <c r="K829" t="s">
        <v>26</v>
      </c>
      <c r="L829" t="s">
        <v>5419</v>
      </c>
      <c r="M829" t="s">
        <v>25</v>
      </c>
      <c r="N829" t="s">
        <v>31</v>
      </c>
      <c r="O829" t="s">
        <v>32</v>
      </c>
      <c r="P829" t="s">
        <v>89</v>
      </c>
      <c r="Q829" t="s">
        <v>90</v>
      </c>
      <c r="R829">
        <v>123660</v>
      </c>
      <c r="S829">
        <v>0</v>
      </c>
      <c r="T829">
        <v>123660</v>
      </c>
      <c r="U829" t="s">
        <v>35</v>
      </c>
      <c r="V829" t="s">
        <v>36</v>
      </c>
      <c r="W829" t="s">
        <v>91</v>
      </c>
      <c r="X829" s="4">
        <v>1</v>
      </c>
      <c r="Y829" s="4"/>
      <c r="Z829">
        <f t="shared" si="48"/>
        <v>7</v>
      </c>
      <c r="AA829">
        <f t="shared" si="49"/>
        <v>7</v>
      </c>
      <c r="AB829" s="5">
        <f t="shared" si="50"/>
        <v>0.31162037036847323</v>
      </c>
      <c r="AC829" s="3">
        <f t="shared" si="51"/>
        <v>9.0289351850515231E-2</v>
      </c>
      <c r="AD829" t="str" cm="1">
        <f t="array" ref="AD829">IFERROR(_xlfn.IFS(
    AC829="", "",
    AC829*86400 &lt; 30, "1. 0s - &lt;30s",
    AC829*86400 &lt; 60, "2. 30s - &lt;1m",
    AC829*86400 &lt; 300, "3. 1m - &lt;5m",
    AC829*86400 &lt; 1800, "4. 5m - &lt;30m",
    TRUE, "5. &gt;= 30m"
),"6. Invalid (Order rejected)")</f>
        <v>5. &gt;= 30m</v>
      </c>
    </row>
    <row r="830" spans="1:30" hidden="1" x14ac:dyDescent="0.3">
      <c r="A830" t="s">
        <v>5420</v>
      </c>
      <c r="B830" t="s">
        <v>25</v>
      </c>
      <c r="C830">
        <v>42459206</v>
      </c>
      <c r="D830">
        <v>0</v>
      </c>
      <c r="E830" t="s">
        <v>25</v>
      </c>
      <c r="F830" t="s">
        <v>26</v>
      </c>
      <c r="G830" t="s">
        <v>27</v>
      </c>
      <c r="H830" t="s">
        <v>5421</v>
      </c>
      <c r="I830" t="s">
        <v>5422</v>
      </c>
      <c r="J830" t="s">
        <v>26</v>
      </c>
      <c r="K830" t="s">
        <v>26</v>
      </c>
      <c r="L830" t="s">
        <v>5423</v>
      </c>
      <c r="M830" t="s">
        <v>25</v>
      </c>
      <c r="N830" t="s">
        <v>31</v>
      </c>
      <c r="O830" t="s">
        <v>32</v>
      </c>
      <c r="P830" t="s">
        <v>169</v>
      </c>
      <c r="Q830" t="s">
        <v>170</v>
      </c>
      <c r="R830">
        <v>136512</v>
      </c>
      <c r="S830">
        <v>0</v>
      </c>
      <c r="T830">
        <v>136512</v>
      </c>
      <c r="U830" t="s">
        <v>35</v>
      </c>
      <c r="V830" t="s">
        <v>36</v>
      </c>
      <c r="W830" t="s">
        <v>171</v>
      </c>
      <c r="X830" s="4">
        <v>1</v>
      </c>
      <c r="Y830" s="4"/>
      <c r="Z830">
        <f t="shared" si="48"/>
        <v>7</v>
      </c>
      <c r="AA830">
        <f t="shared" si="49"/>
        <v>7</v>
      </c>
      <c r="AB830" s="5">
        <f t="shared" si="50"/>
        <v>0.31184027777635492</v>
      </c>
      <c r="AC830" s="3">
        <f t="shared" si="51"/>
        <v>9.0289351850515231E-2</v>
      </c>
      <c r="AD830" t="str" cm="1">
        <f t="array" ref="AD830">IFERROR(_xlfn.IFS(
    AC830="", "",
    AC830*86400 &lt; 30, "1. 0s - &lt;30s",
    AC830*86400 &lt; 60, "2. 30s - &lt;1m",
    AC830*86400 &lt; 300, "3. 1m - &lt;5m",
    AC830*86400 &lt; 1800, "4. 5m - &lt;30m",
    TRUE, "5. &gt;= 30m"
),"6. Invalid (Order rejected)")</f>
        <v>5. &gt;= 30m</v>
      </c>
    </row>
    <row r="831" spans="1:30" hidden="1" x14ac:dyDescent="0.3">
      <c r="A831" t="s">
        <v>5424</v>
      </c>
      <c r="B831" t="s">
        <v>25</v>
      </c>
      <c r="C831">
        <v>42459206</v>
      </c>
      <c r="D831">
        <v>0</v>
      </c>
      <c r="E831" t="s">
        <v>25</v>
      </c>
      <c r="F831" t="s">
        <v>26</v>
      </c>
      <c r="G831" t="s">
        <v>27</v>
      </c>
      <c r="H831" t="s">
        <v>5425</v>
      </c>
      <c r="I831" t="s">
        <v>5426</v>
      </c>
      <c r="J831" t="s">
        <v>26</v>
      </c>
      <c r="K831" t="s">
        <v>26</v>
      </c>
      <c r="L831" t="s">
        <v>5427</v>
      </c>
      <c r="M831" t="s">
        <v>25</v>
      </c>
      <c r="N831" t="s">
        <v>31</v>
      </c>
      <c r="O831" t="s">
        <v>32</v>
      </c>
      <c r="P831" t="s">
        <v>3102</v>
      </c>
      <c r="Q831" t="s">
        <v>3103</v>
      </c>
      <c r="R831">
        <v>114156</v>
      </c>
      <c r="S831">
        <v>0</v>
      </c>
      <c r="T831">
        <v>114156</v>
      </c>
      <c r="U831" t="s">
        <v>35</v>
      </c>
      <c r="V831" t="s">
        <v>36</v>
      </c>
      <c r="W831" t="s">
        <v>3104</v>
      </c>
      <c r="X831" s="4">
        <v>1</v>
      </c>
      <c r="Y831" s="4"/>
      <c r="Z831">
        <f t="shared" si="48"/>
        <v>7</v>
      </c>
      <c r="AA831">
        <f t="shared" si="49"/>
        <v>7</v>
      </c>
      <c r="AB831" s="5">
        <f t="shared" si="50"/>
        <v>0.31304398148495238</v>
      </c>
      <c r="AC831" s="3">
        <f t="shared" si="51"/>
        <v>9.0289351850515231E-2</v>
      </c>
      <c r="AD831" t="str" cm="1">
        <f t="array" ref="AD831">IFERROR(_xlfn.IFS(
    AC831="", "",
    AC831*86400 &lt; 30, "1. 0s - &lt;30s",
    AC831*86400 &lt; 60, "2. 30s - &lt;1m",
    AC831*86400 &lt; 300, "3. 1m - &lt;5m",
    AC831*86400 &lt; 1800, "4. 5m - &lt;30m",
    TRUE, "5. &gt;= 30m"
),"6. Invalid (Order rejected)")</f>
        <v>5. &gt;= 30m</v>
      </c>
    </row>
    <row r="832" spans="1:30" hidden="1" x14ac:dyDescent="0.3">
      <c r="A832" t="s">
        <v>5428</v>
      </c>
      <c r="B832" t="s">
        <v>25</v>
      </c>
      <c r="C832">
        <v>42459206</v>
      </c>
      <c r="D832">
        <v>0</v>
      </c>
      <c r="E832" t="s">
        <v>25</v>
      </c>
      <c r="F832" t="s">
        <v>26</v>
      </c>
      <c r="G832" t="s">
        <v>27</v>
      </c>
      <c r="H832" t="s">
        <v>5429</v>
      </c>
      <c r="I832" t="s">
        <v>5430</v>
      </c>
      <c r="J832" t="s">
        <v>26</v>
      </c>
      <c r="K832" t="s">
        <v>26</v>
      </c>
      <c r="L832" t="s">
        <v>5431</v>
      </c>
      <c r="M832" t="s">
        <v>25</v>
      </c>
      <c r="N832" t="s">
        <v>31</v>
      </c>
      <c r="O832" t="s">
        <v>32</v>
      </c>
      <c r="P832" t="s">
        <v>3865</v>
      </c>
      <c r="Q832" t="s">
        <v>3866</v>
      </c>
      <c r="R832">
        <v>99792</v>
      </c>
      <c r="S832">
        <v>0</v>
      </c>
      <c r="T832">
        <v>99792</v>
      </c>
      <c r="U832" t="s">
        <v>35</v>
      </c>
      <c r="V832" t="s">
        <v>36</v>
      </c>
      <c r="W832" t="s">
        <v>3868</v>
      </c>
      <c r="X832" s="4">
        <v>1</v>
      </c>
      <c r="Y832" s="4"/>
      <c r="Z832">
        <f t="shared" si="48"/>
        <v>7</v>
      </c>
      <c r="AA832">
        <f t="shared" si="49"/>
        <v>7</v>
      </c>
      <c r="AB832" s="5">
        <f t="shared" si="50"/>
        <v>0.31681712962745223</v>
      </c>
      <c r="AC832" s="3">
        <f t="shared" si="51"/>
        <v>9.0289351850515231E-2</v>
      </c>
      <c r="AD832" t="str" cm="1">
        <f t="array" ref="AD832">IFERROR(_xlfn.IFS(
    AC832="", "",
    AC832*86400 &lt; 30, "1. 0s - &lt;30s",
    AC832*86400 &lt; 60, "2. 30s - &lt;1m",
    AC832*86400 &lt; 300, "3. 1m - &lt;5m",
    AC832*86400 &lt; 1800, "4. 5m - &lt;30m",
    TRUE, "5. &gt;= 30m"
),"6. Invalid (Order rejected)")</f>
        <v>5. &gt;= 30m</v>
      </c>
    </row>
    <row r="833" spans="1:30" hidden="1" x14ac:dyDescent="0.3">
      <c r="A833" t="s">
        <v>5432</v>
      </c>
      <c r="B833" t="s">
        <v>25</v>
      </c>
      <c r="C833">
        <v>42459206</v>
      </c>
      <c r="D833">
        <v>0</v>
      </c>
      <c r="E833" t="s">
        <v>25</v>
      </c>
      <c r="F833" t="s">
        <v>26</v>
      </c>
      <c r="G833" t="s">
        <v>27</v>
      </c>
      <c r="H833" t="s">
        <v>5433</v>
      </c>
      <c r="I833" t="s">
        <v>5434</v>
      </c>
      <c r="J833" t="s">
        <v>26</v>
      </c>
      <c r="K833" t="s">
        <v>26</v>
      </c>
      <c r="L833" t="s">
        <v>5435</v>
      </c>
      <c r="M833" t="s">
        <v>25</v>
      </c>
      <c r="N833" t="s">
        <v>31</v>
      </c>
      <c r="O833" t="s">
        <v>32</v>
      </c>
      <c r="P833" t="s">
        <v>180</v>
      </c>
      <c r="Q833" t="s">
        <v>181</v>
      </c>
      <c r="R833">
        <v>93204</v>
      </c>
      <c r="S833">
        <v>0</v>
      </c>
      <c r="T833">
        <v>93204</v>
      </c>
      <c r="U833" t="s">
        <v>35</v>
      </c>
      <c r="V833" t="s">
        <v>36</v>
      </c>
      <c r="W833" t="s">
        <v>182</v>
      </c>
      <c r="X833" s="4">
        <v>1</v>
      </c>
      <c r="Y833" s="4"/>
      <c r="Z833">
        <f t="shared" si="48"/>
        <v>7</v>
      </c>
      <c r="AA833">
        <f t="shared" si="49"/>
        <v>7</v>
      </c>
      <c r="AB833" s="5">
        <f t="shared" si="50"/>
        <v>0.31375000000116415</v>
      </c>
      <c r="AC833" s="3">
        <f t="shared" si="51"/>
        <v>9.0289351850515231E-2</v>
      </c>
      <c r="AD833" t="str" cm="1">
        <f t="array" ref="AD833">IFERROR(_xlfn.IFS(
    AC833="", "",
    AC833*86400 &lt; 30, "1. 0s - &lt;30s",
    AC833*86400 &lt; 60, "2. 30s - &lt;1m",
    AC833*86400 &lt; 300, "3. 1m - &lt;5m",
    AC833*86400 &lt; 1800, "4. 5m - &lt;30m",
    TRUE, "5. &gt;= 30m"
),"6. Invalid (Order rejected)")</f>
        <v>5. &gt;= 30m</v>
      </c>
    </row>
    <row r="834" spans="1:30" hidden="1" x14ac:dyDescent="0.3">
      <c r="A834" t="s">
        <v>5436</v>
      </c>
      <c r="B834" t="s">
        <v>25</v>
      </c>
      <c r="C834">
        <v>42459206</v>
      </c>
      <c r="D834">
        <v>0</v>
      </c>
      <c r="E834" t="s">
        <v>25</v>
      </c>
      <c r="F834" t="s">
        <v>26</v>
      </c>
      <c r="G834" t="s">
        <v>27</v>
      </c>
      <c r="H834" t="s">
        <v>5437</v>
      </c>
      <c r="I834" t="s">
        <v>5438</v>
      </c>
      <c r="J834" t="s">
        <v>26</v>
      </c>
      <c r="K834" t="s">
        <v>26</v>
      </c>
      <c r="L834" t="s">
        <v>5439</v>
      </c>
      <c r="M834" t="s">
        <v>25</v>
      </c>
      <c r="N834" t="s">
        <v>31</v>
      </c>
      <c r="O834" t="s">
        <v>32</v>
      </c>
      <c r="P834" t="s">
        <v>857</v>
      </c>
      <c r="Q834" t="s">
        <v>858</v>
      </c>
      <c r="R834">
        <v>139428</v>
      </c>
      <c r="S834">
        <v>0</v>
      </c>
      <c r="T834">
        <v>139428</v>
      </c>
      <c r="U834" t="s">
        <v>35</v>
      </c>
      <c r="V834" t="s">
        <v>36</v>
      </c>
      <c r="W834" t="s">
        <v>860</v>
      </c>
      <c r="X834" s="4">
        <v>1</v>
      </c>
      <c r="Y834" s="4"/>
      <c r="Z834">
        <f t="shared" si="48"/>
        <v>7</v>
      </c>
      <c r="AA834">
        <f t="shared" si="49"/>
        <v>7</v>
      </c>
      <c r="AB834" s="5">
        <f t="shared" si="50"/>
        <v>0.31206018518423662</v>
      </c>
      <c r="AC834" s="3">
        <f t="shared" si="51"/>
        <v>9.0289351850515231E-2</v>
      </c>
      <c r="AD834" t="str" cm="1">
        <f t="array" ref="AD834">IFERROR(_xlfn.IFS(
    AC834="", "",
    AC834*86400 &lt; 30, "1. 0s - &lt;30s",
    AC834*86400 &lt; 60, "2. 30s - &lt;1m",
    AC834*86400 &lt; 300, "3. 1m - &lt;5m",
    AC834*86400 &lt; 1800, "4. 5m - &lt;30m",
    TRUE, "5. &gt;= 30m"
),"6. Invalid (Order rejected)")</f>
        <v>5. &gt;= 30m</v>
      </c>
    </row>
    <row r="835" spans="1:30" hidden="1" x14ac:dyDescent="0.3">
      <c r="A835" t="s">
        <v>5440</v>
      </c>
      <c r="B835" t="s">
        <v>25</v>
      </c>
      <c r="C835">
        <v>42459206</v>
      </c>
      <c r="D835">
        <v>0</v>
      </c>
      <c r="E835" t="s">
        <v>25</v>
      </c>
      <c r="F835" t="s">
        <v>26</v>
      </c>
      <c r="G835" t="s">
        <v>27</v>
      </c>
      <c r="H835" t="s">
        <v>5441</v>
      </c>
      <c r="I835" t="s">
        <v>5442</v>
      </c>
      <c r="J835" t="s">
        <v>26</v>
      </c>
      <c r="K835" t="s">
        <v>26</v>
      </c>
      <c r="L835" t="s">
        <v>5443</v>
      </c>
      <c r="M835" t="s">
        <v>25</v>
      </c>
      <c r="N835" t="s">
        <v>31</v>
      </c>
      <c r="O835" t="s">
        <v>32</v>
      </c>
      <c r="P835" t="s">
        <v>147</v>
      </c>
      <c r="Q835" t="s">
        <v>148</v>
      </c>
      <c r="R835">
        <v>106812</v>
      </c>
      <c r="S835">
        <v>0</v>
      </c>
      <c r="T835">
        <v>106812</v>
      </c>
      <c r="U835" t="s">
        <v>35</v>
      </c>
      <c r="V835" t="s">
        <v>36</v>
      </c>
      <c r="W835" t="s">
        <v>149</v>
      </c>
      <c r="X835" s="4">
        <v>1</v>
      </c>
      <c r="Y835" s="4"/>
      <c r="Z835">
        <f t="shared" ref="Z835:Z898" si="52">MONTH(H835)</f>
        <v>7</v>
      </c>
      <c r="AA835">
        <f t="shared" ref="AA835:AA898" si="53">DAY(H835)</f>
        <v>7</v>
      </c>
      <c r="AB835" s="5">
        <f t="shared" ref="AB835:AB898" si="54">MOD(H835, 1)</f>
        <v>0.31612268518802011</v>
      </c>
      <c r="AC835" s="3">
        <f t="shared" ref="AC835:AC898" si="55">IFERROR(IF(M835="",L835-H835,M835-H835),"Order rejected, no time available")</f>
        <v>9.0289351850515231E-2</v>
      </c>
      <c r="AD835" t="str" cm="1">
        <f t="array" ref="AD835">IFERROR(_xlfn.IFS(
    AC835="", "",
    AC835*86400 &lt; 30, "1. 0s - &lt;30s",
    AC835*86400 &lt; 60, "2. 30s - &lt;1m",
    AC835*86400 &lt; 300, "3. 1m - &lt;5m",
    AC835*86400 &lt; 1800, "4. 5m - &lt;30m",
    TRUE, "5. &gt;= 30m"
),"6. Invalid (Order rejected)")</f>
        <v>5. &gt;= 30m</v>
      </c>
    </row>
    <row r="836" spans="1:30" hidden="1" x14ac:dyDescent="0.3">
      <c r="A836" t="s">
        <v>5444</v>
      </c>
      <c r="B836" t="s">
        <v>25</v>
      </c>
      <c r="C836">
        <v>42459206</v>
      </c>
      <c r="D836">
        <v>0</v>
      </c>
      <c r="E836" t="s">
        <v>25</v>
      </c>
      <c r="F836" t="s">
        <v>26</v>
      </c>
      <c r="G836" t="s">
        <v>27</v>
      </c>
      <c r="H836" t="s">
        <v>5445</v>
      </c>
      <c r="I836" t="s">
        <v>5446</v>
      </c>
      <c r="J836" t="s">
        <v>26</v>
      </c>
      <c r="K836" t="s">
        <v>26</v>
      </c>
      <c r="L836" t="s">
        <v>5447</v>
      </c>
      <c r="M836" t="s">
        <v>25</v>
      </c>
      <c r="N836" t="s">
        <v>31</v>
      </c>
      <c r="O836" t="s">
        <v>32</v>
      </c>
      <c r="P836" t="s">
        <v>180</v>
      </c>
      <c r="Q836" t="s">
        <v>181</v>
      </c>
      <c r="R836">
        <v>93204</v>
      </c>
      <c r="S836">
        <v>0</v>
      </c>
      <c r="T836">
        <v>93204</v>
      </c>
      <c r="U836" t="s">
        <v>35</v>
      </c>
      <c r="V836" t="s">
        <v>36</v>
      </c>
      <c r="W836" t="s">
        <v>182</v>
      </c>
      <c r="X836" s="4">
        <v>1</v>
      </c>
      <c r="Y836" s="4"/>
      <c r="Z836">
        <f t="shared" si="52"/>
        <v>7</v>
      </c>
      <c r="AA836">
        <f t="shared" si="53"/>
        <v>7</v>
      </c>
      <c r="AB836" s="5">
        <f t="shared" si="54"/>
        <v>0.31399305555532919</v>
      </c>
      <c r="AC836" s="3">
        <f t="shared" si="55"/>
        <v>9.0289351850515231E-2</v>
      </c>
      <c r="AD836" t="str" cm="1">
        <f t="array" ref="AD836">IFERROR(_xlfn.IFS(
    AC836="", "",
    AC836*86400 &lt; 30, "1. 0s - &lt;30s",
    AC836*86400 &lt; 60, "2. 30s - &lt;1m",
    AC836*86400 &lt; 300, "3. 1m - &lt;5m",
    AC836*86400 &lt; 1800, "4. 5m - &lt;30m",
    TRUE, "5. &gt;= 30m"
),"6. Invalid (Order rejected)")</f>
        <v>5. &gt;= 30m</v>
      </c>
    </row>
    <row r="837" spans="1:30" hidden="1" x14ac:dyDescent="0.3">
      <c r="A837" t="s">
        <v>5448</v>
      </c>
      <c r="B837" t="s">
        <v>25</v>
      </c>
      <c r="C837">
        <v>42459206</v>
      </c>
      <c r="D837">
        <v>0</v>
      </c>
      <c r="E837" t="s">
        <v>25</v>
      </c>
      <c r="F837" t="s">
        <v>26</v>
      </c>
      <c r="G837" t="s">
        <v>27</v>
      </c>
      <c r="H837" t="s">
        <v>5449</v>
      </c>
      <c r="I837" t="s">
        <v>5450</v>
      </c>
      <c r="J837" t="s">
        <v>26</v>
      </c>
      <c r="K837" t="s">
        <v>26</v>
      </c>
      <c r="L837" t="s">
        <v>5451</v>
      </c>
      <c r="M837" t="s">
        <v>25</v>
      </c>
      <c r="N837" t="s">
        <v>31</v>
      </c>
      <c r="O837" t="s">
        <v>32</v>
      </c>
      <c r="P837" t="s">
        <v>154</v>
      </c>
      <c r="Q837" t="s">
        <v>155</v>
      </c>
      <c r="R837">
        <v>109728</v>
      </c>
      <c r="S837">
        <v>0</v>
      </c>
      <c r="T837">
        <v>109728</v>
      </c>
      <c r="U837" t="s">
        <v>35</v>
      </c>
      <c r="V837" t="s">
        <v>36</v>
      </c>
      <c r="W837" t="s">
        <v>156</v>
      </c>
      <c r="X837" s="4">
        <v>1</v>
      </c>
      <c r="Y837" s="4"/>
      <c r="Z837">
        <f t="shared" si="52"/>
        <v>7</v>
      </c>
      <c r="AA837">
        <f t="shared" si="53"/>
        <v>7</v>
      </c>
      <c r="AB837" s="5">
        <f t="shared" si="54"/>
        <v>0.31637731481168885</v>
      </c>
      <c r="AC837" s="3">
        <f t="shared" si="55"/>
        <v>9.0289351857791189E-2</v>
      </c>
      <c r="AD837" t="str" cm="1">
        <f t="array" ref="AD837">IFERROR(_xlfn.IFS(
    AC837="", "",
    AC837*86400 &lt; 30, "1. 0s - &lt;30s",
    AC837*86400 &lt; 60, "2. 30s - &lt;1m",
    AC837*86400 &lt; 300, "3. 1m - &lt;5m",
    AC837*86400 &lt; 1800, "4. 5m - &lt;30m",
    TRUE, "5. &gt;= 30m"
),"6. Invalid (Order rejected)")</f>
        <v>5. &gt;= 30m</v>
      </c>
    </row>
    <row r="838" spans="1:30" hidden="1" x14ac:dyDescent="0.3">
      <c r="A838" t="s">
        <v>5452</v>
      </c>
      <c r="B838" t="s">
        <v>25</v>
      </c>
      <c r="C838">
        <v>42459206</v>
      </c>
      <c r="D838">
        <v>0</v>
      </c>
      <c r="E838" t="s">
        <v>25</v>
      </c>
      <c r="F838" t="s">
        <v>26</v>
      </c>
      <c r="G838" t="s">
        <v>27</v>
      </c>
      <c r="H838" t="s">
        <v>5453</v>
      </c>
      <c r="I838" t="s">
        <v>5454</v>
      </c>
      <c r="J838" t="s">
        <v>26</v>
      </c>
      <c r="K838" t="s">
        <v>26</v>
      </c>
      <c r="L838" t="s">
        <v>5455</v>
      </c>
      <c r="M838" t="s">
        <v>25</v>
      </c>
      <c r="N838" t="s">
        <v>31</v>
      </c>
      <c r="O838" t="s">
        <v>32</v>
      </c>
      <c r="P838" t="s">
        <v>857</v>
      </c>
      <c r="Q838" t="s">
        <v>858</v>
      </c>
      <c r="R838">
        <v>139428</v>
      </c>
      <c r="S838">
        <v>0</v>
      </c>
      <c r="T838">
        <v>139428</v>
      </c>
      <c r="U838" t="s">
        <v>35</v>
      </c>
      <c r="V838" t="s">
        <v>36</v>
      </c>
      <c r="W838" t="s">
        <v>860</v>
      </c>
      <c r="X838" s="4">
        <v>1</v>
      </c>
      <c r="Y838" s="4"/>
      <c r="Z838">
        <f t="shared" si="52"/>
        <v>7</v>
      </c>
      <c r="AA838">
        <f t="shared" si="53"/>
        <v>8</v>
      </c>
      <c r="AB838" s="5">
        <f t="shared" si="54"/>
        <v>0.32516203703562496</v>
      </c>
      <c r="AC838" s="3">
        <f t="shared" si="55"/>
        <v>9.0277777781011537E-2</v>
      </c>
      <c r="AD838" t="str" cm="1">
        <f t="array" ref="AD838">IFERROR(_xlfn.IFS(
    AC838="", "",
    AC838*86400 &lt; 30, "1. 0s - &lt;30s",
    AC838*86400 &lt; 60, "2. 30s - &lt;1m",
    AC838*86400 &lt; 300, "3. 1m - &lt;5m",
    AC838*86400 &lt; 1800, "4. 5m - &lt;30m",
    TRUE, "5. &gt;= 30m"
),"6. Invalid (Order rejected)")</f>
        <v>5. &gt;= 30m</v>
      </c>
    </row>
    <row r="839" spans="1:30" hidden="1" x14ac:dyDescent="0.3">
      <c r="A839" t="s">
        <v>5456</v>
      </c>
      <c r="B839" t="s">
        <v>25</v>
      </c>
      <c r="C839">
        <v>42459206</v>
      </c>
      <c r="D839">
        <v>0</v>
      </c>
      <c r="E839" t="s">
        <v>25</v>
      </c>
      <c r="F839" t="s">
        <v>26</v>
      </c>
      <c r="G839" t="s">
        <v>76</v>
      </c>
      <c r="H839" t="s">
        <v>5457</v>
      </c>
      <c r="I839" t="s">
        <v>5458</v>
      </c>
      <c r="J839" t="s">
        <v>26</v>
      </c>
      <c r="K839" t="s">
        <v>26</v>
      </c>
      <c r="L839" t="s">
        <v>5459</v>
      </c>
      <c r="M839" t="s">
        <v>25</v>
      </c>
      <c r="N839" t="s">
        <v>31</v>
      </c>
      <c r="O839" t="s">
        <v>32</v>
      </c>
      <c r="P839" t="s">
        <v>56</v>
      </c>
      <c r="Q839" t="s">
        <v>57</v>
      </c>
      <c r="R839">
        <v>104544</v>
      </c>
      <c r="S839">
        <v>0</v>
      </c>
      <c r="T839">
        <v>104544</v>
      </c>
      <c r="U839" t="s">
        <v>35</v>
      </c>
      <c r="V839" t="s">
        <v>36</v>
      </c>
      <c r="W839" t="s">
        <v>58</v>
      </c>
      <c r="X839" s="4">
        <v>1</v>
      </c>
      <c r="Y839" s="4"/>
      <c r="Z839">
        <f t="shared" si="52"/>
        <v>7</v>
      </c>
      <c r="AA839">
        <f t="shared" si="53"/>
        <v>8</v>
      </c>
      <c r="AB839" s="5">
        <f t="shared" si="54"/>
        <v>0.32670138889079681</v>
      </c>
      <c r="AC839" s="3">
        <f t="shared" si="55"/>
        <v>3.8194443914107978E-4</v>
      </c>
      <c r="AD839" t="str" cm="1">
        <f t="array" ref="AD839">IFERROR(_xlfn.IFS(
    AC839="", "",
    AC839*86400 &lt; 30, "1. 0s - &lt;30s",
    AC839*86400 &lt; 60, "2. 30s - &lt;1m",
    AC839*86400 &lt; 300, "3. 1m - &lt;5m",
    AC839*86400 &lt; 1800, "4. 5m - &lt;30m",
    TRUE, "5. &gt;= 30m"
),"6. Invalid (Order rejected)")</f>
        <v>2. 30s - &lt;1m</v>
      </c>
    </row>
    <row r="840" spans="1:30" hidden="1" x14ac:dyDescent="0.3">
      <c r="A840" t="s">
        <v>5460</v>
      </c>
      <c r="B840" t="s">
        <v>25</v>
      </c>
      <c r="C840">
        <v>42459206</v>
      </c>
      <c r="D840">
        <v>0</v>
      </c>
      <c r="E840" t="s">
        <v>25</v>
      </c>
      <c r="F840" t="s">
        <v>26</v>
      </c>
      <c r="G840" t="s">
        <v>27</v>
      </c>
      <c r="H840" t="s">
        <v>5461</v>
      </c>
      <c r="I840" t="s">
        <v>5462</v>
      </c>
      <c r="J840" t="s">
        <v>26</v>
      </c>
      <c r="K840" t="s">
        <v>26</v>
      </c>
      <c r="L840" t="s">
        <v>5463</v>
      </c>
      <c r="M840" t="s">
        <v>25</v>
      </c>
      <c r="N840" t="s">
        <v>31</v>
      </c>
      <c r="O840" t="s">
        <v>32</v>
      </c>
      <c r="P840" t="s">
        <v>124</v>
      </c>
      <c r="Q840" t="s">
        <v>125</v>
      </c>
      <c r="R840">
        <v>151956</v>
      </c>
      <c r="S840">
        <v>0</v>
      </c>
      <c r="T840">
        <v>151956</v>
      </c>
      <c r="U840" t="s">
        <v>35</v>
      </c>
      <c r="V840" t="s">
        <v>36</v>
      </c>
      <c r="W840" t="s">
        <v>126</v>
      </c>
      <c r="X840" s="4">
        <v>1</v>
      </c>
      <c r="Y840" s="4"/>
      <c r="Z840">
        <f t="shared" si="52"/>
        <v>7</v>
      </c>
      <c r="AA840">
        <f t="shared" si="53"/>
        <v>8</v>
      </c>
      <c r="AB840" s="5">
        <f t="shared" si="54"/>
        <v>0.33030092592525762</v>
      </c>
      <c r="AC840" s="3">
        <f t="shared" si="55"/>
        <v>9.0289351850515231E-2</v>
      </c>
      <c r="AD840" t="str" cm="1">
        <f t="array" ref="AD840">IFERROR(_xlfn.IFS(
    AC840="", "",
    AC840*86400 &lt; 30, "1. 0s - &lt;30s",
    AC840*86400 &lt; 60, "2. 30s - &lt;1m",
    AC840*86400 &lt; 300, "3. 1m - &lt;5m",
    AC840*86400 &lt; 1800, "4. 5m - &lt;30m",
    TRUE, "5. &gt;= 30m"
),"6. Invalid (Order rejected)")</f>
        <v>5. &gt;= 30m</v>
      </c>
    </row>
    <row r="841" spans="1:30" hidden="1" x14ac:dyDescent="0.3">
      <c r="A841" t="s">
        <v>5464</v>
      </c>
      <c r="B841" t="s">
        <v>25</v>
      </c>
      <c r="C841">
        <v>42459206</v>
      </c>
      <c r="D841">
        <v>0</v>
      </c>
      <c r="E841" t="s">
        <v>25</v>
      </c>
      <c r="F841" t="s">
        <v>26</v>
      </c>
      <c r="G841" t="s">
        <v>76</v>
      </c>
      <c r="H841" t="s">
        <v>5465</v>
      </c>
      <c r="I841" t="s">
        <v>5466</v>
      </c>
      <c r="J841" t="s">
        <v>26</v>
      </c>
      <c r="K841" t="s">
        <v>26</v>
      </c>
      <c r="L841" t="s">
        <v>5467</v>
      </c>
      <c r="M841" t="s">
        <v>25</v>
      </c>
      <c r="N841" t="s">
        <v>31</v>
      </c>
      <c r="O841" t="s">
        <v>32</v>
      </c>
      <c r="P841" t="s">
        <v>3102</v>
      </c>
      <c r="Q841" t="s">
        <v>3103</v>
      </c>
      <c r="R841">
        <v>114156</v>
      </c>
      <c r="S841">
        <v>0</v>
      </c>
      <c r="T841">
        <v>114156</v>
      </c>
      <c r="U841" t="s">
        <v>35</v>
      </c>
      <c r="V841" t="s">
        <v>36</v>
      </c>
      <c r="W841" t="s">
        <v>3104</v>
      </c>
      <c r="X841" s="4">
        <v>1</v>
      </c>
      <c r="Y841" s="4"/>
      <c r="Z841">
        <f t="shared" si="52"/>
        <v>7</v>
      </c>
      <c r="AA841">
        <f t="shared" si="53"/>
        <v>8</v>
      </c>
      <c r="AB841" s="5">
        <f t="shared" si="54"/>
        <v>0.32626157407503342</v>
      </c>
      <c r="AC841" s="3">
        <f t="shared" si="55"/>
        <v>9.4907407037680969E-4</v>
      </c>
      <c r="AD841" t="str" cm="1">
        <f t="array" ref="AD841">IFERROR(_xlfn.IFS(
    AC841="", "",
    AC841*86400 &lt; 30, "1. 0s - &lt;30s",
    AC841*86400 &lt; 60, "2. 30s - &lt;1m",
    AC841*86400 &lt; 300, "3. 1m - &lt;5m",
    AC841*86400 &lt; 1800, "4. 5m - &lt;30m",
    TRUE, "5. &gt;= 30m"
),"6. Invalid (Order rejected)")</f>
        <v>3. 1m - &lt;5m</v>
      </c>
    </row>
    <row r="842" spans="1:30" hidden="1" x14ac:dyDescent="0.3">
      <c r="A842" t="s">
        <v>5468</v>
      </c>
      <c r="B842" t="s">
        <v>25</v>
      </c>
      <c r="C842">
        <v>42459206</v>
      </c>
      <c r="D842">
        <v>0</v>
      </c>
      <c r="E842" t="s">
        <v>25</v>
      </c>
      <c r="F842" t="s">
        <v>26</v>
      </c>
      <c r="G842" t="s">
        <v>27</v>
      </c>
      <c r="H842" t="s">
        <v>5469</v>
      </c>
      <c r="I842" t="s">
        <v>5470</v>
      </c>
      <c r="J842" t="s">
        <v>26</v>
      </c>
      <c r="K842" t="s">
        <v>26</v>
      </c>
      <c r="L842" t="s">
        <v>5471</v>
      </c>
      <c r="M842" t="s">
        <v>25</v>
      </c>
      <c r="N842" t="s">
        <v>31</v>
      </c>
      <c r="O842" t="s">
        <v>32</v>
      </c>
      <c r="P842" t="s">
        <v>96</v>
      </c>
      <c r="Q842" t="s">
        <v>97</v>
      </c>
      <c r="R842">
        <v>115992</v>
      </c>
      <c r="S842">
        <v>0</v>
      </c>
      <c r="T842">
        <v>115992</v>
      </c>
      <c r="U842" t="s">
        <v>35</v>
      </c>
      <c r="V842" t="s">
        <v>36</v>
      </c>
      <c r="W842" t="s">
        <v>98</v>
      </c>
      <c r="X842" s="4">
        <v>1</v>
      </c>
      <c r="Y842" s="4"/>
      <c r="Z842">
        <f t="shared" si="52"/>
        <v>7</v>
      </c>
      <c r="AA842">
        <f t="shared" si="53"/>
        <v>8</v>
      </c>
      <c r="AB842" s="5">
        <f t="shared" si="54"/>
        <v>0.32584490740555339</v>
      </c>
      <c r="AC842" s="3">
        <f t="shared" si="55"/>
        <v>9.0289351850515231E-2</v>
      </c>
      <c r="AD842" t="str" cm="1">
        <f t="array" ref="AD842">IFERROR(_xlfn.IFS(
    AC842="", "",
    AC842*86400 &lt; 30, "1. 0s - &lt;30s",
    AC842*86400 &lt; 60, "2. 30s - &lt;1m",
    AC842*86400 &lt; 300, "3. 1m - &lt;5m",
    AC842*86400 &lt; 1800, "4. 5m - &lt;30m",
    TRUE, "5. &gt;= 30m"
),"6. Invalid (Order rejected)")</f>
        <v>5. &gt;= 30m</v>
      </c>
    </row>
    <row r="843" spans="1:30" hidden="1" x14ac:dyDescent="0.3">
      <c r="A843" t="s">
        <v>5472</v>
      </c>
      <c r="B843" t="s">
        <v>25</v>
      </c>
      <c r="C843">
        <v>42459206</v>
      </c>
      <c r="D843">
        <v>4629889</v>
      </c>
      <c r="E843" t="s">
        <v>25</v>
      </c>
      <c r="F843" t="s">
        <v>75</v>
      </c>
      <c r="G843" t="s">
        <v>76</v>
      </c>
      <c r="H843" t="s">
        <v>5473</v>
      </c>
      <c r="I843" t="s">
        <v>5474</v>
      </c>
      <c r="J843" t="s">
        <v>5475</v>
      </c>
      <c r="K843" t="s">
        <v>26</v>
      </c>
      <c r="L843" t="s">
        <v>5476</v>
      </c>
      <c r="M843" t="s">
        <v>25</v>
      </c>
      <c r="N843" t="s">
        <v>31</v>
      </c>
      <c r="O843" t="s">
        <v>32</v>
      </c>
      <c r="P843" t="s">
        <v>42</v>
      </c>
      <c r="Q843" t="s">
        <v>43</v>
      </c>
      <c r="R843">
        <v>91692</v>
      </c>
      <c r="S843">
        <v>71083</v>
      </c>
      <c r="T843">
        <v>20609</v>
      </c>
      <c r="U843" t="s">
        <v>35</v>
      </c>
      <c r="V843" t="s">
        <v>36</v>
      </c>
      <c r="W843" t="s">
        <v>44</v>
      </c>
      <c r="X843" s="4">
        <v>1</v>
      </c>
      <c r="Y843" s="4"/>
      <c r="Z843">
        <f t="shared" si="52"/>
        <v>7</v>
      </c>
      <c r="AA843">
        <f t="shared" si="53"/>
        <v>8</v>
      </c>
      <c r="AB843" s="5">
        <f t="shared" si="54"/>
        <v>0.32842592592351139</v>
      </c>
      <c r="AC843" s="3">
        <f t="shared" si="55"/>
        <v>4.0925925924966577E-2</v>
      </c>
      <c r="AD843" t="str" cm="1">
        <f t="array" ref="AD843">IFERROR(_xlfn.IFS(
    AC843="", "",
    AC843*86400 &lt; 30, "1. 0s - &lt;30s",
    AC843*86400 &lt; 60, "2. 30s - &lt;1m",
    AC843*86400 &lt; 300, "3. 1m - &lt;5m",
    AC843*86400 &lt; 1800, "4. 5m - &lt;30m",
    TRUE, "5. &gt;= 30m"
),"6. Invalid (Order rejected)")</f>
        <v>5. &gt;= 30m</v>
      </c>
    </row>
    <row r="844" spans="1:30" hidden="1" x14ac:dyDescent="0.3">
      <c r="A844" t="s">
        <v>5477</v>
      </c>
      <c r="B844" t="s">
        <v>25</v>
      </c>
      <c r="C844">
        <v>42459206</v>
      </c>
      <c r="D844">
        <v>0</v>
      </c>
      <c r="E844" t="s">
        <v>25</v>
      </c>
      <c r="F844" t="s">
        <v>26</v>
      </c>
      <c r="G844" t="s">
        <v>27</v>
      </c>
      <c r="H844" t="s">
        <v>5478</v>
      </c>
      <c r="I844" t="s">
        <v>5479</v>
      </c>
      <c r="J844" t="s">
        <v>26</v>
      </c>
      <c r="K844" t="s">
        <v>26</v>
      </c>
      <c r="L844" t="s">
        <v>5480</v>
      </c>
      <c r="M844" t="s">
        <v>25</v>
      </c>
      <c r="N844" t="s">
        <v>31</v>
      </c>
      <c r="O844" t="s">
        <v>32</v>
      </c>
      <c r="P844" t="s">
        <v>131</v>
      </c>
      <c r="Q844" t="s">
        <v>132</v>
      </c>
      <c r="R844">
        <v>99036</v>
      </c>
      <c r="S844">
        <v>0</v>
      </c>
      <c r="T844">
        <v>99036</v>
      </c>
      <c r="U844" t="s">
        <v>35</v>
      </c>
      <c r="V844" t="s">
        <v>36</v>
      </c>
      <c r="W844" t="s">
        <v>133</v>
      </c>
      <c r="X844" s="4">
        <v>1</v>
      </c>
      <c r="Y844" s="4"/>
      <c r="Z844">
        <f t="shared" si="52"/>
        <v>7</v>
      </c>
      <c r="AA844">
        <f t="shared" si="53"/>
        <v>8</v>
      </c>
      <c r="AB844" s="5">
        <f t="shared" si="54"/>
        <v>0.33012731481721858</v>
      </c>
      <c r="AC844" s="3">
        <f t="shared" si="55"/>
        <v>9.0289351850515231E-2</v>
      </c>
      <c r="AD844" t="str" cm="1">
        <f t="array" ref="AD844">IFERROR(_xlfn.IFS(
    AC844="", "",
    AC844*86400 &lt; 30, "1. 0s - &lt;30s",
    AC844*86400 &lt; 60, "2. 30s - &lt;1m",
    AC844*86400 &lt; 300, "3. 1m - &lt;5m",
    AC844*86400 &lt; 1800, "4. 5m - &lt;30m",
    TRUE, "5. &gt;= 30m"
),"6. Invalid (Order rejected)")</f>
        <v>5. &gt;= 30m</v>
      </c>
    </row>
    <row r="845" spans="1:30" hidden="1" x14ac:dyDescent="0.3">
      <c r="A845" t="s">
        <v>5481</v>
      </c>
      <c r="B845" t="s">
        <v>25</v>
      </c>
      <c r="C845">
        <v>42459206</v>
      </c>
      <c r="D845">
        <v>0</v>
      </c>
      <c r="E845" t="s">
        <v>25</v>
      </c>
      <c r="F845" t="s">
        <v>26</v>
      </c>
      <c r="G845" t="s">
        <v>76</v>
      </c>
      <c r="H845" t="s">
        <v>5482</v>
      </c>
      <c r="I845" t="s">
        <v>5483</v>
      </c>
      <c r="J845" t="s">
        <v>26</v>
      </c>
      <c r="K845" t="s">
        <v>26</v>
      </c>
      <c r="L845" t="s">
        <v>5484</v>
      </c>
      <c r="M845" t="s">
        <v>25</v>
      </c>
      <c r="N845" t="s">
        <v>31</v>
      </c>
      <c r="O845" t="s">
        <v>32</v>
      </c>
      <c r="P845" t="s">
        <v>33</v>
      </c>
      <c r="Q845" t="s">
        <v>34</v>
      </c>
      <c r="R845">
        <v>117828</v>
      </c>
      <c r="S845">
        <v>0</v>
      </c>
      <c r="T845">
        <v>117828</v>
      </c>
      <c r="U845" t="s">
        <v>35</v>
      </c>
      <c r="V845" t="s">
        <v>36</v>
      </c>
      <c r="W845" t="s">
        <v>37</v>
      </c>
      <c r="X845" s="4">
        <v>1</v>
      </c>
      <c r="Y845" s="4"/>
      <c r="Z845">
        <f t="shared" si="52"/>
        <v>7</v>
      </c>
      <c r="AA845">
        <f t="shared" si="53"/>
        <v>8</v>
      </c>
      <c r="AB845" s="5">
        <f t="shared" si="54"/>
        <v>0.32649305555241881</v>
      </c>
      <c r="AC845" s="3">
        <f t="shared" si="55"/>
        <v>4.8611111560603604E-4</v>
      </c>
      <c r="AD845" t="str" cm="1">
        <f t="array" ref="AD845">IFERROR(_xlfn.IFS(
    AC845="", "",
    AC845*86400 &lt; 30, "1. 0s - &lt;30s",
    AC845*86400 &lt; 60, "2. 30s - &lt;1m",
    AC845*86400 &lt; 300, "3. 1m - &lt;5m",
    AC845*86400 &lt; 1800, "4. 5m - &lt;30m",
    TRUE, "5. &gt;= 30m"
),"6. Invalid (Order rejected)")</f>
        <v>2. 30s - &lt;1m</v>
      </c>
    </row>
    <row r="846" spans="1:30" hidden="1" x14ac:dyDescent="0.3">
      <c r="A846" t="s">
        <v>5485</v>
      </c>
      <c r="B846" t="s">
        <v>25</v>
      </c>
      <c r="C846">
        <v>42459206</v>
      </c>
      <c r="D846">
        <v>4411069</v>
      </c>
      <c r="E846" t="s">
        <v>25</v>
      </c>
      <c r="F846" t="s">
        <v>75</v>
      </c>
      <c r="G846" t="s">
        <v>76</v>
      </c>
      <c r="H846" t="s">
        <v>5486</v>
      </c>
      <c r="I846" t="s">
        <v>5487</v>
      </c>
      <c r="J846" t="s">
        <v>5488</v>
      </c>
      <c r="K846" t="s">
        <v>26</v>
      </c>
      <c r="L846" t="s">
        <v>5489</v>
      </c>
      <c r="M846" t="s">
        <v>25</v>
      </c>
      <c r="N846" t="s">
        <v>31</v>
      </c>
      <c r="O846" t="s">
        <v>32</v>
      </c>
      <c r="P846" t="s">
        <v>81</v>
      </c>
      <c r="Q846" t="s">
        <v>82</v>
      </c>
      <c r="R846">
        <v>191160</v>
      </c>
      <c r="S846">
        <v>148193</v>
      </c>
      <c r="T846">
        <v>42967</v>
      </c>
      <c r="U846" t="s">
        <v>35</v>
      </c>
      <c r="V846" t="s">
        <v>36</v>
      </c>
      <c r="W846" t="s">
        <v>83</v>
      </c>
      <c r="X846" s="4">
        <v>1</v>
      </c>
      <c r="Y846" s="4"/>
      <c r="Z846">
        <f t="shared" si="52"/>
        <v>7</v>
      </c>
      <c r="AA846">
        <f t="shared" si="53"/>
        <v>8</v>
      </c>
      <c r="AB846" s="5">
        <f t="shared" si="54"/>
        <v>0.32901620370103046</v>
      </c>
      <c r="AC846" s="3">
        <f t="shared" si="55"/>
        <v>0.13846064815152204</v>
      </c>
      <c r="AD846" t="str" cm="1">
        <f t="array" ref="AD846">IFERROR(_xlfn.IFS(
    AC846="", "",
    AC846*86400 &lt; 30, "1. 0s - &lt;30s",
    AC846*86400 &lt; 60, "2. 30s - &lt;1m",
    AC846*86400 &lt; 300, "3. 1m - &lt;5m",
    AC846*86400 &lt; 1800, "4. 5m - &lt;30m",
    TRUE, "5. &gt;= 30m"
),"6. Invalid (Order rejected)")</f>
        <v>5. &gt;= 30m</v>
      </c>
    </row>
    <row r="847" spans="1:30" hidden="1" x14ac:dyDescent="0.3">
      <c r="A847" t="s">
        <v>5490</v>
      </c>
      <c r="B847" t="s">
        <v>25</v>
      </c>
      <c r="C847">
        <v>42459206</v>
      </c>
      <c r="D847">
        <v>0</v>
      </c>
      <c r="E847" t="s">
        <v>25</v>
      </c>
      <c r="F847" t="s">
        <v>26</v>
      </c>
      <c r="G847" t="s">
        <v>27</v>
      </c>
      <c r="H847" t="s">
        <v>5491</v>
      </c>
      <c r="I847" t="s">
        <v>5492</v>
      </c>
      <c r="J847" t="s">
        <v>26</v>
      </c>
      <c r="K847" t="s">
        <v>26</v>
      </c>
      <c r="L847" t="s">
        <v>5493</v>
      </c>
      <c r="M847" t="s">
        <v>25</v>
      </c>
      <c r="N847" t="s">
        <v>31</v>
      </c>
      <c r="O847" t="s">
        <v>32</v>
      </c>
      <c r="P847" t="s">
        <v>56</v>
      </c>
      <c r="Q847" t="s">
        <v>57</v>
      </c>
      <c r="R847">
        <v>104544</v>
      </c>
      <c r="S847">
        <v>0</v>
      </c>
      <c r="T847">
        <v>104544</v>
      </c>
      <c r="U847" t="s">
        <v>35</v>
      </c>
      <c r="V847" t="s">
        <v>36</v>
      </c>
      <c r="W847" t="s">
        <v>58</v>
      </c>
      <c r="X847" s="4">
        <v>1</v>
      </c>
      <c r="Y847" s="4"/>
      <c r="Z847">
        <f t="shared" si="52"/>
        <v>7</v>
      </c>
      <c r="AA847">
        <f t="shared" si="53"/>
        <v>8</v>
      </c>
      <c r="AB847" s="5">
        <f t="shared" si="54"/>
        <v>0.32694444444496185</v>
      </c>
      <c r="AC847" s="3">
        <f t="shared" si="55"/>
        <v>9.0289351850515231E-2</v>
      </c>
      <c r="AD847" t="str" cm="1">
        <f t="array" ref="AD847">IFERROR(_xlfn.IFS(
    AC847="", "",
    AC847*86400 &lt; 30, "1. 0s - &lt;30s",
    AC847*86400 &lt; 60, "2. 30s - &lt;1m",
    AC847*86400 &lt; 300, "3. 1m - &lt;5m",
    AC847*86400 &lt; 1800, "4. 5m - &lt;30m",
    TRUE, "5. &gt;= 30m"
),"6. Invalid (Order rejected)")</f>
        <v>5. &gt;= 30m</v>
      </c>
    </row>
    <row r="848" spans="1:30" hidden="1" x14ac:dyDescent="0.3">
      <c r="A848" t="s">
        <v>5494</v>
      </c>
      <c r="B848" t="s">
        <v>25</v>
      </c>
      <c r="C848">
        <v>42459206</v>
      </c>
      <c r="D848">
        <v>0</v>
      </c>
      <c r="E848" t="s">
        <v>25</v>
      </c>
      <c r="F848" t="s">
        <v>26</v>
      </c>
      <c r="G848" t="s">
        <v>27</v>
      </c>
      <c r="H848" t="s">
        <v>5495</v>
      </c>
      <c r="I848" t="s">
        <v>5496</v>
      </c>
      <c r="J848" t="s">
        <v>26</v>
      </c>
      <c r="K848" t="s">
        <v>26</v>
      </c>
      <c r="L848" t="s">
        <v>5497</v>
      </c>
      <c r="M848" t="s">
        <v>25</v>
      </c>
      <c r="N848" t="s">
        <v>31</v>
      </c>
      <c r="O848" t="s">
        <v>32</v>
      </c>
      <c r="P848" t="s">
        <v>3865</v>
      </c>
      <c r="Q848" t="s">
        <v>3866</v>
      </c>
      <c r="R848">
        <v>99792</v>
      </c>
      <c r="S848">
        <v>0</v>
      </c>
      <c r="T848">
        <v>99792</v>
      </c>
      <c r="U848" t="s">
        <v>35</v>
      </c>
      <c r="V848" t="s">
        <v>36</v>
      </c>
      <c r="W848" t="s">
        <v>3868</v>
      </c>
      <c r="X848" s="4">
        <v>1</v>
      </c>
      <c r="Y848" s="4"/>
      <c r="Z848">
        <f t="shared" si="52"/>
        <v>7</v>
      </c>
      <c r="AA848">
        <f t="shared" si="53"/>
        <v>8</v>
      </c>
      <c r="AB848" s="5">
        <f t="shared" si="54"/>
        <v>0.32966435185517184</v>
      </c>
      <c r="AC848" s="3">
        <f t="shared" si="55"/>
        <v>9.0289351850515231E-2</v>
      </c>
      <c r="AD848" t="str" cm="1">
        <f t="array" ref="AD848">IFERROR(_xlfn.IFS(
    AC848="", "",
    AC848*86400 &lt; 30, "1. 0s - &lt;30s",
    AC848*86400 &lt; 60, "2. 30s - &lt;1m",
    AC848*86400 &lt; 300, "3. 1m - &lt;5m",
    AC848*86400 &lt; 1800, "4. 5m - &lt;30m",
    TRUE, "5. &gt;= 30m"
),"6. Invalid (Order rejected)")</f>
        <v>5. &gt;= 30m</v>
      </c>
    </row>
    <row r="849" spans="1:30" hidden="1" x14ac:dyDescent="0.3">
      <c r="A849" t="s">
        <v>5498</v>
      </c>
      <c r="B849" t="s">
        <v>25</v>
      </c>
      <c r="C849">
        <v>42459206</v>
      </c>
      <c r="D849">
        <v>0</v>
      </c>
      <c r="E849" t="s">
        <v>25</v>
      </c>
      <c r="F849" t="s">
        <v>26</v>
      </c>
      <c r="G849" t="s">
        <v>27</v>
      </c>
      <c r="H849" t="s">
        <v>5499</v>
      </c>
      <c r="I849" t="s">
        <v>5500</v>
      </c>
      <c r="J849" t="s">
        <v>26</v>
      </c>
      <c r="K849" t="s">
        <v>26</v>
      </c>
      <c r="L849" t="s">
        <v>5501</v>
      </c>
      <c r="M849" t="s">
        <v>25</v>
      </c>
      <c r="N849" t="s">
        <v>31</v>
      </c>
      <c r="O849" t="s">
        <v>32</v>
      </c>
      <c r="P849" t="s">
        <v>180</v>
      </c>
      <c r="Q849" t="s">
        <v>181</v>
      </c>
      <c r="R849">
        <v>93204</v>
      </c>
      <c r="S849">
        <v>0</v>
      </c>
      <c r="T849">
        <v>93204</v>
      </c>
      <c r="U849" t="s">
        <v>35</v>
      </c>
      <c r="V849" t="s">
        <v>36</v>
      </c>
      <c r="W849" t="s">
        <v>182</v>
      </c>
      <c r="X849" s="4">
        <v>1</v>
      </c>
      <c r="Y849" s="4"/>
      <c r="Z849">
        <f t="shared" si="52"/>
        <v>7</v>
      </c>
      <c r="AA849">
        <f t="shared" si="53"/>
        <v>8</v>
      </c>
      <c r="AB849" s="5">
        <f t="shared" si="54"/>
        <v>0.32773148148407927</v>
      </c>
      <c r="AC849" s="3">
        <f t="shared" si="55"/>
        <v>9.0289351850515231E-2</v>
      </c>
      <c r="AD849" t="str" cm="1">
        <f t="array" ref="AD849">IFERROR(_xlfn.IFS(
    AC849="", "",
    AC849*86400 &lt; 30, "1. 0s - &lt;30s",
    AC849*86400 &lt; 60, "2. 30s - &lt;1m",
    AC849*86400 &lt; 300, "3. 1m - &lt;5m",
    AC849*86400 &lt; 1800, "4. 5m - &lt;30m",
    TRUE, "5. &gt;= 30m"
),"6. Invalid (Order rejected)")</f>
        <v>5. &gt;= 30m</v>
      </c>
    </row>
    <row r="850" spans="1:30" hidden="1" x14ac:dyDescent="0.3">
      <c r="A850" t="s">
        <v>5502</v>
      </c>
      <c r="B850" t="s">
        <v>25</v>
      </c>
      <c r="C850">
        <v>42459206</v>
      </c>
      <c r="D850">
        <v>0</v>
      </c>
      <c r="E850" t="s">
        <v>25</v>
      </c>
      <c r="F850" t="s">
        <v>26</v>
      </c>
      <c r="G850" t="s">
        <v>27</v>
      </c>
      <c r="H850" t="s">
        <v>5503</v>
      </c>
      <c r="I850" t="s">
        <v>5504</v>
      </c>
      <c r="J850" t="s">
        <v>26</v>
      </c>
      <c r="K850" t="s">
        <v>26</v>
      </c>
      <c r="L850" t="s">
        <v>5505</v>
      </c>
      <c r="M850" t="s">
        <v>25</v>
      </c>
      <c r="N850" t="s">
        <v>31</v>
      </c>
      <c r="O850" t="s">
        <v>32</v>
      </c>
      <c r="P850" t="s">
        <v>42</v>
      </c>
      <c r="Q850" t="s">
        <v>43</v>
      </c>
      <c r="R850">
        <v>91692</v>
      </c>
      <c r="S850">
        <v>0</v>
      </c>
      <c r="T850">
        <v>91692</v>
      </c>
      <c r="U850" t="s">
        <v>35</v>
      </c>
      <c r="V850" t="s">
        <v>36</v>
      </c>
      <c r="W850" t="s">
        <v>44</v>
      </c>
      <c r="X850" s="4">
        <v>1</v>
      </c>
      <c r="Y850" s="4"/>
      <c r="Z850">
        <f t="shared" si="52"/>
        <v>7</v>
      </c>
      <c r="AA850">
        <f t="shared" si="53"/>
        <v>8</v>
      </c>
      <c r="AB850" s="5">
        <f t="shared" si="54"/>
        <v>0.32862268518510973</v>
      </c>
      <c r="AC850" s="3">
        <f t="shared" si="55"/>
        <v>9.0277777781011537E-2</v>
      </c>
      <c r="AD850" t="str" cm="1">
        <f t="array" ref="AD850">IFERROR(_xlfn.IFS(
    AC850="", "",
    AC850*86400 &lt; 30, "1. 0s - &lt;30s",
    AC850*86400 &lt; 60, "2. 30s - &lt;1m",
    AC850*86400 &lt; 300, "3. 1m - &lt;5m",
    AC850*86400 &lt; 1800, "4. 5m - &lt;30m",
    TRUE, "5. &gt;= 30m"
),"6. Invalid (Order rejected)")</f>
        <v>5. &gt;= 30m</v>
      </c>
    </row>
    <row r="851" spans="1:30" hidden="1" x14ac:dyDescent="0.3">
      <c r="A851" t="s">
        <v>5506</v>
      </c>
      <c r="B851" t="s">
        <v>5507</v>
      </c>
      <c r="C851">
        <v>42598944</v>
      </c>
      <c r="D851">
        <v>0</v>
      </c>
      <c r="E851" t="s">
        <v>25</v>
      </c>
      <c r="F851" t="s">
        <v>26</v>
      </c>
      <c r="G851" t="s">
        <v>27</v>
      </c>
      <c r="H851" t="s">
        <v>5508</v>
      </c>
      <c r="I851" t="s">
        <v>5509</v>
      </c>
      <c r="J851" t="s">
        <v>26</v>
      </c>
      <c r="K851" t="s">
        <v>26</v>
      </c>
      <c r="L851" t="s">
        <v>5510</v>
      </c>
      <c r="M851" t="s">
        <v>25</v>
      </c>
      <c r="N851" t="s">
        <v>5511</v>
      </c>
      <c r="O851" t="s">
        <v>5512</v>
      </c>
      <c r="P851" t="s">
        <v>5513</v>
      </c>
      <c r="Q851" t="s">
        <v>5514</v>
      </c>
      <c r="R851">
        <v>11232</v>
      </c>
      <c r="S851">
        <v>0</v>
      </c>
      <c r="T851">
        <v>11232</v>
      </c>
      <c r="U851" t="s">
        <v>35</v>
      </c>
      <c r="V851" t="s">
        <v>5515</v>
      </c>
      <c r="W851" t="s">
        <v>5516</v>
      </c>
      <c r="X851" s="4">
        <v>1</v>
      </c>
      <c r="Y851" s="4"/>
      <c r="Z851">
        <f t="shared" si="52"/>
        <v>7</v>
      </c>
      <c r="AA851">
        <f t="shared" si="53"/>
        <v>9</v>
      </c>
      <c r="AB851" s="5">
        <f t="shared" si="54"/>
        <v>0.86263888888788642</v>
      </c>
      <c r="AC851" s="3">
        <f t="shared" si="55"/>
        <v>0.10614583333517658</v>
      </c>
      <c r="AD851" t="str" cm="1">
        <f t="array" ref="AD851">IFERROR(_xlfn.IFS(
    AC851="", "",
    AC851*86400 &lt; 30, "1. 0s - &lt;30s",
    AC851*86400 &lt; 60, "2. 30s - &lt;1m",
    AC851*86400 &lt; 300, "3. 1m - &lt;5m",
    AC851*86400 &lt; 1800, "4. 5m - &lt;30m",
    TRUE, "5. &gt;= 30m"
),"6. Invalid (Order rejected)")</f>
        <v>5. &gt;= 30m</v>
      </c>
    </row>
    <row r="852" spans="1:30" hidden="1" x14ac:dyDescent="0.3">
      <c r="A852" t="s">
        <v>5517</v>
      </c>
      <c r="B852" t="s">
        <v>192</v>
      </c>
      <c r="C852">
        <v>42598944</v>
      </c>
      <c r="D852">
        <v>0</v>
      </c>
      <c r="E852" t="s">
        <v>25</v>
      </c>
      <c r="F852" t="s">
        <v>26</v>
      </c>
      <c r="G852" t="s">
        <v>27</v>
      </c>
      <c r="H852" t="s">
        <v>5518</v>
      </c>
      <c r="I852" t="s">
        <v>5519</v>
      </c>
      <c r="J852" t="s">
        <v>26</v>
      </c>
      <c r="K852" t="s">
        <v>26</v>
      </c>
      <c r="L852" t="s">
        <v>5520</v>
      </c>
      <c r="M852" t="s">
        <v>25</v>
      </c>
      <c r="N852" t="s">
        <v>197</v>
      </c>
      <c r="O852" t="s">
        <v>198</v>
      </c>
      <c r="P852" t="s">
        <v>5521</v>
      </c>
      <c r="Q852" t="s">
        <v>5522</v>
      </c>
      <c r="R852">
        <v>239544</v>
      </c>
      <c r="S852">
        <v>0</v>
      </c>
      <c r="T852">
        <v>239544</v>
      </c>
      <c r="U852" t="s">
        <v>35</v>
      </c>
      <c r="V852" t="s">
        <v>201</v>
      </c>
      <c r="W852" t="s">
        <v>5523</v>
      </c>
      <c r="X852" s="4">
        <v>1</v>
      </c>
      <c r="Y852" s="4"/>
      <c r="Z852">
        <f t="shared" si="52"/>
        <v>7</v>
      </c>
      <c r="AA852">
        <f t="shared" si="53"/>
        <v>11</v>
      </c>
      <c r="AB852" s="5">
        <f t="shared" si="54"/>
        <v>0.30141203703533392</v>
      </c>
      <c r="AC852" s="3">
        <f t="shared" si="55"/>
        <v>9.025462963472819E-2</v>
      </c>
      <c r="AD852" t="str" cm="1">
        <f t="array" ref="AD852">IFERROR(_xlfn.IFS(
    AC852="", "",
    AC852*86400 &lt; 30, "1. 0s - &lt;30s",
    AC852*86400 &lt; 60, "2. 30s - &lt;1m",
    AC852*86400 &lt; 300, "3. 1m - &lt;5m",
    AC852*86400 &lt; 1800, "4. 5m - &lt;30m",
    TRUE, "5. &gt;= 30m"
),"6. Invalid (Order rejected)")</f>
        <v>5. &gt;= 30m</v>
      </c>
    </row>
    <row r="853" spans="1:30" hidden="1" x14ac:dyDescent="0.3">
      <c r="A853" t="s">
        <v>5524</v>
      </c>
      <c r="B853" t="s">
        <v>192</v>
      </c>
      <c r="C853">
        <v>42598944</v>
      </c>
      <c r="D853">
        <v>0</v>
      </c>
      <c r="E853" t="s">
        <v>25</v>
      </c>
      <c r="F853" t="s">
        <v>26</v>
      </c>
      <c r="G853" t="s">
        <v>27</v>
      </c>
      <c r="H853" t="s">
        <v>5525</v>
      </c>
      <c r="I853" t="s">
        <v>5526</v>
      </c>
      <c r="J853" t="s">
        <v>26</v>
      </c>
      <c r="K853" t="s">
        <v>26</v>
      </c>
      <c r="L853" t="s">
        <v>5527</v>
      </c>
      <c r="M853" t="s">
        <v>25</v>
      </c>
      <c r="N853" t="s">
        <v>215</v>
      </c>
      <c r="O853" t="s">
        <v>216</v>
      </c>
      <c r="P853" t="s">
        <v>217</v>
      </c>
      <c r="Q853" t="s">
        <v>218</v>
      </c>
      <c r="R853">
        <v>301860</v>
      </c>
      <c r="S853">
        <v>0</v>
      </c>
      <c r="T853">
        <v>301860</v>
      </c>
      <c r="U853" t="s">
        <v>35</v>
      </c>
      <c r="V853" t="s">
        <v>219</v>
      </c>
      <c r="W853" t="s">
        <v>220</v>
      </c>
      <c r="X853" s="4">
        <v>1</v>
      </c>
      <c r="Y853" s="4"/>
      <c r="Z853">
        <f t="shared" si="52"/>
        <v>7</v>
      </c>
      <c r="AA853">
        <f t="shared" si="53"/>
        <v>11</v>
      </c>
      <c r="AB853" s="5">
        <f t="shared" si="54"/>
        <v>0.30440972222277196</v>
      </c>
      <c r="AC853" s="3">
        <f t="shared" si="55"/>
        <v>9.0277777773735579E-2</v>
      </c>
      <c r="AD853" t="str" cm="1">
        <f t="array" ref="AD853">IFERROR(_xlfn.IFS(
    AC853="", "",
    AC853*86400 &lt; 30, "1. 0s - &lt;30s",
    AC853*86400 &lt; 60, "2. 30s - &lt;1m",
    AC853*86400 &lt; 300, "3. 1m - &lt;5m",
    AC853*86400 &lt; 1800, "4. 5m - &lt;30m",
    TRUE, "5. &gt;= 30m"
),"6. Invalid (Order rejected)")</f>
        <v>5. &gt;= 30m</v>
      </c>
    </row>
    <row r="854" spans="1:30" hidden="1" x14ac:dyDescent="0.3">
      <c r="A854" t="s">
        <v>5528</v>
      </c>
      <c r="B854" t="s">
        <v>192</v>
      </c>
      <c r="C854">
        <v>42598944</v>
      </c>
      <c r="D854">
        <v>0</v>
      </c>
      <c r="E854" t="s">
        <v>25</v>
      </c>
      <c r="F854" t="s">
        <v>26</v>
      </c>
      <c r="G854" t="s">
        <v>27</v>
      </c>
      <c r="H854" t="s">
        <v>5529</v>
      </c>
      <c r="I854" t="s">
        <v>5530</v>
      </c>
      <c r="J854" t="s">
        <v>26</v>
      </c>
      <c r="K854" t="s">
        <v>26</v>
      </c>
      <c r="L854" t="s">
        <v>5531</v>
      </c>
      <c r="M854" t="s">
        <v>25</v>
      </c>
      <c r="N854" t="s">
        <v>261</v>
      </c>
      <c r="O854" t="s">
        <v>262</v>
      </c>
      <c r="P854" t="s">
        <v>5532</v>
      </c>
      <c r="Q854" t="s">
        <v>5533</v>
      </c>
      <c r="R854">
        <v>116316</v>
      </c>
      <c r="S854">
        <v>0</v>
      </c>
      <c r="T854">
        <v>116316</v>
      </c>
      <c r="U854" t="s">
        <v>35</v>
      </c>
      <c r="V854" t="s">
        <v>265</v>
      </c>
      <c r="W854" t="s">
        <v>5534</v>
      </c>
      <c r="X854" s="4">
        <v>1</v>
      </c>
      <c r="Y854" s="4"/>
      <c r="Z854">
        <f t="shared" si="52"/>
        <v>7</v>
      </c>
      <c r="AA854">
        <f t="shared" si="53"/>
        <v>11</v>
      </c>
      <c r="AB854" s="5">
        <f t="shared" si="54"/>
        <v>0.30607638888614019</v>
      </c>
      <c r="AC854" s="3">
        <f t="shared" si="55"/>
        <v>9.0277777781011537E-2</v>
      </c>
      <c r="AD854" t="str" cm="1">
        <f t="array" ref="AD854">IFERROR(_xlfn.IFS(
    AC854="", "",
    AC854*86400 &lt; 30, "1. 0s - &lt;30s",
    AC854*86400 &lt; 60, "2. 30s - &lt;1m",
    AC854*86400 &lt; 300, "3. 1m - &lt;5m",
    AC854*86400 &lt; 1800, "4. 5m - &lt;30m",
    TRUE, "5. &gt;= 30m"
),"6. Invalid (Order rejected)")</f>
        <v>5. &gt;= 30m</v>
      </c>
    </row>
    <row r="855" spans="1:30" hidden="1" x14ac:dyDescent="0.3">
      <c r="A855" t="s">
        <v>5535</v>
      </c>
      <c r="B855" t="s">
        <v>192</v>
      </c>
      <c r="C855">
        <v>42598944</v>
      </c>
      <c r="D855">
        <v>0</v>
      </c>
      <c r="E855" t="s">
        <v>25</v>
      </c>
      <c r="F855" t="s">
        <v>26</v>
      </c>
      <c r="G855" t="s">
        <v>27</v>
      </c>
      <c r="H855" t="s">
        <v>5536</v>
      </c>
      <c r="I855" t="s">
        <v>5537</v>
      </c>
      <c r="J855" t="s">
        <v>26</v>
      </c>
      <c r="K855" t="s">
        <v>26</v>
      </c>
      <c r="L855" t="s">
        <v>5538</v>
      </c>
      <c r="M855" t="s">
        <v>25</v>
      </c>
      <c r="N855" t="s">
        <v>244</v>
      </c>
      <c r="O855" t="s">
        <v>245</v>
      </c>
      <c r="P855" t="s">
        <v>5539</v>
      </c>
      <c r="Q855" t="s">
        <v>5540</v>
      </c>
      <c r="R855">
        <v>177336</v>
      </c>
      <c r="S855">
        <v>0</v>
      </c>
      <c r="T855">
        <v>177336</v>
      </c>
      <c r="U855" t="s">
        <v>35</v>
      </c>
      <c r="V855" t="s">
        <v>248</v>
      </c>
      <c r="W855" t="s">
        <v>298</v>
      </c>
      <c r="X855" s="4">
        <v>1</v>
      </c>
      <c r="Y855" s="4"/>
      <c r="Z855">
        <f t="shared" si="52"/>
        <v>7</v>
      </c>
      <c r="AA855">
        <f t="shared" si="53"/>
        <v>11</v>
      </c>
      <c r="AB855" s="5">
        <f t="shared" si="54"/>
        <v>0.307303240741021</v>
      </c>
      <c r="AC855" s="3">
        <f t="shared" si="55"/>
        <v>9.0266203704231884E-2</v>
      </c>
      <c r="AD855" t="str" cm="1">
        <f t="array" ref="AD855">IFERROR(_xlfn.IFS(
    AC855="", "",
    AC855*86400 &lt; 30, "1. 0s - &lt;30s",
    AC855*86400 &lt; 60, "2. 30s - &lt;1m",
    AC855*86400 &lt; 300, "3. 1m - &lt;5m",
    AC855*86400 &lt; 1800, "4. 5m - &lt;30m",
    TRUE, "5. &gt;= 30m"
),"6. Invalid (Order rejected)")</f>
        <v>5. &gt;= 30m</v>
      </c>
    </row>
    <row r="856" spans="1:30" hidden="1" x14ac:dyDescent="0.3">
      <c r="A856" t="s">
        <v>5541</v>
      </c>
      <c r="B856" t="s">
        <v>192</v>
      </c>
      <c r="C856">
        <v>42598944</v>
      </c>
      <c r="D856">
        <v>0</v>
      </c>
      <c r="E856" t="s">
        <v>25</v>
      </c>
      <c r="F856" t="s">
        <v>26</v>
      </c>
      <c r="G856" t="s">
        <v>27</v>
      </c>
      <c r="H856" t="s">
        <v>5542</v>
      </c>
      <c r="I856" t="s">
        <v>5543</v>
      </c>
      <c r="J856" t="s">
        <v>26</v>
      </c>
      <c r="K856" t="s">
        <v>26</v>
      </c>
      <c r="L856" t="s">
        <v>5544</v>
      </c>
      <c r="M856" t="s">
        <v>25</v>
      </c>
      <c r="N856" t="s">
        <v>244</v>
      </c>
      <c r="O856" t="s">
        <v>245</v>
      </c>
      <c r="P856" t="s">
        <v>5545</v>
      </c>
      <c r="Q856" t="s">
        <v>5546</v>
      </c>
      <c r="R856">
        <v>155952</v>
      </c>
      <c r="S856">
        <v>0</v>
      </c>
      <c r="T856">
        <v>155952</v>
      </c>
      <c r="U856" t="s">
        <v>35</v>
      </c>
      <c r="V856" t="s">
        <v>248</v>
      </c>
      <c r="W856" t="s">
        <v>337</v>
      </c>
      <c r="X856" s="4">
        <v>1</v>
      </c>
      <c r="Y856" s="4"/>
      <c r="Z856">
        <f t="shared" si="52"/>
        <v>7</v>
      </c>
      <c r="AA856">
        <f t="shared" si="53"/>
        <v>11</v>
      </c>
      <c r="AB856" s="5">
        <f t="shared" si="54"/>
        <v>0.30825231481139781</v>
      </c>
      <c r="AC856" s="3">
        <f t="shared" si="55"/>
        <v>0.11510416666715173</v>
      </c>
      <c r="AD856" t="str" cm="1">
        <f t="array" ref="AD856">IFERROR(_xlfn.IFS(
    AC856="", "",
    AC856*86400 &lt; 30, "1. 0s - &lt;30s",
    AC856*86400 &lt; 60, "2. 30s - &lt;1m",
    AC856*86400 &lt; 300, "3. 1m - &lt;5m",
    AC856*86400 &lt; 1800, "4. 5m - &lt;30m",
    TRUE, "5. &gt;= 30m"
),"6. Invalid (Order rejected)")</f>
        <v>5. &gt;= 30m</v>
      </c>
    </row>
    <row r="857" spans="1:30" hidden="1" x14ac:dyDescent="0.3">
      <c r="A857" t="s">
        <v>5547</v>
      </c>
      <c r="B857" t="s">
        <v>192</v>
      </c>
      <c r="C857">
        <v>42598944</v>
      </c>
      <c r="D857">
        <v>2852976</v>
      </c>
      <c r="E857" t="s">
        <v>25</v>
      </c>
      <c r="F857" t="s">
        <v>75</v>
      </c>
      <c r="G857" t="s">
        <v>76</v>
      </c>
      <c r="H857" t="s">
        <v>5548</v>
      </c>
      <c r="I857" t="s">
        <v>5549</v>
      </c>
      <c r="J857" t="s">
        <v>5550</v>
      </c>
      <c r="K857" t="s">
        <v>26</v>
      </c>
      <c r="L857" t="s">
        <v>5551</v>
      </c>
      <c r="M857" t="s">
        <v>25</v>
      </c>
      <c r="N857" t="s">
        <v>215</v>
      </c>
      <c r="O857" t="s">
        <v>216</v>
      </c>
      <c r="P857" t="s">
        <v>5552</v>
      </c>
      <c r="Q857" t="s">
        <v>5553</v>
      </c>
      <c r="R857">
        <v>302076</v>
      </c>
      <c r="S857">
        <v>247954</v>
      </c>
      <c r="T857">
        <v>54122</v>
      </c>
      <c r="U857" t="s">
        <v>35</v>
      </c>
      <c r="V857" t="s">
        <v>219</v>
      </c>
      <c r="W857" t="s">
        <v>256</v>
      </c>
      <c r="X857" s="4">
        <v>1</v>
      </c>
      <c r="Y857" s="4"/>
      <c r="Z857">
        <f t="shared" si="52"/>
        <v>7</v>
      </c>
      <c r="AA857">
        <f t="shared" si="53"/>
        <v>11</v>
      </c>
      <c r="AB857" s="5">
        <f t="shared" si="54"/>
        <v>0.30390046296088258</v>
      </c>
      <c r="AC857" s="3">
        <f t="shared" si="55"/>
        <v>4.412037037400296E-2</v>
      </c>
      <c r="AD857" t="str" cm="1">
        <f t="array" ref="AD857">IFERROR(_xlfn.IFS(
    AC857="", "",
    AC857*86400 &lt; 30, "1. 0s - &lt;30s",
    AC857*86400 &lt; 60, "2. 30s - &lt;1m",
    AC857*86400 &lt; 300, "3. 1m - &lt;5m",
    AC857*86400 &lt; 1800, "4. 5m - &lt;30m",
    TRUE, "5. &gt;= 30m"
),"6. Invalid (Order rejected)")</f>
        <v>5. &gt;= 30m</v>
      </c>
    </row>
    <row r="858" spans="1:30" hidden="1" x14ac:dyDescent="0.3">
      <c r="A858" t="s">
        <v>5554</v>
      </c>
      <c r="B858" t="s">
        <v>192</v>
      </c>
      <c r="C858">
        <v>42598944</v>
      </c>
      <c r="D858">
        <v>0</v>
      </c>
      <c r="E858" t="s">
        <v>25</v>
      </c>
      <c r="F858" t="s">
        <v>26</v>
      </c>
      <c r="G858" t="s">
        <v>27</v>
      </c>
      <c r="H858" t="s">
        <v>5555</v>
      </c>
      <c r="I858" t="s">
        <v>5556</v>
      </c>
      <c r="J858" t="s">
        <v>26</v>
      </c>
      <c r="K858" t="s">
        <v>26</v>
      </c>
      <c r="L858" t="s">
        <v>5557</v>
      </c>
      <c r="M858" t="s">
        <v>25</v>
      </c>
      <c r="N858" t="s">
        <v>215</v>
      </c>
      <c r="O858" t="s">
        <v>216</v>
      </c>
      <c r="P858" t="s">
        <v>463</v>
      </c>
      <c r="Q858" t="s">
        <v>464</v>
      </c>
      <c r="R858">
        <v>235116</v>
      </c>
      <c r="S858">
        <v>0</v>
      </c>
      <c r="T858">
        <v>235116</v>
      </c>
      <c r="U858" t="s">
        <v>35</v>
      </c>
      <c r="V858" t="s">
        <v>219</v>
      </c>
      <c r="W858" t="s">
        <v>465</v>
      </c>
      <c r="X858" s="4">
        <v>1</v>
      </c>
      <c r="Y858" s="4"/>
      <c r="Z858">
        <f t="shared" si="52"/>
        <v>7</v>
      </c>
      <c r="AA858">
        <f t="shared" si="53"/>
        <v>11</v>
      </c>
      <c r="AB858" s="5">
        <f t="shared" si="54"/>
        <v>0.30415509259182727</v>
      </c>
      <c r="AC858" s="3">
        <f t="shared" si="55"/>
        <v>9.0277777781011537E-2</v>
      </c>
      <c r="AD858" t="str" cm="1">
        <f t="array" ref="AD858">IFERROR(_xlfn.IFS(
    AC858="", "",
    AC858*86400 &lt; 30, "1. 0s - &lt;30s",
    AC858*86400 &lt; 60, "2. 30s - &lt;1m",
    AC858*86400 &lt; 300, "3. 1m - &lt;5m",
    AC858*86400 &lt; 1800, "4. 5m - &lt;30m",
    TRUE, "5. &gt;= 30m"
),"6. Invalid (Order rejected)")</f>
        <v>5. &gt;= 30m</v>
      </c>
    </row>
    <row r="859" spans="1:30" hidden="1" x14ac:dyDescent="0.3">
      <c r="A859" t="s">
        <v>5558</v>
      </c>
      <c r="B859" t="s">
        <v>192</v>
      </c>
      <c r="C859">
        <v>42598944</v>
      </c>
      <c r="D859">
        <v>0</v>
      </c>
      <c r="E859" t="s">
        <v>25</v>
      </c>
      <c r="F859" t="s">
        <v>26</v>
      </c>
      <c r="G859" t="s">
        <v>27</v>
      </c>
      <c r="H859" t="s">
        <v>5559</v>
      </c>
      <c r="I859" t="s">
        <v>5560</v>
      </c>
      <c r="J859" t="s">
        <v>26</v>
      </c>
      <c r="K859" t="s">
        <v>26</v>
      </c>
      <c r="L859" t="s">
        <v>5561</v>
      </c>
      <c r="M859" t="s">
        <v>25</v>
      </c>
      <c r="N859" t="s">
        <v>215</v>
      </c>
      <c r="O859" t="s">
        <v>216</v>
      </c>
      <c r="P859" t="s">
        <v>463</v>
      </c>
      <c r="Q859" t="s">
        <v>464</v>
      </c>
      <c r="R859">
        <v>218916</v>
      </c>
      <c r="S859">
        <v>0</v>
      </c>
      <c r="T859">
        <v>218916</v>
      </c>
      <c r="U859" t="s">
        <v>35</v>
      </c>
      <c r="V859" t="s">
        <v>219</v>
      </c>
      <c r="W859" t="s">
        <v>465</v>
      </c>
      <c r="X859" s="4">
        <v>1</v>
      </c>
      <c r="Y859" s="4"/>
      <c r="Z859">
        <f t="shared" si="52"/>
        <v>7</v>
      </c>
      <c r="AA859">
        <f t="shared" si="53"/>
        <v>11</v>
      </c>
      <c r="AB859" s="5">
        <f t="shared" si="54"/>
        <v>0.30425925926101627</v>
      </c>
      <c r="AC859" s="3">
        <f t="shared" si="55"/>
        <v>9.0266203704231884E-2</v>
      </c>
      <c r="AD859" t="str" cm="1">
        <f t="array" ref="AD859">IFERROR(_xlfn.IFS(
    AC859="", "",
    AC859*86400 &lt; 30, "1. 0s - &lt;30s",
    AC859*86400 &lt; 60, "2. 30s - &lt;1m",
    AC859*86400 &lt; 300, "3. 1m - &lt;5m",
    AC859*86400 &lt; 1800, "4. 5m - &lt;30m",
    TRUE, "5. &gt;= 30m"
),"6. Invalid (Order rejected)")</f>
        <v>5. &gt;= 30m</v>
      </c>
    </row>
    <row r="860" spans="1:30" hidden="1" x14ac:dyDescent="0.3">
      <c r="A860" t="s">
        <v>5562</v>
      </c>
      <c r="B860" t="s">
        <v>192</v>
      </c>
      <c r="C860">
        <v>42598944</v>
      </c>
      <c r="D860">
        <v>0</v>
      </c>
      <c r="E860" t="s">
        <v>25</v>
      </c>
      <c r="F860" t="s">
        <v>26</v>
      </c>
      <c r="G860" t="s">
        <v>27</v>
      </c>
      <c r="H860" t="s">
        <v>5563</v>
      </c>
      <c r="I860" t="s">
        <v>5564</v>
      </c>
      <c r="J860" t="s">
        <v>26</v>
      </c>
      <c r="K860" t="s">
        <v>26</v>
      </c>
      <c r="L860" t="s">
        <v>5565</v>
      </c>
      <c r="M860" t="s">
        <v>25</v>
      </c>
      <c r="N860" t="s">
        <v>261</v>
      </c>
      <c r="O860" t="s">
        <v>262</v>
      </c>
      <c r="P860" t="s">
        <v>5566</v>
      </c>
      <c r="Q860" t="s">
        <v>5567</v>
      </c>
      <c r="R860">
        <v>161784</v>
      </c>
      <c r="S860">
        <v>0</v>
      </c>
      <c r="T860">
        <v>161784</v>
      </c>
      <c r="U860" t="s">
        <v>35</v>
      </c>
      <c r="V860" t="s">
        <v>265</v>
      </c>
      <c r="W860" t="s">
        <v>5568</v>
      </c>
      <c r="X860" s="4">
        <v>1</v>
      </c>
      <c r="Y860" s="4"/>
      <c r="Z860">
        <f t="shared" si="52"/>
        <v>7</v>
      </c>
      <c r="AA860">
        <f t="shared" si="53"/>
        <v>11</v>
      </c>
      <c r="AB860" s="5">
        <f t="shared" si="54"/>
        <v>0.30567129629343981</v>
      </c>
      <c r="AC860" s="3">
        <f t="shared" si="55"/>
        <v>0.12158564815035788</v>
      </c>
      <c r="AD860" t="str" cm="1">
        <f t="array" ref="AD860">IFERROR(_xlfn.IFS(
    AC860="", "",
    AC860*86400 &lt; 30, "1. 0s - &lt;30s",
    AC860*86400 &lt; 60, "2. 30s - &lt;1m",
    AC860*86400 &lt; 300, "3. 1m - &lt;5m",
    AC860*86400 &lt; 1800, "4. 5m - &lt;30m",
    TRUE, "5. &gt;= 30m"
),"6. Invalid (Order rejected)")</f>
        <v>5. &gt;= 30m</v>
      </c>
    </row>
    <row r="861" spans="1:30" hidden="1" x14ac:dyDescent="0.3">
      <c r="A861" t="s">
        <v>5569</v>
      </c>
      <c r="B861" t="s">
        <v>192</v>
      </c>
      <c r="C861">
        <v>42598944</v>
      </c>
      <c r="D861">
        <v>0</v>
      </c>
      <c r="E861" t="s">
        <v>25</v>
      </c>
      <c r="F861" t="s">
        <v>26</v>
      </c>
      <c r="G861" t="s">
        <v>27</v>
      </c>
      <c r="H861" t="s">
        <v>5570</v>
      </c>
      <c r="I861" t="s">
        <v>5571</v>
      </c>
      <c r="J861" t="s">
        <v>26</v>
      </c>
      <c r="K861" t="s">
        <v>26</v>
      </c>
      <c r="L861" t="s">
        <v>5572</v>
      </c>
      <c r="M861" t="s">
        <v>25</v>
      </c>
      <c r="N861" t="s">
        <v>244</v>
      </c>
      <c r="O861" t="s">
        <v>245</v>
      </c>
      <c r="P861" t="s">
        <v>1025</v>
      </c>
      <c r="Q861" t="s">
        <v>1026</v>
      </c>
      <c r="R861">
        <v>192780</v>
      </c>
      <c r="S861">
        <v>0</v>
      </c>
      <c r="T861">
        <v>192780</v>
      </c>
      <c r="U861" t="s">
        <v>35</v>
      </c>
      <c r="V861" t="s">
        <v>248</v>
      </c>
      <c r="W861" t="s">
        <v>1027</v>
      </c>
      <c r="X861" s="4">
        <v>1</v>
      </c>
      <c r="Y861" s="4"/>
      <c r="Z861">
        <f t="shared" si="52"/>
        <v>7</v>
      </c>
      <c r="AA861">
        <f t="shared" si="53"/>
        <v>11</v>
      </c>
      <c r="AB861" s="5">
        <f t="shared" si="54"/>
        <v>0.30717592592554865</v>
      </c>
      <c r="AC861" s="3">
        <f t="shared" si="55"/>
        <v>9.0277777781011537E-2</v>
      </c>
      <c r="AD861" t="str" cm="1">
        <f t="array" ref="AD861">IFERROR(_xlfn.IFS(
    AC861="", "",
    AC861*86400 &lt; 30, "1. 0s - &lt;30s",
    AC861*86400 &lt; 60, "2. 30s - &lt;1m",
    AC861*86400 &lt; 300, "3. 1m - &lt;5m",
    AC861*86400 &lt; 1800, "4. 5m - &lt;30m",
    TRUE, "5. &gt;= 30m"
),"6. Invalid (Order rejected)")</f>
        <v>5. &gt;= 30m</v>
      </c>
    </row>
    <row r="862" spans="1:30" hidden="1" x14ac:dyDescent="0.3">
      <c r="A862" t="s">
        <v>5573</v>
      </c>
      <c r="B862" t="s">
        <v>192</v>
      </c>
      <c r="C862">
        <v>42598944</v>
      </c>
      <c r="D862">
        <v>0</v>
      </c>
      <c r="E862" t="s">
        <v>25</v>
      </c>
      <c r="F862" t="s">
        <v>26</v>
      </c>
      <c r="G862" t="s">
        <v>27</v>
      </c>
      <c r="H862" t="s">
        <v>5574</v>
      </c>
      <c r="I862" t="s">
        <v>5575</v>
      </c>
      <c r="J862" t="s">
        <v>26</v>
      </c>
      <c r="K862" t="s">
        <v>26</v>
      </c>
      <c r="L862" t="s">
        <v>5576</v>
      </c>
      <c r="M862" t="s">
        <v>25</v>
      </c>
      <c r="N862" t="s">
        <v>215</v>
      </c>
      <c r="O862" t="s">
        <v>216</v>
      </c>
      <c r="P862" t="s">
        <v>237</v>
      </c>
      <c r="Q862" t="s">
        <v>238</v>
      </c>
      <c r="R862">
        <v>242136</v>
      </c>
      <c r="S862">
        <v>0</v>
      </c>
      <c r="T862">
        <v>242136</v>
      </c>
      <c r="U862" t="s">
        <v>35</v>
      </c>
      <c r="V862" t="s">
        <v>219</v>
      </c>
      <c r="W862" t="s">
        <v>239</v>
      </c>
      <c r="X862" s="4">
        <v>1</v>
      </c>
      <c r="Y862" s="4"/>
      <c r="Z862">
        <f t="shared" si="52"/>
        <v>7</v>
      </c>
      <c r="AA862">
        <f t="shared" si="53"/>
        <v>11</v>
      </c>
      <c r="AB862" s="5">
        <f t="shared" si="54"/>
        <v>0.30362268518365454</v>
      </c>
      <c r="AC862" s="3">
        <f t="shared" si="55"/>
        <v>0.12615740740875481</v>
      </c>
      <c r="AD862" t="str" cm="1">
        <f t="array" ref="AD862">IFERROR(_xlfn.IFS(
    AC862="", "",
    AC862*86400 &lt; 30, "1. 0s - &lt;30s",
    AC862*86400 &lt; 60, "2. 30s - &lt;1m",
    AC862*86400 &lt; 300, "3. 1m - &lt;5m",
    AC862*86400 &lt; 1800, "4. 5m - &lt;30m",
    TRUE, "5. &gt;= 30m"
),"6. Invalid (Order rejected)")</f>
        <v>5. &gt;= 30m</v>
      </c>
    </row>
    <row r="863" spans="1:30" hidden="1" x14ac:dyDescent="0.3">
      <c r="A863" t="s">
        <v>5577</v>
      </c>
      <c r="B863" t="s">
        <v>192</v>
      </c>
      <c r="C863">
        <v>42598944</v>
      </c>
      <c r="D863">
        <v>3746341</v>
      </c>
      <c r="E863" t="s">
        <v>25</v>
      </c>
      <c r="F863" t="s">
        <v>75</v>
      </c>
      <c r="G863" t="s">
        <v>76</v>
      </c>
      <c r="H863" t="s">
        <v>5578</v>
      </c>
      <c r="I863" t="s">
        <v>5579</v>
      </c>
      <c r="J863" t="s">
        <v>5580</v>
      </c>
      <c r="K863" t="s">
        <v>26</v>
      </c>
      <c r="L863" t="s">
        <v>5581</v>
      </c>
      <c r="M863" t="s">
        <v>25</v>
      </c>
      <c r="N863" t="s">
        <v>275</v>
      </c>
      <c r="O863" t="s">
        <v>276</v>
      </c>
      <c r="P863" t="s">
        <v>384</v>
      </c>
      <c r="Q863" t="s">
        <v>385</v>
      </c>
      <c r="R863">
        <v>317736</v>
      </c>
      <c r="S863">
        <v>260808</v>
      </c>
      <c r="T863">
        <v>56928</v>
      </c>
      <c r="U863" t="s">
        <v>35</v>
      </c>
      <c r="V863" t="s">
        <v>277</v>
      </c>
      <c r="W863" t="s">
        <v>386</v>
      </c>
      <c r="X863" s="4">
        <v>1</v>
      </c>
      <c r="Y863" s="4"/>
      <c r="Z863">
        <f t="shared" si="52"/>
        <v>7</v>
      </c>
      <c r="AA863">
        <f t="shared" si="53"/>
        <v>11</v>
      </c>
      <c r="AB863" s="5">
        <f t="shared" si="54"/>
        <v>0.31052083333634073</v>
      </c>
      <c r="AC863" s="3">
        <f t="shared" si="55"/>
        <v>1.3078703697829042E-2</v>
      </c>
      <c r="AD863" t="str" cm="1">
        <f t="array" ref="AD863">IFERROR(_xlfn.IFS(
    AC863="", "",
    AC863*86400 &lt; 30, "1. 0s - &lt;30s",
    AC863*86400 &lt; 60, "2. 30s - &lt;1m",
    AC863*86400 &lt; 300, "3. 1m - &lt;5m",
    AC863*86400 &lt; 1800, "4. 5m - &lt;30m",
    TRUE, "5. &gt;= 30m"
),"6. Invalid (Order rejected)")</f>
        <v>4. 5m - &lt;30m</v>
      </c>
    </row>
    <row r="864" spans="1:30" x14ac:dyDescent="0.3">
      <c r="A864" t="s">
        <v>5582</v>
      </c>
      <c r="B864" t="s">
        <v>192</v>
      </c>
      <c r="C864">
        <v>42598944</v>
      </c>
      <c r="D864">
        <v>4417859</v>
      </c>
      <c r="E864" t="s">
        <v>25</v>
      </c>
      <c r="F864" t="s">
        <v>75</v>
      </c>
      <c r="G864" t="s">
        <v>360</v>
      </c>
      <c r="H864" t="s">
        <v>5583</v>
      </c>
      <c r="I864" t="s">
        <v>5584</v>
      </c>
      <c r="J864" t="s">
        <v>5585</v>
      </c>
      <c r="K864" t="s">
        <v>26</v>
      </c>
      <c r="L864" t="s">
        <v>25</v>
      </c>
      <c r="M864" t="s">
        <v>25</v>
      </c>
      <c r="N864" t="s">
        <v>215</v>
      </c>
      <c r="O864" t="s">
        <v>216</v>
      </c>
      <c r="P864" t="s">
        <v>5552</v>
      </c>
      <c r="Q864" t="s">
        <v>5553</v>
      </c>
      <c r="R864">
        <v>439128</v>
      </c>
      <c r="S864">
        <v>340426</v>
      </c>
      <c r="T864">
        <v>98702</v>
      </c>
      <c r="U864" t="s">
        <v>35</v>
      </c>
      <c r="V864" t="s">
        <v>219</v>
      </c>
      <c r="W864" t="s">
        <v>256</v>
      </c>
      <c r="X864" s="4">
        <v>1</v>
      </c>
      <c r="Y864" s="4"/>
      <c r="Z864">
        <f t="shared" si="52"/>
        <v>7</v>
      </c>
      <c r="AA864">
        <f t="shared" si="53"/>
        <v>11</v>
      </c>
      <c r="AB864" s="5">
        <f t="shared" si="54"/>
        <v>0.30403935185313458</v>
      </c>
      <c r="AC864" s="3" t="str">
        <f t="shared" si="55"/>
        <v>Order rejected, no time available</v>
      </c>
      <c r="AD864" t="str" cm="1">
        <f t="array" ref="AD864">IFERROR(_xlfn.IFS(
    AC864="", "",
    AC864*86400 &lt; 30, "1. 0s - &lt;30s",
    AC864*86400 &lt; 60, "2. 30s - &lt;1m",
    AC864*86400 &lt; 300, "3. 1m - &lt;5m",
    AC864*86400 &lt; 1800, "4. 5m - &lt;30m",
    TRUE, "5. &gt;= 30m"
),"6. Invalid (Order rejected)")</f>
        <v>6. Invalid (Order rejected)</v>
      </c>
    </row>
    <row r="865" spans="1:30" hidden="1" x14ac:dyDescent="0.3">
      <c r="A865" t="s">
        <v>5586</v>
      </c>
      <c r="B865" t="s">
        <v>192</v>
      </c>
      <c r="C865">
        <v>42598944</v>
      </c>
      <c r="D865">
        <v>0</v>
      </c>
      <c r="E865" t="s">
        <v>25</v>
      </c>
      <c r="F865" t="s">
        <v>26</v>
      </c>
      <c r="G865" t="s">
        <v>27</v>
      </c>
      <c r="H865" t="s">
        <v>5587</v>
      </c>
      <c r="I865" t="s">
        <v>5588</v>
      </c>
      <c r="J865" t="s">
        <v>26</v>
      </c>
      <c r="K865" t="s">
        <v>26</v>
      </c>
      <c r="L865" t="s">
        <v>5589</v>
      </c>
      <c r="M865" t="s">
        <v>25</v>
      </c>
      <c r="N865" t="s">
        <v>197</v>
      </c>
      <c r="O865" t="s">
        <v>198</v>
      </c>
      <c r="P865" t="s">
        <v>324</v>
      </c>
      <c r="Q865" t="s">
        <v>325</v>
      </c>
      <c r="R865">
        <v>238356</v>
      </c>
      <c r="S865">
        <v>0</v>
      </c>
      <c r="T865">
        <v>238356</v>
      </c>
      <c r="U865" t="s">
        <v>35</v>
      </c>
      <c r="V865" t="s">
        <v>201</v>
      </c>
      <c r="W865" t="s">
        <v>326</v>
      </c>
      <c r="X865" s="4">
        <v>1</v>
      </c>
      <c r="Y865" s="4"/>
      <c r="Z865">
        <f t="shared" si="52"/>
        <v>7</v>
      </c>
      <c r="AA865">
        <f t="shared" si="53"/>
        <v>11</v>
      </c>
      <c r="AB865" s="5">
        <f t="shared" si="54"/>
        <v>0.30124999999679858</v>
      </c>
      <c r="AC865" s="3">
        <f t="shared" si="55"/>
        <v>9.0266203704231884E-2</v>
      </c>
      <c r="AD865" t="str" cm="1">
        <f t="array" ref="AD865">IFERROR(_xlfn.IFS(
    AC865="", "",
    AC865*86400 &lt; 30, "1. 0s - &lt;30s",
    AC865*86400 &lt; 60, "2. 30s - &lt;1m",
    AC865*86400 &lt; 300, "3. 1m - &lt;5m",
    AC865*86400 &lt; 1800, "4. 5m - &lt;30m",
    TRUE, "5. &gt;= 30m"
),"6. Invalid (Order rejected)")</f>
        <v>5. &gt;= 30m</v>
      </c>
    </row>
    <row r="866" spans="1:30" hidden="1" x14ac:dyDescent="0.3">
      <c r="A866" t="s">
        <v>5590</v>
      </c>
      <c r="B866" t="s">
        <v>192</v>
      </c>
      <c r="C866">
        <v>42598944</v>
      </c>
      <c r="D866">
        <v>0</v>
      </c>
      <c r="E866" t="s">
        <v>25</v>
      </c>
      <c r="F866" t="s">
        <v>26</v>
      </c>
      <c r="G866" t="s">
        <v>27</v>
      </c>
      <c r="H866" t="s">
        <v>5591</v>
      </c>
      <c r="I866" t="s">
        <v>5592</v>
      </c>
      <c r="J866" t="s">
        <v>26</v>
      </c>
      <c r="K866" t="s">
        <v>26</v>
      </c>
      <c r="L866" t="s">
        <v>5593</v>
      </c>
      <c r="M866" t="s">
        <v>25</v>
      </c>
      <c r="N866" t="s">
        <v>197</v>
      </c>
      <c r="O866" t="s">
        <v>198</v>
      </c>
      <c r="P866" t="s">
        <v>317</v>
      </c>
      <c r="Q866" t="s">
        <v>318</v>
      </c>
      <c r="R866">
        <v>254664</v>
      </c>
      <c r="S866">
        <v>0</v>
      </c>
      <c r="T866">
        <v>254664</v>
      </c>
      <c r="U866" t="s">
        <v>35</v>
      </c>
      <c r="V866" t="s">
        <v>201</v>
      </c>
      <c r="W866" t="s">
        <v>319</v>
      </c>
      <c r="X866" s="4">
        <v>1</v>
      </c>
      <c r="Y866" s="4"/>
      <c r="Z866">
        <f t="shared" si="52"/>
        <v>7</v>
      </c>
      <c r="AA866">
        <f t="shared" si="53"/>
        <v>11</v>
      </c>
      <c r="AB866" s="5">
        <f t="shared" si="54"/>
        <v>0.30223379629751435</v>
      </c>
      <c r="AC866" s="3">
        <f t="shared" si="55"/>
        <v>9.0266203704231884E-2</v>
      </c>
      <c r="AD866" t="str" cm="1">
        <f t="array" ref="AD866">IFERROR(_xlfn.IFS(
    AC866="", "",
    AC866*86400 &lt; 30, "1. 0s - &lt;30s",
    AC866*86400 &lt; 60, "2. 30s - &lt;1m",
    AC866*86400 &lt; 300, "3. 1m - &lt;5m",
    AC866*86400 &lt; 1800, "4. 5m - &lt;30m",
    TRUE, "5. &gt;= 30m"
),"6. Invalid (Order rejected)")</f>
        <v>5. &gt;= 30m</v>
      </c>
    </row>
    <row r="867" spans="1:30" x14ac:dyDescent="0.3">
      <c r="A867" t="s">
        <v>5594</v>
      </c>
      <c r="B867" t="s">
        <v>192</v>
      </c>
      <c r="C867">
        <v>42598944</v>
      </c>
      <c r="D867">
        <v>4724963</v>
      </c>
      <c r="E867" t="s">
        <v>25</v>
      </c>
      <c r="F867" t="s">
        <v>75</v>
      </c>
      <c r="G867" t="s">
        <v>360</v>
      </c>
      <c r="H867" t="s">
        <v>5595</v>
      </c>
      <c r="I867" t="s">
        <v>5596</v>
      </c>
      <c r="J867" t="s">
        <v>5597</v>
      </c>
      <c r="K867" t="s">
        <v>5598</v>
      </c>
      <c r="L867" t="s">
        <v>25</v>
      </c>
      <c r="M867" t="s">
        <v>25</v>
      </c>
      <c r="N867" t="s">
        <v>197</v>
      </c>
      <c r="O867" t="s">
        <v>198</v>
      </c>
      <c r="P867" t="s">
        <v>5599</v>
      </c>
      <c r="Q867" t="s">
        <v>5600</v>
      </c>
      <c r="R867">
        <v>222912</v>
      </c>
      <c r="S867">
        <v>172808</v>
      </c>
      <c r="T867">
        <v>50104</v>
      </c>
      <c r="U867" t="s">
        <v>35</v>
      </c>
      <c r="V867" t="s">
        <v>201</v>
      </c>
      <c r="W867" t="s">
        <v>5523</v>
      </c>
      <c r="X867" s="4">
        <v>1</v>
      </c>
      <c r="Y867" s="4"/>
      <c r="Z867">
        <f t="shared" si="52"/>
        <v>7</v>
      </c>
      <c r="AA867">
        <f t="shared" si="53"/>
        <v>11</v>
      </c>
      <c r="AB867" s="5">
        <f t="shared" si="54"/>
        <v>0.30156249999708962</v>
      </c>
      <c r="AC867" s="3" t="str">
        <f t="shared" si="55"/>
        <v>Order rejected, no time available</v>
      </c>
      <c r="AD867" t="str" cm="1">
        <f t="array" ref="AD867">IFERROR(_xlfn.IFS(
    AC867="", "",
    AC867*86400 &lt; 30, "1. 0s - &lt;30s",
    AC867*86400 &lt; 60, "2. 30s - &lt;1m",
    AC867*86400 &lt; 300, "3. 1m - &lt;5m",
    AC867*86400 &lt; 1800, "4. 5m - &lt;30m",
    TRUE, "5. &gt;= 30m"
),"6. Invalid (Order rejected)")</f>
        <v>6. Invalid (Order rejected)</v>
      </c>
    </row>
    <row r="868" spans="1:30" hidden="1" x14ac:dyDescent="0.3">
      <c r="A868" t="s">
        <v>5601</v>
      </c>
      <c r="B868" t="s">
        <v>192</v>
      </c>
      <c r="C868">
        <v>42598944</v>
      </c>
      <c r="D868">
        <v>0</v>
      </c>
      <c r="E868" t="s">
        <v>25</v>
      </c>
      <c r="F868" t="s">
        <v>26</v>
      </c>
      <c r="G868" t="s">
        <v>27</v>
      </c>
      <c r="H868" t="s">
        <v>5602</v>
      </c>
      <c r="I868" t="s">
        <v>5603</v>
      </c>
      <c r="J868" t="s">
        <v>26</v>
      </c>
      <c r="K868" t="s">
        <v>26</v>
      </c>
      <c r="L868" t="s">
        <v>5604</v>
      </c>
      <c r="M868" t="s">
        <v>25</v>
      </c>
      <c r="N868" t="s">
        <v>261</v>
      </c>
      <c r="O868" t="s">
        <v>262</v>
      </c>
      <c r="P868" t="s">
        <v>390</v>
      </c>
      <c r="Q868" t="s">
        <v>391</v>
      </c>
      <c r="R868">
        <v>208008</v>
      </c>
      <c r="S868">
        <v>0</v>
      </c>
      <c r="T868">
        <v>208008</v>
      </c>
      <c r="U868" t="s">
        <v>35</v>
      </c>
      <c r="V868" t="s">
        <v>265</v>
      </c>
      <c r="W868" t="s">
        <v>392</v>
      </c>
      <c r="X868" s="4">
        <v>1</v>
      </c>
      <c r="Y868" s="4"/>
      <c r="Z868">
        <f t="shared" si="52"/>
        <v>7</v>
      </c>
      <c r="AA868">
        <f t="shared" si="53"/>
        <v>11</v>
      </c>
      <c r="AB868" s="5">
        <f t="shared" si="54"/>
        <v>0.30511574073898373</v>
      </c>
      <c r="AC868" s="3">
        <f t="shared" si="55"/>
        <v>0.18972222222510027</v>
      </c>
      <c r="AD868" t="str" cm="1">
        <f t="array" ref="AD868">IFERROR(_xlfn.IFS(
    AC868="", "",
    AC868*86400 &lt; 30, "1. 0s - &lt;30s",
    AC868*86400 &lt; 60, "2. 30s - &lt;1m",
    AC868*86400 &lt; 300, "3. 1m - &lt;5m",
    AC868*86400 &lt; 1800, "4. 5m - &lt;30m",
    TRUE, "5. &gt;= 30m"
),"6. Invalid (Order rejected)")</f>
        <v>5. &gt;= 30m</v>
      </c>
    </row>
    <row r="869" spans="1:30" hidden="1" x14ac:dyDescent="0.3">
      <c r="A869" t="s">
        <v>5605</v>
      </c>
      <c r="B869" t="s">
        <v>192</v>
      </c>
      <c r="C869">
        <v>42598944</v>
      </c>
      <c r="D869">
        <v>2852976</v>
      </c>
      <c r="E869" t="s">
        <v>25</v>
      </c>
      <c r="F869" t="s">
        <v>75</v>
      </c>
      <c r="G869" t="s">
        <v>76</v>
      </c>
      <c r="H869" t="s">
        <v>5606</v>
      </c>
      <c r="I869" t="s">
        <v>362</v>
      </c>
      <c r="J869" t="s">
        <v>5607</v>
      </c>
      <c r="K869" t="s">
        <v>26</v>
      </c>
      <c r="L869" t="s">
        <v>5608</v>
      </c>
      <c r="M869" t="s">
        <v>25</v>
      </c>
      <c r="N869" t="s">
        <v>275</v>
      </c>
      <c r="O869" t="s">
        <v>276</v>
      </c>
      <c r="P869" t="s">
        <v>470</v>
      </c>
      <c r="Q869" t="s">
        <v>471</v>
      </c>
      <c r="R869">
        <v>182412</v>
      </c>
      <c r="S869">
        <v>149730</v>
      </c>
      <c r="T869">
        <v>32682</v>
      </c>
      <c r="U869" t="s">
        <v>35</v>
      </c>
      <c r="V869" t="s">
        <v>277</v>
      </c>
      <c r="W869" t="s">
        <v>472</v>
      </c>
      <c r="X869" s="4">
        <v>1</v>
      </c>
      <c r="Y869" s="4"/>
      <c r="Z869">
        <f t="shared" si="52"/>
        <v>7</v>
      </c>
      <c r="AA869">
        <f t="shared" si="53"/>
        <v>11</v>
      </c>
      <c r="AB869" s="5">
        <f t="shared" si="54"/>
        <v>0.31106481481401715</v>
      </c>
      <c r="AC869" s="3">
        <f t="shared" si="55"/>
        <v>2.7083333334303461E-3</v>
      </c>
      <c r="AD869" t="str" cm="1">
        <f t="array" ref="AD869">IFERROR(_xlfn.IFS(
    AC869="", "",
    AC869*86400 &lt; 30, "1. 0s - &lt;30s",
    AC869*86400 &lt; 60, "2. 30s - &lt;1m",
    AC869*86400 &lt; 300, "3. 1m - &lt;5m",
    AC869*86400 &lt; 1800, "4. 5m - &lt;30m",
    TRUE, "5. &gt;= 30m"
),"6. Invalid (Order rejected)")</f>
        <v>3. 1m - &lt;5m</v>
      </c>
    </row>
    <row r="870" spans="1:30" hidden="1" x14ac:dyDescent="0.3">
      <c r="A870" t="s">
        <v>5609</v>
      </c>
      <c r="B870" t="s">
        <v>192</v>
      </c>
      <c r="C870">
        <v>42598944</v>
      </c>
      <c r="D870">
        <v>4411069</v>
      </c>
      <c r="E870" t="s">
        <v>25</v>
      </c>
      <c r="F870" t="s">
        <v>75</v>
      </c>
      <c r="G870" t="s">
        <v>76</v>
      </c>
      <c r="H870" t="s">
        <v>5610</v>
      </c>
      <c r="I870" t="s">
        <v>362</v>
      </c>
      <c r="J870" t="s">
        <v>5611</v>
      </c>
      <c r="K870" t="s">
        <v>26</v>
      </c>
      <c r="L870" t="s">
        <v>5612</v>
      </c>
      <c r="M870" t="s">
        <v>25</v>
      </c>
      <c r="N870" t="s">
        <v>275</v>
      </c>
      <c r="O870" t="s">
        <v>276</v>
      </c>
      <c r="P870" t="s">
        <v>351</v>
      </c>
      <c r="Q870" t="s">
        <v>352</v>
      </c>
      <c r="R870">
        <v>302292</v>
      </c>
      <c r="S870">
        <v>234346</v>
      </c>
      <c r="T870">
        <v>67946</v>
      </c>
      <c r="U870" t="s">
        <v>35</v>
      </c>
      <c r="V870" t="s">
        <v>277</v>
      </c>
      <c r="W870" t="s">
        <v>354</v>
      </c>
      <c r="X870" s="4">
        <v>1</v>
      </c>
      <c r="Y870" s="4"/>
      <c r="Z870">
        <f t="shared" si="52"/>
        <v>7</v>
      </c>
      <c r="AA870">
        <f t="shared" si="53"/>
        <v>11</v>
      </c>
      <c r="AB870" s="5">
        <f t="shared" si="54"/>
        <v>0.31193287036876427</v>
      </c>
      <c r="AC870" s="3">
        <f t="shared" si="55"/>
        <v>0.14490740741166519</v>
      </c>
      <c r="AD870" t="str" cm="1">
        <f t="array" ref="AD870">IFERROR(_xlfn.IFS(
    AC870="", "",
    AC870*86400 &lt; 30, "1. 0s - &lt;30s",
    AC870*86400 &lt; 60, "2. 30s - &lt;1m",
    AC870*86400 &lt; 300, "3. 1m - &lt;5m",
    AC870*86400 &lt; 1800, "4. 5m - &lt;30m",
    TRUE, "5. &gt;= 30m"
),"6. Invalid (Order rejected)")</f>
        <v>5. &gt;= 30m</v>
      </c>
    </row>
    <row r="871" spans="1:30" hidden="1" x14ac:dyDescent="0.3">
      <c r="A871" t="s">
        <v>5613</v>
      </c>
      <c r="B871" t="s">
        <v>192</v>
      </c>
      <c r="C871">
        <v>42598944</v>
      </c>
      <c r="D871">
        <v>3746341</v>
      </c>
      <c r="E871" t="s">
        <v>25</v>
      </c>
      <c r="F871" t="s">
        <v>75</v>
      </c>
      <c r="G871" t="s">
        <v>76</v>
      </c>
      <c r="H871" t="s">
        <v>5614</v>
      </c>
      <c r="I871" t="s">
        <v>535</v>
      </c>
      <c r="J871" t="s">
        <v>5615</v>
      </c>
      <c r="K871" t="s">
        <v>26</v>
      </c>
      <c r="L871" t="s">
        <v>5616</v>
      </c>
      <c r="M871" t="s">
        <v>25</v>
      </c>
      <c r="N871" t="s">
        <v>275</v>
      </c>
      <c r="O871" t="s">
        <v>276</v>
      </c>
      <c r="P871" t="s">
        <v>487</v>
      </c>
      <c r="Q871" t="s">
        <v>488</v>
      </c>
      <c r="R871">
        <v>288900</v>
      </c>
      <c r="S871">
        <v>237139</v>
      </c>
      <c r="T871">
        <v>51761</v>
      </c>
      <c r="U871" t="s">
        <v>35</v>
      </c>
      <c r="V871" t="s">
        <v>277</v>
      </c>
      <c r="W871" t="s">
        <v>489</v>
      </c>
      <c r="X871" s="4">
        <v>1</v>
      </c>
      <c r="Y871" s="4"/>
      <c r="Z871">
        <f t="shared" si="52"/>
        <v>7</v>
      </c>
      <c r="AA871">
        <f t="shared" si="53"/>
        <v>11</v>
      </c>
      <c r="AB871" s="5">
        <f t="shared" si="54"/>
        <v>0.31435185185546288</v>
      </c>
      <c r="AC871" s="3">
        <f t="shared" si="55"/>
        <v>5.5208333287737332E-3</v>
      </c>
      <c r="AD871" t="str" cm="1">
        <f t="array" ref="AD871">IFERROR(_xlfn.IFS(
    AC871="", "",
    AC871*86400 &lt; 30, "1. 0s - &lt;30s",
    AC871*86400 &lt; 60, "2. 30s - &lt;1m",
    AC871*86400 &lt; 300, "3. 1m - &lt;5m",
    AC871*86400 &lt; 1800, "4. 5m - &lt;30m",
    TRUE, "5. &gt;= 30m"
),"6. Invalid (Order rejected)")</f>
        <v>4. 5m - &lt;30m</v>
      </c>
    </row>
    <row r="872" spans="1:30" hidden="1" x14ac:dyDescent="0.3">
      <c r="A872" t="s">
        <v>5617</v>
      </c>
      <c r="B872" t="s">
        <v>192</v>
      </c>
      <c r="C872">
        <v>42598944</v>
      </c>
      <c r="D872">
        <v>0</v>
      </c>
      <c r="E872" t="s">
        <v>25</v>
      </c>
      <c r="F872" t="s">
        <v>26</v>
      </c>
      <c r="G872" t="s">
        <v>27</v>
      </c>
      <c r="H872" t="s">
        <v>5618</v>
      </c>
      <c r="I872" t="s">
        <v>5619</v>
      </c>
      <c r="J872" t="s">
        <v>26</v>
      </c>
      <c r="K872" t="s">
        <v>26</v>
      </c>
      <c r="L872" t="s">
        <v>5620</v>
      </c>
      <c r="M872" t="s">
        <v>25</v>
      </c>
      <c r="N872" t="s">
        <v>349</v>
      </c>
      <c r="O872" t="s">
        <v>350</v>
      </c>
      <c r="P872" t="s">
        <v>317</v>
      </c>
      <c r="Q872" t="s">
        <v>318</v>
      </c>
      <c r="R872">
        <v>248292</v>
      </c>
      <c r="S872">
        <v>0</v>
      </c>
      <c r="T872">
        <v>248292</v>
      </c>
      <c r="U872" t="s">
        <v>35</v>
      </c>
      <c r="V872" t="s">
        <v>353</v>
      </c>
      <c r="W872" t="s">
        <v>319</v>
      </c>
      <c r="X872" s="4">
        <v>1</v>
      </c>
      <c r="Y872" s="4"/>
      <c r="Z872">
        <f t="shared" si="52"/>
        <v>7</v>
      </c>
      <c r="AA872">
        <f t="shared" si="53"/>
        <v>11</v>
      </c>
      <c r="AB872" s="5">
        <f t="shared" si="54"/>
        <v>0.31820601852086838</v>
      </c>
      <c r="AC872" s="3">
        <f t="shared" si="55"/>
        <v>9.0266203704231884E-2</v>
      </c>
      <c r="AD872" t="str" cm="1">
        <f t="array" ref="AD872">IFERROR(_xlfn.IFS(
    AC872="", "",
    AC872*86400 &lt; 30, "1. 0s - &lt;30s",
    AC872*86400 &lt; 60, "2. 30s - &lt;1m",
    AC872*86400 &lt; 300, "3. 1m - &lt;5m",
    AC872*86400 &lt; 1800, "4. 5m - &lt;30m",
    TRUE, "5. &gt;= 30m"
),"6. Invalid (Order rejected)")</f>
        <v>5. &gt;= 30m</v>
      </c>
    </row>
    <row r="873" spans="1:30" hidden="1" x14ac:dyDescent="0.3">
      <c r="A873" t="s">
        <v>5621</v>
      </c>
      <c r="B873" t="s">
        <v>192</v>
      </c>
      <c r="C873">
        <v>42598944</v>
      </c>
      <c r="D873">
        <v>3716057</v>
      </c>
      <c r="E873" t="s">
        <v>25</v>
      </c>
      <c r="F873" t="s">
        <v>75</v>
      </c>
      <c r="G873" t="s">
        <v>76</v>
      </c>
      <c r="H873" t="s">
        <v>5622</v>
      </c>
      <c r="I873" t="s">
        <v>362</v>
      </c>
      <c r="J873" t="s">
        <v>5623</v>
      </c>
      <c r="K873" t="s">
        <v>26</v>
      </c>
      <c r="L873" t="s">
        <v>5624</v>
      </c>
      <c r="M873" t="s">
        <v>25</v>
      </c>
      <c r="N873" t="s">
        <v>275</v>
      </c>
      <c r="O873" t="s">
        <v>276</v>
      </c>
      <c r="P873" t="s">
        <v>246</v>
      </c>
      <c r="Q873" t="s">
        <v>247</v>
      </c>
      <c r="R873">
        <v>177984</v>
      </c>
      <c r="S873">
        <v>146095</v>
      </c>
      <c r="T873">
        <v>31889</v>
      </c>
      <c r="U873" t="s">
        <v>35</v>
      </c>
      <c r="V873" t="s">
        <v>277</v>
      </c>
      <c r="W873" t="s">
        <v>249</v>
      </c>
      <c r="X873" s="4">
        <v>1</v>
      </c>
      <c r="Y873" s="4"/>
      <c r="Z873">
        <f t="shared" si="52"/>
        <v>7</v>
      </c>
      <c r="AA873">
        <f t="shared" si="53"/>
        <v>11</v>
      </c>
      <c r="AB873" s="5">
        <f t="shared" si="54"/>
        <v>0.31216435185342561</v>
      </c>
      <c r="AC873" s="3">
        <f t="shared" si="55"/>
        <v>0.32765046296117362</v>
      </c>
      <c r="AD873" t="str" cm="1">
        <f t="array" ref="AD873">IFERROR(_xlfn.IFS(
    AC873="", "",
    AC873*86400 &lt; 30, "1. 0s - &lt;30s",
    AC873*86400 &lt; 60, "2. 30s - &lt;1m",
    AC873*86400 &lt; 300, "3. 1m - &lt;5m",
    AC873*86400 &lt; 1800, "4. 5m - &lt;30m",
    TRUE, "5. &gt;= 30m"
),"6. Invalid (Order rejected)")</f>
        <v>5. &gt;= 30m</v>
      </c>
    </row>
    <row r="874" spans="1:30" hidden="1" x14ac:dyDescent="0.3">
      <c r="A874" t="s">
        <v>5625</v>
      </c>
      <c r="B874" t="s">
        <v>192</v>
      </c>
      <c r="C874">
        <v>42598944</v>
      </c>
      <c r="D874">
        <v>0</v>
      </c>
      <c r="E874" t="s">
        <v>25</v>
      </c>
      <c r="F874" t="s">
        <v>26</v>
      </c>
      <c r="G874" t="s">
        <v>27</v>
      </c>
      <c r="H874" t="s">
        <v>5626</v>
      </c>
      <c r="I874" t="s">
        <v>5627</v>
      </c>
      <c r="J874" t="s">
        <v>26</v>
      </c>
      <c r="K874" t="s">
        <v>26</v>
      </c>
      <c r="L874" t="s">
        <v>5628</v>
      </c>
      <c r="M874" t="s">
        <v>25</v>
      </c>
      <c r="N874" t="s">
        <v>349</v>
      </c>
      <c r="O874" t="s">
        <v>350</v>
      </c>
      <c r="P874" t="s">
        <v>390</v>
      </c>
      <c r="Q874" t="s">
        <v>391</v>
      </c>
      <c r="R874">
        <v>336852</v>
      </c>
      <c r="S874">
        <v>0</v>
      </c>
      <c r="T874">
        <v>336852</v>
      </c>
      <c r="U874" t="s">
        <v>35</v>
      </c>
      <c r="V874" t="s">
        <v>353</v>
      </c>
      <c r="W874" t="s">
        <v>392</v>
      </c>
      <c r="X874" s="4">
        <v>1</v>
      </c>
      <c r="Y874" s="4"/>
      <c r="Z874">
        <f t="shared" si="52"/>
        <v>7</v>
      </c>
      <c r="AA874">
        <f t="shared" si="53"/>
        <v>11</v>
      </c>
      <c r="AB874" s="5">
        <f t="shared" si="54"/>
        <v>0.32123842592409346</v>
      </c>
      <c r="AC874" s="3">
        <f t="shared" si="55"/>
        <v>9.0266203704231884E-2</v>
      </c>
      <c r="AD874" t="str" cm="1">
        <f t="array" ref="AD874">IFERROR(_xlfn.IFS(
    AC874="", "",
    AC874*86400 &lt; 30, "1. 0s - &lt;30s",
    AC874*86400 &lt; 60, "2. 30s - &lt;1m",
    AC874*86400 &lt; 300, "3. 1m - &lt;5m",
    AC874*86400 &lt; 1800, "4. 5m - &lt;30m",
    TRUE, "5. &gt;= 30m"
),"6. Invalid (Order rejected)")</f>
        <v>5. &gt;= 30m</v>
      </c>
    </row>
    <row r="875" spans="1:30" hidden="1" x14ac:dyDescent="0.3">
      <c r="A875" t="s">
        <v>5629</v>
      </c>
      <c r="B875" t="s">
        <v>192</v>
      </c>
      <c r="C875">
        <v>42598944</v>
      </c>
      <c r="D875">
        <v>0</v>
      </c>
      <c r="E875" t="s">
        <v>25</v>
      </c>
      <c r="F875" t="s">
        <v>26</v>
      </c>
      <c r="G875" t="s">
        <v>27</v>
      </c>
      <c r="H875" t="s">
        <v>5630</v>
      </c>
      <c r="I875" t="s">
        <v>5631</v>
      </c>
      <c r="J875" t="s">
        <v>26</v>
      </c>
      <c r="K875" t="s">
        <v>26</v>
      </c>
      <c r="L875" t="s">
        <v>5632</v>
      </c>
      <c r="M875" t="s">
        <v>25</v>
      </c>
      <c r="N875" t="s">
        <v>349</v>
      </c>
      <c r="O875" t="s">
        <v>350</v>
      </c>
      <c r="P875" t="s">
        <v>317</v>
      </c>
      <c r="Q875" t="s">
        <v>318</v>
      </c>
      <c r="R875">
        <v>232092</v>
      </c>
      <c r="S875">
        <v>0</v>
      </c>
      <c r="T875">
        <v>232092</v>
      </c>
      <c r="U875" t="s">
        <v>35</v>
      </c>
      <c r="V875" t="s">
        <v>353</v>
      </c>
      <c r="W875" t="s">
        <v>319</v>
      </c>
      <c r="X875" s="4">
        <v>1</v>
      </c>
      <c r="Y875" s="4"/>
      <c r="Z875">
        <f t="shared" si="52"/>
        <v>7</v>
      </c>
      <c r="AA875">
        <f t="shared" si="53"/>
        <v>11</v>
      </c>
      <c r="AB875" s="5">
        <f t="shared" si="54"/>
        <v>0.31833333333634073</v>
      </c>
      <c r="AC875" s="3">
        <f t="shared" si="55"/>
        <v>9.0277777773735579E-2</v>
      </c>
      <c r="AD875" t="str" cm="1">
        <f t="array" ref="AD875">IFERROR(_xlfn.IFS(
    AC875="", "",
    AC875*86400 &lt; 30, "1. 0s - &lt;30s",
    AC875*86400 &lt; 60, "2. 30s - &lt;1m",
    AC875*86400 &lt; 300, "3. 1m - &lt;5m",
    AC875*86400 &lt; 1800, "4. 5m - &lt;30m",
    TRUE, "5. &gt;= 30m"
),"6. Invalid (Order rejected)")</f>
        <v>5. &gt;= 30m</v>
      </c>
    </row>
    <row r="876" spans="1:30" hidden="1" x14ac:dyDescent="0.3">
      <c r="A876" t="s">
        <v>5633</v>
      </c>
      <c r="B876" t="s">
        <v>192</v>
      </c>
      <c r="C876">
        <v>42598944</v>
      </c>
      <c r="D876">
        <v>0</v>
      </c>
      <c r="E876" t="s">
        <v>25</v>
      </c>
      <c r="F876" t="s">
        <v>26</v>
      </c>
      <c r="G876" t="s">
        <v>27</v>
      </c>
      <c r="H876" t="s">
        <v>5634</v>
      </c>
      <c r="I876" t="s">
        <v>5635</v>
      </c>
      <c r="J876" t="s">
        <v>26</v>
      </c>
      <c r="K876" t="s">
        <v>26</v>
      </c>
      <c r="L876" t="s">
        <v>5636</v>
      </c>
      <c r="M876" t="s">
        <v>25</v>
      </c>
      <c r="N876" t="s">
        <v>349</v>
      </c>
      <c r="O876" t="s">
        <v>350</v>
      </c>
      <c r="P876" t="s">
        <v>5637</v>
      </c>
      <c r="Q876" t="s">
        <v>5638</v>
      </c>
      <c r="R876">
        <v>215460</v>
      </c>
      <c r="S876">
        <v>0</v>
      </c>
      <c r="T876">
        <v>215460</v>
      </c>
      <c r="U876" t="s">
        <v>35</v>
      </c>
      <c r="V876" t="s">
        <v>353</v>
      </c>
      <c r="W876" t="s">
        <v>5639</v>
      </c>
      <c r="X876" s="4">
        <v>1</v>
      </c>
      <c r="Y876" s="4"/>
      <c r="Z876">
        <f t="shared" si="52"/>
        <v>7</v>
      </c>
      <c r="AA876">
        <f t="shared" si="53"/>
        <v>11</v>
      </c>
      <c r="AB876" s="5">
        <f t="shared" si="54"/>
        <v>0.3191087962986785</v>
      </c>
      <c r="AC876" s="3">
        <f t="shared" si="55"/>
        <v>9.0266203704231884E-2</v>
      </c>
      <c r="AD876" t="str" cm="1">
        <f t="array" ref="AD876">IFERROR(_xlfn.IFS(
    AC876="", "",
    AC876*86400 &lt; 30, "1. 0s - &lt;30s",
    AC876*86400 &lt; 60, "2. 30s - &lt;1m",
    AC876*86400 &lt; 300, "3. 1m - &lt;5m",
    AC876*86400 &lt; 1800, "4. 5m - &lt;30m",
    TRUE, "5. &gt;= 30m"
),"6. Invalid (Order rejected)")</f>
        <v>5. &gt;= 30m</v>
      </c>
    </row>
    <row r="877" spans="1:30" hidden="1" x14ac:dyDescent="0.3">
      <c r="A877" t="s">
        <v>5640</v>
      </c>
      <c r="B877" t="s">
        <v>192</v>
      </c>
      <c r="C877">
        <v>42598944</v>
      </c>
      <c r="D877">
        <v>0</v>
      </c>
      <c r="E877" t="s">
        <v>25</v>
      </c>
      <c r="F877" t="s">
        <v>26</v>
      </c>
      <c r="G877" t="s">
        <v>27</v>
      </c>
      <c r="H877" t="s">
        <v>5641</v>
      </c>
      <c r="I877" t="s">
        <v>5642</v>
      </c>
      <c r="J877" t="s">
        <v>26</v>
      </c>
      <c r="K877" t="s">
        <v>26</v>
      </c>
      <c r="L877" t="s">
        <v>5643</v>
      </c>
      <c r="M877" t="s">
        <v>25</v>
      </c>
      <c r="N877" t="s">
        <v>349</v>
      </c>
      <c r="O877" t="s">
        <v>350</v>
      </c>
      <c r="P877" t="s">
        <v>470</v>
      </c>
      <c r="Q877" t="s">
        <v>471</v>
      </c>
      <c r="R877">
        <v>199260</v>
      </c>
      <c r="S877">
        <v>0</v>
      </c>
      <c r="T877">
        <v>199260</v>
      </c>
      <c r="U877" t="s">
        <v>35</v>
      </c>
      <c r="V877" t="s">
        <v>353</v>
      </c>
      <c r="W877" t="s">
        <v>5639</v>
      </c>
      <c r="X877" s="4">
        <v>1</v>
      </c>
      <c r="Y877" s="4"/>
      <c r="Z877">
        <f t="shared" si="52"/>
        <v>7</v>
      </c>
      <c r="AA877">
        <f t="shared" si="53"/>
        <v>11</v>
      </c>
      <c r="AB877" s="5">
        <f t="shared" si="54"/>
        <v>0.31928240740671754</v>
      </c>
      <c r="AC877" s="3">
        <f t="shared" si="55"/>
        <v>9.0277777781011537E-2</v>
      </c>
      <c r="AD877" t="str" cm="1">
        <f t="array" ref="AD877">IFERROR(_xlfn.IFS(
    AC877="", "",
    AC877*86400 &lt; 30, "1. 0s - &lt;30s",
    AC877*86400 &lt; 60, "2. 30s - &lt;1m",
    AC877*86400 &lt; 300, "3. 1m - &lt;5m",
    AC877*86400 &lt; 1800, "4. 5m - &lt;30m",
    TRUE, "5. &gt;= 30m"
),"6. Invalid (Order rejected)")</f>
        <v>5. &gt;= 30m</v>
      </c>
    </row>
    <row r="878" spans="1:30" hidden="1" x14ac:dyDescent="0.3">
      <c r="A878" t="s">
        <v>5644</v>
      </c>
      <c r="B878" t="s">
        <v>192</v>
      </c>
      <c r="C878">
        <v>42598944</v>
      </c>
      <c r="D878">
        <v>0</v>
      </c>
      <c r="E878" t="s">
        <v>25</v>
      </c>
      <c r="F878" t="s">
        <v>26</v>
      </c>
      <c r="G878" t="s">
        <v>27</v>
      </c>
      <c r="H878" t="s">
        <v>5645</v>
      </c>
      <c r="I878" t="s">
        <v>5646</v>
      </c>
      <c r="J878" t="s">
        <v>26</v>
      </c>
      <c r="K878" t="s">
        <v>26</v>
      </c>
      <c r="L878" t="s">
        <v>5647</v>
      </c>
      <c r="M878" t="s">
        <v>25</v>
      </c>
      <c r="N878" t="s">
        <v>349</v>
      </c>
      <c r="O878" t="s">
        <v>350</v>
      </c>
      <c r="P878" t="s">
        <v>5648</v>
      </c>
      <c r="Q878" t="s">
        <v>5649</v>
      </c>
      <c r="R878">
        <v>392364</v>
      </c>
      <c r="S878">
        <v>0</v>
      </c>
      <c r="T878">
        <v>392364</v>
      </c>
      <c r="U878" t="s">
        <v>35</v>
      </c>
      <c r="V878" t="s">
        <v>353</v>
      </c>
      <c r="W878" t="s">
        <v>436</v>
      </c>
      <c r="X878" s="4">
        <v>1</v>
      </c>
      <c r="Y878" s="4"/>
      <c r="Z878">
        <f t="shared" si="52"/>
        <v>7</v>
      </c>
      <c r="AA878">
        <f t="shared" si="53"/>
        <v>11</v>
      </c>
      <c r="AB878" s="5">
        <f t="shared" si="54"/>
        <v>0.32006944444583496</v>
      </c>
      <c r="AC878" s="3">
        <f t="shared" si="55"/>
        <v>9.0266203704231884E-2</v>
      </c>
      <c r="AD878" t="str" cm="1">
        <f t="array" ref="AD878">IFERROR(_xlfn.IFS(
    AC878="", "",
    AC878*86400 &lt; 30, "1. 0s - &lt;30s",
    AC878*86400 &lt; 60, "2. 30s - &lt;1m",
    AC878*86400 &lt; 300, "3. 1m - &lt;5m",
    AC878*86400 &lt; 1800, "4. 5m - &lt;30m",
    TRUE, "5. &gt;= 30m"
),"6. Invalid (Order rejected)")</f>
        <v>5. &gt;= 30m</v>
      </c>
    </row>
    <row r="879" spans="1:30" hidden="1" x14ac:dyDescent="0.3">
      <c r="A879" t="s">
        <v>5650</v>
      </c>
      <c r="B879" t="s">
        <v>192</v>
      </c>
      <c r="C879">
        <v>42598944</v>
      </c>
      <c r="D879">
        <v>0</v>
      </c>
      <c r="E879" t="s">
        <v>25</v>
      </c>
      <c r="F879" t="s">
        <v>26</v>
      </c>
      <c r="G879" t="s">
        <v>27</v>
      </c>
      <c r="H879" t="s">
        <v>5651</v>
      </c>
      <c r="I879" t="s">
        <v>5652</v>
      </c>
      <c r="J879" t="s">
        <v>26</v>
      </c>
      <c r="K879" t="s">
        <v>26</v>
      </c>
      <c r="L879" t="s">
        <v>5653</v>
      </c>
      <c r="M879" t="s">
        <v>25</v>
      </c>
      <c r="N879" t="s">
        <v>349</v>
      </c>
      <c r="O879" t="s">
        <v>350</v>
      </c>
      <c r="P879" t="s">
        <v>5648</v>
      </c>
      <c r="Q879" t="s">
        <v>5649</v>
      </c>
      <c r="R879">
        <v>285012</v>
      </c>
      <c r="S879">
        <v>0</v>
      </c>
      <c r="T879">
        <v>285012</v>
      </c>
      <c r="U879" t="s">
        <v>35</v>
      </c>
      <c r="V879" t="s">
        <v>353</v>
      </c>
      <c r="W879" t="s">
        <v>436</v>
      </c>
      <c r="X879" s="4">
        <v>1</v>
      </c>
      <c r="Y879" s="4"/>
      <c r="Z879">
        <f t="shared" si="52"/>
        <v>7</v>
      </c>
      <c r="AA879">
        <f t="shared" si="53"/>
        <v>11</v>
      </c>
      <c r="AB879" s="5">
        <f t="shared" si="54"/>
        <v>0.32026620370015735</v>
      </c>
      <c r="AC879" s="3">
        <f t="shared" si="55"/>
        <v>9.0277777781011537E-2</v>
      </c>
      <c r="AD879" t="str" cm="1">
        <f t="array" ref="AD879">IFERROR(_xlfn.IFS(
    AC879="", "",
    AC879*86400 &lt; 30, "1. 0s - &lt;30s",
    AC879*86400 &lt; 60, "2. 30s - &lt;1m",
    AC879*86400 &lt; 300, "3. 1m - &lt;5m",
    AC879*86400 &lt; 1800, "4. 5m - &lt;30m",
    TRUE, "5. &gt;= 30m"
),"6. Invalid (Order rejected)")</f>
        <v>5. &gt;= 30m</v>
      </c>
    </row>
    <row r="880" spans="1:30" hidden="1" x14ac:dyDescent="0.3">
      <c r="A880" t="s">
        <v>5654</v>
      </c>
      <c r="B880" t="s">
        <v>192</v>
      </c>
      <c r="C880">
        <v>42598944</v>
      </c>
      <c r="D880">
        <v>4411069</v>
      </c>
      <c r="E880" t="s">
        <v>25</v>
      </c>
      <c r="F880" t="s">
        <v>75</v>
      </c>
      <c r="G880" t="s">
        <v>76</v>
      </c>
      <c r="H880" t="s">
        <v>5655</v>
      </c>
      <c r="I880" t="s">
        <v>378</v>
      </c>
      <c r="J880" t="s">
        <v>5656</v>
      </c>
      <c r="K880" t="s">
        <v>26</v>
      </c>
      <c r="L880" t="s">
        <v>5657</v>
      </c>
      <c r="M880" t="s">
        <v>25</v>
      </c>
      <c r="N880" t="s">
        <v>275</v>
      </c>
      <c r="O880" t="s">
        <v>276</v>
      </c>
      <c r="P880" t="s">
        <v>384</v>
      </c>
      <c r="Q880" t="s">
        <v>385</v>
      </c>
      <c r="R880">
        <v>231552</v>
      </c>
      <c r="S880">
        <v>179506</v>
      </c>
      <c r="T880">
        <v>52046</v>
      </c>
      <c r="U880" t="s">
        <v>35</v>
      </c>
      <c r="V880" t="s">
        <v>277</v>
      </c>
      <c r="W880" t="s">
        <v>386</v>
      </c>
      <c r="X880" s="4">
        <v>1</v>
      </c>
      <c r="Y880" s="4"/>
      <c r="Z880">
        <f t="shared" si="52"/>
        <v>7</v>
      </c>
      <c r="AA880">
        <f t="shared" si="53"/>
        <v>11</v>
      </c>
      <c r="AB880" s="5">
        <f t="shared" si="54"/>
        <v>0.31138888889108784</v>
      </c>
      <c r="AC880" s="3">
        <f t="shared" si="55"/>
        <v>0.18428240740468027</v>
      </c>
      <c r="AD880" t="str" cm="1">
        <f t="array" ref="AD880">IFERROR(_xlfn.IFS(
    AC880="", "",
    AC880*86400 &lt; 30, "1. 0s - &lt;30s",
    AC880*86400 &lt; 60, "2. 30s - &lt;1m",
    AC880*86400 &lt; 300, "3. 1m - &lt;5m",
    AC880*86400 &lt; 1800, "4. 5m - &lt;30m",
    TRUE, "5. &gt;= 30m"
),"6. Invalid (Order rejected)")</f>
        <v>5. &gt;= 30m</v>
      </c>
    </row>
    <row r="881" spans="1:30" hidden="1" x14ac:dyDescent="0.3">
      <c r="A881" t="s">
        <v>5658</v>
      </c>
      <c r="B881" t="s">
        <v>192</v>
      </c>
      <c r="C881">
        <v>42598944</v>
      </c>
      <c r="D881">
        <v>0</v>
      </c>
      <c r="E881" t="s">
        <v>25</v>
      </c>
      <c r="F881" t="s">
        <v>26</v>
      </c>
      <c r="G881" t="s">
        <v>27</v>
      </c>
      <c r="H881" t="s">
        <v>5659</v>
      </c>
      <c r="I881" t="s">
        <v>5660</v>
      </c>
      <c r="J881" t="s">
        <v>26</v>
      </c>
      <c r="K881" t="s">
        <v>26</v>
      </c>
      <c r="L881" t="s">
        <v>5661</v>
      </c>
      <c r="M881" t="s">
        <v>25</v>
      </c>
      <c r="N881" t="s">
        <v>349</v>
      </c>
      <c r="O881" t="s">
        <v>350</v>
      </c>
      <c r="P881" t="s">
        <v>208</v>
      </c>
      <c r="Q881" t="s">
        <v>209</v>
      </c>
      <c r="R881">
        <v>327888</v>
      </c>
      <c r="S881">
        <v>0</v>
      </c>
      <c r="T881">
        <v>327888</v>
      </c>
      <c r="U881" t="s">
        <v>35</v>
      </c>
      <c r="V881" t="s">
        <v>353</v>
      </c>
      <c r="W881" t="s">
        <v>210</v>
      </c>
      <c r="X881" s="4">
        <v>1</v>
      </c>
      <c r="Y881" s="4"/>
      <c r="Z881">
        <f t="shared" si="52"/>
        <v>7</v>
      </c>
      <c r="AA881">
        <f t="shared" si="53"/>
        <v>11</v>
      </c>
      <c r="AB881" s="5">
        <f t="shared" si="54"/>
        <v>0.31853009259066312</v>
      </c>
      <c r="AC881" s="3">
        <f t="shared" si="55"/>
        <v>9.0277777781011537E-2</v>
      </c>
      <c r="AD881" t="str" cm="1">
        <f t="array" ref="AD881">IFERROR(_xlfn.IFS(
    AC881="", "",
    AC881*86400 &lt; 30, "1. 0s - &lt;30s",
    AC881*86400 &lt; 60, "2. 30s - &lt;1m",
    AC881*86400 &lt; 300, "3. 1m - &lt;5m",
    AC881*86400 &lt; 1800, "4. 5m - &lt;30m",
    TRUE, "5. &gt;= 30m"
),"6. Invalid (Order rejected)")</f>
        <v>5. &gt;= 30m</v>
      </c>
    </row>
    <row r="882" spans="1:30" hidden="1" x14ac:dyDescent="0.3">
      <c r="A882" t="s">
        <v>5662</v>
      </c>
      <c r="B882" t="s">
        <v>192</v>
      </c>
      <c r="C882">
        <v>42598944</v>
      </c>
      <c r="D882">
        <v>0</v>
      </c>
      <c r="E882" t="s">
        <v>25</v>
      </c>
      <c r="F882" t="s">
        <v>26</v>
      </c>
      <c r="G882" t="s">
        <v>27</v>
      </c>
      <c r="H882" t="s">
        <v>5663</v>
      </c>
      <c r="I882" t="s">
        <v>5664</v>
      </c>
      <c r="J882" t="s">
        <v>26</v>
      </c>
      <c r="K882" t="s">
        <v>26</v>
      </c>
      <c r="L882" t="s">
        <v>5665</v>
      </c>
      <c r="M882" t="s">
        <v>25</v>
      </c>
      <c r="N882" t="s">
        <v>349</v>
      </c>
      <c r="O882" t="s">
        <v>350</v>
      </c>
      <c r="P882" t="s">
        <v>463</v>
      </c>
      <c r="Q882" t="s">
        <v>464</v>
      </c>
      <c r="R882">
        <v>270540</v>
      </c>
      <c r="S882">
        <v>0</v>
      </c>
      <c r="T882">
        <v>270540</v>
      </c>
      <c r="U882" t="s">
        <v>35</v>
      </c>
      <c r="V882" t="s">
        <v>353</v>
      </c>
      <c r="W882" t="s">
        <v>465</v>
      </c>
      <c r="X882" s="4">
        <v>1</v>
      </c>
      <c r="Y882" s="4"/>
      <c r="Z882">
        <f t="shared" si="52"/>
        <v>7</v>
      </c>
      <c r="AA882">
        <f t="shared" si="53"/>
        <v>11</v>
      </c>
      <c r="AB882" s="5">
        <f t="shared" si="54"/>
        <v>0.32216435185546288</v>
      </c>
      <c r="AC882" s="3">
        <f t="shared" si="55"/>
        <v>9.0277777773735579E-2</v>
      </c>
      <c r="AD882" t="str" cm="1">
        <f t="array" ref="AD882">IFERROR(_xlfn.IFS(
    AC882="", "",
    AC882*86400 &lt; 30, "1. 0s - &lt;30s",
    AC882*86400 &lt; 60, "2. 30s - &lt;1m",
    AC882*86400 &lt; 300, "3. 1m - &lt;5m",
    AC882*86400 &lt; 1800, "4. 5m - &lt;30m",
    TRUE, "5. &gt;= 30m"
),"6. Invalid (Order rejected)")</f>
        <v>5. &gt;= 30m</v>
      </c>
    </row>
    <row r="883" spans="1:30" hidden="1" x14ac:dyDescent="0.3">
      <c r="A883" t="s">
        <v>5666</v>
      </c>
      <c r="B883" t="s">
        <v>192</v>
      </c>
      <c r="C883">
        <v>42598944</v>
      </c>
      <c r="D883">
        <v>0</v>
      </c>
      <c r="E883" t="s">
        <v>25</v>
      </c>
      <c r="F883" t="s">
        <v>26</v>
      </c>
      <c r="G883" t="s">
        <v>27</v>
      </c>
      <c r="H883" t="s">
        <v>5667</v>
      </c>
      <c r="I883" t="s">
        <v>378</v>
      </c>
      <c r="J883" t="s">
        <v>26</v>
      </c>
      <c r="K883" t="s">
        <v>26</v>
      </c>
      <c r="L883" t="s">
        <v>5668</v>
      </c>
      <c r="M883" t="s">
        <v>25</v>
      </c>
      <c r="N883" t="s">
        <v>275</v>
      </c>
      <c r="O883" t="s">
        <v>276</v>
      </c>
      <c r="P883" t="s">
        <v>263</v>
      </c>
      <c r="Q883" t="s">
        <v>264</v>
      </c>
      <c r="R883">
        <v>132516</v>
      </c>
      <c r="S883">
        <v>0</v>
      </c>
      <c r="T883">
        <v>132516</v>
      </c>
      <c r="U883" t="s">
        <v>35</v>
      </c>
      <c r="V883" t="s">
        <v>277</v>
      </c>
      <c r="W883" t="s">
        <v>266</v>
      </c>
      <c r="X883" s="4">
        <v>1</v>
      </c>
      <c r="Y883" s="4"/>
      <c r="Z883">
        <f t="shared" si="52"/>
        <v>7</v>
      </c>
      <c r="AA883">
        <f t="shared" si="53"/>
        <v>11</v>
      </c>
      <c r="AB883" s="5">
        <f t="shared" si="54"/>
        <v>0.31259259259240935</v>
      </c>
      <c r="AC883" s="3">
        <f t="shared" si="55"/>
        <v>0.18811342592380242</v>
      </c>
      <c r="AD883" t="str" cm="1">
        <f t="array" ref="AD883">IFERROR(_xlfn.IFS(
    AC883="", "",
    AC883*86400 &lt; 30, "1. 0s - &lt;30s",
    AC883*86400 &lt; 60, "2. 30s - &lt;1m",
    AC883*86400 &lt; 300, "3. 1m - &lt;5m",
    AC883*86400 &lt; 1800, "4. 5m - &lt;30m",
    TRUE, "5. &gt;= 30m"
),"6. Invalid (Order rejected)")</f>
        <v>5. &gt;= 30m</v>
      </c>
    </row>
    <row r="884" spans="1:30" hidden="1" x14ac:dyDescent="0.3">
      <c r="A884" t="s">
        <v>5669</v>
      </c>
      <c r="B884" t="s">
        <v>192</v>
      </c>
      <c r="C884">
        <v>42598944</v>
      </c>
      <c r="D884">
        <v>0</v>
      </c>
      <c r="E884" t="s">
        <v>25</v>
      </c>
      <c r="F884" t="s">
        <v>26</v>
      </c>
      <c r="G884" t="s">
        <v>27</v>
      </c>
      <c r="H884" t="s">
        <v>5670</v>
      </c>
      <c r="I884" t="s">
        <v>5671</v>
      </c>
      <c r="J884" t="s">
        <v>26</v>
      </c>
      <c r="K884" t="s">
        <v>26</v>
      </c>
      <c r="L884" t="s">
        <v>5672</v>
      </c>
      <c r="M884" t="s">
        <v>25</v>
      </c>
      <c r="N884" t="s">
        <v>349</v>
      </c>
      <c r="O884" t="s">
        <v>350</v>
      </c>
      <c r="P884" t="s">
        <v>289</v>
      </c>
      <c r="Q884" t="s">
        <v>290</v>
      </c>
      <c r="R884">
        <v>201744</v>
      </c>
      <c r="S884">
        <v>0</v>
      </c>
      <c r="T884">
        <v>201744</v>
      </c>
      <c r="U884" t="s">
        <v>35</v>
      </c>
      <c r="V884" t="s">
        <v>353</v>
      </c>
      <c r="W884" t="s">
        <v>291</v>
      </c>
      <c r="X884" s="4">
        <v>1</v>
      </c>
      <c r="Y884" s="4"/>
      <c r="Z884">
        <f t="shared" si="52"/>
        <v>7</v>
      </c>
      <c r="AA884">
        <f t="shared" si="53"/>
        <v>11</v>
      </c>
      <c r="AB884" s="5">
        <f t="shared" si="54"/>
        <v>0.32177083333226619</v>
      </c>
      <c r="AC884" s="3">
        <f t="shared" si="55"/>
        <v>9.0277777781011537E-2</v>
      </c>
      <c r="AD884" t="str" cm="1">
        <f t="array" ref="AD884">IFERROR(_xlfn.IFS(
    AC884="", "",
    AC884*86400 &lt; 30, "1. 0s - &lt;30s",
    AC884*86400 &lt; 60, "2. 30s - &lt;1m",
    AC884*86400 &lt; 300, "3. 1m - &lt;5m",
    AC884*86400 &lt; 1800, "4. 5m - &lt;30m",
    TRUE, "5. &gt;= 30m"
),"6. Invalid (Order rejected)")</f>
        <v>5. &gt;= 30m</v>
      </c>
    </row>
    <row r="885" spans="1:30" x14ac:dyDescent="0.3">
      <c r="A885" t="s">
        <v>5673</v>
      </c>
      <c r="B885" t="s">
        <v>192</v>
      </c>
      <c r="C885">
        <v>42598944</v>
      </c>
      <c r="D885">
        <v>3414993</v>
      </c>
      <c r="E885" t="s">
        <v>25</v>
      </c>
      <c r="F885" t="s">
        <v>75</v>
      </c>
      <c r="G885" t="s">
        <v>360</v>
      </c>
      <c r="H885" t="s">
        <v>5674</v>
      </c>
      <c r="I885" t="s">
        <v>427</v>
      </c>
      <c r="J885" t="s">
        <v>5675</v>
      </c>
      <c r="K885" t="s">
        <v>26</v>
      </c>
      <c r="L885" t="s">
        <v>25</v>
      </c>
      <c r="M885" t="s">
        <v>25</v>
      </c>
      <c r="N885" t="s">
        <v>275</v>
      </c>
      <c r="O885" t="s">
        <v>276</v>
      </c>
      <c r="P885" t="s">
        <v>390</v>
      </c>
      <c r="Q885" t="s">
        <v>391</v>
      </c>
      <c r="R885">
        <v>209196</v>
      </c>
      <c r="S885">
        <v>162175</v>
      </c>
      <c r="T885">
        <v>47021</v>
      </c>
      <c r="U885" t="s">
        <v>35</v>
      </c>
      <c r="V885" t="s">
        <v>277</v>
      </c>
      <c r="W885" t="s">
        <v>392</v>
      </c>
      <c r="X885" s="4">
        <v>1</v>
      </c>
      <c r="Y885" s="4"/>
      <c r="Z885">
        <f t="shared" si="52"/>
        <v>7</v>
      </c>
      <c r="AA885">
        <f t="shared" si="53"/>
        <v>11</v>
      </c>
      <c r="AB885" s="5">
        <f t="shared" si="54"/>
        <v>0.31379629629373085</v>
      </c>
      <c r="AC885" s="3" t="str">
        <f t="shared" si="55"/>
        <v>Order rejected, no time available</v>
      </c>
      <c r="AD885" t="str" cm="1">
        <f t="array" ref="AD885">IFERROR(_xlfn.IFS(
    AC885="", "",
    AC885*86400 &lt; 30, "1. 0s - &lt;30s",
    AC885*86400 &lt; 60, "2. 30s - &lt;1m",
    AC885*86400 &lt; 300, "3. 1m - &lt;5m",
    AC885*86400 &lt; 1800, "4. 5m - &lt;30m",
    TRUE, "5. &gt;= 30m"
),"6. Invalid (Order rejected)")</f>
        <v>6. Invalid (Order rejected)</v>
      </c>
    </row>
    <row r="886" spans="1:30" x14ac:dyDescent="0.3">
      <c r="A886" t="s">
        <v>5676</v>
      </c>
      <c r="B886" t="s">
        <v>192</v>
      </c>
      <c r="C886">
        <v>42598944</v>
      </c>
      <c r="D886">
        <v>4687153</v>
      </c>
      <c r="E886" t="s">
        <v>25</v>
      </c>
      <c r="F886" t="s">
        <v>75</v>
      </c>
      <c r="G886" t="s">
        <v>360</v>
      </c>
      <c r="H886" t="s">
        <v>5677</v>
      </c>
      <c r="I886" t="s">
        <v>535</v>
      </c>
      <c r="J886" t="s">
        <v>5678</v>
      </c>
      <c r="K886" t="s">
        <v>5679</v>
      </c>
      <c r="L886" t="s">
        <v>25</v>
      </c>
      <c r="M886" t="s">
        <v>25</v>
      </c>
      <c r="N886" t="s">
        <v>275</v>
      </c>
      <c r="O886" t="s">
        <v>276</v>
      </c>
      <c r="P886" t="s">
        <v>237</v>
      </c>
      <c r="Q886" t="s">
        <v>238</v>
      </c>
      <c r="R886">
        <v>257472</v>
      </c>
      <c r="S886">
        <v>199600</v>
      </c>
      <c r="T886">
        <v>57872</v>
      </c>
      <c r="U886" t="s">
        <v>35</v>
      </c>
      <c r="V886" t="s">
        <v>277</v>
      </c>
      <c r="W886" t="s">
        <v>239</v>
      </c>
      <c r="X886" s="4">
        <v>1</v>
      </c>
      <c r="Y886" s="4"/>
      <c r="Z886">
        <f t="shared" si="52"/>
        <v>7</v>
      </c>
      <c r="AA886">
        <f t="shared" si="53"/>
        <v>11</v>
      </c>
      <c r="AB886" s="5">
        <f t="shared" si="54"/>
        <v>0.31403935185517184</v>
      </c>
      <c r="AC886" s="3" t="str">
        <f t="shared" si="55"/>
        <v>Order rejected, no time available</v>
      </c>
      <c r="AD886" t="str" cm="1">
        <f t="array" ref="AD886">IFERROR(_xlfn.IFS(
    AC886="", "",
    AC886*86400 &lt; 30, "1. 0s - &lt;30s",
    AC886*86400 &lt; 60, "2. 30s - &lt;1m",
    AC886*86400 &lt; 300, "3. 1m - &lt;5m",
    AC886*86400 &lt; 1800, "4. 5m - &lt;30m",
    TRUE, "5. &gt;= 30m"
),"6. Invalid (Order rejected)")</f>
        <v>6. Invalid (Order rejected)</v>
      </c>
    </row>
    <row r="887" spans="1:30" hidden="1" x14ac:dyDescent="0.3">
      <c r="A887" t="s">
        <v>5680</v>
      </c>
      <c r="B887" t="s">
        <v>192</v>
      </c>
      <c r="C887">
        <v>42598944</v>
      </c>
      <c r="D887">
        <v>2852976</v>
      </c>
      <c r="E887" t="s">
        <v>25</v>
      </c>
      <c r="F887" t="s">
        <v>75</v>
      </c>
      <c r="G887" t="s">
        <v>76</v>
      </c>
      <c r="H887" t="s">
        <v>5681</v>
      </c>
      <c r="I887" t="s">
        <v>5682</v>
      </c>
      <c r="J887" t="s">
        <v>5683</v>
      </c>
      <c r="K887" t="s">
        <v>26</v>
      </c>
      <c r="L887" t="s">
        <v>5684</v>
      </c>
      <c r="M887" t="s">
        <v>25</v>
      </c>
      <c r="N887" t="s">
        <v>349</v>
      </c>
      <c r="O887" t="s">
        <v>350</v>
      </c>
      <c r="P887" t="s">
        <v>351</v>
      </c>
      <c r="Q887" t="s">
        <v>352</v>
      </c>
      <c r="R887">
        <v>297432</v>
      </c>
      <c r="S887">
        <v>244142</v>
      </c>
      <c r="T887">
        <v>53290</v>
      </c>
      <c r="U887" t="s">
        <v>35</v>
      </c>
      <c r="V887" t="s">
        <v>353</v>
      </c>
      <c r="W887" t="s">
        <v>354</v>
      </c>
      <c r="X887" s="4">
        <v>1</v>
      </c>
      <c r="Y887" s="4"/>
      <c r="Z887">
        <f t="shared" si="52"/>
        <v>7</v>
      </c>
      <c r="AA887">
        <f t="shared" si="53"/>
        <v>11</v>
      </c>
      <c r="AB887" s="5">
        <f t="shared" si="54"/>
        <v>0.31609953703446081</v>
      </c>
      <c r="AC887" s="3">
        <f t="shared" si="55"/>
        <v>2.8356481489026919E-3</v>
      </c>
      <c r="AD887" t="str" cm="1">
        <f t="array" ref="AD887">IFERROR(_xlfn.IFS(
    AC887="", "",
    AC887*86400 &lt; 30, "1. 0s - &lt;30s",
    AC887*86400 &lt; 60, "2. 30s - &lt;1m",
    AC887*86400 &lt; 300, "3. 1m - &lt;5m",
    AC887*86400 &lt; 1800, "4. 5m - &lt;30m",
    TRUE, "5. &gt;= 30m"
),"6. Invalid (Order rejected)")</f>
        <v>3. 1m - &lt;5m</v>
      </c>
    </row>
    <row r="888" spans="1:30" hidden="1" x14ac:dyDescent="0.3">
      <c r="A888" t="s">
        <v>5685</v>
      </c>
      <c r="B888" t="s">
        <v>192</v>
      </c>
      <c r="C888">
        <v>42598944</v>
      </c>
      <c r="D888">
        <v>0</v>
      </c>
      <c r="E888" t="s">
        <v>25</v>
      </c>
      <c r="F888" t="s">
        <v>26</v>
      </c>
      <c r="G888" t="s">
        <v>27</v>
      </c>
      <c r="H888" t="s">
        <v>5686</v>
      </c>
      <c r="I888" t="s">
        <v>5687</v>
      </c>
      <c r="J888" t="s">
        <v>26</v>
      </c>
      <c r="K888" t="s">
        <v>26</v>
      </c>
      <c r="L888" t="s">
        <v>5688</v>
      </c>
      <c r="M888" t="s">
        <v>25</v>
      </c>
      <c r="N888" t="s">
        <v>349</v>
      </c>
      <c r="O888" t="s">
        <v>350</v>
      </c>
      <c r="P888" t="s">
        <v>324</v>
      </c>
      <c r="Q888" t="s">
        <v>325</v>
      </c>
      <c r="R888">
        <v>231984</v>
      </c>
      <c r="S888">
        <v>0</v>
      </c>
      <c r="T888">
        <v>231984</v>
      </c>
      <c r="U888" t="s">
        <v>35</v>
      </c>
      <c r="V888" t="s">
        <v>353</v>
      </c>
      <c r="W888" t="s">
        <v>326</v>
      </c>
      <c r="X888" s="4">
        <v>1</v>
      </c>
      <c r="Y888" s="4"/>
      <c r="Z888">
        <f t="shared" si="52"/>
        <v>7</v>
      </c>
      <c r="AA888">
        <f t="shared" si="53"/>
        <v>11</v>
      </c>
      <c r="AB888" s="5">
        <f t="shared" si="54"/>
        <v>0.31733796296612127</v>
      </c>
      <c r="AC888" s="3">
        <f t="shared" si="55"/>
        <v>9.0266203696955927E-2</v>
      </c>
      <c r="AD888" t="str" cm="1">
        <f t="array" ref="AD888">IFERROR(_xlfn.IFS(
    AC888="", "",
    AC888*86400 &lt; 30, "1. 0s - &lt;30s",
    AC888*86400 &lt; 60, "2. 30s - &lt;1m",
    AC888*86400 &lt; 300, "3. 1m - &lt;5m",
    AC888*86400 &lt; 1800, "4. 5m - &lt;30m",
    TRUE, "5. &gt;= 30m"
),"6. Invalid (Order rejected)")</f>
        <v>5. &gt;= 30m</v>
      </c>
    </row>
    <row r="889" spans="1:30" hidden="1" x14ac:dyDescent="0.3">
      <c r="A889" t="s">
        <v>5689</v>
      </c>
      <c r="B889" t="s">
        <v>192</v>
      </c>
      <c r="C889">
        <v>42598944</v>
      </c>
      <c r="D889">
        <v>0</v>
      </c>
      <c r="E889" t="s">
        <v>25</v>
      </c>
      <c r="F889" t="s">
        <v>26</v>
      </c>
      <c r="G889" t="s">
        <v>27</v>
      </c>
      <c r="H889" t="s">
        <v>5690</v>
      </c>
      <c r="I889" t="s">
        <v>5691</v>
      </c>
      <c r="J889" t="s">
        <v>26</v>
      </c>
      <c r="K889" t="s">
        <v>26</v>
      </c>
      <c r="L889" t="s">
        <v>5692</v>
      </c>
      <c r="M889" t="s">
        <v>25</v>
      </c>
      <c r="N889" t="s">
        <v>349</v>
      </c>
      <c r="O889" t="s">
        <v>350</v>
      </c>
      <c r="P889" t="s">
        <v>470</v>
      </c>
      <c r="Q889" t="s">
        <v>471</v>
      </c>
      <c r="R889">
        <v>158544</v>
      </c>
      <c r="S889">
        <v>0</v>
      </c>
      <c r="T889">
        <v>158544</v>
      </c>
      <c r="U889" t="s">
        <v>35</v>
      </c>
      <c r="V889" t="s">
        <v>353</v>
      </c>
      <c r="W889" t="s">
        <v>472</v>
      </c>
      <c r="X889" s="4">
        <v>1</v>
      </c>
      <c r="Y889" s="4"/>
      <c r="Z889">
        <f t="shared" si="52"/>
        <v>7</v>
      </c>
      <c r="AA889">
        <f t="shared" si="53"/>
        <v>11</v>
      </c>
      <c r="AB889" s="5">
        <f t="shared" si="54"/>
        <v>0.3189004629603005</v>
      </c>
      <c r="AC889" s="3">
        <f t="shared" si="55"/>
        <v>9.0277777781011537E-2</v>
      </c>
      <c r="AD889" t="str" cm="1">
        <f t="array" ref="AD889">IFERROR(_xlfn.IFS(
    AC889="", "",
    AC889*86400 &lt; 30, "1. 0s - &lt;30s",
    AC889*86400 &lt; 60, "2. 30s - &lt;1m",
    AC889*86400 &lt; 300, "3. 1m - &lt;5m",
    AC889*86400 &lt; 1800, "4. 5m - &lt;30m",
    TRUE, "5. &gt;= 30m"
),"6. Invalid (Order rejected)")</f>
        <v>5. &gt;= 30m</v>
      </c>
    </row>
    <row r="890" spans="1:30" hidden="1" x14ac:dyDescent="0.3">
      <c r="A890" t="s">
        <v>5693</v>
      </c>
      <c r="B890" t="s">
        <v>192</v>
      </c>
      <c r="C890">
        <v>42598944</v>
      </c>
      <c r="D890">
        <v>0</v>
      </c>
      <c r="E890" t="s">
        <v>25</v>
      </c>
      <c r="F890" t="s">
        <v>26</v>
      </c>
      <c r="G890" t="s">
        <v>27</v>
      </c>
      <c r="H890" t="s">
        <v>5694</v>
      </c>
      <c r="I890" t="s">
        <v>5695</v>
      </c>
      <c r="J890" t="s">
        <v>26</v>
      </c>
      <c r="K890" t="s">
        <v>26</v>
      </c>
      <c r="L890" t="s">
        <v>5696</v>
      </c>
      <c r="M890" t="s">
        <v>25</v>
      </c>
      <c r="N890" t="s">
        <v>349</v>
      </c>
      <c r="O890" t="s">
        <v>350</v>
      </c>
      <c r="P890" t="s">
        <v>418</v>
      </c>
      <c r="Q890" t="s">
        <v>419</v>
      </c>
      <c r="R890">
        <v>371520</v>
      </c>
      <c r="S890">
        <v>0</v>
      </c>
      <c r="T890">
        <v>371520</v>
      </c>
      <c r="U890" t="s">
        <v>35</v>
      </c>
      <c r="V890" t="s">
        <v>353</v>
      </c>
      <c r="W890" t="s">
        <v>420</v>
      </c>
      <c r="X890" s="4">
        <v>1</v>
      </c>
      <c r="Y890" s="4"/>
      <c r="Z890">
        <f t="shared" si="52"/>
        <v>7</v>
      </c>
      <c r="AA890">
        <f t="shared" si="53"/>
        <v>11</v>
      </c>
      <c r="AB890" s="5">
        <f t="shared" si="54"/>
        <v>0.320451388892252</v>
      </c>
      <c r="AC890" s="3">
        <f t="shared" si="55"/>
        <v>9.0266203696955927E-2</v>
      </c>
      <c r="AD890" t="str" cm="1">
        <f t="array" ref="AD890">IFERROR(_xlfn.IFS(
    AC890="", "",
    AC890*86400 &lt; 30, "1. 0s - &lt;30s",
    AC890*86400 &lt; 60, "2. 30s - &lt;1m",
    AC890*86400 &lt; 300, "3. 1m - &lt;5m",
    AC890*86400 &lt; 1800, "4. 5m - &lt;30m",
    TRUE, "5. &gt;= 30m"
),"6. Invalid (Order rejected)")</f>
        <v>5. &gt;= 30m</v>
      </c>
    </row>
    <row r="891" spans="1:30" x14ac:dyDescent="0.3">
      <c r="A891" t="s">
        <v>5697</v>
      </c>
      <c r="B891" t="s">
        <v>192</v>
      </c>
      <c r="C891">
        <v>42598944</v>
      </c>
      <c r="D891">
        <v>3447451</v>
      </c>
      <c r="E891" t="s">
        <v>25</v>
      </c>
      <c r="F891" t="s">
        <v>75</v>
      </c>
      <c r="G891" t="s">
        <v>360</v>
      </c>
      <c r="H891" t="s">
        <v>5698</v>
      </c>
      <c r="I891" t="s">
        <v>5699</v>
      </c>
      <c r="J891" t="s">
        <v>5700</v>
      </c>
      <c r="K891" t="s">
        <v>26</v>
      </c>
      <c r="L891" t="s">
        <v>25</v>
      </c>
      <c r="M891" t="s">
        <v>25</v>
      </c>
      <c r="N891" t="s">
        <v>441</v>
      </c>
      <c r="O891" t="s">
        <v>442</v>
      </c>
      <c r="P891" t="s">
        <v>208</v>
      </c>
      <c r="Q891" t="s">
        <v>209</v>
      </c>
      <c r="R891">
        <v>376704</v>
      </c>
      <c r="S891">
        <v>292033</v>
      </c>
      <c r="T891">
        <v>84671</v>
      </c>
      <c r="U891" t="s">
        <v>35</v>
      </c>
      <c r="V891" t="s">
        <v>445</v>
      </c>
      <c r="W891" t="s">
        <v>210</v>
      </c>
      <c r="X891" s="4">
        <v>1</v>
      </c>
      <c r="Y891" s="4"/>
      <c r="Z891">
        <f t="shared" si="52"/>
        <v>7</v>
      </c>
      <c r="AA891">
        <f t="shared" si="53"/>
        <v>11</v>
      </c>
      <c r="AB891" s="5">
        <f t="shared" si="54"/>
        <v>0.32291666666424135</v>
      </c>
      <c r="AC891" s="3" t="str">
        <f t="shared" si="55"/>
        <v>Order rejected, no time available</v>
      </c>
      <c r="AD891" t="str" cm="1">
        <f t="array" ref="AD891">IFERROR(_xlfn.IFS(
    AC891="", "",
    AC891*86400 &lt; 30, "1. 0s - &lt;30s",
    AC891*86400 &lt; 60, "2. 30s - &lt;1m",
    AC891*86400 &lt; 300, "3. 1m - &lt;5m",
    AC891*86400 &lt; 1800, "4. 5m - &lt;30m",
    TRUE, "5. &gt;= 30m"
),"6. Invalid (Order rejected)")</f>
        <v>6. Invalid (Order rejected)</v>
      </c>
    </row>
    <row r="892" spans="1:30" x14ac:dyDescent="0.3">
      <c r="A892" t="s">
        <v>5701</v>
      </c>
      <c r="B892" t="s">
        <v>192</v>
      </c>
      <c r="C892">
        <v>42598944</v>
      </c>
      <c r="D892">
        <v>3083097</v>
      </c>
      <c r="E892" t="s">
        <v>25</v>
      </c>
      <c r="F892" t="s">
        <v>75</v>
      </c>
      <c r="G892" t="s">
        <v>360</v>
      </c>
      <c r="H892" t="s">
        <v>5702</v>
      </c>
      <c r="I892" t="s">
        <v>5703</v>
      </c>
      <c r="J892" t="s">
        <v>5704</v>
      </c>
      <c r="K892" t="s">
        <v>5705</v>
      </c>
      <c r="L892" t="s">
        <v>25</v>
      </c>
      <c r="M892" t="s">
        <v>25</v>
      </c>
      <c r="N892" t="s">
        <v>496</v>
      </c>
      <c r="O892" t="s">
        <v>497</v>
      </c>
      <c r="P892" t="s">
        <v>324</v>
      </c>
      <c r="Q892" t="s">
        <v>325</v>
      </c>
      <c r="R892">
        <v>267624</v>
      </c>
      <c r="S892">
        <v>207471</v>
      </c>
      <c r="T892">
        <v>60153</v>
      </c>
      <c r="U892" t="s">
        <v>35</v>
      </c>
      <c r="V892" t="s">
        <v>500</v>
      </c>
      <c r="W892" t="s">
        <v>326</v>
      </c>
      <c r="X892" s="4">
        <v>1</v>
      </c>
      <c r="Y892" s="4"/>
      <c r="Z892">
        <f t="shared" si="52"/>
        <v>7</v>
      </c>
      <c r="AA892">
        <f t="shared" si="53"/>
        <v>11</v>
      </c>
      <c r="AB892" s="5">
        <f t="shared" si="54"/>
        <v>0.328159722223063</v>
      </c>
      <c r="AC892" s="3" t="str">
        <f t="shared" si="55"/>
        <v>Order rejected, no time available</v>
      </c>
      <c r="AD892" t="str" cm="1">
        <f t="array" ref="AD892">IFERROR(_xlfn.IFS(
    AC892="", "",
    AC892*86400 &lt; 30, "1. 0s - &lt;30s",
    AC892*86400 &lt; 60, "2. 30s - &lt;1m",
    AC892*86400 &lt; 300, "3. 1m - &lt;5m",
    AC892*86400 &lt; 1800, "4. 5m - &lt;30m",
    TRUE, "5. &gt;= 30m"
),"6. Invalid (Order rejected)")</f>
        <v>6. Invalid (Order rejected)</v>
      </c>
    </row>
    <row r="893" spans="1:30" hidden="1" x14ac:dyDescent="0.3">
      <c r="A893" t="s">
        <v>5706</v>
      </c>
      <c r="B893" t="s">
        <v>192</v>
      </c>
      <c r="C893">
        <v>42598944</v>
      </c>
      <c r="D893">
        <v>0</v>
      </c>
      <c r="E893" t="s">
        <v>25</v>
      </c>
      <c r="F893" t="s">
        <v>26</v>
      </c>
      <c r="G893" t="s">
        <v>27</v>
      </c>
      <c r="H893" t="s">
        <v>5707</v>
      </c>
      <c r="I893" t="s">
        <v>5708</v>
      </c>
      <c r="J893" t="s">
        <v>26</v>
      </c>
      <c r="K893" t="s">
        <v>26</v>
      </c>
      <c r="L893" t="s">
        <v>5709</v>
      </c>
      <c r="M893" t="s">
        <v>25</v>
      </c>
      <c r="N893" t="s">
        <v>349</v>
      </c>
      <c r="O893" t="s">
        <v>350</v>
      </c>
      <c r="P893" t="s">
        <v>289</v>
      </c>
      <c r="Q893" t="s">
        <v>290</v>
      </c>
      <c r="R893">
        <v>217944</v>
      </c>
      <c r="S893">
        <v>0</v>
      </c>
      <c r="T893">
        <v>217944</v>
      </c>
      <c r="U893" t="s">
        <v>35</v>
      </c>
      <c r="V893" t="s">
        <v>353</v>
      </c>
      <c r="W893" t="s">
        <v>291</v>
      </c>
      <c r="X893" s="4">
        <v>1</v>
      </c>
      <c r="Y893" s="4"/>
      <c r="Z893">
        <f t="shared" si="52"/>
        <v>7</v>
      </c>
      <c r="AA893">
        <f t="shared" si="53"/>
        <v>11</v>
      </c>
      <c r="AB893" s="5">
        <f t="shared" si="54"/>
        <v>0.32160879629373085</v>
      </c>
      <c r="AC893" s="3">
        <f t="shared" si="55"/>
        <v>9.0266203704231884E-2</v>
      </c>
      <c r="AD893" t="str" cm="1">
        <f t="array" ref="AD893">IFERROR(_xlfn.IFS(
    AC893="", "",
    AC893*86400 &lt; 30, "1. 0s - &lt;30s",
    AC893*86400 &lt; 60, "2. 30s - &lt;1m",
    AC893*86400 &lt; 300, "3. 1m - &lt;5m",
    AC893*86400 &lt; 1800, "4. 5m - &lt;30m",
    TRUE, "5. &gt;= 30m"
),"6. Invalid (Order rejected)")</f>
        <v>5. &gt;= 30m</v>
      </c>
    </row>
    <row r="894" spans="1:30" hidden="1" x14ac:dyDescent="0.3">
      <c r="A894" t="s">
        <v>5710</v>
      </c>
      <c r="B894" t="s">
        <v>192</v>
      </c>
      <c r="C894">
        <v>42598944</v>
      </c>
      <c r="D894">
        <v>3746341</v>
      </c>
      <c r="E894" t="s">
        <v>25</v>
      </c>
      <c r="F894" t="s">
        <v>75</v>
      </c>
      <c r="G894" t="s">
        <v>76</v>
      </c>
      <c r="H894" t="s">
        <v>5711</v>
      </c>
      <c r="I894" t="s">
        <v>5712</v>
      </c>
      <c r="J894" t="s">
        <v>5713</v>
      </c>
      <c r="K894" t="s">
        <v>26</v>
      </c>
      <c r="L894" t="s">
        <v>5714</v>
      </c>
      <c r="M894" t="s">
        <v>25</v>
      </c>
      <c r="N894" t="s">
        <v>441</v>
      </c>
      <c r="O894" t="s">
        <v>442</v>
      </c>
      <c r="P894" t="s">
        <v>351</v>
      </c>
      <c r="Q894" t="s">
        <v>352</v>
      </c>
      <c r="R894">
        <v>346356</v>
      </c>
      <c r="S894">
        <v>284301</v>
      </c>
      <c r="T894">
        <v>62055</v>
      </c>
      <c r="U894" t="s">
        <v>35</v>
      </c>
      <c r="V894" t="s">
        <v>445</v>
      </c>
      <c r="W894" t="s">
        <v>354</v>
      </c>
      <c r="X894" s="4">
        <v>1</v>
      </c>
      <c r="Y894" s="4"/>
      <c r="Z894">
        <f t="shared" si="52"/>
        <v>7</v>
      </c>
      <c r="AA894">
        <f t="shared" si="53"/>
        <v>11</v>
      </c>
      <c r="AB894" s="5">
        <f t="shared" si="54"/>
        <v>0.32273148147942265</v>
      </c>
      <c r="AC894" s="3">
        <f t="shared" si="55"/>
        <v>5.5787037053960375E-3</v>
      </c>
      <c r="AD894" t="str" cm="1">
        <f t="array" ref="AD894">IFERROR(_xlfn.IFS(
    AC894="", "",
    AC894*86400 &lt; 30, "1. 0s - &lt;30s",
    AC894*86400 &lt; 60, "2. 30s - &lt;1m",
    AC894*86400 &lt; 300, "3. 1m - &lt;5m",
    AC894*86400 &lt; 1800, "4. 5m - &lt;30m",
    TRUE, "5. &gt;= 30m"
),"6. Invalid (Order rejected)")</f>
        <v>4. 5m - &lt;30m</v>
      </c>
    </row>
    <row r="895" spans="1:30" hidden="1" x14ac:dyDescent="0.3">
      <c r="A895" t="s">
        <v>5715</v>
      </c>
      <c r="B895" t="s">
        <v>192</v>
      </c>
      <c r="C895">
        <v>42598944</v>
      </c>
      <c r="D895">
        <v>0</v>
      </c>
      <c r="E895" t="s">
        <v>25</v>
      </c>
      <c r="F895" t="s">
        <v>26</v>
      </c>
      <c r="G895" t="s">
        <v>27</v>
      </c>
      <c r="H895" t="s">
        <v>398</v>
      </c>
      <c r="I895" t="s">
        <v>5716</v>
      </c>
      <c r="J895" t="s">
        <v>26</v>
      </c>
      <c r="K895" t="s">
        <v>26</v>
      </c>
      <c r="L895" t="s">
        <v>5717</v>
      </c>
      <c r="M895" t="s">
        <v>25</v>
      </c>
      <c r="N895" t="s">
        <v>441</v>
      </c>
      <c r="O895" t="s">
        <v>442</v>
      </c>
      <c r="P895" t="s">
        <v>289</v>
      </c>
      <c r="Q895" t="s">
        <v>290</v>
      </c>
      <c r="R895">
        <v>265032</v>
      </c>
      <c r="S895">
        <v>0</v>
      </c>
      <c r="T895">
        <v>265032</v>
      </c>
      <c r="U895" t="s">
        <v>35</v>
      </c>
      <c r="V895" t="s">
        <v>445</v>
      </c>
      <c r="W895" t="s">
        <v>291</v>
      </c>
      <c r="X895" s="4">
        <v>1</v>
      </c>
      <c r="Y895" s="4"/>
      <c r="Z895">
        <f t="shared" si="52"/>
        <v>7</v>
      </c>
      <c r="AA895">
        <f t="shared" si="53"/>
        <v>11</v>
      </c>
      <c r="AB895" s="5">
        <f t="shared" si="54"/>
        <v>0.3240972222192795</v>
      </c>
      <c r="AC895" s="3">
        <f t="shared" si="55"/>
        <v>9.0277777781011537E-2</v>
      </c>
      <c r="AD895" t="str" cm="1">
        <f t="array" ref="AD895">IFERROR(_xlfn.IFS(
    AC895="", "",
    AC895*86400 &lt; 30, "1. 0s - &lt;30s",
    AC895*86400 &lt; 60, "2. 30s - &lt;1m",
    AC895*86400 &lt; 300, "3. 1m - &lt;5m",
    AC895*86400 &lt; 1800, "4. 5m - &lt;30m",
    TRUE, "5. &gt;= 30m"
),"6. Invalid (Order rejected)")</f>
        <v>5. &gt;= 30m</v>
      </c>
    </row>
    <row r="896" spans="1:30" hidden="1" x14ac:dyDescent="0.3">
      <c r="A896" t="s">
        <v>5718</v>
      </c>
      <c r="B896" t="s">
        <v>192</v>
      </c>
      <c r="C896">
        <v>42598944</v>
      </c>
      <c r="D896">
        <v>0</v>
      </c>
      <c r="E896" t="s">
        <v>25</v>
      </c>
      <c r="F896" t="s">
        <v>26</v>
      </c>
      <c r="G896" t="s">
        <v>27</v>
      </c>
      <c r="H896" t="s">
        <v>5719</v>
      </c>
      <c r="I896" t="s">
        <v>561</v>
      </c>
      <c r="J896" t="s">
        <v>26</v>
      </c>
      <c r="K896" t="s">
        <v>26</v>
      </c>
      <c r="L896" t="s">
        <v>5720</v>
      </c>
      <c r="M896" t="s">
        <v>25</v>
      </c>
      <c r="N896" t="s">
        <v>441</v>
      </c>
      <c r="O896" t="s">
        <v>442</v>
      </c>
      <c r="P896" t="s">
        <v>518</v>
      </c>
      <c r="Q896" t="s">
        <v>519</v>
      </c>
      <c r="R896">
        <v>300672</v>
      </c>
      <c r="S896">
        <v>0</v>
      </c>
      <c r="T896">
        <v>300672</v>
      </c>
      <c r="U896" t="s">
        <v>35</v>
      </c>
      <c r="V896" t="s">
        <v>445</v>
      </c>
      <c r="W896" t="s">
        <v>520</v>
      </c>
      <c r="X896" s="4">
        <v>1</v>
      </c>
      <c r="Y896" s="4"/>
      <c r="Z896">
        <f t="shared" si="52"/>
        <v>7</v>
      </c>
      <c r="AA896">
        <f t="shared" si="53"/>
        <v>11</v>
      </c>
      <c r="AB896" s="5">
        <f t="shared" si="54"/>
        <v>0.32503472222015262</v>
      </c>
      <c r="AC896" s="3">
        <f t="shared" si="55"/>
        <v>9.0277777781011537E-2</v>
      </c>
      <c r="AD896" t="str" cm="1">
        <f t="array" ref="AD896">IFERROR(_xlfn.IFS(
    AC896="", "",
    AC896*86400 &lt; 30, "1. 0s - &lt;30s",
    AC896*86400 &lt; 60, "2. 30s - &lt;1m",
    AC896*86400 &lt; 300, "3. 1m - &lt;5m",
    AC896*86400 &lt; 1800, "4. 5m - &lt;30m",
    TRUE, "5. &gt;= 30m"
),"6. Invalid (Order rejected)")</f>
        <v>5. &gt;= 30m</v>
      </c>
    </row>
    <row r="897" spans="1:30" x14ac:dyDescent="0.3">
      <c r="A897" t="s">
        <v>5721</v>
      </c>
      <c r="B897" t="s">
        <v>192</v>
      </c>
      <c r="C897">
        <v>42598944</v>
      </c>
      <c r="D897">
        <v>2361946</v>
      </c>
      <c r="E897" t="s">
        <v>25</v>
      </c>
      <c r="F897" t="s">
        <v>75</v>
      </c>
      <c r="G897" t="s">
        <v>360</v>
      </c>
      <c r="H897" t="s">
        <v>5722</v>
      </c>
      <c r="I897" t="s">
        <v>5723</v>
      </c>
      <c r="J897" t="s">
        <v>5724</v>
      </c>
      <c r="K897" t="s">
        <v>26</v>
      </c>
      <c r="L897" t="s">
        <v>25</v>
      </c>
      <c r="M897" t="s">
        <v>25</v>
      </c>
      <c r="N897" t="s">
        <v>496</v>
      </c>
      <c r="O897" t="s">
        <v>497</v>
      </c>
      <c r="P897" t="s">
        <v>507</v>
      </c>
      <c r="Q897" t="s">
        <v>508</v>
      </c>
      <c r="R897">
        <v>280584</v>
      </c>
      <c r="S897">
        <v>217518</v>
      </c>
      <c r="T897">
        <v>63066</v>
      </c>
      <c r="U897" t="s">
        <v>35</v>
      </c>
      <c r="V897" t="s">
        <v>500</v>
      </c>
      <c r="W897" t="s">
        <v>509</v>
      </c>
      <c r="X897" s="4">
        <v>1</v>
      </c>
      <c r="Y897" s="4"/>
      <c r="Z897">
        <f t="shared" si="52"/>
        <v>7</v>
      </c>
      <c r="AA897">
        <f t="shared" si="53"/>
        <v>11</v>
      </c>
      <c r="AB897" s="5">
        <f t="shared" si="54"/>
        <v>0.32797453703824431</v>
      </c>
      <c r="AC897" s="3" t="str">
        <f t="shared" si="55"/>
        <v>Order rejected, no time available</v>
      </c>
      <c r="AD897" t="str" cm="1">
        <f t="array" ref="AD897">IFERROR(_xlfn.IFS(
    AC897="", "",
    AC897*86400 &lt; 30, "1. 0s - &lt;30s",
    AC897*86400 &lt; 60, "2. 30s - &lt;1m",
    AC897*86400 &lt; 300, "3. 1m - &lt;5m",
    AC897*86400 &lt; 1800, "4. 5m - &lt;30m",
    TRUE, "5. &gt;= 30m"
),"6. Invalid (Order rejected)")</f>
        <v>6. Invalid (Order rejected)</v>
      </c>
    </row>
    <row r="898" spans="1:30" hidden="1" x14ac:dyDescent="0.3">
      <c r="A898" t="s">
        <v>5725</v>
      </c>
      <c r="B898" t="s">
        <v>192</v>
      </c>
      <c r="C898">
        <v>42598944</v>
      </c>
      <c r="D898">
        <v>0</v>
      </c>
      <c r="E898" t="s">
        <v>25</v>
      </c>
      <c r="F898" t="s">
        <v>26</v>
      </c>
      <c r="G898" t="s">
        <v>27</v>
      </c>
      <c r="H898" t="s">
        <v>5726</v>
      </c>
      <c r="I898" t="s">
        <v>5727</v>
      </c>
      <c r="J898" t="s">
        <v>26</v>
      </c>
      <c r="K898" t="s">
        <v>26</v>
      </c>
      <c r="L898" t="s">
        <v>5728</v>
      </c>
      <c r="M898" t="s">
        <v>25</v>
      </c>
      <c r="N898" t="s">
        <v>441</v>
      </c>
      <c r="O898" t="s">
        <v>442</v>
      </c>
      <c r="P898" t="s">
        <v>246</v>
      </c>
      <c r="Q898" t="s">
        <v>247</v>
      </c>
      <c r="R898">
        <v>166752</v>
      </c>
      <c r="S898">
        <v>0</v>
      </c>
      <c r="T898">
        <v>166752</v>
      </c>
      <c r="U898" t="s">
        <v>35</v>
      </c>
      <c r="V898" t="s">
        <v>445</v>
      </c>
      <c r="W898" t="s">
        <v>249</v>
      </c>
      <c r="X898" s="4">
        <v>1</v>
      </c>
      <c r="Y898" s="4"/>
      <c r="Z898">
        <f t="shared" si="52"/>
        <v>7</v>
      </c>
      <c r="AA898">
        <f t="shared" si="53"/>
        <v>11</v>
      </c>
      <c r="AB898" s="5">
        <f t="shared" si="54"/>
        <v>0.32387731481139781</v>
      </c>
      <c r="AC898" s="3">
        <f t="shared" si="55"/>
        <v>9.0277777781011537E-2</v>
      </c>
      <c r="AD898" t="str" cm="1">
        <f t="array" ref="AD898">IFERROR(_xlfn.IFS(
    AC898="", "",
    AC898*86400 &lt; 30, "1. 0s - &lt;30s",
    AC898*86400 &lt; 60, "2. 30s - &lt;1m",
    AC898*86400 &lt; 300, "3. 1m - &lt;5m",
    AC898*86400 &lt; 1800, "4. 5m - &lt;30m",
    TRUE, "5. &gt;= 30m"
),"6. Invalid (Order rejected)")</f>
        <v>5. &gt;= 30m</v>
      </c>
    </row>
    <row r="899" spans="1:30" x14ac:dyDescent="0.3">
      <c r="A899" t="s">
        <v>5729</v>
      </c>
      <c r="B899" t="s">
        <v>192</v>
      </c>
      <c r="C899">
        <v>42598944</v>
      </c>
      <c r="D899">
        <v>4723230</v>
      </c>
      <c r="E899" t="s">
        <v>25</v>
      </c>
      <c r="F899" t="s">
        <v>75</v>
      </c>
      <c r="G899" t="s">
        <v>360</v>
      </c>
      <c r="H899" t="s">
        <v>5730</v>
      </c>
      <c r="I899" t="s">
        <v>5731</v>
      </c>
      <c r="J899" t="s">
        <v>5732</v>
      </c>
      <c r="K899" t="s">
        <v>26</v>
      </c>
      <c r="L899" t="s">
        <v>25</v>
      </c>
      <c r="M899" t="s">
        <v>25</v>
      </c>
      <c r="N899" t="s">
        <v>496</v>
      </c>
      <c r="O899" t="s">
        <v>497</v>
      </c>
      <c r="P899" t="s">
        <v>5733</v>
      </c>
      <c r="Q899" t="s">
        <v>5734</v>
      </c>
      <c r="R899">
        <v>317304</v>
      </c>
      <c r="S899">
        <v>245984</v>
      </c>
      <c r="T899">
        <v>71320</v>
      </c>
      <c r="U899" t="s">
        <v>35</v>
      </c>
      <c r="V899" t="s">
        <v>500</v>
      </c>
      <c r="W899" t="s">
        <v>501</v>
      </c>
      <c r="X899" s="4">
        <v>1</v>
      </c>
      <c r="Y899" s="4"/>
      <c r="Z899">
        <f t="shared" ref="Z899:Z962" si="56">MONTH(H899)</f>
        <v>7</v>
      </c>
      <c r="AA899">
        <f t="shared" ref="AA899:AA962" si="57">DAY(H899)</f>
        <v>11</v>
      </c>
      <c r="AB899" s="5">
        <f t="shared" ref="AB899:AB962" si="58">MOD(H899, 1)</f>
        <v>0.3268171296294895</v>
      </c>
      <c r="AC899" s="3" t="str">
        <f t="shared" ref="AC899:AC962" si="59">IFERROR(IF(M899="",L899-H899,M899-H899),"Order rejected, no time available")</f>
        <v>Order rejected, no time available</v>
      </c>
      <c r="AD899" t="str" cm="1">
        <f t="array" ref="AD899">IFERROR(_xlfn.IFS(
    AC899="", "",
    AC899*86400 &lt; 30, "1. 0s - &lt;30s",
    AC899*86400 &lt; 60, "2. 30s - &lt;1m",
    AC899*86400 &lt; 300, "3. 1m - &lt;5m",
    AC899*86400 &lt; 1800, "4. 5m - &lt;30m",
    TRUE, "5. &gt;= 30m"
),"6. Invalid (Order rejected)")</f>
        <v>6. Invalid (Order rejected)</v>
      </c>
    </row>
    <row r="900" spans="1:30" hidden="1" x14ac:dyDescent="0.3">
      <c r="A900" t="s">
        <v>5735</v>
      </c>
      <c r="B900" t="s">
        <v>192</v>
      </c>
      <c r="C900">
        <v>42598944</v>
      </c>
      <c r="D900">
        <v>3746341</v>
      </c>
      <c r="E900" t="s">
        <v>25</v>
      </c>
      <c r="F900" t="s">
        <v>75</v>
      </c>
      <c r="G900" t="s">
        <v>76</v>
      </c>
      <c r="H900" t="s">
        <v>5736</v>
      </c>
      <c r="I900" t="s">
        <v>5737</v>
      </c>
      <c r="J900" t="s">
        <v>5738</v>
      </c>
      <c r="K900" t="s">
        <v>26</v>
      </c>
      <c r="L900" t="s">
        <v>5739</v>
      </c>
      <c r="M900" t="s">
        <v>25</v>
      </c>
      <c r="N900" t="s">
        <v>496</v>
      </c>
      <c r="O900" t="s">
        <v>497</v>
      </c>
      <c r="P900" t="s">
        <v>5740</v>
      </c>
      <c r="Q900" t="s">
        <v>5741</v>
      </c>
      <c r="R900">
        <v>279072</v>
      </c>
      <c r="S900">
        <v>229072</v>
      </c>
      <c r="T900">
        <v>50000</v>
      </c>
      <c r="U900" t="s">
        <v>35</v>
      </c>
      <c r="V900" t="s">
        <v>500</v>
      </c>
      <c r="W900" t="s">
        <v>5742</v>
      </c>
      <c r="X900" s="4">
        <v>1</v>
      </c>
      <c r="Y900" s="4"/>
      <c r="Z900">
        <f t="shared" si="56"/>
        <v>7</v>
      </c>
      <c r="AA900">
        <f t="shared" si="57"/>
        <v>11</v>
      </c>
      <c r="AB900" s="5">
        <f t="shared" si="58"/>
        <v>0.32744212963007158</v>
      </c>
      <c r="AC900" s="3">
        <f t="shared" si="59"/>
        <v>3.7268518499331549E-3</v>
      </c>
      <c r="AD900" t="str" cm="1">
        <f t="array" ref="AD900">IFERROR(_xlfn.IFS(
    AC900="", "",
    AC900*86400 &lt; 30, "1. 0s - &lt;30s",
    AC900*86400 &lt; 60, "2. 30s - &lt;1m",
    AC900*86400 &lt; 300, "3. 1m - &lt;5m",
    AC900*86400 &lt; 1800, "4. 5m - &lt;30m",
    TRUE, "5. &gt;= 30m"
),"6. Invalid (Order rejected)")</f>
        <v>4. 5m - &lt;30m</v>
      </c>
    </row>
    <row r="901" spans="1:30" x14ac:dyDescent="0.3">
      <c r="A901" t="s">
        <v>5743</v>
      </c>
      <c r="B901" t="s">
        <v>192</v>
      </c>
      <c r="C901">
        <v>42598944</v>
      </c>
      <c r="D901">
        <v>3821136</v>
      </c>
      <c r="E901" t="s">
        <v>25</v>
      </c>
      <c r="F901" t="s">
        <v>75</v>
      </c>
      <c r="G901" t="s">
        <v>360</v>
      </c>
      <c r="H901" t="s">
        <v>5744</v>
      </c>
      <c r="I901" t="s">
        <v>5745</v>
      </c>
      <c r="J901" t="s">
        <v>5746</v>
      </c>
      <c r="K901" t="s">
        <v>26</v>
      </c>
      <c r="L901" t="s">
        <v>25</v>
      </c>
      <c r="M901" t="s">
        <v>25</v>
      </c>
      <c r="N901" t="s">
        <v>525</v>
      </c>
      <c r="O901" t="s">
        <v>526</v>
      </c>
      <c r="P901" t="s">
        <v>351</v>
      </c>
      <c r="Q901" t="s">
        <v>352</v>
      </c>
      <c r="R901">
        <v>309312</v>
      </c>
      <c r="S901">
        <v>239788</v>
      </c>
      <c r="T901">
        <v>69524</v>
      </c>
      <c r="U901" t="s">
        <v>35</v>
      </c>
      <c r="V901" t="s">
        <v>527</v>
      </c>
      <c r="W901" t="s">
        <v>354</v>
      </c>
      <c r="X901" s="4">
        <v>1</v>
      </c>
      <c r="Y901" s="4"/>
      <c r="Z901">
        <f t="shared" si="56"/>
        <v>7</v>
      </c>
      <c r="AA901">
        <f t="shared" si="57"/>
        <v>11</v>
      </c>
      <c r="AB901" s="5">
        <f t="shared" si="58"/>
        <v>0.33182870370364981</v>
      </c>
      <c r="AC901" s="3" t="str">
        <f t="shared" si="59"/>
        <v>Order rejected, no time available</v>
      </c>
      <c r="AD901" t="str" cm="1">
        <f t="array" ref="AD901">IFERROR(_xlfn.IFS(
    AC901="", "",
    AC901*86400 &lt; 30, "1. 0s - &lt;30s",
    AC901*86400 &lt; 60, "2. 30s - &lt;1m",
    AC901*86400 &lt; 300, "3. 1m - &lt;5m",
    AC901*86400 &lt; 1800, "4. 5m - &lt;30m",
    TRUE, "5. &gt;= 30m"
),"6. Invalid (Order rejected)")</f>
        <v>6. Invalid (Order rejected)</v>
      </c>
    </row>
    <row r="902" spans="1:30" x14ac:dyDescent="0.3">
      <c r="A902" t="s">
        <v>5747</v>
      </c>
      <c r="B902" t="s">
        <v>192</v>
      </c>
      <c r="C902">
        <v>42598944</v>
      </c>
      <c r="D902">
        <v>4062062</v>
      </c>
      <c r="E902" t="s">
        <v>25</v>
      </c>
      <c r="F902" t="s">
        <v>75</v>
      </c>
      <c r="G902" t="s">
        <v>360</v>
      </c>
      <c r="H902" t="s">
        <v>5748</v>
      </c>
      <c r="I902" t="s">
        <v>5749</v>
      </c>
      <c r="J902" t="s">
        <v>5750</v>
      </c>
      <c r="K902" t="s">
        <v>26</v>
      </c>
      <c r="L902" t="s">
        <v>25</v>
      </c>
      <c r="M902" t="s">
        <v>25</v>
      </c>
      <c r="N902" t="s">
        <v>441</v>
      </c>
      <c r="O902" t="s">
        <v>442</v>
      </c>
      <c r="P902" t="s">
        <v>237</v>
      </c>
      <c r="Q902" t="s">
        <v>238</v>
      </c>
      <c r="R902">
        <v>239760</v>
      </c>
      <c r="S902">
        <v>185869</v>
      </c>
      <c r="T902">
        <v>53891</v>
      </c>
      <c r="U902" t="s">
        <v>35</v>
      </c>
      <c r="V902" t="s">
        <v>445</v>
      </c>
      <c r="W902" t="s">
        <v>239</v>
      </c>
      <c r="X902" s="4">
        <v>1</v>
      </c>
      <c r="Y902" s="4"/>
      <c r="Z902">
        <f t="shared" si="56"/>
        <v>7</v>
      </c>
      <c r="AA902">
        <f t="shared" si="57"/>
        <v>11</v>
      </c>
      <c r="AB902" s="5">
        <f t="shared" si="58"/>
        <v>0.32431712962716119</v>
      </c>
      <c r="AC902" s="3" t="str">
        <f t="shared" si="59"/>
        <v>Order rejected, no time available</v>
      </c>
      <c r="AD902" t="str" cm="1">
        <f t="array" ref="AD902">IFERROR(_xlfn.IFS(
    AC902="", "",
    AC902*86400 &lt; 30, "1. 0s - &lt;30s",
    AC902*86400 &lt; 60, "2. 30s - &lt;1m",
    AC902*86400 &lt; 300, "3. 1m - &lt;5m",
    AC902*86400 &lt; 1800, "4. 5m - &lt;30m",
    TRUE, "5. &gt;= 30m"
),"6. Invalid (Order rejected)")</f>
        <v>6. Invalid (Order rejected)</v>
      </c>
    </row>
    <row r="903" spans="1:30" hidden="1" x14ac:dyDescent="0.3">
      <c r="A903" t="s">
        <v>5751</v>
      </c>
      <c r="B903" t="s">
        <v>192</v>
      </c>
      <c r="C903">
        <v>42598944</v>
      </c>
      <c r="D903">
        <v>0</v>
      </c>
      <c r="E903" t="s">
        <v>25</v>
      </c>
      <c r="F903" t="s">
        <v>26</v>
      </c>
      <c r="G903" t="s">
        <v>27</v>
      </c>
      <c r="H903" t="s">
        <v>5752</v>
      </c>
      <c r="I903" t="s">
        <v>5753</v>
      </c>
      <c r="J903" t="s">
        <v>26</v>
      </c>
      <c r="K903" t="s">
        <v>26</v>
      </c>
      <c r="L903" t="s">
        <v>5754</v>
      </c>
      <c r="M903" t="s">
        <v>25</v>
      </c>
      <c r="N903" t="s">
        <v>525</v>
      </c>
      <c r="O903" t="s">
        <v>526</v>
      </c>
      <c r="P903" t="s">
        <v>289</v>
      </c>
      <c r="Q903" t="s">
        <v>290</v>
      </c>
      <c r="R903">
        <v>174960</v>
      </c>
      <c r="S903">
        <v>0</v>
      </c>
      <c r="T903">
        <v>174960</v>
      </c>
      <c r="U903" t="s">
        <v>35</v>
      </c>
      <c r="V903" t="s">
        <v>527</v>
      </c>
      <c r="W903" t="s">
        <v>291</v>
      </c>
      <c r="X903" s="4">
        <v>1</v>
      </c>
      <c r="Y903" s="4"/>
      <c r="Z903">
        <f t="shared" si="56"/>
        <v>7</v>
      </c>
      <c r="AA903">
        <f t="shared" si="57"/>
        <v>11</v>
      </c>
      <c r="AB903" s="5">
        <f t="shared" si="58"/>
        <v>0.33297453703562496</v>
      </c>
      <c r="AC903" s="3">
        <f t="shared" si="59"/>
        <v>0.11592592592933215</v>
      </c>
      <c r="AD903" t="str" cm="1">
        <f t="array" ref="AD903">IFERROR(_xlfn.IFS(
    AC903="", "",
    AC903*86400 &lt; 30, "1. 0s - &lt;30s",
    AC903*86400 &lt; 60, "2. 30s - &lt;1m",
    AC903*86400 &lt; 300, "3. 1m - &lt;5m",
    AC903*86400 &lt; 1800, "4. 5m - &lt;30m",
    TRUE, "5. &gt;= 30m"
),"6. Invalid (Order rejected)")</f>
        <v>5. &gt;= 30m</v>
      </c>
    </row>
    <row r="904" spans="1:30" hidden="1" x14ac:dyDescent="0.3">
      <c r="A904" t="s">
        <v>5755</v>
      </c>
      <c r="B904" t="s">
        <v>192</v>
      </c>
      <c r="C904">
        <v>42598944</v>
      </c>
      <c r="D904">
        <v>0</v>
      </c>
      <c r="E904" t="s">
        <v>25</v>
      </c>
      <c r="F904" t="s">
        <v>26</v>
      </c>
      <c r="G904" t="s">
        <v>27</v>
      </c>
      <c r="H904" t="s">
        <v>5756</v>
      </c>
      <c r="I904" t="s">
        <v>5757</v>
      </c>
      <c r="J904" t="s">
        <v>26</v>
      </c>
      <c r="K904" t="s">
        <v>26</v>
      </c>
      <c r="L904" t="s">
        <v>5758</v>
      </c>
      <c r="M904" t="s">
        <v>25</v>
      </c>
      <c r="N904" t="s">
        <v>441</v>
      </c>
      <c r="O904" t="s">
        <v>442</v>
      </c>
      <c r="P904" t="s">
        <v>237</v>
      </c>
      <c r="Q904" t="s">
        <v>238</v>
      </c>
      <c r="R904">
        <v>301536</v>
      </c>
      <c r="S904">
        <v>0</v>
      </c>
      <c r="T904">
        <v>301536</v>
      </c>
      <c r="U904" t="s">
        <v>35</v>
      </c>
      <c r="V904" t="s">
        <v>445</v>
      </c>
      <c r="W904" t="s">
        <v>239</v>
      </c>
      <c r="X904" s="4">
        <v>1</v>
      </c>
      <c r="Y904" s="4"/>
      <c r="Z904">
        <f t="shared" si="56"/>
        <v>7</v>
      </c>
      <c r="AA904">
        <f t="shared" si="57"/>
        <v>11</v>
      </c>
      <c r="AB904" s="5">
        <f t="shared" si="58"/>
        <v>0.32445601851941319</v>
      </c>
      <c r="AC904" s="3">
        <f t="shared" si="59"/>
        <v>9.0277777773735579E-2</v>
      </c>
      <c r="AD904" t="str" cm="1">
        <f t="array" ref="AD904">IFERROR(_xlfn.IFS(
    AC904="", "",
    AC904*86400 &lt; 30, "1. 0s - &lt;30s",
    AC904*86400 &lt; 60, "2. 30s - &lt;1m",
    AC904*86400 &lt; 300, "3. 1m - &lt;5m",
    AC904*86400 &lt; 1800, "4. 5m - &lt;30m",
    TRUE, "5. &gt;= 30m"
),"6. Invalid (Order rejected)")</f>
        <v>5. &gt;= 30m</v>
      </c>
    </row>
    <row r="905" spans="1:30" hidden="1" x14ac:dyDescent="0.3">
      <c r="A905" t="s">
        <v>5759</v>
      </c>
      <c r="B905" t="s">
        <v>192</v>
      </c>
      <c r="C905">
        <v>42598944</v>
      </c>
      <c r="D905">
        <v>0</v>
      </c>
      <c r="E905" t="s">
        <v>25</v>
      </c>
      <c r="F905" t="s">
        <v>26</v>
      </c>
      <c r="G905" t="s">
        <v>27</v>
      </c>
      <c r="H905" t="s">
        <v>5760</v>
      </c>
      <c r="I905" t="s">
        <v>5761</v>
      </c>
      <c r="J905" t="s">
        <v>26</v>
      </c>
      <c r="K905" t="s">
        <v>26</v>
      </c>
      <c r="L905" t="s">
        <v>5762</v>
      </c>
      <c r="M905" t="s">
        <v>25</v>
      </c>
      <c r="N905" t="s">
        <v>481</v>
      </c>
      <c r="O905" t="s">
        <v>482</v>
      </c>
      <c r="P905" t="s">
        <v>390</v>
      </c>
      <c r="Q905" t="s">
        <v>391</v>
      </c>
      <c r="R905">
        <v>245268</v>
      </c>
      <c r="S905">
        <v>0</v>
      </c>
      <c r="T905">
        <v>245268</v>
      </c>
      <c r="U905" t="s">
        <v>35</v>
      </c>
      <c r="V905" t="s">
        <v>483</v>
      </c>
      <c r="W905" t="s">
        <v>392</v>
      </c>
      <c r="X905" s="4">
        <v>1</v>
      </c>
      <c r="Y905" s="4"/>
      <c r="Z905">
        <f t="shared" si="56"/>
        <v>7</v>
      </c>
      <c r="AA905">
        <f t="shared" si="57"/>
        <v>11</v>
      </c>
      <c r="AB905" s="5">
        <f t="shared" si="58"/>
        <v>0.330601851848769</v>
      </c>
      <c r="AC905" s="3">
        <f t="shared" si="59"/>
        <v>9.0266203704231884E-2</v>
      </c>
      <c r="AD905" t="str" cm="1">
        <f t="array" ref="AD905">IFERROR(_xlfn.IFS(
    AC905="", "",
    AC905*86400 &lt; 30, "1. 0s - &lt;30s",
    AC905*86400 &lt; 60, "2. 30s - &lt;1m",
    AC905*86400 &lt; 300, "3. 1m - &lt;5m",
    AC905*86400 &lt; 1800, "4. 5m - &lt;30m",
    TRUE, "5. &gt;= 30m"
),"6. Invalid (Order rejected)")</f>
        <v>5. &gt;= 30m</v>
      </c>
    </row>
    <row r="906" spans="1:30" hidden="1" x14ac:dyDescent="0.3">
      <c r="A906" t="s">
        <v>5763</v>
      </c>
      <c r="B906" t="s">
        <v>192</v>
      </c>
      <c r="C906">
        <v>42598944</v>
      </c>
      <c r="D906">
        <v>0</v>
      </c>
      <c r="E906" t="s">
        <v>25</v>
      </c>
      <c r="F906" t="s">
        <v>26</v>
      </c>
      <c r="G906" t="s">
        <v>27</v>
      </c>
      <c r="H906" t="s">
        <v>5764</v>
      </c>
      <c r="I906" t="s">
        <v>5765</v>
      </c>
      <c r="J906" t="s">
        <v>26</v>
      </c>
      <c r="K906" t="s">
        <v>26</v>
      </c>
      <c r="L906" t="s">
        <v>5766</v>
      </c>
      <c r="M906" t="s">
        <v>25</v>
      </c>
      <c r="N906" t="s">
        <v>481</v>
      </c>
      <c r="O906" t="s">
        <v>482</v>
      </c>
      <c r="P906" t="s">
        <v>390</v>
      </c>
      <c r="Q906" t="s">
        <v>391</v>
      </c>
      <c r="R906">
        <v>229068</v>
      </c>
      <c r="S906">
        <v>0</v>
      </c>
      <c r="T906">
        <v>229068</v>
      </c>
      <c r="U906" t="s">
        <v>35</v>
      </c>
      <c r="V906" t="s">
        <v>483</v>
      </c>
      <c r="W906" t="s">
        <v>392</v>
      </c>
      <c r="X906" s="4">
        <v>1</v>
      </c>
      <c r="Y906" s="4"/>
      <c r="Z906">
        <f t="shared" si="56"/>
        <v>7</v>
      </c>
      <c r="AA906">
        <f t="shared" si="57"/>
        <v>11</v>
      </c>
      <c r="AB906" s="5">
        <f t="shared" si="58"/>
        <v>0.33090277777955635</v>
      </c>
      <c r="AC906" s="3">
        <f t="shared" si="59"/>
        <v>9.0277777773735579E-2</v>
      </c>
      <c r="AD906" t="str" cm="1">
        <f t="array" ref="AD906">IFERROR(_xlfn.IFS(
    AC906="", "",
    AC906*86400 &lt; 30, "1. 0s - &lt;30s",
    AC906*86400 &lt; 60, "2. 30s - &lt;1m",
    AC906*86400 &lt; 300, "3. 1m - &lt;5m",
    AC906*86400 &lt; 1800, "4. 5m - &lt;30m",
    TRUE, "5. &gt;= 30m"
),"6. Invalid (Order rejected)")</f>
        <v>5. &gt;= 30m</v>
      </c>
    </row>
    <row r="907" spans="1:30" x14ac:dyDescent="0.3">
      <c r="A907" t="s">
        <v>5767</v>
      </c>
      <c r="B907" t="s">
        <v>192</v>
      </c>
      <c r="C907">
        <v>42598944</v>
      </c>
      <c r="D907">
        <v>3414993</v>
      </c>
      <c r="E907" t="s">
        <v>25</v>
      </c>
      <c r="F907" t="s">
        <v>75</v>
      </c>
      <c r="G907" t="s">
        <v>360</v>
      </c>
      <c r="H907" t="s">
        <v>5768</v>
      </c>
      <c r="I907" t="s">
        <v>5769</v>
      </c>
      <c r="J907" t="s">
        <v>5770</v>
      </c>
      <c r="K907" t="s">
        <v>26</v>
      </c>
      <c r="L907" t="s">
        <v>25</v>
      </c>
      <c r="M907" t="s">
        <v>25</v>
      </c>
      <c r="N907" t="s">
        <v>496</v>
      </c>
      <c r="O907" t="s">
        <v>497</v>
      </c>
      <c r="P907" t="s">
        <v>351</v>
      </c>
      <c r="Q907" t="s">
        <v>352</v>
      </c>
      <c r="R907">
        <v>333180</v>
      </c>
      <c r="S907">
        <v>258292</v>
      </c>
      <c r="T907">
        <v>74888</v>
      </c>
      <c r="U907" t="s">
        <v>35</v>
      </c>
      <c r="V907" t="s">
        <v>500</v>
      </c>
      <c r="W907" t="s">
        <v>354</v>
      </c>
      <c r="X907" s="4">
        <v>1</v>
      </c>
      <c r="Y907" s="4"/>
      <c r="Z907">
        <f t="shared" si="56"/>
        <v>7</v>
      </c>
      <c r="AA907">
        <f t="shared" si="57"/>
        <v>11</v>
      </c>
      <c r="AB907" s="5">
        <f t="shared" si="58"/>
        <v>0.32666666666773381</v>
      </c>
      <c r="AC907" s="3" t="str">
        <f t="shared" si="59"/>
        <v>Order rejected, no time available</v>
      </c>
      <c r="AD907" t="str" cm="1">
        <f t="array" ref="AD907">IFERROR(_xlfn.IFS(
    AC907="", "",
    AC907*86400 &lt; 30, "1. 0s - &lt;30s",
    AC907*86400 &lt; 60, "2. 30s - &lt;1m",
    AC907*86400 &lt; 300, "3. 1m - &lt;5m",
    AC907*86400 &lt; 1800, "4. 5m - &lt;30m",
    TRUE, "5. &gt;= 30m"
),"6. Invalid (Order rejected)")</f>
        <v>6. Invalid (Order rejected)</v>
      </c>
    </row>
    <row r="908" spans="1:30" hidden="1" x14ac:dyDescent="0.3">
      <c r="A908" t="s">
        <v>5771</v>
      </c>
      <c r="B908" t="s">
        <v>192</v>
      </c>
      <c r="C908">
        <v>42598944</v>
      </c>
      <c r="D908">
        <v>0</v>
      </c>
      <c r="E908" t="s">
        <v>25</v>
      </c>
      <c r="F908" t="s">
        <v>26</v>
      </c>
      <c r="G908" t="s">
        <v>27</v>
      </c>
      <c r="H908" t="s">
        <v>5772</v>
      </c>
      <c r="I908" t="s">
        <v>5773</v>
      </c>
      <c r="J908" t="s">
        <v>26</v>
      </c>
      <c r="K908" t="s">
        <v>26</v>
      </c>
      <c r="L908" t="s">
        <v>5774</v>
      </c>
      <c r="M908" t="s">
        <v>25</v>
      </c>
      <c r="N908" t="s">
        <v>496</v>
      </c>
      <c r="O908" t="s">
        <v>497</v>
      </c>
      <c r="P908" t="s">
        <v>5775</v>
      </c>
      <c r="Q908" t="s">
        <v>5776</v>
      </c>
      <c r="R908">
        <v>240192</v>
      </c>
      <c r="S908">
        <v>0</v>
      </c>
      <c r="T908">
        <v>240192</v>
      </c>
      <c r="U908" t="s">
        <v>35</v>
      </c>
      <c r="V908" t="s">
        <v>500</v>
      </c>
      <c r="W908" t="s">
        <v>538</v>
      </c>
      <c r="X908" s="4">
        <v>1</v>
      </c>
      <c r="Y908" s="4"/>
      <c r="Z908">
        <f t="shared" si="56"/>
        <v>7</v>
      </c>
      <c r="AA908">
        <f t="shared" si="57"/>
        <v>11</v>
      </c>
      <c r="AB908" s="5">
        <f t="shared" si="58"/>
        <v>0.32879629629314877</v>
      </c>
      <c r="AC908" s="3">
        <f t="shared" si="59"/>
        <v>9.0266203704231884E-2</v>
      </c>
      <c r="AD908" t="str" cm="1">
        <f t="array" ref="AD908">IFERROR(_xlfn.IFS(
    AC908="", "",
    AC908*86400 &lt; 30, "1. 0s - &lt;30s",
    AC908*86400 &lt; 60, "2. 30s - &lt;1m",
    AC908*86400 &lt; 300, "3. 1m - &lt;5m",
    AC908*86400 &lt; 1800, "4. 5m - &lt;30m",
    TRUE, "5. &gt;= 30m"
),"6. Invalid (Order rejected)")</f>
        <v>5. &gt;= 30m</v>
      </c>
    </row>
    <row r="909" spans="1:30" hidden="1" x14ac:dyDescent="0.3">
      <c r="A909" t="s">
        <v>5777</v>
      </c>
      <c r="B909" t="s">
        <v>192</v>
      </c>
      <c r="C909">
        <v>42598944</v>
      </c>
      <c r="D909">
        <v>0</v>
      </c>
      <c r="E909" t="s">
        <v>25</v>
      </c>
      <c r="F909" t="s">
        <v>26</v>
      </c>
      <c r="G909" t="s">
        <v>27</v>
      </c>
      <c r="H909" t="s">
        <v>5778</v>
      </c>
      <c r="I909" t="s">
        <v>5779</v>
      </c>
      <c r="J909" t="s">
        <v>26</v>
      </c>
      <c r="K909" t="s">
        <v>26</v>
      </c>
      <c r="L909" t="s">
        <v>5780</v>
      </c>
      <c r="M909" t="s">
        <v>25</v>
      </c>
      <c r="N909" t="s">
        <v>496</v>
      </c>
      <c r="O909" t="s">
        <v>497</v>
      </c>
      <c r="P909" t="s">
        <v>470</v>
      </c>
      <c r="Q909" t="s">
        <v>471</v>
      </c>
      <c r="R909">
        <v>199584</v>
      </c>
      <c r="S909">
        <v>0</v>
      </c>
      <c r="T909">
        <v>199584</v>
      </c>
      <c r="U909" t="s">
        <v>35</v>
      </c>
      <c r="V909" t="s">
        <v>500</v>
      </c>
      <c r="W909" t="s">
        <v>472</v>
      </c>
      <c r="X909" s="4">
        <v>1</v>
      </c>
      <c r="Y909" s="4"/>
      <c r="Z909">
        <f t="shared" si="56"/>
        <v>7</v>
      </c>
      <c r="AA909">
        <f t="shared" si="57"/>
        <v>11</v>
      </c>
      <c r="AB909" s="5">
        <f t="shared" si="58"/>
        <v>0.32900462963152677</v>
      </c>
      <c r="AC909" s="3">
        <f t="shared" si="59"/>
        <v>9.0266203704231884E-2</v>
      </c>
      <c r="AD909" t="str" cm="1">
        <f t="array" ref="AD909">IFERROR(_xlfn.IFS(
    AC909="", "",
    AC909*86400 &lt; 30, "1. 0s - &lt;30s",
    AC909*86400 &lt; 60, "2. 30s - &lt;1m",
    AC909*86400 &lt; 300, "3. 1m - &lt;5m",
    AC909*86400 &lt; 1800, "4. 5m - &lt;30m",
    TRUE, "5. &gt;= 30m"
),"6. Invalid (Order rejected)")</f>
        <v>5. &gt;= 30m</v>
      </c>
    </row>
    <row r="910" spans="1:30" hidden="1" x14ac:dyDescent="0.3">
      <c r="A910" t="s">
        <v>5781</v>
      </c>
      <c r="B910" t="s">
        <v>192</v>
      </c>
      <c r="C910">
        <v>42598944</v>
      </c>
      <c r="D910">
        <v>4729280</v>
      </c>
      <c r="E910" t="s">
        <v>25</v>
      </c>
      <c r="F910" t="s">
        <v>75</v>
      </c>
      <c r="G910" t="s">
        <v>76</v>
      </c>
      <c r="H910" t="s">
        <v>5782</v>
      </c>
      <c r="I910" t="s">
        <v>5783</v>
      </c>
      <c r="J910" t="s">
        <v>5784</v>
      </c>
      <c r="K910" t="s">
        <v>26</v>
      </c>
      <c r="L910" t="s">
        <v>5785</v>
      </c>
      <c r="M910" t="s">
        <v>25</v>
      </c>
      <c r="N910" t="s">
        <v>496</v>
      </c>
      <c r="O910" t="s">
        <v>497</v>
      </c>
      <c r="P910" t="s">
        <v>5786</v>
      </c>
      <c r="Q910" t="s">
        <v>5787</v>
      </c>
      <c r="R910">
        <v>351540</v>
      </c>
      <c r="S910">
        <v>272525</v>
      </c>
      <c r="T910">
        <v>79015</v>
      </c>
      <c r="U910" t="s">
        <v>35</v>
      </c>
      <c r="V910" t="s">
        <v>500</v>
      </c>
      <c r="W910" t="s">
        <v>5742</v>
      </c>
      <c r="X910" s="4">
        <v>1</v>
      </c>
      <c r="Y910" s="4"/>
      <c r="Z910">
        <f t="shared" si="56"/>
        <v>7</v>
      </c>
      <c r="AA910">
        <f t="shared" si="57"/>
        <v>11</v>
      </c>
      <c r="AB910" s="5">
        <f t="shared" si="58"/>
        <v>0.32726851852203254</v>
      </c>
      <c r="AC910" s="3">
        <f t="shared" si="59"/>
        <v>5.0879629627161194E-2</v>
      </c>
      <c r="AD910" t="str" cm="1">
        <f t="array" ref="AD910">IFERROR(_xlfn.IFS(
    AC910="", "",
    AC910*86400 &lt; 30, "1. 0s - &lt;30s",
    AC910*86400 &lt; 60, "2. 30s - &lt;1m",
    AC910*86400 &lt; 300, "3. 1m - &lt;5m",
    AC910*86400 &lt; 1800, "4. 5m - &lt;30m",
    TRUE, "5. &gt;= 30m"
),"6. Invalid (Order rejected)")</f>
        <v>5. &gt;= 30m</v>
      </c>
    </row>
    <row r="911" spans="1:30" x14ac:dyDescent="0.3">
      <c r="A911" t="s">
        <v>5788</v>
      </c>
      <c r="B911" t="s">
        <v>192</v>
      </c>
      <c r="C911">
        <v>42598944</v>
      </c>
      <c r="D911">
        <v>4173246</v>
      </c>
      <c r="E911" t="s">
        <v>25</v>
      </c>
      <c r="F911" t="s">
        <v>75</v>
      </c>
      <c r="G911" t="s">
        <v>360</v>
      </c>
      <c r="H911" t="s">
        <v>5789</v>
      </c>
      <c r="I911" t="s">
        <v>5790</v>
      </c>
      <c r="J911" t="s">
        <v>5791</v>
      </c>
      <c r="K911" t="s">
        <v>26</v>
      </c>
      <c r="L911" t="s">
        <v>25</v>
      </c>
      <c r="M911" t="s">
        <v>25</v>
      </c>
      <c r="N911" t="s">
        <v>496</v>
      </c>
      <c r="O911" t="s">
        <v>497</v>
      </c>
      <c r="P911" t="s">
        <v>507</v>
      </c>
      <c r="Q911" t="s">
        <v>508</v>
      </c>
      <c r="R911">
        <v>296784</v>
      </c>
      <c r="S911">
        <v>230076</v>
      </c>
      <c r="T911">
        <v>66708</v>
      </c>
      <c r="U911" t="s">
        <v>35</v>
      </c>
      <c r="V911" t="s">
        <v>500</v>
      </c>
      <c r="W911" t="s">
        <v>509</v>
      </c>
      <c r="X911" s="4">
        <v>1</v>
      </c>
      <c r="Y911" s="4"/>
      <c r="Z911">
        <f t="shared" si="56"/>
        <v>7</v>
      </c>
      <c r="AA911">
        <f t="shared" si="57"/>
        <v>11</v>
      </c>
      <c r="AB911" s="5">
        <f t="shared" si="58"/>
        <v>0.32762731481489027</v>
      </c>
      <c r="AC911" s="3" t="str">
        <f t="shared" si="59"/>
        <v>Order rejected, no time available</v>
      </c>
      <c r="AD911" t="str" cm="1">
        <f t="array" ref="AD911">IFERROR(_xlfn.IFS(
    AC911="", "",
    AC911*86400 &lt; 30, "1. 0s - &lt;30s",
    AC911*86400 &lt; 60, "2. 30s - &lt;1m",
    AC911*86400 &lt; 300, "3. 1m - &lt;5m",
    AC911*86400 &lt; 1800, "4. 5m - &lt;30m",
    TRUE, "5. &gt;= 30m"
),"6. Invalid (Order rejected)")</f>
        <v>6. Invalid (Order rejected)</v>
      </c>
    </row>
    <row r="912" spans="1:30" hidden="1" x14ac:dyDescent="0.3">
      <c r="A912" t="s">
        <v>5792</v>
      </c>
      <c r="B912" t="s">
        <v>192</v>
      </c>
      <c r="C912">
        <v>42598944</v>
      </c>
      <c r="D912">
        <v>0</v>
      </c>
      <c r="E912" t="s">
        <v>25</v>
      </c>
      <c r="F912" t="s">
        <v>26</v>
      </c>
      <c r="G912" t="s">
        <v>27</v>
      </c>
      <c r="H912" t="s">
        <v>5714</v>
      </c>
      <c r="I912" t="s">
        <v>5793</v>
      </c>
      <c r="J912" t="s">
        <v>26</v>
      </c>
      <c r="K912" t="s">
        <v>26</v>
      </c>
      <c r="L912" t="s">
        <v>5794</v>
      </c>
      <c r="M912" t="s">
        <v>25</v>
      </c>
      <c r="N912" t="s">
        <v>496</v>
      </c>
      <c r="O912" t="s">
        <v>497</v>
      </c>
      <c r="P912" t="s">
        <v>324</v>
      </c>
      <c r="Q912" t="s">
        <v>325</v>
      </c>
      <c r="R912">
        <v>251424</v>
      </c>
      <c r="S912">
        <v>0</v>
      </c>
      <c r="T912">
        <v>251424</v>
      </c>
      <c r="U912" t="s">
        <v>35</v>
      </c>
      <c r="V912" t="s">
        <v>500</v>
      </c>
      <c r="W912" t="s">
        <v>326</v>
      </c>
      <c r="X912" s="4">
        <v>1</v>
      </c>
      <c r="Y912" s="4"/>
      <c r="Z912">
        <f t="shared" si="56"/>
        <v>7</v>
      </c>
      <c r="AA912">
        <f t="shared" si="57"/>
        <v>11</v>
      </c>
      <c r="AB912" s="5">
        <f t="shared" si="58"/>
        <v>0.32831018518481869</v>
      </c>
      <c r="AC912" s="3">
        <f t="shared" si="59"/>
        <v>9.0266203704231884E-2</v>
      </c>
      <c r="AD912" t="str" cm="1">
        <f t="array" ref="AD912">IFERROR(_xlfn.IFS(
    AC912="", "",
    AC912*86400 &lt; 30, "1. 0s - &lt;30s",
    AC912*86400 &lt; 60, "2. 30s - &lt;1m",
    AC912*86400 &lt; 300, "3. 1m - &lt;5m",
    AC912*86400 &lt; 1800, "4. 5m - &lt;30m",
    TRUE, "5. &gt;= 30m"
),"6. Invalid (Order rejected)")</f>
        <v>5. &gt;= 30m</v>
      </c>
    </row>
    <row r="913" spans="1:30" hidden="1" x14ac:dyDescent="0.3">
      <c r="A913" t="s">
        <v>5795</v>
      </c>
      <c r="B913" t="s">
        <v>192</v>
      </c>
      <c r="C913">
        <v>42598944</v>
      </c>
      <c r="D913">
        <v>0</v>
      </c>
      <c r="E913" t="s">
        <v>25</v>
      </c>
      <c r="F913" t="s">
        <v>26</v>
      </c>
      <c r="G913" t="s">
        <v>27</v>
      </c>
      <c r="H913" t="s">
        <v>5796</v>
      </c>
      <c r="I913" t="s">
        <v>5797</v>
      </c>
      <c r="J913" t="s">
        <v>26</v>
      </c>
      <c r="K913" t="s">
        <v>26</v>
      </c>
      <c r="L913" t="s">
        <v>5798</v>
      </c>
      <c r="M913" t="s">
        <v>25</v>
      </c>
      <c r="N913" t="s">
        <v>496</v>
      </c>
      <c r="O913" t="s">
        <v>497</v>
      </c>
      <c r="P913" t="s">
        <v>5775</v>
      </c>
      <c r="Q913" t="s">
        <v>5776</v>
      </c>
      <c r="R913">
        <v>219780</v>
      </c>
      <c r="S913">
        <v>0</v>
      </c>
      <c r="T913">
        <v>219780</v>
      </c>
      <c r="U913" t="s">
        <v>35</v>
      </c>
      <c r="V913" t="s">
        <v>500</v>
      </c>
      <c r="W913" t="s">
        <v>538</v>
      </c>
      <c r="X913" s="4">
        <v>1</v>
      </c>
      <c r="Y913" s="4"/>
      <c r="Z913">
        <f t="shared" si="56"/>
        <v>7</v>
      </c>
      <c r="AA913">
        <f t="shared" si="57"/>
        <v>11</v>
      </c>
      <c r="AB913" s="5">
        <f t="shared" si="58"/>
        <v>0.32864583333139308</v>
      </c>
      <c r="AC913" s="3">
        <f t="shared" si="59"/>
        <v>5.4023032407421852</v>
      </c>
      <c r="AD913" t="str" cm="1">
        <f t="array" ref="AD913">IFERROR(_xlfn.IFS(
    AC913="", "",
    AC913*86400 &lt; 30, "1. 0s - &lt;30s",
    AC913*86400 &lt; 60, "2. 30s - &lt;1m",
    AC913*86400 &lt; 300, "3. 1m - &lt;5m",
    AC913*86400 &lt; 1800, "4. 5m - &lt;30m",
    TRUE, "5. &gt;= 30m"
),"6. Invalid (Order rejected)")</f>
        <v>5. &gt;= 30m</v>
      </c>
    </row>
    <row r="914" spans="1:30" x14ac:dyDescent="0.3">
      <c r="A914" t="s">
        <v>5799</v>
      </c>
      <c r="B914" t="s">
        <v>192</v>
      </c>
      <c r="C914">
        <v>42598944</v>
      </c>
      <c r="D914">
        <v>4724283</v>
      </c>
      <c r="E914" t="s">
        <v>25</v>
      </c>
      <c r="F914" t="s">
        <v>75</v>
      </c>
      <c r="G914" t="s">
        <v>360</v>
      </c>
      <c r="H914" t="s">
        <v>5800</v>
      </c>
      <c r="I914" t="s">
        <v>5801</v>
      </c>
      <c r="J914" t="s">
        <v>5802</v>
      </c>
      <c r="K914" t="s">
        <v>26</v>
      </c>
      <c r="L914" t="s">
        <v>25</v>
      </c>
      <c r="M914" t="s">
        <v>25</v>
      </c>
      <c r="N914" t="s">
        <v>525</v>
      </c>
      <c r="O914" t="s">
        <v>526</v>
      </c>
      <c r="P914" t="s">
        <v>384</v>
      </c>
      <c r="Q914" t="s">
        <v>385</v>
      </c>
      <c r="R914">
        <v>311688</v>
      </c>
      <c r="S914">
        <v>241630</v>
      </c>
      <c r="T914">
        <v>70058</v>
      </c>
      <c r="U914" t="s">
        <v>35</v>
      </c>
      <c r="V914" t="s">
        <v>527</v>
      </c>
      <c r="W914" t="s">
        <v>386</v>
      </c>
      <c r="X914" s="4">
        <v>1</v>
      </c>
      <c r="Y914" s="4"/>
      <c r="Z914">
        <f t="shared" si="56"/>
        <v>7</v>
      </c>
      <c r="AA914">
        <f t="shared" si="57"/>
        <v>11</v>
      </c>
      <c r="AB914" s="5">
        <f t="shared" si="58"/>
        <v>0.33245370370423188</v>
      </c>
      <c r="AC914" s="3" t="str">
        <f t="shared" si="59"/>
        <v>Order rejected, no time available</v>
      </c>
      <c r="AD914" t="str" cm="1">
        <f t="array" ref="AD914">IFERROR(_xlfn.IFS(
    AC914="", "",
    AC914*86400 &lt; 30, "1. 0s - &lt;30s",
    AC914*86400 &lt; 60, "2. 30s - &lt;1m",
    AC914*86400 &lt; 300, "3. 1m - &lt;5m",
    AC914*86400 &lt; 1800, "4. 5m - &lt;30m",
    TRUE, "5. &gt;= 30m"
),"6. Invalid (Order rejected)")</f>
        <v>6. Invalid (Order rejected)</v>
      </c>
    </row>
    <row r="915" spans="1:30" hidden="1" x14ac:dyDescent="0.3">
      <c r="A915" t="s">
        <v>5803</v>
      </c>
      <c r="B915" t="s">
        <v>192</v>
      </c>
      <c r="C915">
        <v>42598944</v>
      </c>
      <c r="D915">
        <v>0</v>
      </c>
      <c r="E915" t="s">
        <v>25</v>
      </c>
      <c r="F915" t="s">
        <v>26</v>
      </c>
      <c r="G915" t="s">
        <v>27</v>
      </c>
      <c r="H915" t="s">
        <v>5804</v>
      </c>
      <c r="I915" t="s">
        <v>5805</v>
      </c>
      <c r="J915" t="s">
        <v>26</v>
      </c>
      <c r="K915" t="s">
        <v>26</v>
      </c>
      <c r="L915" t="s">
        <v>5806</v>
      </c>
      <c r="M915" t="s">
        <v>25</v>
      </c>
      <c r="N915" t="s">
        <v>525</v>
      </c>
      <c r="O915" t="s">
        <v>526</v>
      </c>
      <c r="P915" t="s">
        <v>5807</v>
      </c>
      <c r="Q915" t="s">
        <v>5808</v>
      </c>
      <c r="R915">
        <v>173556</v>
      </c>
      <c r="S915">
        <v>0</v>
      </c>
      <c r="T915">
        <v>173556</v>
      </c>
      <c r="U915" t="s">
        <v>35</v>
      </c>
      <c r="V915" t="s">
        <v>527</v>
      </c>
      <c r="W915" t="s">
        <v>5809</v>
      </c>
      <c r="X915" s="4">
        <v>1</v>
      </c>
      <c r="Y915" s="4"/>
      <c r="Z915">
        <f t="shared" si="56"/>
        <v>7</v>
      </c>
      <c r="AA915">
        <f t="shared" si="57"/>
        <v>11</v>
      </c>
      <c r="AB915" s="5">
        <f t="shared" si="58"/>
        <v>0.33386574074393138</v>
      </c>
      <c r="AC915" s="3">
        <f t="shared" si="59"/>
        <v>0.1157060185141745</v>
      </c>
      <c r="AD915" t="str" cm="1">
        <f t="array" ref="AD915">IFERROR(_xlfn.IFS(
    AC915="", "",
    AC915*86400 &lt; 30, "1. 0s - &lt;30s",
    AC915*86400 &lt; 60, "2. 30s - &lt;1m",
    AC915*86400 &lt; 300, "3. 1m - &lt;5m",
    AC915*86400 &lt; 1800, "4. 5m - &lt;30m",
    TRUE, "5. &gt;= 30m"
),"6. Invalid (Order rejected)")</f>
        <v>5. &gt;= 30m</v>
      </c>
    </row>
    <row r="916" spans="1:30" hidden="1" x14ac:dyDescent="0.3">
      <c r="A916" t="s">
        <v>5810</v>
      </c>
      <c r="B916" t="s">
        <v>25</v>
      </c>
      <c r="C916">
        <v>42758642</v>
      </c>
      <c r="D916">
        <v>4604007</v>
      </c>
      <c r="E916" t="s">
        <v>25</v>
      </c>
      <c r="F916" t="s">
        <v>75</v>
      </c>
      <c r="G916" t="s">
        <v>491</v>
      </c>
      <c r="H916" t="s">
        <v>5811</v>
      </c>
      <c r="I916" t="s">
        <v>925</v>
      </c>
      <c r="J916" t="s">
        <v>5812</v>
      </c>
      <c r="K916" t="s">
        <v>26</v>
      </c>
      <c r="L916" t="s">
        <v>5813</v>
      </c>
      <c r="M916" t="s">
        <v>25</v>
      </c>
      <c r="N916" t="s">
        <v>589</v>
      </c>
      <c r="O916" t="s">
        <v>590</v>
      </c>
      <c r="P916" t="s">
        <v>591</v>
      </c>
      <c r="Q916" t="s">
        <v>592</v>
      </c>
      <c r="R916">
        <v>400572</v>
      </c>
      <c r="S916">
        <v>310536</v>
      </c>
      <c r="T916">
        <v>90036</v>
      </c>
      <c r="U916" t="s">
        <v>35</v>
      </c>
      <c r="V916" t="s">
        <v>593</v>
      </c>
      <c r="W916" t="s">
        <v>594</v>
      </c>
      <c r="X916" s="4">
        <v>1</v>
      </c>
      <c r="Y916" s="4"/>
      <c r="Z916">
        <f t="shared" si="56"/>
        <v>7</v>
      </c>
      <c r="AA916">
        <f t="shared" si="57"/>
        <v>14</v>
      </c>
      <c r="AB916" s="5">
        <f t="shared" si="58"/>
        <v>0.89322916666424135</v>
      </c>
      <c r="AC916" s="3">
        <f t="shared" si="59"/>
        <v>10.478993055556202</v>
      </c>
      <c r="AD916" t="str" cm="1">
        <f t="array" ref="AD916">IFERROR(_xlfn.IFS(
    AC916="", "",
    AC916*86400 &lt; 30, "1. 0s - &lt;30s",
    AC916*86400 &lt; 60, "2. 30s - &lt;1m",
    AC916*86400 &lt; 300, "3. 1m - &lt;5m",
    AC916*86400 &lt; 1800, "4. 5m - &lt;30m",
    TRUE, "5. &gt;= 30m"
),"6. Invalid (Order rejected)")</f>
        <v>5. &gt;= 30m</v>
      </c>
    </row>
    <row r="917" spans="1:30" hidden="1" x14ac:dyDescent="0.3">
      <c r="A917" t="s">
        <v>5814</v>
      </c>
      <c r="B917" t="s">
        <v>25</v>
      </c>
      <c r="C917">
        <v>42758642</v>
      </c>
      <c r="D917">
        <v>0</v>
      </c>
      <c r="E917" t="s">
        <v>25</v>
      </c>
      <c r="F917" t="s">
        <v>26</v>
      </c>
      <c r="G917" t="s">
        <v>27</v>
      </c>
      <c r="H917" t="s">
        <v>5815</v>
      </c>
      <c r="I917" t="s">
        <v>604</v>
      </c>
      <c r="J917" t="s">
        <v>26</v>
      </c>
      <c r="K917" t="s">
        <v>26</v>
      </c>
      <c r="L917" t="s">
        <v>605</v>
      </c>
      <c r="M917" t="s">
        <v>25</v>
      </c>
      <c r="N917" t="s">
        <v>599</v>
      </c>
      <c r="O917" t="s">
        <v>600</v>
      </c>
      <c r="P917" t="s">
        <v>418</v>
      </c>
      <c r="Q917" t="s">
        <v>419</v>
      </c>
      <c r="R917">
        <v>302400</v>
      </c>
      <c r="S917">
        <v>0</v>
      </c>
      <c r="T917">
        <v>302400</v>
      </c>
      <c r="U917" t="s">
        <v>35</v>
      </c>
      <c r="V917" t="s">
        <v>601</v>
      </c>
      <c r="W917" t="s">
        <v>420</v>
      </c>
      <c r="X917" s="4">
        <v>1</v>
      </c>
      <c r="Y917" s="4"/>
      <c r="Z917">
        <f t="shared" si="56"/>
        <v>7</v>
      </c>
      <c r="AA917">
        <f t="shared" si="57"/>
        <v>14</v>
      </c>
      <c r="AB917" s="5">
        <f t="shared" si="58"/>
        <v>0.89690972222160781</v>
      </c>
      <c r="AC917" s="3">
        <f t="shared" si="59"/>
        <v>0.56281250000029104</v>
      </c>
      <c r="AD917" t="str" cm="1">
        <f t="array" ref="AD917">IFERROR(_xlfn.IFS(
    AC917="", "",
    AC917*86400 &lt; 30, "1. 0s - &lt;30s",
    AC917*86400 &lt; 60, "2. 30s - &lt;1m",
    AC917*86400 &lt; 300, "3. 1m - &lt;5m",
    AC917*86400 &lt; 1800, "4. 5m - &lt;30m",
    TRUE, "5. &gt;= 30m"
),"6. Invalid (Order rejected)")</f>
        <v>5. &gt;= 30m</v>
      </c>
    </row>
    <row r="918" spans="1:30" hidden="1" x14ac:dyDescent="0.3">
      <c r="A918" t="s">
        <v>5816</v>
      </c>
      <c r="B918" t="s">
        <v>25</v>
      </c>
      <c r="C918">
        <v>42758642</v>
      </c>
      <c r="D918">
        <v>0</v>
      </c>
      <c r="E918" t="s">
        <v>25</v>
      </c>
      <c r="F918" t="s">
        <v>26</v>
      </c>
      <c r="G918" t="s">
        <v>27</v>
      </c>
      <c r="H918" t="s">
        <v>5817</v>
      </c>
      <c r="I918" t="s">
        <v>633</v>
      </c>
      <c r="J918" t="s">
        <v>26</v>
      </c>
      <c r="K918" t="s">
        <v>26</v>
      </c>
      <c r="L918" t="s">
        <v>765</v>
      </c>
      <c r="M918" t="s">
        <v>25</v>
      </c>
      <c r="N918" t="s">
        <v>589</v>
      </c>
      <c r="O918" t="s">
        <v>590</v>
      </c>
      <c r="P918" t="s">
        <v>636</v>
      </c>
      <c r="Q918" t="s">
        <v>637</v>
      </c>
      <c r="R918">
        <v>333504</v>
      </c>
      <c r="S918">
        <v>0</v>
      </c>
      <c r="T918">
        <v>333504</v>
      </c>
      <c r="U918" t="s">
        <v>35</v>
      </c>
      <c r="V918" t="s">
        <v>593</v>
      </c>
      <c r="W918" t="s">
        <v>638</v>
      </c>
      <c r="X918" s="4">
        <v>1</v>
      </c>
      <c r="Y918" s="4"/>
      <c r="Z918">
        <f t="shared" si="56"/>
        <v>7</v>
      </c>
      <c r="AA918">
        <f t="shared" si="57"/>
        <v>14</v>
      </c>
      <c r="AB918" s="5">
        <f t="shared" si="58"/>
        <v>0.8944791666654055</v>
      </c>
      <c r="AC918" s="3">
        <f t="shared" si="59"/>
        <v>0.58746527777839219</v>
      </c>
      <c r="AD918" t="str" cm="1">
        <f t="array" ref="AD918">IFERROR(_xlfn.IFS(
    AC918="", "",
    AC918*86400 &lt; 30, "1. 0s - &lt;30s",
    AC918*86400 &lt; 60, "2. 30s - &lt;1m",
    AC918*86400 &lt; 300, "3. 1m - &lt;5m",
    AC918*86400 &lt; 1800, "4. 5m - &lt;30m",
    TRUE, "5. &gt;= 30m"
),"6. Invalid (Order rejected)")</f>
        <v>5. &gt;= 30m</v>
      </c>
    </row>
    <row r="919" spans="1:30" hidden="1" x14ac:dyDescent="0.3">
      <c r="A919" t="s">
        <v>5818</v>
      </c>
      <c r="B919" t="s">
        <v>25</v>
      </c>
      <c r="C919">
        <v>42758642</v>
      </c>
      <c r="D919">
        <v>0</v>
      </c>
      <c r="E919" t="s">
        <v>25</v>
      </c>
      <c r="F919" t="s">
        <v>26</v>
      </c>
      <c r="G919" t="s">
        <v>27</v>
      </c>
      <c r="H919" t="s">
        <v>5819</v>
      </c>
      <c r="I919" t="s">
        <v>965</v>
      </c>
      <c r="J919" t="s">
        <v>26</v>
      </c>
      <c r="K919" t="s">
        <v>26</v>
      </c>
      <c r="L919" t="s">
        <v>966</v>
      </c>
      <c r="M919" t="s">
        <v>25</v>
      </c>
      <c r="N919" t="s">
        <v>589</v>
      </c>
      <c r="O919" t="s">
        <v>590</v>
      </c>
      <c r="P919" t="s">
        <v>636</v>
      </c>
      <c r="Q919" t="s">
        <v>637</v>
      </c>
      <c r="R919">
        <v>230472</v>
      </c>
      <c r="S919">
        <v>0</v>
      </c>
      <c r="T919">
        <v>230472</v>
      </c>
      <c r="U919" t="s">
        <v>35</v>
      </c>
      <c r="V919" t="s">
        <v>593</v>
      </c>
      <c r="W919" t="s">
        <v>638</v>
      </c>
      <c r="X919" s="4">
        <v>1</v>
      </c>
      <c r="Y919" s="4"/>
      <c r="Z919">
        <f t="shared" si="56"/>
        <v>7</v>
      </c>
      <c r="AA919">
        <f t="shared" si="57"/>
        <v>14</v>
      </c>
      <c r="AB919" s="5">
        <f t="shared" si="58"/>
        <v>0.89472222221957054</v>
      </c>
      <c r="AC919" s="3">
        <f t="shared" si="59"/>
        <v>0.55944444445049157</v>
      </c>
      <c r="AD919" t="str" cm="1">
        <f t="array" ref="AD919">IFERROR(_xlfn.IFS(
    AC919="", "",
    AC919*86400 &lt; 30, "1. 0s - &lt;30s",
    AC919*86400 &lt; 60, "2. 30s - &lt;1m",
    AC919*86400 &lt; 300, "3. 1m - &lt;5m",
    AC919*86400 &lt; 1800, "4. 5m - &lt;30m",
    TRUE, "5. &gt;= 30m"
),"6. Invalid (Order rejected)")</f>
        <v>5. &gt;= 30m</v>
      </c>
    </row>
    <row r="920" spans="1:30" hidden="1" x14ac:dyDescent="0.3">
      <c r="A920" t="s">
        <v>5820</v>
      </c>
      <c r="B920" t="s">
        <v>25</v>
      </c>
      <c r="C920">
        <v>42758642</v>
      </c>
      <c r="D920">
        <v>0</v>
      </c>
      <c r="E920" t="s">
        <v>25</v>
      </c>
      <c r="F920" t="s">
        <v>26</v>
      </c>
      <c r="G920" t="s">
        <v>27</v>
      </c>
      <c r="H920" t="s">
        <v>5821</v>
      </c>
      <c r="I920" t="s">
        <v>811</v>
      </c>
      <c r="J920" t="s">
        <v>26</v>
      </c>
      <c r="K920" t="s">
        <v>26</v>
      </c>
      <c r="L920" t="s">
        <v>5822</v>
      </c>
      <c r="M920" t="s">
        <v>25</v>
      </c>
      <c r="N920" t="s">
        <v>599</v>
      </c>
      <c r="O920" t="s">
        <v>600</v>
      </c>
      <c r="P920" t="s">
        <v>208</v>
      </c>
      <c r="Q920" t="s">
        <v>209</v>
      </c>
      <c r="R920">
        <v>316008</v>
      </c>
      <c r="S920">
        <v>0</v>
      </c>
      <c r="T920">
        <v>316008</v>
      </c>
      <c r="U920" t="s">
        <v>35</v>
      </c>
      <c r="V920" t="s">
        <v>601</v>
      </c>
      <c r="W920" t="s">
        <v>210</v>
      </c>
      <c r="X920" s="4">
        <v>1</v>
      </c>
      <c r="Y920" s="4"/>
      <c r="Z920">
        <f t="shared" si="56"/>
        <v>7</v>
      </c>
      <c r="AA920">
        <f t="shared" si="57"/>
        <v>14</v>
      </c>
      <c r="AB920" s="5">
        <f t="shared" si="58"/>
        <v>0.89591435185138835</v>
      </c>
      <c r="AC920" s="3">
        <f t="shared" si="59"/>
        <v>0.56241898148437031</v>
      </c>
      <c r="AD920" t="str" cm="1">
        <f t="array" ref="AD920">IFERROR(_xlfn.IFS(
    AC920="", "",
    AC920*86400 &lt; 30, "1. 0s - &lt;30s",
    AC920*86400 &lt; 60, "2. 30s - &lt;1m",
    AC920*86400 &lt; 300, "3. 1m - &lt;5m",
    AC920*86400 &lt; 1800, "4. 5m - &lt;30m",
    TRUE, "5. &gt;= 30m"
),"6. Invalid (Order rejected)")</f>
        <v>5. &gt;= 30m</v>
      </c>
    </row>
    <row r="921" spans="1:30" hidden="1" x14ac:dyDescent="0.3">
      <c r="A921" t="s">
        <v>5823</v>
      </c>
      <c r="B921" t="s">
        <v>25</v>
      </c>
      <c r="C921">
        <v>42758642</v>
      </c>
      <c r="D921">
        <v>0</v>
      </c>
      <c r="E921" t="s">
        <v>25</v>
      </c>
      <c r="F921" t="s">
        <v>26</v>
      </c>
      <c r="G921" t="s">
        <v>27</v>
      </c>
      <c r="H921" t="s">
        <v>5824</v>
      </c>
      <c r="I921" t="s">
        <v>5825</v>
      </c>
      <c r="J921" t="s">
        <v>26</v>
      </c>
      <c r="K921" t="s">
        <v>26</v>
      </c>
      <c r="L921" t="s">
        <v>5826</v>
      </c>
      <c r="M921" t="s">
        <v>25</v>
      </c>
      <c r="N921" t="s">
        <v>721</v>
      </c>
      <c r="O921" t="s">
        <v>722</v>
      </c>
      <c r="P921" t="s">
        <v>5827</v>
      </c>
      <c r="Q921" t="s">
        <v>5828</v>
      </c>
      <c r="R921">
        <v>124740</v>
      </c>
      <c r="S921">
        <v>0</v>
      </c>
      <c r="T921">
        <v>124740</v>
      </c>
      <c r="U921" t="s">
        <v>35</v>
      </c>
      <c r="V921" t="s">
        <v>725</v>
      </c>
      <c r="W921" t="s">
        <v>5829</v>
      </c>
      <c r="X921" s="4">
        <v>1</v>
      </c>
      <c r="Y921" s="4"/>
      <c r="Z921">
        <f t="shared" si="56"/>
        <v>7</v>
      </c>
      <c r="AA921">
        <f t="shared" si="57"/>
        <v>14</v>
      </c>
      <c r="AB921" s="5">
        <f t="shared" si="58"/>
        <v>0.90567129629926058</v>
      </c>
      <c r="AC921" s="3">
        <f t="shared" si="59"/>
        <v>2.5173726851789979</v>
      </c>
      <c r="AD921" t="str" cm="1">
        <f t="array" ref="AD921">IFERROR(_xlfn.IFS(
    AC921="", "",
    AC921*86400 &lt; 30, "1. 0s - &lt;30s",
    AC921*86400 &lt; 60, "2. 30s - &lt;1m",
    AC921*86400 &lt; 300, "3. 1m - &lt;5m",
    AC921*86400 &lt; 1800, "4. 5m - &lt;30m",
    TRUE, "5. &gt;= 30m"
),"6. Invalid (Order rejected)")</f>
        <v>5. &gt;= 30m</v>
      </c>
    </row>
    <row r="922" spans="1:30" hidden="1" x14ac:dyDescent="0.3">
      <c r="A922" t="s">
        <v>5830</v>
      </c>
      <c r="B922" t="s">
        <v>25</v>
      </c>
      <c r="C922">
        <v>42758642</v>
      </c>
      <c r="D922">
        <v>0</v>
      </c>
      <c r="E922" t="s">
        <v>25</v>
      </c>
      <c r="F922" t="s">
        <v>26</v>
      </c>
      <c r="G922" t="s">
        <v>27</v>
      </c>
      <c r="H922" t="s">
        <v>5831</v>
      </c>
      <c r="I922" t="s">
        <v>1047</v>
      </c>
      <c r="J922" t="s">
        <v>26</v>
      </c>
      <c r="K922" t="s">
        <v>26</v>
      </c>
      <c r="L922" t="s">
        <v>1048</v>
      </c>
      <c r="M922" t="s">
        <v>25</v>
      </c>
      <c r="N922" t="s">
        <v>663</v>
      </c>
      <c r="O922" t="s">
        <v>664</v>
      </c>
      <c r="P922" t="s">
        <v>507</v>
      </c>
      <c r="Q922" t="s">
        <v>508</v>
      </c>
      <c r="R922">
        <v>248508</v>
      </c>
      <c r="S922">
        <v>0</v>
      </c>
      <c r="T922">
        <v>248508</v>
      </c>
      <c r="U922" t="s">
        <v>35</v>
      </c>
      <c r="V922" t="s">
        <v>665</v>
      </c>
      <c r="W922" t="s">
        <v>509</v>
      </c>
      <c r="X922" s="4">
        <v>1</v>
      </c>
      <c r="Y922" s="4"/>
      <c r="Z922">
        <f t="shared" si="56"/>
        <v>7</v>
      </c>
      <c r="AA922">
        <f t="shared" si="57"/>
        <v>14</v>
      </c>
      <c r="AB922" s="5">
        <f t="shared" si="58"/>
        <v>0.89809027777664596</v>
      </c>
      <c r="AC922" s="3">
        <f t="shared" si="59"/>
        <v>0.60468750000291038</v>
      </c>
      <c r="AD922" t="str" cm="1">
        <f t="array" ref="AD922">IFERROR(_xlfn.IFS(
    AC922="", "",
    AC922*86400 &lt; 30, "1. 0s - &lt;30s",
    AC922*86400 &lt; 60, "2. 30s - &lt;1m",
    AC922*86400 &lt; 300, "3. 1m - &lt;5m",
    AC922*86400 &lt; 1800, "4. 5m - &lt;30m",
    TRUE, "5. &gt;= 30m"
),"6. Invalid (Order rejected)")</f>
        <v>5. &gt;= 30m</v>
      </c>
    </row>
    <row r="923" spans="1:30" hidden="1" x14ac:dyDescent="0.3">
      <c r="A923" t="s">
        <v>5832</v>
      </c>
      <c r="B923" t="s">
        <v>25</v>
      </c>
      <c r="C923">
        <v>42758642</v>
      </c>
      <c r="D923">
        <v>0</v>
      </c>
      <c r="E923" t="s">
        <v>25</v>
      </c>
      <c r="F923" t="s">
        <v>26</v>
      </c>
      <c r="G923" t="s">
        <v>27</v>
      </c>
      <c r="H923" t="s">
        <v>5833</v>
      </c>
      <c r="I923" t="s">
        <v>1037</v>
      </c>
      <c r="J923" t="s">
        <v>26</v>
      </c>
      <c r="K923" t="s">
        <v>26</v>
      </c>
      <c r="L923" t="s">
        <v>5834</v>
      </c>
      <c r="M923" t="s">
        <v>25</v>
      </c>
      <c r="N923" t="s">
        <v>798</v>
      </c>
      <c r="O923" t="s">
        <v>799</v>
      </c>
      <c r="P923" t="s">
        <v>5835</v>
      </c>
      <c r="Q923" t="s">
        <v>5836</v>
      </c>
      <c r="R923">
        <v>190620</v>
      </c>
      <c r="S923">
        <v>0</v>
      </c>
      <c r="T923">
        <v>190620</v>
      </c>
      <c r="U923" t="s">
        <v>35</v>
      </c>
      <c r="V923" t="s">
        <v>802</v>
      </c>
      <c r="W923" t="s">
        <v>5837</v>
      </c>
      <c r="X923" s="4">
        <v>1</v>
      </c>
      <c r="Y923" s="4"/>
      <c r="Z923">
        <f t="shared" si="56"/>
        <v>7</v>
      </c>
      <c r="AA923">
        <f t="shared" si="57"/>
        <v>14</v>
      </c>
      <c r="AB923" s="5">
        <f t="shared" si="58"/>
        <v>0.90247685185022419</v>
      </c>
      <c r="AC923" s="3">
        <f t="shared" si="59"/>
        <v>0.56280092593078734</v>
      </c>
      <c r="AD923" t="str" cm="1">
        <f t="array" ref="AD923">IFERROR(_xlfn.IFS(
    AC923="", "",
    AC923*86400 &lt; 30, "1. 0s - &lt;30s",
    AC923*86400 &lt; 60, "2. 30s - &lt;1m",
    AC923*86400 &lt; 300, "3. 1m - &lt;5m",
    AC923*86400 &lt; 1800, "4. 5m - &lt;30m",
    TRUE, "5. &gt;= 30m"
),"6. Invalid (Order rejected)")</f>
        <v>5. &gt;= 30m</v>
      </c>
    </row>
    <row r="924" spans="1:30" hidden="1" x14ac:dyDescent="0.3">
      <c r="A924" t="s">
        <v>5838</v>
      </c>
      <c r="B924" t="s">
        <v>25</v>
      </c>
      <c r="C924">
        <v>42758642</v>
      </c>
      <c r="D924">
        <v>0</v>
      </c>
      <c r="E924" t="s">
        <v>25</v>
      </c>
      <c r="F924" t="s">
        <v>26</v>
      </c>
      <c r="G924" t="s">
        <v>27</v>
      </c>
      <c r="H924" t="s">
        <v>5839</v>
      </c>
      <c r="I924" t="s">
        <v>672</v>
      </c>
      <c r="J924" t="s">
        <v>26</v>
      </c>
      <c r="K924" t="s">
        <v>26</v>
      </c>
      <c r="L924" t="s">
        <v>843</v>
      </c>
      <c r="M924" t="s">
        <v>25</v>
      </c>
      <c r="N924" t="s">
        <v>643</v>
      </c>
      <c r="O924" t="s">
        <v>644</v>
      </c>
      <c r="P924" t="s">
        <v>384</v>
      </c>
      <c r="Q924" t="s">
        <v>385</v>
      </c>
      <c r="R924">
        <v>229284</v>
      </c>
      <c r="S924">
        <v>0</v>
      </c>
      <c r="T924">
        <v>229284</v>
      </c>
      <c r="U924" t="s">
        <v>35</v>
      </c>
      <c r="V924" t="s">
        <v>645</v>
      </c>
      <c r="W924" t="s">
        <v>386</v>
      </c>
      <c r="X924" s="4">
        <v>1</v>
      </c>
      <c r="Y924" s="4"/>
      <c r="Z924">
        <f t="shared" si="56"/>
        <v>7</v>
      </c>
      <c r="AA924">
        <f t="shared" si="57"/>
        <v>14</v>
      </c>
      <c r="AB924" s="5">
        <f t="shared" si="58"/>
        <v>0.901087962964084</v>
      </c>
      <c r="AC924" s="3">
        <f t="shared" si="59"/>
        <v>0.56280092592351139</v>
      </c>
      <c r="AD924" t="str" cm="1">
        <f t="array" ref="AD924">IFERROR(_xlfn.IFS(
    AC924="", "",
    AC924*86400 &lt; 30, "1. 0s - &lt;30s",
    AC924*86400 &lt; 60, "2. 30s - &lt;1m",
    AC924*86400 &lt; 300, "3. 1m - &lt;5m",
    AC924*86400 &lt; 1800, "4. 5m - &lt;30m",
    TRUE, "5. &gt;= 30m"
),"6. Invalid (Order rejected)")</f>
        <v>5. &gt;= 30m</v>
      </c>
    </row>
    <row r="925" spans="1:30" hidden="1" x14ac:dyDescent="0.3">
      <c r="A925" t="s">
        <v>5840</v>
      </c>
      <c r="B925" t="s">
        <v>25</v>
      </c>
      <c r="C925">
        <v>42758642</v>
      </c>
      <c r="D925">
        <v>0</v>
      </c>
      <c r="E925" t="s">
        <v>25</v>
      </c>
      <c r="F925" t="s">
        <v>26</v>
      </c>
      <c r="G925" t="s">
        <v>27</v>
      </c>
      <c r="H925" t="s">
        <v>5841</v>
      </c>
      <c r="I925" t="s">
        <v>818</v>
      </c>
      <c r="J925" t="s">
        <v>26</v>
      </c>
      <c r="K925" t="s">
        <v>26</v>
      </c>
      <c r="L925" t="s">
        <v>819</v>
      </c>
      <c r="M925" t="s">
        <v>25</v>
      </c>
      <c r="N925" t="s">
        <v>732</v>
      </c>
      <c r="O925" t="s">
        <v>733</v>
      </c>
      <c r="P925" t="s">
        <v>81</v>
      </c>
      <c r="Q925" t="s">
        <v>82</v>
      </c>
      <c r="R925">
        <v>217296</v>
      </c>
      <c r="S925">
        <v>0</v>
      </c>
      <c r="T925">
        <v>217296</v>
      </c>
      <c r="U925" t="s">
        <v>35</v>
      </c>
      <c r="V925" t="s">
        <v>736</v>
      </c>
      <c r="W925" t="s">
        <v>83</v>
      </c>
      <c r="X925" s="4">
        <v>1</v>
      </c>
      <c r="Y925" s="4"/>
      <c r="Z925">
        <f t="shared" si="56"/>
        <v>7</v>
      </c>
      <c r="AA925">
        <f t="shared" si="57"/>
        <v>14</v>
      </c>
      <c r="AB925" s="5">
        <f t="shared" si="58"/>
        <v>0.9102430555576575</v>
      </c>
      <c r="AC925" s="3">
        <f t="shared" si="59"/>
        <v>0.56267361110803904</v>
      </c>
      <c r="AD925" t="str" cm="1">
        <f t="array" ref="AD925">IFERROR(_xlfn.IFS(
    AC925="", "",
    AC925*86400 &lt; 30, "1. 0s - &lt;30s",
    AC925*86400 &lt; 60, "2. 30s - &lt;1m",
    AC925*86400 &lt; 300, "3. 1m - &lt;5m",
    AC925*86400 &lt; 1800, "4. 5m - &lt;30m",
    TRUE, "5. &gt;= 30m"
),"6. Invalid (Order rejected)")</f>
        <v>5. &gt;= 30m</v>
      </c>
    </row>
    <row r="926" spans="1:30" hidden="1" x14ac:dyDescent="0.3">
      <c r="A926" t="s">
        <v>5842</v>
      </c>
      <c r="B926" t="s">
        <v>25</v>
      </c>
      <c r="C926">
        <v>42758642</v>
      </c>
      <c r="D926">
        <v>0</v>
      </c>
      <c r="E926" t="s">
        <v>25</v>
      </c>
      <c r="F926" t="s">
        <v>26</v>
      </c>
      <c r="G926" t="s">
        <v>27</v>
      </c>
      <c r="H926" t="s">
        <v>5843</v>
      </c>
      <c r="I926" t="s">
        <v>5844</v>
      </c>
      <c r="J926" t="s">
        <v>26</v>
      </c>
      <c r="K926" t="s">
        <v>26</v>
      </c>
      <c r="L926" t="s">
        <v>5845</v>
      </c>
      <c r="M926" t="s">
        <v>25</v>
      </c>
      <c r="N926" t="s">
        <v>589</v>
      </c>
      <c r="O926" t="s">
        <v>590</v>
      </c>
      <c r="P926" t="s">
        <v>5846</v>
      </c>
      <c r="Q926" t="s">
        <v>5847</v>
      </c>
      <c r="R926">
        <v>240948</v>
      </c>
      <c r="S926">
        <v>0</v>
      </c>
      <c r="T926">
        <v>240948</v>
      </c>
      <c r="U926" t="s">
        <v>35</v>
      </c>
      <c r="V926" t="s">
        <v>593</v>
      </c>
      <c r="W926" t="s">
        <v>638</v>
      </c>
      <c r="X926" s="4">
        <v>1</v>
      </c>
      <c r="Y926" s="4"/>
      <c r="Z926">
        <f t="shared" si="56"/>
        <v>7</v>
      </c>
      <c r="AA926">
        <f t="shared" si="57"/>
        <v>14</v>
      </c>
      <c r="AB926" s="5">
        <f t="shared" si="58"/>
        <v>0.89417824074189411</v>
      </c>
      <c r="AC926" s="3">
        <f t="shared" si="59"/>
        <v>0.56276620370044839</v>
      </c>
      <c r="AD926" t="str" cm="1">
        <f t="array" ref="AD926">IFERROR(_xlfn.IFS(
    AC926="", "",
    AC926*86400 &lt; 30, "1. 0s - &lt;30s",
    AC926*86400 &lt; 60, "2. 30s - &lt;1m",
    AC926*86400 &lt; 300, "3. 1m - &lt;5m",
    AC926*86400 &lt; 1800, "4. 5m - &lt;30m",
    TRUE, "5. &gt;= 30m"
),"6. Invalid (Order rejected)")</f>
        <v>5. &gt;= 30m</v>
      </c>
    </row>
    <row r="927" spans="1:30" hidden="1" x14ac:dyDescent="0.3">
      <c r="A927" t="s">
        <v>5848</v>
      </c>
      <c r="B927" t="s">
        <v>25</v>
      </c>
      <c r="C927">
        <v>42758642</v>
      </c>
      <c r="D927">
        <v>0</v>
      </c>
      <c r="E927" t="s">
        <v>25</v>
      </c>
      <c r="F927" t="s">
        <v>26</v>
      </c>
      <c r="G927" t="s">
        <v>27</v>
      </c>
      <c r="H927" t="s">
        <v>5849</v>
      </c>
      <c r="I927" t="s">
        <v>5850</v>
      </c>
      <c r="J927" t="s">
        <v>26</v>
      </c>
      <c r="K927" t="s">
        <v>26</v>
      </c>
      <c r="L927" t="s">
        <v>5851</v>
      </c>
      <c r="M927" t="s">
        <v>25</v>
      </c>
      <c r="N927" t="s">
        <v>721</v>
      </c>
      <c r="O927" t="s">
        <v>722</v>
      </c>
      <c r="P927" t="s">
        <v>342</v>
      </c>
      <c r="Q927" t="s">
        <v>343</v>
      </c>
      <c r="R927">
        <v>134784</v>
      </c>
      <c r="S927">
        <v>0</v>
      </c>
      <c r="T927">
        <v>134784</v>
      </c>
      <c r="U927" t="s">
        <v>35</v>
      </c>
      <c r="V927" t="s">
        <v>725</v>
      </c>
      <c r="W927" t="s">
        <v>344</v>
      </c>
      <c r="X927" s="4">
        <v>1</v>
      </c>
      <c r="Y927" s="4"/>
      <c r="Z927">
        <f t="shared" si="56"/>
        <v>7</v>
      </c>
      <c r="AA927">
        <f t="shared" si="57"/>
        <v>14</v>
      </c>
      <c r="AB927" s="5">
        <f t="shared" si="58"/>
        <v>0.90523148148349719</v>
      </c>
      <c r="AC927" s="3">
        <f t="shared" si="59"/>
        <v>0.60449074074131204</v>
      </c>
      <c r="AD927" t="str" cm="1">
        <f t="array" ref="AD927">IFERROR(_xlfn.IFS(
    AC927="", "",
    AC927*86400 &lt; 30, "1. 0s - &lt;30s",
    AC927*86400 &lt; 60, "2. 30s - &lt;1m",
    AC927*86400 &lt; 300, "3. 1m - &lt;5m",
    AC927*86400 &lt; 1800, "4. 5m - &lt;30m",
    TRUE, "5. &gt;= 30m"
),"6. Invalid (Order rejected)")</f>
        <v>5. &gt;= 30m</v>
      </c>
    </row>
    <row r="928" spans="1:30" hidden="1" x14ac:dyDescent="0.3">
      <c r="A928" t="s">
        <v>5852</v>
      </c>
      <c r="B928" t="s">
        <v>25</v>
      </c>
      <c r="C928">
        <v>42758642</v>
      </c>
      <c r="D928">
        <v>0</v>
      </c>
      <c r="E928" t="s">
        <v>25</v>
      </c>
      <c r="F928" t="s">
        <v>26</v>
      </c>
      <c r="G928" t="s">
        <v>27</v>
      </c>
      <c r="H928" t="s">
        <v>5853</v>
      </c>
      <c r="I928" t="s">
        <v>677</v>
      </c>
      <c r="J928" t="s">
        <v>26</v>
      </c>
      <c r="K928" t="s">
        <v>26</v>
      </c>
      <c r="L928" t="s">
        <v>678</v>
      </c>
      <c r="M928" t="s">
        <v>25</v>
      </c>
      <c r="N928" t="s">
        <v>679</v>
      </c>
      <c r="O928" t="s">
        <v>680</v>
      </c>
      <c r="P928" t="s">
        <v>263</v>
      </c>
      <c r="Q928" t="s">
        <v>264</v>
      </c>
      <c r="R928">
        <v>130788</v>
      </c>
      <c r="S928">
        <v>0</v>
      </c>
      <c r="T928">
        <v>130788</v>
      </c>
      <c r="U928" t="s">
        <v>35</v>
      </c>
      <c r="V928" t="s">
        <v>683</v>
      </c>
      <c r="W928" t="s">
        <v>266</v>
      </c>
      <c r="X928" s="4">
        <v>1</v>
      </c>
      <c r="Y928" s="4"/>
      <c r="Z928">
        <f t="shared" si="56"/>
        <v>7</v>
      </c>
      <c r="AA928">
        <f t="shared" si="57"/>
        <v>14</v>
      </c>
      <c r="AB928" s="5">
        <f t="shared" si="58"/>
        <v>0.90666666666948004</v>
      </c>
      <c r="AC928" s="3">
        <f t="shared" si="59"/>
        <v>0.56277777777722804</v>
      </c>
      <c r="AD928" t="str" cm="1">
        <f t="array" ref="AD928">IFERROR(_xlfn.IFS(
    AC928="", "",
    AC928*86400 &lt; 30, "1. 0s - &lt;30s",
    AC928*86400 &lt; 60, "2. 30s - &lt;1m",
    AC928*86400 &lt; 300, "3. 1m - &lt;5m",
    AC928*86400 &lt; 1800, "4. 5m - &lt;30m",
    TRUE, "5. &gt;= 30m"
),"6. Invalid (Order rejected)")</f>
        <v>5. &gt;= 30m</v>
      </c>
    </row>
    <row r="929" spans="1:30" hidden="1" x14ac:dyDescent="0.3">
      <c r="A929" t="s">
        <v>5854</v>
      </c>
      <c r="B929" t="s">
        <v>25</v>
      </c>
      <c r="C929">
        <v>42758642</v>
      </c>
      <c r="D929">
        <v>0</v>
      </c>
      <c r="E929" t="s">
        <v>25</v>
      </c>
      <c r="F929" t="s">
        <v>26</v>
      </c>
      <c r="G929" t="s">
        <v>27</v>
      </c>
      <c r="H929" t="s">
        <v>5855</v>
      </c>
      <c r="I929" t="s">
        <v>597</v>
      </c>
      <c r="J929" t="s">
        <v>26</v>
      </c>
      <c r="K929" t="s">
        <v>26</v>
      </c>
      <c r="L929" t="s">
        <v>832</v>
      </c>
      <c r="M929" t="s">
        <v>25</v>
      </c>
      <c r="N929" t="s">
        <v>599</v>
      </c>
      <c r="O929" t="s">
        <v>600</v>
      </c>
      <c r="P929" t="s">
        <v>208</v>
      </c>
      <c r="Q929" t="s">
        <v>209</v>
      </c>
      <c r="R929">
        <v>252828</v>
      </c>
      <c r="S929">
        <v>0</v>
      </c>
      <c r="T929">
        <v>252828</v>
      </c>
      <c r="U929" t="s">
        <v>35</v>
      </c>
      <c r="V929" t="s">
        <v>601</v>
      </c>
      <c r="W929" t="s">
        <v>210</v>
      </c>
      <c r="X929" s="4">
        <v>1</v>
      </c>
      <c r="Y929" s="4"/>
      <c r="Z929">
        <f t="shared" si="56"/>
        <v>7</v>
      </c>
      <c r="AA929">
        <f t="shared" si="57"/>
        <v>14</v>
      </c>
      <c r="AB929" s="5">
        <f t="shared" si="58"/>
        <v>0.89614583333604969</v>
      </c>
      <c r="AC929" s="3">
        <f t="shared" si="59"/>
        <v>0.56289351851592073</v>
      </c>
      <c r="AD929" t="str" cm="1">
        <f t="array" ref="AD929">IFERROR(_xlfn.IFS(
    AC929="", "",
    AC929*86400 &lt; 30, "1. 0s - &lt;30s",
    AC929*86400 &lt; 60, "2. 30s - &lt;1m",
    AC929*86400 &lt; 300, "3. 1m - &lt;5m",
    AC929*86400 &lt; 1800, "4. 5m - &lt;30m",
    TRUE, "5. &gt;= 30m"
),"6. Invalid (Order rejected)")</f>
        <v>5. &gt;= 30m</v>
      </c>
    </row>
    <row r="930" spans="1:30" x14ac:dyDescent="0.3">
      <c r="A930" t="s">
        <v>5856</v>
      </c>
      <c r="B930" t="s">
        <v>25</v>
      </c>
      <c r="C930">
        <v>42758642</v>
      </c>
      <c r="D930">
        <v>3785706</v>
      </c>
      <c r="E930" t="s">
        <v>25</v>
      </c>
      <c r="F930" t="s">
        <v>75</v>
      </c>
      <c r="G930" t="s">
        <v>360</v>
      </c>
      <c r="H930" t="s">
        <v>5857</v>
      </c>
      <c r="I930" t="s">
        <v>5858</v>
      </c>
      <c r="J930" t="s">
        <v>5859</v>
      </c>
      <c r="K930" t="s">
        <v>26</v>
      </c>
      <c r="L930" t="s">
        <v>25</v>
      </c>
      <c r="M930" t="s">
        <v>25</v>
      </c>
      <c r="N930" t="s">
        <v>679</v>
      </c>
      <c r="O930" t="s">
        <v>680</v>
      </c>
      <c r="P930" t="s">
        <v>934</v>
      </c>
      <c r="Q930" t="s">
        <v>935</v>
      </c>
      <c r="R930">
        <v>226152</v>
      </c>
      <c r="S930">
        <v>175320</v>
      </c>
      <c r="T930">
        <v>50832</v>
      </c>
      <c r="U930" t="s">
        <v>35</v>
      </c>
      <c r="V930" t="s">
        <v>683</v>
      </c>
      <c r="W930" t="s">
        <v>936</v>
      </c>
      <c r="X930" s="4">
        <v>1</v>
      </c>
      <c r="Y930" s="4"/>
      <c r="Z930">
        <f t="shared" si="56"/>
        <v>7</v>
      </c>
      <c r="AA930">
        <f t="shared" si="57"/>
        <v>14</v>
      </c>
      <c r="AB930" s="5">
        <f t="shared" si="58"/>
        <v>0.90709490740846377</v>
      </c>
      <c r="AC930" s="3" t="str">
        <f t="shared" si="59"/>
        <v>Order rejected, no time available</v>
      </c>
      <c r="AD930" t="str" cm="1">
        <f t="array" ref="AD930">IFERROR(_xlfn.IFS(
    AC930="", "",
    AC930*86400 &lt; 30, "1. 0s - &lt;30s",
    AC930*86400 &lt; 60, "2. 30s - &lt;1m",
    AC930*86400 &lt; 300, "3. 1m - &lt;5m",
    AC930*86400 &lt; 1800, "4. 5m - &lt;30m",
    TRUE, "5. &gt;= 30m"
),"6. Invalid (Order rejected)")</f>
        <v>6. Invalid (Order rejected)</v>
      </c>
    </row>
    <row r="931" spans="1:30" hidden="1" x14ac:dyDescent="0.3">
      <c r="A931" t="s">
        <v>5860</v>
      </c>
      <c r="B931" t="s">
        <v>25</v>
      </c>
      <c r="C931">
        <v>42758642</v>
      </c>
      <c r="D931">
        <v>0</v>
      </c>
      <c r="E931" t="s">
        <v>25</v>
      </c>
      <c r="F931" t="s">
        <v>26</v>
      </c>
      <c r="G931" t="s">
        <v>27</v>
      </c>
      <c r="H931" t="s">
        <v>5861</v>
      </c>
      <c r="I931" t="s">
        <v>5862</v>
      </c>
      <c r="J931" t="s">
        <v>26</v>
      </c>
      <c r="K931" t="s">
        <v>26</v>
      </c>
      <c r="L931" t="s">
        <v>5863</v>
      </c>
      <c r="M931" t="s">
        <v>25</v>
      </c>
      <c r="N931" t="s">
        <v>693</v>
      </c>
      <c r="O931" t="s">
        <v>694</v>
      </c>
      <c r="P931" t="s">
        <v>5864</v>
      </c>
      <c r="Q931" t="s">
        <v>5865</v>
      </c>
      <c r="R931">
        <v>240192</v>
      </c>
      <c r="S931">
        <v>0</v>
      </c>
      <c r="T931">
        <v>240192</v>
      </c>
      <c r="U931" t="s">
        <v>35</v>
      </c>
      <c r="V931" t="s">
        <v>697</v>
      </c>
      <c r="W931" t="s">
        <v>5866</v>
      </c>
      <c r="X931" s="4">
        <v>1</v>
      </c>
      <c r="Y931" s="4"/>
      <c r="Z931">
        <f t="shared" si="56"/>
        <v>7</v>
      </c>
      <c r="AA931">
        <f t="shared" si="57"/>
        <v>14</v>
      </c>
      <c r="AB931" s="5">
        <f t="shared" si="58"/>
        <v>0.90813657407124992</v>
      </c>
      <c r="AC931" s="3">
        <f t="shared" si="59"/>
        <v>0.56269675926159834</v>
      </c>
      <c r="AD931" t="str" cm="1">
        <f t="array" ref="AD931">IFERROR(_xlfn.IFS(
    AC931="", "",
    AC931*86400 &lt; 30, "1. 0s - &lt;30s",
    AC931*86400 &lt; 60, "2. 30s - &lt;1m",
    AC931*86400 &lt; 300, "3. 1m - &lt;5m",
    AC931*86400 &lt; 1800, "4. 5m - &lt;30m",
    TRUE, "5. &gt;= 30m"
),"6. Invalid (Order rejected)")</f>
        <v>5. &gt;= 30m</v>
      </c>
    </row>
    <row r="932" spans="1:30" hidden="1" x14ac:dyDescent="0.3">
      <c r="A932" t="s">
        <v>5867</v>
      </c>
      <c r="B932" t="s">
        <v>25</v>
      </c>
      <c r="C932">
        <v>42758642</v>
      </c>
      <c r="D932">
        <v>0</v>
      </c>
      <c r="E932" t="s">
        <v>25</v>
      </c>
      <c r="F932" t="s">
        <v>26</v>
      </c>
      <c r="G932" t="s">
        <v>27</v>
      </c>
      <c r="H932" t="s">
        <v>5868</v>
      </c>
      <c r="I932" t="s">
        <v>701</v>
      </c>
      <c r="J932" t="s">
        <v>26</v>
      </c>
      <c r="K932" t="s">
        <v>26</v>
      </c>
      <c r="L932" t="s">
        <v>702</v>
      </c>
      <c r="M932" t="s">
        <v>25</v>
      </c>
      <c r="N932" t="s">
        <v>703</v>
      </c>
      <c r="O932" t="s">
        <v>704</v>
      </c>
      <c r="P932" t="s">
        <v>103</v>
      </c>
      <c r="Q932" t="s">
        <v>104</v>
      </c>
      <c r="R932">
        <v>121824</v>
      </c>
      <c r="S932">
        <v>0</v>
      </c>
      <c r="T932">
        <v>121824</v>
      </c>
      <c r="U932" t="s">
        <v>35</v>
      </c>
      <c r="V932" t="s">
        <v>705</v>
      </c>
      <c r="W932" t="s">
        <v>105</v>
      </c>
      <c r="X932" s="4">
        <v>1</v>
      </c>
      <c r="Y932" s="4"/>
      <c r="Z932">
        <f t="shared" si="56"/>
        <v>7</v>
      </c>
      <c r="AA932">
        <f t="shared" si="57"/>
        <v>14</v>
      </c>
      <c r="AB932" s="5">
        <f t="shared" si="58"/>
        <v>0.9128935185217415</v>
      </c>
      <c r="AC932" s="3">
        <f t="shared" si="59"/>
        <v>0.52113425925927004</v>
      </c>
      <c r="AD932" t="str" cm="1">
        <f t="array" ref="AD932">IFERROR(_xlfn.IFS(
    AC932="", "",
    AC932*86400 &lt; 30, "1. 0s - &lt;30s",
    AC932*86400 &lt; 60, "2. 30s - &lt;1m",
    AC932*86400 &lt; 300, "3. 1m - &lt;5m",
    AC932*86400 &lt; 1800, "4. 5m - &lt;30m",
    TRUE, "5. &gt;= 30m"
),"6. Invalid (Order rejected)")</f>
        <v>5. &gt;= 30m</v>
      </c>
    </row>
    <row r="933" spans="1:30" hidden="1" x14ac:dyDescent="0.3">
      <c r="A933" t="s">
        <v>5869</v>
      </c>
      <c r="B933" t="s">
        <v>25</v>
      </c>
      <c r="C933">
        <v>42758642</v>
      </c>
      <c r="D933">
        <v>0</v>
      </c>
      <c r="E933" t="s">
        <v>25</v>
      </c>
      <c r="F933" t="s">
        <v>26</v>
      </c>
      <c r="G933" t="s">
        <v>27</v>
      </c>
      <c r="H933" t="s">
        <v>5870</v>
      </c>
      <c r="I933" t="s">
        <v>612</v>
      </c>
      <c r="J933" t="s">
        <v>26</v>
      </c>
      <c r="K933" t="s">
        <v>26</v>
      </c>
      <c r="L933" t="s">
        <v>613</v>
      </c>
      <c r="M933" t="s">
        <v>25</v>
      </c>
      <c r="N933" t="s">
        <v>614</v>
      </c>
      <c r="O933" t="s">
        <v>615</v>
      </c>
      <c r="P933" t="s">
        <v>616</v>
      </c>
      <c r="Q933" t="s">
        <v>617</v>
      </c>
      <c r="R933">
        <v>244944</v>
      </c>
      <c r="S933">
        <v>0</v>
      </c>
      <c r="T933">
        <v>244944</v>
      </c>
      <c r="U933" t="s">
        <v>35</v>
      </c>
      <c r="V933" t="s">
        <v>618</v>
      </c>
      <c r="W933" t="s">
        <v>619</v>
      </c>
      <c r="X933" s="4">
        <v>1</v>
      </c>
      <c r="Y933" s="4"/>
      <c r="Z933">
        <f t="shared" si="56"/>
        <v>7</v>
      </c>
      <c r="AA933">
        <f t="shared" si="57"/>
        <v>14</v>
      </c>
      <c r="AB933" s="5">
        <f t="shared" si="58"/>
        <v>0.89912037036992842</v>
      </c>
      <c r="AC933" s="3">
        <f t="shared" si="59"/>
        <v>0.56268518518481869</v>
      </c>
      <c r="AD933" t="str" cm="1">
        <f t="array" ref="AD933">IFERROR(_xlfn.IFS(
    AC933="", "",
    AC933*86400 &lt; 30, "1. 0s - &lt;30s",
    AC933*86400 &lt; 60, "2. 30s - &lt;1m",
    AC933*86400 &lt; 300, "3. 1m - &lt;5m",
    AC933*86400 &lt; 1800, "4. 5m - &lt;30m",
    TRUE, "5. &gt;= 30m"
),"6. Invalid (Order rejected)")</f>
        <v>5. &gt;= 30m</v>
      </c>
    </row>
    <row r="934" spans="1:30" hidden="1" x14ac:dyDescent="0.3">
      <c r="A934" t="s">
        <v>5871</v>
      </c>
      <c r="B934" t="s">
        <v>25</v>
      </c>
      <c r="C934">
        <v>42758642</v>
      </c>
      <c r="D934">
        <v>0</v>
      </c>
      <c r="E934" t="s">
        <v>25</v>
      </c>
      <c r="F934" t="s">
        <v>26</v>
      </c>
      <c r="G934" t="s">
        <v>27</v>
      </c>
      <c r="H934" t="s">
        <v>5872</v>
      </c>
      <c r="I934" t="s">
        <v>5873</v>
      </c>
      <c r="J934" t="s">
        <v>26</v>
      </c>
      <c r="K934" t="s">
        <v>26</v>
      </c>
      <c r="L934" t="s">
        <v>5874</v>
      </c>
      <c r="M934" t="s">
        <v>25</v>
      </c>
      <c r="N934" t="s">
        <v>798</v>
      </c>
      <c r="O934" t="s">
        <v>799</v>
      </c>
      <c r="P934" t="s">
        <v>5875</v>
      </c>
      <c r="Q934" t="s">
        <v>5876</v>
      </c>
      <c r="R934">
        <v>190188</v>
      </c>
      <c r="S934">
        <v>0</v>
      </c>
      <c r="T934">
        <v>190188</v>
      </c>
      <c r="U934" t="s">
        <v>35</v>
      </c>
      <c r="V934" t="s">
        <v>802</v>
      </c>
      <c r="W934" t="s">
        <v>5877</v>
      </c>
      <c r="X934" s="4">
        <v>1</v>
      </c>
      <c r="Y934" s="4"/>
      <c r="Z934">
        <f t="shared" si="56"/>
        <v>7</v>
      </c>
      <c r="AA934">
        <f t="shared" si="57"/>
        <v>14</v>
      </c>
      <c r="AB934" s="5">
        <f t="shared" si="58"/>
        <v>0.9022569444423425</v>
      </c>
      <c r="AC934" s="3">
        <f t="shared" si="59"/>
        <v>0.60468750000291038</v>
      </c>
      <c r="AD934" t="str" cm="1">
        <f t="array" ref="AD934">IFERROR(_xlfn.IFS(
    AC934="", "",
    AC934*86400 &lt; 30, "1. 0s - &lt;30s",
    AC934*86400 &lt; 60, "2. 30s - &lt;1m",
    AC934*86400 &lt; 300, "3. 1m - &lt;5m",
    AC934*86400 &lt; 1800, "4. 5m - &lt;30m",
    TRUE, "5. &gt;= 30m"
),"6. Invalid (Order rejected)")</f>
        <v>5. &gt;= 30m</v>
      </c>
    </row>
    <row r="935" spans="1:30" hidden="1" x14ac:dyDescent="0.3">
      <c r="A935" t="s">
        <v>5878</v>
      </c>
      <c r="B935" t="s">
        <v>25</v>
      </c>
      <c r="C935">
        <v>42758642</v>
      </c>
      <c r="D935">
        <v>0</v>
      </c>
      <c r="E935" t="s">
        <v>25</v>
      </c>
      <c r="F935" t="s">
        <v>26</v>
      </c>
      <c r="G935" t="s">
        <v>27</v>
      </c>
      <c r="H935" t="s">
        <v>5879</v>
      </c>
      <c r="I935" t="s">
        <v>1037</v>
      </c>
      <c r="J935" t="s">
        <v>26</v>
      </c>
      <c r="K935" t="s">
        <v>26</v>
      </c>
      <c r="L935" t="s">
        <v>5834</v>
      </c>
      <c r="M935" t="s">
        <v>25</v>
      </c>
      <c r="N935" t="s">
        <v>798</v>
      </c>
      <c r="O935" t="s">
        <v>799</v>
      </c>
      <c r="P935" t="s">
        <v>5880</v>
      </c>
      <c r="Q935" t="s">
        <v>5881</v>
      </c>
      <c r="R935">
        <v>177012</v>
      </c>
      <c r="S935">
        <v>0</v>
      </c>
      <c r="T935">
        <v>177012</v>
      </c>
      <c r="U935" t="s">
        <v>35</v>
      </c>
      <c r="V935" t="s">
        <v>802</v>
      </c>
      <c r="W935" t="s">
        <v>5882</v>
      </c>
      <c r="X935" s="4">
        <v>1</v>
      </c>
      <c r="Y935" s="4"/>
      <c r="Z935">
        <f t="shared" si="56"/>
        <v>7</v>
      </c>
      <c r="AA935">
        <f t="shared" si="57"/>
        <v>14</v>
      </c>
      <c r="AB935" s="5">
        <f t="shared" si="58"/>
        <v>0.90271990740438923</v>
      </c>
      <c r="AC935" s="3">
        <f t="shared" si="59"/>
        <v>0.5625578703766223</v>
      </c>
      <c r="AD935" t="str" cm="1">
        <f t="array" ref="AD935">IFERROR(_xlfn.IFS(
    AC935="", "",
    AC935*86400 &lt; 30, "1. 0s - &lt;30s",
    AC935*86400 &lt; 60, "2. 30s - &lt;1m",
    AC935*86400 &lt; 300, "3. 1m - &lt;5m",
    AC935*86400 &lt; 1800, "4. 5m - &lt;30m",
    TRUE, "5. &gt;= 30m"
),"6. Invalid (Order rejected)")</f>
        <v>5. &gt;= 30m</v>
      </c>
    </row>
    <row r="936" spans="1:30" hidden="1" x14ac:dyDescent="0.3">
      <c r="A936" t="s">
        <v>5883</v>
      </c>
      <c r="B936" t="s">
        <v>25</v>
      </c>
      <c r="C936">
        <v>42758642</v>
      </c>
      <c r="D936">
        <v>0</v>
      </c>
      <c r="E936" t="s">
        <v>25</v>
      </c>
      <c r="F936" t="s">
        <v>26</v>
      </c>
      <c r="G936" t="s">
        <v>27</v>
      </c>
      <c r="H936" t="s">
        <v>5884</v>
      </c>
      <c r="I936" t="s">
        <v>5862</v>
      </c>
      <c r="J936" t="s">
        <v>26</v>
      </c>
      <c r="K936" t="s">
        <v>26</v>
      </c>
      <c r="L936" t="s">
        <v>5863</v>
      </c>
      <c r="M936" t="s">
        <v>25</v>
      </c>
      <c r="N936" t="s">
        <v>693</v>
      </c>
      <c r="O936" t="s">
        <v>694</v>
      </c>
      <c r="P936" t="s">
        <v>5885</v>
      </c>
      <c r="Q936" t="s">
        <v>5886</v>
      </c>
      <c r="R936">
        <v>157896</v>
      </c>
      <c r="S936">
        <v>0</v>
      </c>
      <c r="T936">
        <v>157896</v>
      </c>
      <c r="U936" t="s">
        <v>35</v>
      </c>
      <c r="V936" t="s">
        <v>697</v>
      </c>
      <c r="W936" t="s">
        <v>698</v>
      </c>
      <c r="X936" s="4">
        <v>1</v>
      </c>
      <c r="Y936" s="4"/>
      <c r="Z936">
        <f t="shared" si="56"/>
        <v>7</v>
      </c>
      <c r="AA936">
        <f t="shared" si="57"/>
        <v>14</v>
      </c>
      <c r="AB936" s="5">
        <f t="shared" si="58"/>
        <v>0.90837962963269092</v>
      </c>
      <c r="AC936" s="3">
        <f t="shared" si="59"/>
        <v>0.56245370370015735</v>
      </c>
      <c r="AD936" t="str" cm="1">
        <f t="array" ref="AD936">IFERROR(_xlfn.IFS(
    AC936="", "",
    AC936*86400 &lt; 30, "1. 0s - &lt;30s",
    AC936*86400 &lt; 60, "2. 30s - &lt;1m",
    AC936*86400 &lt; 300, "3. 1m - &lt;5m",
    AC936*86400 &lt; 1800, "4. 5m - &lt;30m",
    TRUE, "5. &gt;= 30m"
),"6. Invalid (Order rejected)")</f>
        <v>5. &gt;= 30m</v>
      </c>
    </row>
    <row r="937" spans="1:30" hidden="1" x14ac:dyDescent="0.3">
      <c r="A937" t="s">
        <v>5887</v>
      </c>
      <c r="B937" t="s">
        <v>25</v>
      </c>
      <c r="C937">
        <v>42758642</v>
      </c>
      <c r="D937">
        <v>0</v>
      </c>
      <c r="E937" t="s">
        <v>25</v>
      </c>
      <c r="F937" t="s">
        <v>26</v>
      </c>
      <c r="G937" t="s">
        <v>27</v>
      </c>
      <c r="H937" t="s">
        <v>5888</v>
      </c>
      <c r="I937" t="s">
        <v>5889</v>
      </c>
      <c r="J937" t="s">
        <v>26</v>
      </c>
      <c r="K937" t="s">
        <v>26</v>
      </c>
      <c r="L937" t="s">
        <v>5890</v>
      </c>
      <c r="M937" t="s">
        <v>25</v>
      </c>
      <c r="N937" t="s">
        <v>732</v>
      </c>
      <c r="O937" t="s">
        <v>733</v>
      </c>
      <c r="P937" t="s">
        <v>5891</v>
      </c>
      <c r="Q937" t="s">
        <v>5892</v>
      </c>
      <c r="R937">
        <v>259092</v>
      </c>
      <c r="S937">
        <v>0</v>
      </c>
      <c r="T937">
        <v>259092</v>
      </c>
      <c r="U937" t="s">
        <v>35</v>
      </c>
      <c r="V937" t="s">
        <v>736</v>
      </c>
      <c r="W937" t="s">
        <v>5893</v>
      </c>
      <c r="X937" s="4">
        <v>1</v>
      </c>
      <c r="Y937" s="4"/>
      <c r="Z937">
        <f t="shared" si="56"/>
        <v>7</v>
      </c>
      <c r="AA937">
        <f t="shared" si="57"/>
        <v>14</v>
      </c>
      <c r="AB937" s="5">
        <f t="shared" si="58"/>
        <v>0.90980324074189411</v>
      </c>
      <c r="AC937" s="3">
        <f t="shared" si="59"/>
        <v>0.56241898147709435</v>
      </c>
      <c r="AD937" t="str" cm="1">
        <f t="array" ref="AD937">IFERROR(_xlfn.IFS(
    AC937="", "",
    AC937*86400 &lt; 30, "1. 0s - &lt;30s",
    AC937*86400 &lt; 60, "2. 30s - &lt;1m",
    AC937*86400 &lt; 300, "3. 1m - &lt;5m",
    AC937*86400 &lt; 1800, "4. 5m - &lt;30m",
    TRUE, "5. &gt;= 30m"
),"6. Invalid (Order rejected)")</f>
        <v>5. &gt;= 30m</v>
      </c>
    </row>
    <row r="938" spans="1:30" hidden="1" x14ac:dyDescent="0.3">
      <c r="A938" t="s">
        <v>5894</v>
      </c>
      <c r="B938" t="s">
        <v>25</v>
      </c>
      <c r="C938">
        <v>42758642</v>
      </c>
      <c r="D938">
        <v>0</v>
      </c>
      <c r="E938" t="s">
        <v>25</v>
      </c>
      <c r="F938" t="s">
        <v>26</v>
      </c>
      <c r="G938" t="s">
        <v>27</v>
      </c>
      <c r="H938" t="s">
        <v>5895</v>
      </c>
      <c r="I938" t="s">
        <v>5896</v>
      </c>
      <c r="J938" t="s">
        <v>26</v>
      </c>
      <c r="K938" t="s">
        <v>26</v>
      </c>
      <c r="L938" t="s">
        <v>5897</v>
      </c>
      <c r="M938" t="s">
        <v>25</v>
      </c>
      <c r="N938" t="s">
        <v>703</v>
      </c>
      <c r="O938" t="s">
        <v>704</v>
      </c>
      <c r="P938" t="s">
        <v>780</v>
      </c>
      <c r="Q938" t="s">
        <v>781</v>
      </c>
      <c r="R938">
        <v>264492</v>
      </c>
      <c r="S938">
        <v>0</v>
      </c>
      <c r="T938">
        <v>264492</v>
      </c>
      <c r="U938" t="s">
        <v>35</v>
      </c>
      <c r="V938" t="s">
        <v>705</v>
      </c>
      <c r="W938" t="s">
        <v>782</v>
      </c>
      <c r="X938" s="4">
        <v>1</v>
      </c>
      <c r="Y938" s="4"/>
      <c r="Z938">
        <f t="shared" si="56"/>
        <v>7</v>
      </c>
      <c r="AA938">
        <f t="shared" si="57"/>
        <v>14</v>
      </c>
      <c r="AB938" s="5">
        <f t="shared" si="58"/>
        <v>0.91201388889021473</v>
      </c>
      <c r="AC938" s="3">
        <f t="shared" si="59"/>
        <v>0.52131944444408873</v>
      </c>
      <c r="AD938" t="str" cm="1">
        <f t="array" ref="AD938">IFERROR(_xlfn.IFS(
    AC938="", "",
    AC938*86400 &lt; 30, "1. 0s - &lt;30s",
    AC938*86400 &lt; 60, "2. 30s - &lt;1m",
    AC938*86400 &lt; 300, "3. 1m - &lt;5m",
    AC938*86400 &lt; 1800, "4. 5m - &lt;30m",
    TRUE, "5. &gt;= 30m"
),"6. Invalid (Order rejected)")</f>
        <v>5. &gt;= 30m</v>
      </c>
    </row>
    <row r="939" spans="1:30" hidden="1" x14ac:dyDescent="0.3">
      <c r="A939" t="s">
        <v>5898</v>
      </c>
      <c r="B939" t="s">
        <v>25</v>
      </c>
      <c r="C939">
        <v>42758642</v>
      </c>
      <c r="D939">
        <v>0</v>
      </c>
      <c r="E939" t="s">
        <v>25</v>
      </c>
      <c r="F939" t="s">
        <v>26</v>
      </c>
      <c r="G939" t="s">
        <v>27</v>
      </c>
      <c r="H939" t="s">
        <v>5899</v>
      </c>
      <c r="I939" t="s">
        <v>5900</v>
      </c>
      <c r="J939" t="s">
        <v>26</v>
      </c>
      <c r="K939" t="s">
        <v>26</v>
      </c>
      <c r="L939" t="s">
        <v>5901</v>
      </c>
      <c r="M939" t="s">
        <v>25</v>
      </c>
      <c r="N939" t="s">
        <v>753</v>
      </c>
      <c r="O939" t="s">
        <v>754</v>
      </c>
      <c r="P939" t="s">
        <v>208</v>
      </c>
      <c r="Q939" t="s">
        <v>209</v>
      </c>
      <c r="R939">
        <v>312444</v>
      </c>
      <c r="S939">
        <v>0</v>
      </c>
      <c r="T939">
        <v>312444</v>
      </c>
      <c r="U939" t="s">
        <v>35</v>
      </c>
      <c r="V939" t="s">
        <v>755</v>
      </c>
      <c r="W939" t="s">
        <v>210</v>
      </c>
      <c r="X939" s="4">
        <v>1</v>
      </c>
      <c r="Y939" s="4"/>
      <c r="Z939">
        <f t="shared" si="56"/>
        <v>7</v>
      </c>
      <c r="AA939">
        <f t="shared" si="57"/>
        <v>14</v>
      </c>
      <c r="AB939" s="5">
        <f t="shared" si="58"/>
        <v>0.91688657407212304</v>
      </c>
      <c r="AC939" s="3">
        <f t="shared" si="59"/>
        <v>0.56297453703882638</v>
      </c>
      <c r="AD939" t="str" cm="1">
        <f t="array" ref="AD939">IFERROR(_xlfn.IFS(
    AC939="", "",
    AC939*86400 &lt; 30, "1. 0s - &lt;30s",
    AC939*86400 &lt; 60, "2. 30s - &lt;1m",
    AC939*86400 &lt; 300, "3. 1m - &lt;5m",
    AC939*86400 &lt; 1800, "4. 5m - &lt;30m",
    TRUE, "5. &gt;= 30m"
),"6. Invalid (Order rejected)")</f>
        <v>5. &gt;= 30m</v>
      </c>
    </row>
    <row r="940" spans="1:30" hidden="1" x14ac:dyDescent="0.3">
      <c r="A940" t="s">
        <v>5902</v>
      </c>
      <c r="B940" t="s">
        <v>25</v>
      </c>
      <c r="C940">
        <v>42758642</v>
      </c>
      <c r="D940">
        <v>0</v>
      </c>
      <c r="E940" t="s">
        <v>25</v>
      </c>
      <c r="F940" t="s">
        <v>26</v>
      </c>
      <c r="G940" t="s">
        <v>27</v>
      </c>
      <c r="H940" t="s">
        <v>5903</v>
      </c>
      <c r="I940" t="s">
        <v>877</v>
      </c>
      <c r="J940" t="s">
        <v>26</v>
      </c>
      <c r="K940" t="s">
        <v>26</v>
      </c>
      <c r="L940" t="s">
        <v>878</v>
      </c>
      <c r="M940" t="s">
        <v>25</v>
      </c>
      <c r="N940" t="s">
        <v>766</v>
      </c>
      <c r="O940" t="s">
        <v>767</v>
      </c>
      <c r="P940" t="s">
        <v>342</v>
      </c>
      <c r="Q940" t="s">
        <v>343</v>
      </c>
      <c r="R940">
        <v>166968</v>
      </c>
      <c r="S940">
        <v>0</v>
      </c>
      <c r="T940">
        <v>166968</v>
      </c>
      <c r="U940" t="s">
        <v>35</v>
      </c>
      <c r="V940" t="s">
        <v>770</v>
      </c>
      <c r="W940" t="s">
        <v>344</v>
      </c>
      <c r="X940" s="4">
        <v>1</v>
      </c>
      <c r="Y940" s="4"/>
      <c r="Z940">
        <f t="shared" si="56"/>
        <v>7</v>
      </c>
      <c r="AA940">
        <f t="shared" si="57"/>
        <v>14</v>
      </c>
      <c r="AB940" s="5">
        <f t="shared" si="58"/>
        <v>0.92142361111473292</v>
      </c>
      <c r="AC940" s="3">
        <f t="shared" si="59"/>
        <v>0.52440972221666016</v>
      </c>
      <c r="AD940" t="str" cm="1">
        <f t="array" ref="AD940">IFERROR(_xlfn.IFS(
    AC940="", "",
    AC940*86400 &lt; 30, "1. 0s - &lt;30s",
    AC940*86400 &lt; 60, "2. 30s - &lt;1m",
    AC940*86400 &lt; 300, "3. 1m - &lt;5m",
    AC940*86400 &lt; 1800, "4. 5m - &lt;30m",
    TRUE, "5. &gt;= 30m"
),"6. Invalid (Order rejected)")</f>
        <v>5. &gt;= 30m</v>
      </c>
    </row>
    <row r="941" spans="1:30" hidden="1" x14ac:dyDescent="0.3">
      <c r="A941" t="s">
        <v>5904</v>
      </c>
      <c r="B941" t="s">
        <v>25</v>
      </c>
      <c r="C941">
        <v>42758642</v>
      </c>
      <c r="D941">
        <v>0</v>
      </c>
      <c r="E941" t="s">
        <v>25</v>
      </c>
      <c r="F941" t="s">
        <v>26</v>
      </c>
      <c r="G941" t="s">
        <v>27</v>
      </c>
      <c r="H941" t="s">
        <v>5905</v>
      </c>
      <c r="I941" t="s">
        <v>758</v>
      </c>
      <c r="J941" t="s">
        <v>26</v>
      </c>
      <c r="K941" t="s">
        <v>26</v>
      </c>
      <c r="L941" t="s">
        <v>759</v>
      </c>
      <c r="M941" t="s">
        <v>25</v>
      </c>
      <c r="N941" t="s">
        <v>760</v>
      </c>
      <c r="O941" t="s">
        <v>761</v>
      </c>
      <c r="P941" t="s">
        <v>616</v>
      </c>
      <c r="Q941" t="s">
        <v>617</v>
      </c>
      <c r="R941">
        <v>235764</v>
      </c>
      <c r="S941">
        <v>0</v>
      </c>
      <c r="T941">
        <v>235764</v>
      </c>
      <c r="U941" t="s">
        <v>35</v>
      </c>
      <c r="V941" t="s">
        <v>762</v>
      </c>
      <c r="W941" t="s">
        <v>619</v>
      </c>
      <c r="X941" s="4">
        <v>1</v>
      </c>
      <c r="Y941" s="4"/>
      <c r="Z941">
        <f t="shared" si="56"/>
        <v>7</v>
      </c>
      <c r="AA941">
        <f t="shared" si="57"/>
        <v>14</v>
      </c>
      <c r="AB941" s="5">
        <f t="shared" si="58"/>
        <v>0.91883101851999527</v>
      </c>
      <c r="AC941" s="3">
        <f t="shared" si="59"/>
        <v>0.520752314812853</v>
      </c>
      <c r="AD941" t="str" cm="1">
        <f t="array" ref="AD941">IFERROR(_xlfn.IFS(
    AC941="", "",
    AC941*86400 &lt; 30, "1. 0s - &lt;30s",
    AC941*86400 &lt; 60, "2. 30s - &lt;1m",
    AC941*86400 &lt; 300, "3. 1m - &lt;5m",
    AC941*86400 &lt; 1800, "4. 5m - &lt;30m",
    TRUE, "5. &gt;= 30m"
),"6. Invalid (Order rejected)")</f>
        <v>5. &gt;= 30m</v>
      </c>
    </row>
    <row r="942" spans="1:30" hidden="1" x14ac:dyDescent="0.3">
      <c r="A942" t="s">
        <v>5906</v>
      </c>
      <c r="B942" t="s">
        <v>25</v>
      </c>
      <c r="C942">
        <v>42758642</v>
      </c>
      <c r="D942">
        <v>0</v>
      </c>
      <c r="E942" t="s">
        <v>25</v>
      </c>
      <c r="F942" t="s">
        <v>26</v>
      </c>
      <c r="G942" t="s">
        <v>27</v>
      </c>
      <c r="H942" t="s">
        <v>5907</v>
      </c>
      <c r="I942" t="s">
        <v>774</v>
      </c>
      <c r="J942" t="s">
        <v>26</v>
      </c>
      <c r="K942" t="s">
        <v>26</v>
      </c>
      <c r="L942" t="s">
        <v>775</v>
      </c>
      <c r="M942" t="s">
        <v>25</v>
      </c>
      <c r="N942" t="s">
        <v>766</v>
      </c>
      <c r="O942" t="s">
        <v>767</v>
      </c>
      <c r="P942" t="s">
        <v>5908</v>
      </c>
      <c r="Q942" t="s">
        <v>5909</v>
      </c>
      <c r="R942">
        <v>147312</v>
      </c>
      <c r="S942">
        <v>0</v>
      </c>
      <c r="T942">
        <v>147312</v>
      </c>
      <c r="U942" t="s">
        <v>35</v>
      </c>
      <c r="V942" t="s">
        <v>770</v>
      </c>
      <c r="W942" t="s">
        <v>5910</v>
      </c>
      <c r="X942" s="4">
        <v>1</v>
      </c>
      <c r="Y942" s="4"/>
      <c r="Z942">
        <f t="shared" si="56"/>
        <v>7</v>
      </c>
      <c r="AA942">
        <f t="shared" si="57"/>
        <v>14</v>
      </c>
      <c r="AB942" s="5">
        <f t="shared" si="58"/>
        <v>0.91991898148262408</v>
      </c>
      <c r="AC942" s="3">
        <f t="shared" si="59"/>
        <v>0.56271990740788169</v>
      </c>
      <c r="AD942" t="str" cm="1">
        <f t="array" ref="AD942">IFERROR(_xlfn.IFS(
    AC942="", "",
    AC942*86400 &lt; 30, "1. 0s - &lt;30s",
    AC942*86400 &lt; 60, "2. 30s - &lt;1m",
    AC942*86400 &lt; 300, "3. 1m - &lt;5m",
    AC942*86400 &lt; 1800, "4. 5m - &lt;30m",
    TRUE, "5. &gt;= 30m"
),"6. Invalid (Order rejected)")</f>
        <v>5. &gt;= 30m</v>
      </c>
    </row>
    <row r="943" spans="1:30" hidden="1" x14ac:dyDescent="0.3">
      <c r="A943" t="s">
        <v>5911</v>
      </c>
      <c r="B943" t="s">
        <v>25</v>
      </c>
      <c r="C943">
        <v>42758642</v>
      </c>
      <c r="D943">
        <v>0</v>
      </c>
      <c r="E943" t="s">
        <v>25</v>
      </c>
      <c r="F943" t="s">
        <v>26</v>
      </c>
      <c r="G943" t="s">
        <v>27</v>
      </c>
      <c r="H943" t="s">
        <v>5912</v>
      </c>
      <c r="I943" t="s">
        <v>5913</v>
      </c>
      <c r="J943" t="s">
        <v>26</v>
      </c>
      <c r="K943" t="s">
        <v>26</v>
      </c>
      <c r="L943" t="s">
        <v>5914</v>
      </c>
      <c r="M943" t="s">
        <v>25</v>
      </c>
      <c r="N943" t="s">
        <v>721</v>
      </c>
      <c r="O943" t="s">
        <v>722</v>
      </c>
      <c r="P943" t="s">
        <v>342</v>
      </c>
      <c r="Q943" t="s">
        <v>343</v>
      </c>
      <c r="R943">
        <v>184356</v>
      </c>
      <c r="S943">
        <v>0</v>
      </c>
      <c r="T943">
        <v>184356</v>
      </c>
      <c r="U943" t="s">
        <v>35</v>
      </c>
      <c r="V943" t="s">
        <v>725</v>
      </c>
      <c r="W943" t="s">
        <v>344</v>
      </c>
      <c r="X943" s="4">
        <v>1</v>
      </c>
      <c r="Y943" s="4"/>
      <c r="Z943">
        <f t="shared" si="56"/>
        <v>7</v>
      </c>
      <c r="AA943">
        <f t="shared" si="57"/>
        <v>14</v>
      </c>
      <c r="AB943" s="5">
        <f t="shared" si="58"/>
        <v>0.90547453703766223</v>
      </c>
      <c r="AC943" s="3">
        <f t="shared" si="59"/>
        <v>0.56258101851562969</v>
      </c>
      <c r="AD943" t="str" cm="1">
        <f t="array" ref="AD943">IFERROR(_xlfn.IFS(
    AC943="", "",
    AC943*86400 &lt; 30, "1. 0s - &lt;30s",
    AC943*86400 &lt; 60, "2. 30s - &lt;1m",
    AC943*86400 &lt; 300, "3. 1m - &lt;5m",
    AC943*86400 &lt; 1800, "4. 5m - &lt;30m",
    TRUE, "5. &gt;= 30m"
),"6. Invalid (Order rejected)")</f>
        <v>5. &gt;= 30m</v>
      </c>
    </row>
    <row r="944" spans="1:30" hidden="1" x14ac:dyDescent="0.3">
      <c r="A944" t="s">
        <v>5915</v>
      </c>
      <c r="B944" t="s">
        <v>25</v>
      </c>
      <c r="C944">
        <v>42758642</v>
      </c>
      <c r="D944">
        <v>0</v>
      </c>
      <c r="E944" t="s">
        <v>25</v>
      </c>
      <c r="F944" t="s">
        <v>26</v>
      </c>
      <c r="G944" t="s">
        <v>27</v>
      </c>
      <c r="H944" t="s">
        <v>5916</v>
      </c>
      <c r="I944" t="s">
        <v>5917</v>
      </c>
      <c r="J944" t="s">
        <v>26</v>
      </c>
      <c r="K944" t="s">
        <v>26</v>
      </c>
      <c r="L944" t="s">
        <v>5918</v>
      </c>
      <c r="M944" t="s">
        <v>25</v>
      </c>
      <c r="N944" t="s">
        <v>753</v>
      </c>
      <c r="O944" t="s">
        <v>754</v>
      </c>
      <c r="P944" t="s">
        <v>317</v>
      </c>
      <c r="Q944" t="s">
        <v>318</v>
      </c>
      <c r="R944">
        <v>325512</v>
      </c>
      <c r="S944">
        <v>0</v>
      </c>
      <c r="T944">
        <v>325512</v>
      </c>
      <c r="U944" t="s">
        <v>35</v>
      </c>
      <c r="V944" t="s">
        <v>755</v>
      </c>
      <c r="W944" t="s">
        <v>319</v>
      </c>
      <c r="X944" s="4">
        <v>1</v>
      </c>
      <c r="Y944" s="4"/>
      <c r="Z944">
        <f t="shared" si="56"/>
        <v>7</v>
      </c>
      <c r="AA944">
        <f t="shared" si="57"/>
        <v>14</v>
      </c>
      <c r="AB944" s="5">
        <f t="shared" si="58"/>
        <v>0.91754629629576812</v>
      </c>
      <c r="AC944" s="3">
        <f t="shared" si="59"/>
        <v>8.4532175925924093</v>
      </c>
      <c r="AD944" t="str" cm="1">
        <f t="array" ref="AD944">IFERROR(_xlfn.IFS(
    AC944="", "",
    AC944*86400 &lt; 30, "1. 0s - &lt;30s",
    AC944*86400 &lt; 60, "2. 30s - &lt;1m",
    AC944*86400 &lt; 300, "3. 1m - &lt;5m",
    AC944*86400 &lt; 1800, "4. 5m - &lt;30m",
    TRUE, "5. &gt;= 30m"
),"6. Invalid (Order rejected)")</f>
        <v>5. &gt;= 30m</v>
      </c>
    </row>
    <row r="945" spans="1:30" hidden="1" x14ac:dyDescent="0.3">
      <c r="A945" t="s">
        <v>5919</v>
      </c>
      <c r="B945" t="s">
        <v>25</v>
      </c>
      <c r="C945">
        <v>42758642</v>
      </c>
      <c r="D945">
        <v>2852976</v>
      </c>
      <c r="E945" t="s">
        <v>25</v>
      </c>
      <c r="F945" t="s">
        <v>75</v>
      </c>
      <c r="G945" t="s">
        <v>76</v>
      </c>
      <c r="H945" t="s">
        <v>5920</v>
      </c>
      <c r="I945" t="s">
        <v>5921</v>
      </c>
      <c r="J945" t="s">
        <v>5922</v>
      </c>
      <c r="K945" t="s">
        <v>26</v>
      </c>
      <c r="L945" t="s">
        <v>5923</v>
      </c>
      <c r="M945" t="s">
        <v>25</v>
      </c>
      <c r="N945" t="s">
        <v>865</v>
      </c>
      <c r="O945" t="s">
        <v>866</v>
      </c>
      <c r="P945" t="s">
        <v>289</v>
      </c>
      <c r="Q945" t="s">
        <v>290</v>
      </c>
      <c r="R945">
        <v>185328</v>
      </c>
      <c r="S945">
        <v>152123</v>
      </c>
      <c r="T945">
        <v>33205</v>
      </c>
      <c r="U945" t="s">
        <v>35</v>
      </c>
      <c r="V945" t="s">
        <v>867</v>
      </c>
      <c r="W945" t="s">
        <v>291</v>
      </c>
      <c r="X945" s="4">
        <v>1</v>
      </c>
      <c r="Y945" s="4"/>
      <c r="Z945">
        <f t="shared" si="56"/>
        <v>7</v>
      </c>
      <c r="AA945">
        <f t="shared" si="57"/>
        <v>14</v>
      </c>
      <c r="AB945" s="5">
        <f t="shared" si="58"/>
        <v>0.93158564814802958</v>
      </c>
      <c r="AC945" s="3">
        <f t="shared" si="59"/>
        <v>0.46935185185429873</v>
      </c>
      <c r="AD945" t="str" cm="1">
        <f t="array" ref="AD945">IFERROR(_xlfn.IFS(
    AC945="", "",
    AC945*86400 &lt; 30, "1. 0s - &lt;30s",
    AC945*86400 &lt; 60, "2. 30s - &lt;1m",
    AC945*86400 &lt; 300, "3. 1m - &lt;5m",
    AC945*86400 &lt; 1800, "4. 5m - &lt;30m",
    TRUE, "5. &gt;= 30m"
),"6. Invalid (Order rejected)")</f>
        <v>5. &gt;= 30m</v>
      </c>
    </row>
    <row r="946" spans="1:30" hidden="1" x14ac:dyDescent="0.3">
      <c r="A946" t="s">
        <v>5924</v>
      </c>
      <c r="B946" t="s">
        <v>25</v>
      </c>
      <c r="C946">
        <v>42758642</v>
      </c>
      <c r="D946">
        <v>0</v>
      </c>
      <c r="E946" t="s">
        <v>25</v>
      </c>
      <c r="F946" t="s">
        <v>26</v>
      </c>
      <c r="G946" t="s">
        <v>27</v>
      </c>
      <c r="H946" t="s">
        <v>5925</v>
      </c>
      <c r="I946" t="s">
        <v>897</v>
      </c>
      <c r="J946" t="s">
        <v>26</v>
      </c>
      <c r="K946" t="s">
        <v>26</v>
      </c>
      <c r="L946" t="s">
        <v>898</v>
      </c>
      <c r="M946" t="s">
        <v>25</v>
      </c>
      <c r="N946" t="s">
        <v>899</v>
      </c>
      <c r="O946" t="s">
        <v>900</v>
      </c>
      <c r="P946" t="s">
        <v>208</v>
      </c>
      <c r="Q946" t="s">
        <v>209</v>
      </c>
      <c r="R946">
        <v>302508</v>
      </c>
      <c r="S946">
        <v>0</v>
      </c>
      <c r="T946">
        <v>302508</v>
      </c>
      <c r="U946" t="s">
        <v>35</v>
      </c>
      <c r="V946" t="s">
        <v>901</v>
      </c>
      <c r="W946" t="s">
        <v>210</v>
      </c>
      <c r="X946" s="4">
        <v>1</v>
      </c>
      <c r="Y946" s="4"/>
      <c r="Z946">
        <f t="shared" si="56"/>
        <v>7</v>
      </c>
      <c r="AA946">
        <f t="shared" si="57"/>
        <v>14</v>
      </c>
      <c r="AB946" s="5">
        <f t="shared" si="58"/>
        <v>0.92782407407503342</v>
      </c>
      <c r="AC946" s="3">
        <f t="shared" si="59"/>
        <v>0.520787037035916</v>
      </c>
      <c r="AD946" t="str" cm="1">
        <f t="array" ref="AD946">IFERROR(_xlfn.IFS(
    AC946="", "",
    AC946*86400 &lt; 30, "1. 0s - &lt;30s",
    AC946*86400 &lt; 60, "2. 30s - &lt;1m",
    AC946*86400 &lt; 300, "3. 1m - &lt;5m",
    AC946*86400 &lt; 1800, "4. 5m - &lt;30m",
    TRUE, "5. &gt;= 30m"
),"6. Invalid (Order rejected)")</f>
        <v>5. &gt;= 30m</v>
      </c>
    </row>
    <row r="947" spans="1:30" hidden="1" x14ac:dyDescent="0.3">
      <c r="A947" t="s">
        <v>5926</v>
      </c>
      <c r="B947" t="s">
        <v>25</v>
      </c>
      <c r="C947">
        <v>42758642</v>
      </c>
      <c r="D947">
        <v>0</v>
      </c>
      <c r="E947" t="s">
        <v>25</v>
      </c>
      <c r="F947" t="s">
        <v>26</v>
      </c>
      <c r="G947" t="s">
        <v>27</v>
      </c>
      <c r="H947" t="s">
        <v>5927</v>
      </c>
      <c r="I947" t="s">
        <v>5928</v>
      </c>
      <c r="J947" t="s">
        <v>26</v>
      </c>
      <c r="K947" t="s">
        <v>26</v>
      </c>
      <c r="L947" t="s">
        <v>5929</v>
      </c>
      <c r="M947" t="s">
        <v>25</v>
      </c>
      <c r="N947" t="s">
        <v>899</v>
      </c>
      <c r="O947" t="s">
        <v>900</v>
      </c>
      <c r="P947" t="s">
        <v>317</v>
      </c>
      <c r="Q947" t="s">
        <v>318</v>
      </c>
      <c r="R947">
        <v>222588</v>
      </c>
      <c r="S947">
        <v>0</v>
      </c>
      <c r="T947">
        <v>222588</v>
      </c>
      <c r="U947" t="s">
        <v>35</v>
      </c>
      <c r="V947" t="s">
        <v>901</v>
      </c>
      <c r="W947" t="s">
        <v>319</v>
      </c>
      <c r="X947" s="4">
        <v>1</v>
      </c>
      <c r="Y947" s="4"/>
      <c r="Z947">
        <f t="shared" si="56"/>
        <v>7</v>
      </c>
      <c r="AA947">
        <f t="shared" si="57"/>
        <v>14</v>
      </c>
      <c r="AB947" s="5">
        <f t="shared" si="58"/>
        <v>0.92811342592904111</v>
      </c>
      <c r="AC947" s="3">
        <f t="shared" si="59"/>
        <v>0.52119212962861639</v>
      </c>
      <c r="AD947" t="str" cm="1">
        <f t="array" ref="AD947">IFERROR(_xlfn.IFS(
    AC947="", "",
    AC947*86400 &lt; 30, "1. 0s - &lt;30s",
    AC947*86400 &lt; 60, "2. 30s - &lt;1m",
    AC947*86400 &lt; 300, "3. 1m - &lt;5m",
    AC947*86400 &lt; 1800, "4. 5m - &lt;30m",
    TRUE, "5. &gt;= 30m"
),"6. Invalid (Order rejected)")</f>
        <v>5. &gt;= 30m</v>
      </c>
    </row>
    <row r="948" spans="1:30" hidden="1" x14ac:dyDescent="0.3">
      <c r="A948" t="s">
        <v>5930</v>
      </c>
      <c r="B948" t="s">
        <v>25</v>
      </c>
      <c r="C948">
        <v>42758642</v>
      </c>
      <c r="D948">
        <v>0</v>
      </c>
      <c r="E948" t="s">
        <v>25</v>
      </c>
      <c r="F948" t="s">
        <v>26</v>
      </c>
      <c r="G948" t="s">
        <v>27</v>
      </c>
      <c r="H948" t="s">
        <v>5931</v>
      </c>
      <c r="I948" t="s">
        <v>959</v>
      </c>
      <c r="J948" t="s">
        <v>26</v>
      </c>
      <c r="K948" t="s">
        <v>26</v>
      </c>
      <c r="L948" t="s">
        <v>960</v>
      </c>
      <c r="M948" t="s">
        <v>25</v>
      </c>
      <c r="N948" t="s">
        <v>906</v>
      </c>
      <c r="O948" t="s">
        <v>907</v>
      </c>
      <c r="P948" t="s">
        <v>1025</v>
      </c>
      <c r="Q948" t="s">
        <v>1026</v>
      </c>
      <c r="R948">
        <v>141372</v>
      </c>
      <c r="S948">
        <v>0</v>
      </c>
      <c r="T948">
        <v>141372</v>
      </c>
      <c r="U948" t="s">
        <v>35</v>
      </c>
      <c r="V948" t="s">
        <v>908</v>
      </c>
      <c r="W948" t="s">
        <v>1027</v>
      </c>
      <c r="X948" s="4">
        <v>1</v>
      </c>
      <c r="Y948" s="4"/>
      <c r="Z948">
        <f t="shared" si="56"/>
        <v>7</v>
      </c>
      <c r="AA948">
        <f t="shared" si="57"/>
        <v>14</v>
      </c>
      <c r="AB948" s="5">
        <f t="shared" si="58"/>
        <v>0.92872685185284354</v>
      </c>
      <c r="AC948" s="3">
        <f t="shared" si="59"/>
        <v>0.52127314814424608</v>
      </c>
      <c r="AD948" t="str" cm="1">
        <f t="array" ref="AD948">IFERROR(_xlfn.IFS(
    AC948="", "",
    AC948*86400 &lt; 30, "1. 0s - &lt;30s",
    AC948*86400 &lt; 60, "2. 30s - &lt;1m",
    AC948*86400 &lt; 300, "3. 1m - &lt;5m",
    AC948*86400 &lt; 1800, "4. 5m - &lt;30m",
    TRUE, "5. &gt;= 30m"
),"6. Invalid (Order rejected)")</f>
        <v>5. &gt;= 30m</v>
      </c>
    </row>
    <row r="949" spans="1:30" hidden="1" x14ac:dyDescent="0.3">
      <c r="A949" t="s">
        <v>5932</v>
      </c>
      <c r="B949" t="s">
        <v>25</v>
      </c>
      <c r="C949">
        <v>42758642</v>
      </c>
      <c r="D949">
        <v>0</v>
      </c>
      <c r="E949" t="s">
        <v>25</v>
      </c>
      <c r="F949" t="s">
        <v>26</v>
      </c>
      <c r="G949" t="s">
        <v>27</v>
      </c>
      <c r="H949" t="s">
        <v>5933</v>
      </c>
      <c r="I949" t="s">
        <v>955</v>
      </c>
      <c r="J949" t="s">
        <v>26</v>
      </c>
      <c r="K949" t="s">
        <v>26</v>
      </c>
      <c r="L949" t="s">
        <v>1007</v>
      </c>
      <c r="M949" t="s">
        <v>25</v>
      </c>
      <c r="N949" t="s">
        <v>865</v>
      </c>
      <c r="O949" t="s">
        <v>866</v>
      </c>
      <c r="P949" t="s">
        <v>384</v>
      </c>
      <c r="Q949" t="s">
        <v>385</v>
      </c>
      <c r="R949">
        <v>197748</v>
      </c>
      <c r="S949">
        <v>0</v>
      </c>
      <c r="T949">
        <v>197748</v>
      </c>
      <c r="U949" t="s">
        <v>35</v>
      </c>
      <c r="V949" t="s">
        <v>867</v>
      </c>
      <c r="W949" t="s">
        <v>386</v>
      </c>
      <c r="X949" s="4">
        <v>1</v>
      </c>
      <c r="Y949" s="4"/>
      <c r="Z949">
        <f t="shared" si="56"/>
        <v>7</v>
      </c>
      <c r="AA949">
        <f t="shared" si="57"/>
        <v>14</v>
      </c>
      <c r="AB949" s="5">
        <f t="shared" si="58"/>
        <v>0.93079861110891216</v>
      </c>
      <c r="AC949" s="3">
        <f t="shared" si="59"/>
        <v>0.52128472222102573</v>
      </c>
      <c r="AD949" t="str" cm="1">
        <f t="array" ref="AD949">IFERROR(_xlfn.IFS(
    AC949="", "",
    AC949*86400 &lt; 30, "1. 0s - &lt;30s",
    AC949*86400 &lt; 60, "2. 30s - &lt;1m",
    AC949*86400 &lt; 300, "3. 1m - &lt;5m",
    AC949*86400 &lt; 1800, "4. 5m - &lt;30m",
    TRUE, "5. &gt;= 30m"
),"6. Invalid (Order rejected)")</f>
        <v>5. &gt;= 30m</v>
      </c>
    </row>
    <row r="950" spans="1:30" hidden="1" x14ac:dyDescent="0.3">
      <c r="A950" t="s">
        <v>5934</v>
      </c>
      <c r="B950" t="s">
        <v>25</v>
      </c>
      <c r="C950">
        <v>42758642</v>
      </c>
      <c r="D950">
        <v>2479852</v>
      </c>
      <c r="E950" t="s">
        <v>25</v>
      </c>
      <c r="F950" t="s">
        <v>75</v>
      </c>
      <c r="G950" t="s">
        <v>76</v>
      </c>
      <c r="H950" t="s">
        <v>5935</v>
      </c>
      <c r="I950" t="s">
        <v>5936</v>
      </c>
      <c r="J950" t="s">
        <v>5937</v>
      </c>
      <c r="K950" t="s">
        <v>26</v>
      </c>
      <c r="L950" t="s">
        <v>5938</v>
      </c>
      <c r="M950" t="s">
        <v>25</v>
      </c>
      <c r="N950" t="s">
        <v>927</v>
      </c>
      <c r="O950" t="s">
        <v>928</v>
      </c>
      <c r="P950" t="s">
        <v>237</v>
      </c>
      <c r="Q950" t="s">
        <v>238</v>
      </c>
      <c r="R950">
        <v>231768</v>
      </c>
      <c r="S950">
        <v>179674</v>
      </c>
      <c r="T950">
        <v>52094</v>
      </c>
      <c r="U950" t="s">
        <v>35</v>
      </c>
      <c r="V950" t="s">
        <v>929</v>
      </c>
      <c r="W950" t="s">
        <v>239</v>
      </c>
      <c r="X950" s="4">
        <v>1</v>
      </c>
      <c r="Y950" s="4"/>
      <c r="Z950">
        <f t="shared" si="56"/>
        <v>7</v>
      </c>
      <c r="AA950">
        <f t="shared" si="57"/>
        <v>14</v>
      </c>
      <c r="AB950" s="5">
        <f t="shared" si="58"/>
        <v>0.93217592592554865</v>
      </c>
      <c r="AC950" s="3">
        <f t="shared" si="59"/>
        <v>0.58857638888730435</v>
      </c>
      <c r="AD950" t="str" cm="1">
        <f t="array" ref="AD950">IFERROR(_xlfn.IFS(
    AC950="", "",
    AC950*86400 &lt; 30, "1. 0s - &lt;30s",
    AC950*86400 &lt; 60, "2. 30s - &lt;1m",
    AC950*86400 &lt; 300, "3. 1m - &lt;5m",
    AC950*86400 &lt; 1800, "4. 5m - &lt;30m",
    TRUE, "5. &gt;= 30m"
),"6. Invalid (Order rejected)")</f>
        <v>5. &gt;= 30m</v>
      </c>
    </row>
    <row r="951" spans="1:30" hidden="1" x14ac:dyDescent="0.3">
      <c r="A951" t="s">
        <v>5939</v>
      </c>
      <c r="B951" t="s">
        <v>25</v>
      </c>
      <c r="C951">
        <v>42758642</v>
      </c>
      <c r="D951">
        <v>0</v>
      </c>
      <c r="E951" t="s">
        <v>25</v>
      </c>
      <c r="F951" t="s">
        <v>26</v>
      </c>
      <c r="G951" t="s">
        <v>27</v>
      </c>
      <c r="H951" t="s">
        <v>5940</v>
      </c>
      <c r="I951" t="s">
        <v>965</v>
      </c>
      <c r="J951" t="s">
        <v>26</v>
      </c>
      <c r="K951" t="s">
        <v>26</v>
      </c>
      <c r="L951" t="s">
        <v>966</v>
      </c>
      <c r="M951" t="s">
        <v>25</v>
      </c>
      <c r="N951" t="s">
        <v>927</v>
      </c>
      <c r="O951" t="s">
        <v>928</v>
      </c>
      <c r="P951" t="s">
        <v>1792</v>
      </c>
      <c r="Q951" t="s">
        <v>1793</v>
      </c>
      <c r="R951">
        <v>155304</v>
      </c>
      <c r="S951">
        <v>0</v>
      </c>
      <c r="T951">
        <v>155304</v>
      </c>
      <c r="U951" t="s">
        <v>35</v>
      </c>
      <c r="V951" t="s">
        <v>929</v>
      </c>
      <c r="W951" t="s">
        <v>1794</v>
      </c>
      <c r="X951" s="4">
        <v>1</v>
      </c>
      <c r="Y951" s="4"/>
      <c r="Z951">
        <f t="shared" si="56"/>
        <v>7</v>
      </c>
      <c r="AA951">
        <f t="shared" si="57"/>
        <v>14</v>
      </c>
      <c r="AB951" s="5">
        <f t="shared" si="58"/>
        <v>0.93287037037225673</v>
      </c>
      <c r="AC951" s="3">
        <f t="shared" si="59"/>
        <v>0.52129629629780538</v>
      </c>
      <c r="AD951" t="str" cm="1">
        <f t="array" ref="AD951">IFERROR(_xlfn.IFS(
    AC951="", "",
    AC951*86400 &lt; 30, "1. 0s - &lt;30s",
    AC951*86400 &lt; 60, "2. 30s - &lt;1m",
    AC951*86400 &lt; 300, "3. 1m - &lt;5m",
    AC951*86400 &lt; 1800, "4. 5m - &lt;30m",
    TRUE, "5. &gt;= 30m"
),"6. Invalid (Order rejected)")</f>
        <v>5. &gt;= 30m</v>
      </c>
    </row>
    <row r="952" spans="1:30" hidden="1" x14ac:dyDescent="0.3">
      <c r="A952" t="s">
        <v>5941</v>
      </c>
      <c r="B952" t="s">
        <v>25</v>
      </c>
      <c r="C952">
        <v>42758642</v>
      </c>
      <c r="D952">
        <v>0</v>
      </c>
      <c r="E952" t="s">
        <v>25</v>
      </c>
      <c r="F952" t="s">
        <v>26</v>
      </c>
      <c r="G952" t="s">
        <v>27</v>
      </c>
      <c r="H952" t="s">
        <v>5942</v>
      </c>
      <c r="I952" t="s">
        <v>5936</v>
      </c>
      <c r="J952" t="s">
        <v>26</v>
      </c>
      <c r="K952" t="s">
        <v>26</v>
      </c>
      <c r="L952" t="s">
        <v>5943</v>
      </c>
      <c r="M952" t="s">
        <v>25</v>
      </c>
      <c r="N952" t="s">
        <v>927</v>
      </c>
      <c r="O952" t="s">
        <v>928</v>
      </c>
      <c r="P952" t="s">
        <v>418</v>
      </c>
      <c r="Q952" t="s">
        <v>419</v>
      </c>
      <c r="R952">
        <v>395388</v>
      </c>
      <c r="S952">
        <v>0</v>
      </c>
      <c r="T952">
        <v>395388</v>
      </c>
      <c r="U952" t="s">
        <v>35</v>
      </c>
      <c r="V952" t="s">
        <v>929</v>
      </c>
      <c r="W952" t="s">
        <v>420</v>
      </c>
      <c r="X952" s="4">
        <v>1</v>
      </c>
      <c r="Y952" s="4"/>
      <c r="Z952">
        <f t="shared" si="56"/>
        <v>7</v>
      </c>
      <c r="AA952">
        <f t="shared" si="57"/>
        <v>14</v>
      </c>
      <c r="AB952" s="5">
        <f t="shared" si="58"/>
        <v>0.93245370370277669</v>
      </c>
      <c r="AC952" s="3">
        <f t="shared" si="59"/>
        <v>0.52101851852057735</v>
      </c>
      <c r="AD952" t="str" cm="1">
        <f t="array" ref="AD952">IFERROR(_xlfn.IFS(
    AC952="", "",
    AC952*86400 &lt; 30, "1. 0s - &lt;30s",
    AC952*86400 &lt; 60, "2. 30s - &lt;1m",
    AC952*86400 &lt; 300, "3. 1m - &lt;5m",
    AC952*86400 &lt; 1800, "4. 5m - &lt;30m",
    TRUE, "5. &gt;= 30m"
),"6. Invalid (Order rejected)")</f>
        <v>5. &gt;= 30m</v>
      </c>
    </row>
    <row r="953" spans="1:30" hidden="1" x14ac:dyDescent="0.3">
      <c r="A953" t="s">
        <v>5944</v>
      </c>
      <c r="B953" t="s">
        <v>25</v>
      </c>
      <c r="C953">
        <v>42758642</v>
      </c>
      <c r="D953">
        <v>0</v>
      </c>
      <c r="E953" t="s">
        <v>25</v>
      </c>
      <c r="F953" t="s">
        <v>26</v>
      </c>
      <c r="G953" t="s">
        <v>27</v>
      </c>
      <c r="H953" t="s">
        <v>5945</v>
      </c>
      <c r="I953" t="s">
        <v>5946</v>
      </c>
      <c r="J953" t="s">
        <v>26</v>
      </c>
      <c r="K953" t="s">
        <v>26</v>
      </c>
      <c r="L953" t="s">
        <v>5947</v>
      </c>
      <c r="M953" t="s">
        <v>25</v>
      </c>
      <c r="N953" t="s">
        <v>760</v>
      </c>
      <c r="O953" t="s">
        <v>761</v>
      </c>
      <c r="P953" t="s">
        <v>616</v>
      </c>
      <c r="Q953" t="s">
        <v>617</v>
      </c>
      <c r="R953">
        <v>340848</v>
      </c>
      <c r="S953">
        <v>0</v>
      </c>
      <c r="T953">
        <v>340848</v>
      </c>
      <c r="U953" t="s">
        <v>35</v>
      </c>
      <c r="V953" t="s">
        <v>762</v>
      </c>
      <c r="W953" t="s">
        <v>619</v>
      </c>
      <c r="X953" s="4">
        <v>1</v>
      </c>
      <c r="Y953" s="4"/>
      <c r="Z953">
        <f t="shared" si="56"/>
        <v>7</v>
      </c>
      <c r="AA953">
        <f t="shared" si="57"/>
        <v>14</v>
      </c>
      <c r="AB953" s="5">
        <f t="shared" si="58"/>
        <v>0.91864583333517658</v>
      </c>
      <c r="AC953" s="3">
        <f t="shared" si="59"/>
        <v>0.56260416666191304</v>
      </c>
      <c r="AD953" t="str" cm="1">
        <f t="array" ref="AD953">IFERROR(_xlfn.IFS(
    AC953="", "",
    AC953*86400 &lt; 30, "1. 0s - &lt;30s",
    AC953*86400 &lt; 60, "2. 30s - &lt;1m",
    AC953*86400 &lt; 300, "3. 1m - &lt;5m",
    AC953*86400 &lt; 1800, "4. 5m - &lt;30m",
    TRUE, "5. &gt;= 30m"
),"6. Invalid (Order rejected)")</f>
        <v>5. &gt;= 30m</v>
      </c>
    </row>
    <row r="954" spans="1:30" hidden="1" x14ac:dyDescent="0.3">
      <c r="A954" t="s">
        <v>5948</v>
      </c>
      <c r="B954" t="s">
        <v>25</v>
      </c>
      <c r="C954">
        <v>42758642</v>
      </c>
      <c r="D954">
        <v>0</v>
      </c>
      <c r="E954" t="s">
        <v>25</v>
      </c>
      <c r="F954" t="s">
        <v>26</v>
      </c>
      <c r="G954" t="s">
        <v>27</v>
      </c>
      <c r="H954" t="s">
        <v>5949</v>
      </c>
      <c r="I954" t="s">
        <v>774</v>
      </c>
      <c r="J954" t="s">
        <v>26</v>
      </c>
      <c r="K954" t="s">
        <v>26</v>
      </c>
      <c r="L954" t="s">
        <v>775</v>
      </c>
      <c r="M954" t="s">
        <v>25</v>
      </c>
      <c r="N954" t="s">
        <v>766</v>
      </c>
      <c r="O954" t="s">
        <v>767</v>
      </c>
      <c r="P954" t="s">
        <v>5950</v>
      </c>
      <c r="Q954" t="s">
        <v>5951</v>
      </c>
      <c r="R954">
        <v>136836</v>
      </c>
      <c r="S954">
        <v>0</v>
      </c>
      <c r="T954">
        <v>136836</v>
      </c>
      <c r="U954" t="s">
        <v>35</v>
      </c>
      <c r="V954" t="s">
        <v>770</v>
      </c>
      <c r="W954" t="s">
        <v>5952</v>
      </c>
      <c r="X954" s="4">
        <v>1</v>
      </c>
      <c r="Y954" s="4"/>
      <c r="Z954">
        <f t="shared" si="56"/>
        <v>7</v>
      </c>
      <c r="AA954">
        <f t="shared" si="57"/>
        <v>14</v>
      </c>
      <c r="AB954" s="5">
        <f t="shared" si="58"/>
        <v>0.92015046296000946</v>
      </c>
      <c r="AC954" s="3">
        <f t="shared" si="59"/>
        <v>0.56248842593049631</v>
      </c>
      <c r="AD954" t="str" cm="1">
        <f t="array" ref="AD954">IFERROR(_xlfn.IFS(
    AC954="", "",
    AC954*86400 &lt; 30, "1. 0s - &lt;30s",
    AC954*86400 &lt; 60, "2. 30s - &lt;1m",
    AC954*86400 &lt; 300, "3. 1m - &lt;5m",
    AC954*86400 &lt; 1800, "4. 5m - &lt;30m",
    TRUE, "5. &gt;= 30m"
),"6. Invalid (Order rejected)")</f>
        <v>5. &gt;= 30m</v>
      </c>
    </row>
    <row r="955" spans="1:30" hidden="1" x14ac:dyDescent="0.3">
      <c r="A955" t="s">
        <v>5953</v>
      </c>
      <c r="B955" t="s">
        <v>25</v>
      </c>
      <c r="C955">
        <v>42758642</v>
      </c>
      <c r="D955">
        <v>0</v>
      </c>
      <c r="E955" t="s">
        <v>25</v>
      </c>
      <c r="F955" t="s">
        <v>26</v>
      </c>
      <c r="G955" t="s">
        <v>27</v>
      </c>
      <c r="H955" t="s">
        <v>5954</v>
      </c>
      <c r="I955" t="s">
        <v>5921</v>
      </c>
      <c r="J955" t="s">
        <v>26</v>
      </c>
      <c r="K955" t="s">
        <v>26</v>
      </c>
      <c r="L955" t="s">
        <v>5955</v>
      </c>
      <c r="M955" t="s">
        <v>25</v>
      </c>
      <c r="N955" t="s">
        <v>766</v>
      </c>
      <c r="O955" t="s">
        <v>767</v>
      </c>
      <c r="P955" t="s">
        <v>342</v>
      </c>
      <c r="Q955" t="s">
        <v>343</v>
      </c>
      <c r="R955">
        <v>119232</v>
      </c>
      <c r="S955">
        <v>0</v>
      </c>
      <c r="T955">
        <v>119232</v>
      </c>
      <c r="U955" t="s">
        <v>35</v>
      </c>
      <c r="V955" t="s">
        <v>770</v>
      </c>
      <c r="W955" t="s">
        <v>344</v>
      </c>
      <c r="X955" s="4">
        <v>1</v>
      </c>
      <c r="Y955" s="4"/>
      <c r="Z955">
        <f t="shared" si="56"/>
        <v>7</v>
      </c>
      <c r="AA955">
        <f t="shared" si="57"/>
        <v>14</v>
      </c>
      <c r="AB955" s="5">
        <f t="shared" si="58"/>
        <v>0.92115740740700858</v>
      </c>
      <c r="AC955" s="3">
        <f t="shared" si="59"/>
        <v>0.53162037036963739</v>
      </c>
      <c r="AD955" t="str" cm="1">
        <f t="array" ref="AD955">IFERROR(_xlfn.IFS(
    AC955="", "",
    AC955*86400 &lt; 30, "1. 0s - &lt;30s",
    AC955*86400 &lt; 60, "2. 30s - &lt;1m",
    AC955*86400 &lt; 300, "3. 1m - &lt;5m",
    AC955*86400 &lt; 1800, "4. 5m - &lt;30m",
    TRUE, "5. &gt;= 30m"
),"6. Invalid (Order rejected)")</f>
        <v>5. &gt;= 30m</v>
      </c>
    </row>
    <row r="956" spans="1:30" hidden="1" x14ac:dyDescent="0.3">
      <c r="A956" t="s">
        <v>5956</v>
      </c>
      <c r="B956" t="s">
        <v>25</v>
      </c>
      <c r="C956">
        <v>42758642</v>
      </c>
      <c r="D956">
        <v>0</v>
      </c>
      <c r="E956" t="s">
        <v>25</v>
      </c>
      <c r="F956" t="s">
        <v>26</v>
      </c>
      <c r="G956" t="s">
        <v>27</v>
      </c>
      <c r="H956" t="s">
        <v>5957</v>
      </c>
      <c r="I956" t="s">
        <v>904</v>
      </c>
      <c r="J956" t="s">
        <v>26</v>
      </c>
      <c r="K956" t="s">
        <v>26</v>
      </c>
      <c r="L956" t="s">
        <v>905</v>
      </c>
      <c r="M956" t="s">
        <v>25</v>
      </c>
      <c r="N956" t="s">
        <v>906</v>
      </c>
      <c r="O956" t="s">
        <v>907</v>
      </c>
      <c r="P956" t="s">
        <v>237</v>
      </c>
      <c r="Q956" t="s">
        <v>238</v>
      </c>
      <c r="R956">
        <v>213732</v>
      </c>
      <c r="S956">
        <v>0</v>
      </c>
      <c r="T956">
        <v>213732</v>
      </c>
      <c r="U956" t="s">
        <v>35</v>
      </c>
      <c r="V956" t="s">
        <v>908</v>
      </c>
      <c r="W956" t="s">
        <v>239</v>
      </c>
      <c r="X956" s="4">
        <v>1</v>
      </c>
      <c r="Y956" s="4"/>
      <c r="Z956">
        <f t="shared" si="56"/>
        <v>7</v>
      </c>
      <c r="AA956">
        <f t="shared" si="57"/>
        <v>14</v>
      </c>
      <c r="AB956" s="5">
        <f t="shared" si="58"/>
        <v>0.92935185185342561</v>
      </c>
      <c r="AC956" s="3">
        <f t="shared" si="59"/>
        <v>0.52134259259037208</v>
      </c>
      <c r="AD956" t="str" cm="1">
        <f t="array" ref="AD956">IFERROR(_xlfn.IFS(
    AC956="", "",
    AC956*86400 &lt; 30, "1. 0s - &lt;30s",
    AC956*86400 &lt; 60, "2. 30s - &lt;1m",
    AC956*86400 &lt; 300, "3. 1m - &lt;5m",
    AC956*86400 &lt; 1800, "4. 5m - &lt;30m",
    TRUE, "5. &gt;= 30m"
),"6. Invalid (Order rejected)")</f>
        <v>5. &gt;= 30m</v>
      </c>
    </row>
    <row r="957" spans="1:30" hidden="1" x14ac:dyDescent="0.3">
      <c r="A957" t="s">
        <v>5958</v>
      </c>
      <c r="B957" t="s">
        <v>25</v>
      </c>
      <c r="C957">
        <v>42758642</v>
      </c>
      <c r="D957">
        <v>0</v>
      </c>
      <c r="E957" t="s">
        <v>25</v>
      </c>
      <c r="F957" t="s">
        <v>26</v>
      </c>
      <c r="G957" t="s">
        <v>27</v>
      </c>
      <c r="H957" t="s">
        <v>5959</v>
      </c>
      <c r="I957" t="s">
        <v>5960</v>
      </c>
      <c r="J957" t="s">
        <v>26</v>
      </c>
      <c r="K957" t="s">
        <v>26</v>
      </c>
      <c r="L957" t="s">
        <v>5961</v>
      </c>
      <c r="M957" t="s">
        <v>25</v>
      </c>
      <c r="N957" t="s">
        <v>791</v>
      </c>
      <c r="O957" t="s">
        <v>792</v>
      </c>
      <c r="P957" t="s">
        <v>934</v>
      </c>
      <c r="Q957" t="s">
        <v>935</v>
      </c>
      <c r="R957">
        <v>205740</v>
      </c>
      <c r="S957">
        <v>0</v>
      </c>
      <c r="T957">
        <v>205740</v>
      </c>
      <c r="U957" t="s">
        <v>35</v>
      </c>
      <c r="V957" t="s">
        <v>793</v>
      </c>
      <c r="W957" t="s">
        <v>936</v>
      </c>
      <c r="X957" s="4">
        <v>1</v>
      </c>
      <c r="Y957" s="4"/>
      <c r="Z957">
        <f t="shared" si="56"/>
        <v>7</v>
      </c>
      <c r="AA957">
        <f t="shared" si="57"/>
        <v>14</v>
      </c>
      <c r="AB957" s="5">
        <f t="shared" si="58"/>
        <v>0.92324074073985685</v>
      </c>
      <c r="AC957" s="3">
        <f t="shared" si="59"/>
        <v>1.4700115740779438</v>
      </c>
      <c r="AD957" t="str" cm="1">
        <f t="array" ref="AD957">IFERROR(_xlfn.IFS(
    AC957="", "",
    AC957*86400 &lt; 30, "1. 0s - &lt;30s",
    AC957*86400 &lt; 60, "2. 30s - &lt;1m",
    AC957*86400 &lt; 300, "3. 1m - &lt;5m",
    AC957*86400 &lt; 1800, "4. 5m - &lt;30m",
    TRUE, "5. &gt;= 30m"
),"6. Invalid (Order rejected)")</f>
        <v>5. &gt;= 30m</v>
      </c>
    </row>
    <row r="958" spans="1:30" hidden="1" x14ac:dyDescent="0.3">
      <c r="A958" t="s">
        <v>5962</v>
      </c>
      <c r="B958" t="s">
        <v>25</v>
      </c>
      <c r="C958">
        <v>42758642</v>
      </c>
      <c r="D958">
        <v>0</v>
      </c>
      <c r="E958" t="s">
        <v>25</v>
      </c>
      <c r="F958" t="s">
        <v>26</v>
      </c>
      <c r="G958" t="s">
        <v>27</v>
      </c>
      <c r="H958" t="s">
        <v>5963</v>
      </c>
      <c r="I958" t="s">
        <v>729</v>
      </c>
      <c r="J958" t="s">
        <v>26</v>
      </c>
      <c r="K958" t="s">
        <v>26</v>
      </c>
      <c r="L958" t="s">
        <v>5964</v>
      </c>
      <c r="M958" t="s">
        <v>25</v>
      </c>
      <c r="N958" t="s">
        <v>791</v>
      </c>
      <c r="O958" t="s">
        <v>792</v>
      </c>
      <c r="P958" t="s">
        <v>289</v>
      </c>
      <c r="Q958" t="s">
        <v>290</v>
      </c>
      <c r="R958">
        <v>144288</v>
      </c>
      <c r="S958">
        <v>0</v>
      </c>
      <c r="T958">
        <v>144288</v>
      </c>
      <c r="U958" t="s">
        <v>35</v>
      </c>
      <c r="V958" t="s">
        <v>793</v>
      </c>
      <c r="W958" t="s">
        <v>291</v>
      </c>
      <c r="X958" s="4">
        <v>1</v>
      </c>
      <c r="Y958" s="4"/>
      <c r="Z958">
        <f t="shared" si="56"/>
        <v>7</v>
      </c>
      <c r="AA958">
        <f t="shared" si="57"/>
        <v>14</v>
      </c>
      <c r="AB958" s="5">
        <f t="shared" si="58"/>
        <v>0.92369212963239988</v>
      </c>
      <c r="AC958" s="3">
        <f t="shared" si="59"/>
        <v>0.520752314812853</v>
      </c>
      <c r="AD958" t="str" cm="1">
        <f t="array" ref="AD958">IFERROR(_xlfn.IFS(
    AC958="", "",
    AC958*86400 &lt; 30, "1. 0s - &lt;30s",
    AC958*86400 &lt; 60, "2. 30s - &lt;1m",
    AC958*86400 &lt; 300, "3. 1m - &lt;5m",
    AC958*86400 &lt; 1800, "4. 5m - &lt;30m",
    TRUE, "5. &gt;= 30m"
),"6. Invalid (Order rejected)")</f>
        <v>5. &gt;= 30m</v>
      </c>
    </row>
    <row r="959" spans="1:30" hidden="1" x14ac:dyDescent="0.3">
      <c r="A959" t="s">
        <v>5965</v>
      </c>
      <c r="B959" t="s">
        <v>25</v>
      </c>
      <c r="C959">
        <v>42758642</v>
      </c>
      <c r="D959">
        <v>0</v>
      </c>
      <c r="E959" t="s">
        <v>25</v>
      </c>
      <c r="F959" t="s">
        <v>26</v>
      </c>
      <c r="G959" t="s">
        <v>27</v>
      </c>
      <c r="H959" t="s">
        <v>5966</v>
      </c>
      <c r="I959" t="s">
        <v>955</v>
      </c>
      <c r="J959" t="s">
        <v>26</v>
      </c>
      <c r="K959" t="s">
        <v>26</v>
      </c>
      <c r="L959" t="s">
        <v>1007</v>
      </c>
      <c r="M959" t="s">
        <v>25</v>
      </c>
      <c r="N959" t="s">
        <v>865</v>
      </c>
      <c r="O959" t="s">
        <v>866</v>
      </c>
      <c r="P959" t="s">
        <v>317</v>
      </c>
      <c r="Q959" t="s">
        <v>318</v>
      </c>
      <c r="R959">
        <v>218916</v>
      </c>
      <c r="S959">
        <v>0</v>
      </c>
      <c r="T959">
        <v>218916</v>
      </c>
      <c r="U959" t="s">
        <v>35</v>
      </c>
      <c r="V959" t="s">
        <v>867</v>
      </c>
      <c r="W959" t="s">
        <v>319</v>
      </c>
      <c r="X959" s="4">
        <v>1</v>
      </c>
      <c r="Y959" s="4"/>
      <c r="Z959">
        <f t="shared" si="56"/>
        <v>7</v>
      </c>
      <c r="AA959">
        <f t="shared" si="57"/>
        <v>14</v>
      </c>
      <c r="AB959" s="5">
        <f t="shared" si="58"/>
        <v>0.93134259259386454</v>
      </c>
      <c r="AC959" s="3">
        <f t="shared" si="59"/>
        <v>0.52074074073607335</v>
      </c>
      <c r="AD959" t="str" cm="1">
        <f t="array" ref="AD959">IFERROR(_xlfn.IFS(
    AC959="", "",
    AC959*86400 &lt; 30, "1. 0s - &lt;30s",
    AC959*86400 &lt; 60, "2. 30s - &lt;1m",
    AC959*86400 &lt; 300, "3. 1m - &lt;5m",
    AC959*86400 &lt; 1800, "4. 5m - &lt;30m",
    TRUE, "5. &gt;= 30m"
),"6. Invalid (Order rejected)")</f>
        <v>5. &gt;= 30m</v>
      </c>
    </row>
    <row r="960" spans="1:30" hidden="1" x14ac:dyDescent="0.3">
      <c r="A960" t="s">
        <v>5967</v>
      </c>
      <c r="B960" t="s">
        <v>25</v>
      </c>
      <c r="C960">
        <v>42758642</v>
      </c>
      <c r="D960">
        <v>3685244</v>
      </c>
      <c r="E960" t="s">
        <v>25</v>
      </c>
      <c r="F960" t="s">
        <v>75</v>
      </c>
      <c r="G960" t="s">
        <v>76</v>
      </c>
      <c r="H960" t="s">
        <v>5968</v>
      </c>
      <c r="I960" t="s">
        <v>5969</v>
      </c>
      <c r="J960" t="s">
        <v>5970</v>
      </c>
      <c r="K960" t="s">
        <v>26</v>
      </c>
      <c r="L960" t="s">
        <v>5971</v>
      </c>
      <c r="M960" t="s">
        <v>25</v>
      </c>
      <c r="N960" t="s">
        <v>1049</v>
      </c>
      <c r="O960" t="s">
        <v>1050</v>
      </c>
      <c r="P960" t="s">
        <v>1025</v>
      </c>
      <c r="Q960" t="s">
        <v>1026</v>
      </c>
      <c r="R960">
        <v>130572</v>
      </c>
      <c r="S960">
        <v>101224</v>
      </c>
      <c r="T960">
        <v>29348</v>
      </c>
      <c r="U960" t="s">
        <v>35</v>
      </c>
      <c r="V960" t="s">
        <v>1051</v>
      </c>
      <c r="W960" t="s">
        <v>1027</v>
      </c>
      <c r="X960" s="4">
        <v>1</v>
      </c>
      <c r="Y960" s="4"/>
      <c r="Z960">
        <f t="shared" si="56"/>
        <v>7</v>
      </c>
      <c r="AA960">
        <f t="shared" si="57"/>
        <v>15</v>
      </c>
      <c r="AB960" s="5">
        <f t="shared" si="58"/>
        <v>0.23098379629664123</v>
      </c>
      <c r="AC960" s="3">
        <f t="shared" si="59"/>
        <v>0.2461111111115315</v>
      </c>
      <c r="AD960" t="str" cm="1">
        <f t="array" ref="AD960">IFERROR(_xlfn.IFS(
    AC960="", "",
    AC960*86400 &lt; 30, "1. 0s - &lt;30s",
    AC960*86400 &lt; 60, "2. 30s - &lt;1m",
    AC960*86400 &lt; 300, "3. 1m - &lt;5m",
    AC960*86400 &lt; 1800, "4. 5m - &lt;30m",
    TRUE, "5. &gt;= 30m"
),"6. Invalid (Order rejected)")</f>
        <v>5. &gt;= 30m</v>
      </c>
    </row>
    <row r="961" spans="1:30" hidden="1" x14ac:dyDescent="0.3">
      <c r="A961" t="s">
        <v>5972</v>
      </c>
      <c r="B961" t="s">
        <v>25</v>
      </c>
      <c r="C961">
        <v>42758642</v>
      </c>
      <c r="D961">
        <v>4522767</v>
      </c>
      <c r="E961" t="s">
        <v>25</v>
      </c>
      <c r="F961" t="s">
        <v>75</v>
      </c>
      <c r="G961" t="s">
        <v>76</v>
      </c>
      <c r="H961" t="s">
        <v>5973</v>
      </c>
      <c r="I961" t="s">
        <v>5974</v>
      </c>
      <c r="J961" t="s">
        <v>5975</v>
      </c>
      <c r="K961" t="s">
        <v>26</v>
      </c>
      <c r="L961" t="s">
        <v>5976</v>
      </c>
      <c r="M961" t="s">
        <v>25</v>
      </c>
      <c r="N961" t="s">
        <v>1013</v>
      </c>
      <c r="O961" t="s">
        <v>1014</v>
      </c>
      <c r="P961" t="s">
        <v>989</v>
      </c>
      <c r="Q961" t="s">
        <v>990</v>
      </c>
      <c r="R961">
        <v>110808</v>
      </c>
      <c r="S961">
        <v>85902</v>
      </c>
      <c r="T961">
        <v>24906</v>
      </c>
      <c r="U961" t="s">
        <v>35</v>
      </c>
      <c r="V961" t="s">
        <v>1015</v>
      </c>
      <c r="W961" t="s">
        <v>291</v>
      </c>
      <c r="X961" s="4">
        <v>1</v>
      </c>
      <c r="Y961" s="4"/>
      <c r="Z961">
        <f t="shared" si="56"/>
        <v>7</v>
      </c>
      <c r="AA961">
        <f t="shared" si="57"/>
        <v>15</v>
      </c>
      <c r="AB961" s="5">
        <f t="shared" si="58"/>
        <v>0.24037037036760012</v>
      </c>
      <c r="AC961" s="3">
        <f t="shared" si="59"/>
        <v>6.7696759258979E-2</v>
      </c>
      <c r="AD961" t="str" cm="1">
        <f t="array" ref="AD961">IFERROR(_xlfn.IFS(
    AC961="", "",
    AC961*86400 &lt; 30, "1. 0s - &lt;30s",
    AC961*86400 &lt; 60, "2. 30s - &lt;1m",
    AC961*86400 &lt; 300, "3. 1m - &lt;5m",
    AC961*86400 &lt; 1800, "4. 5m - &lt;30m",
    TRUE, "5. &gt;= 30m"
),"6. Invalid (Order rejected)")</f>
        <v>5. &gt;= 30m</v>
      </c>
    </row>
    <row r="962" spans="1:30" hidden="1" x14ac:dyDescent="0.3">
      <c r="A962" t="s">
        <v>5977</v>
      </c>
      <c r="B962" t="s">
        <v>25</v>
      </c>
      <c r="C962">
        <v>42758642</v>
      </c>
      <c r="D962">
        <v>0</v>
      </c>
      <c r="E962" t="s">
        <v>25</v>
      </c>
      <c r="F962" t="s">
        <v>26</v>
      </c>
      <c r="G962" t="s">
        <v>27</v>
      </c>
      <c r="H962" t="s">
        <v>5978</v>
      </c>
      <c r="I962" t="s">
        <v>5979</v>
      </c>
      <c r="J962" t="s">
        <v>26</v>
      </c>
      <c r="K962" t="s">
        <v>26</v>
      </c>
      <c r="L962" t="s">
        <v>5980</v>
      </c>
      <c r="M962" t="s">
        <v>25</v>
      </c>
      <c r="N962" t="s">
        <v>1049</v>
      </c>
      <c r="O962" t="s">
        <v>1050</v>
      </c>
      <c r="P962" t="s">
        <v>351</v>
      </c>
      <c r="Q962" t="s">
        <v>352</v>
      </c>
      <c r="R962">
        <v>269244</v>
      </c>
      <c r="S962">
        <v>0</v>
      </c>
      <c r="T962">
        <v>269244</v>
      </c>
      <c r="U962" t="s">
        <v>35</v>
      </c>
      <c r="V962" t="s">
        <v>1051</v>
      </c>
      <c r="W962" t="s">
        <v>354</v>
      </c>
      <c r="X962" s="4">
        <v>1</v>
      </c>
      <c r="Y962" s="4"/>
      <c r="Z962">
        <f t="shared" si="56"/>
        <v>7</v>
      </c>
      <c r="AA962">
        <f t="shared" si="57"/>
        <v>15</v>
      </c>
      <c r="AB962" s="5">
        <f t="shared" si="58"/>
        <v>0.22859953704028158</v>
      </c>
      <c r="AC962" s="3">
        <f t="shared" si="59"/>
        <v>0.229039351848769</v>
      </c>
      <c r="AD962" t="str" cm="1">
        <f t="array" ref="AD962">IFERROR(_xlfn.IFS(
    AC962="", "",
    AC962*86400 &lt; 30, "1. 0s - &lt;30s",
    AC962*86400 &lt; 60, "2. 30s - &lt;1m",
    AC962*86400 &lt; 300, "3. 1m - &lt;5m",
    AC962*86400 &lt; 1800, "4. 5m - &lt;30m",
    TRUE, "5. &gt;= 30m"
),"6. Invalid (Order rejected)")</f>
        <v>5. &gt;= 30m</v>
      </c>
    </row>
    <row r="963" spans="1:30" x14ac:dyDescent="0.3">
      <c r="A963" t="s">
        <v>5981</v>
      </c>
      <c r="B963" t="s">
        <v>25</v>
      </c>
      <c r="C963">
        <v>42758642</v>
      </c>
      <c r="D963">
        <v>4129757</v>
      </c>
      <c r="E963" t="s">
        <v>25</v>
      </c>
      <c r="F963" t="s">
        <v>75</v>
      </c>
      <c r="G963" t="s">
        <v>360</v>
      </c>
      <c r="H963" t="s">
        <v>5982</v>
      </c>
      <c r="I963" t="s">
        <v>5974</v>
      </c>
      <c r="J963" t="s">
        <v>5983</v>
      </c>
      <c r="K963" t="s">
        <v>26</v>
      </c>
      <c r="L963" t="s">
        <v>25</v>
      </c>
      <c r="M963" t="s">
        <v>25</v>
      </c>
      <c r="N963" t="s">
        <v>1049</v>
      </c>
      <c r="O963" t="s">
        <v>1050</v>
      </c>
      <c r="P963" t="s">
        <v>208</v>
      </c>
      <c r="Q963" t="s">
        <v>209</v>
      </c>
      <c r="R963">
        <v>273240</v>
      </c>
      <c r="S963">
        <v>211824</v>
      </c>
      <c r="T963">
        <v>61416</v>
      </c>
      <c r="U963" t="s">
        <v>35</v>
      </c>
      <c r="V963" t="s">
        <v>1051</v>
      </c>
      <c r="W963" t="s">
        <v>210</v>
      </c>
      <c r="X963" s="4">
        <v>1</v>
      </c>
      <c r="Y963" s="4"/>
      <c r="Z963">
        <f t="shared" ref="Z963:Z1026" si="60">MONTH(H963)</f>
        <v>7</v>
      </c>
      <c r="AA963">
        <f t="shared" ref="AA963:AA1026" si="61">DAY(H963)</f>
        <v>15</v>
      </c>
      <c r="AB963" s="5">
        <f t="shared" ref="AB963:AB1026" si="62">MOD(H963, 1)</f>
        <v>0.23057870370394085</v>
      </c>
      <c r="AC963" s="3" t="str">
        <f t="shared" ref="AC963:AC1026" si="63">IFERROR(IF(M963="",L963-H963,M963-H963),"Order rejected, no time available")</f>
        <v>Order rejected, no time available</v>
      </c>
      <c r="AD963" t="str" cm="1">
        <f t="array" ref="AD963">IFERROR(_xlfn.IFS(
    AC963="", "",
    AC963*86400 &lt; 30, "1. 0s - &lt;30s",
    AC963*86400 &lt; 60, "2. 30s - &lt;1m",
    AC963*86400 &lt; 300, "3. 1m - &lt;5m",
    AC963*86400 &lt; 1800, "4. 5m - &lt;30m",
    TRUE, "5. &gt;= 30m"
),"6. Invalid (Order rejected)")</f>
        <v>6. Invalid (Order rejected)</v>
      </c>
    </row>
    <row r="964" spans="1:30" hidden="1" x14ac:dyDescent="0.3">
      <c r="A964" t="s">
        <v>5984</v>
      </c>
      <c r="B964" t="s">
        <v>25</v>
      </c>
      <c r="C964">
        <v>42758642</v>
      </c>
      <c r="D964">
        <v>0</v>
      </c>
      <c r="E964" t="s">
        <v>25</v>
      </c>
      <c r="F964" t="s">
        <v>26</v>
      </c>
      <c r="G964" t="s">
        <v>27</v>
      </c>
      <c r="H964" t="s">
        <v>5985</v>
      </c>
      <c r="I964" t="s">
        <v>668</v>
      </c>
      <c r="J964" t="s">
        <v>26</v>
      </c>
      <c r="K964" t="s">
        <v>26</v>
      </c>
      <c r="L964" t="s">
        <v>669</v>
      </c>
      <c r="M964" t="s">
        <v>25</v>
      </c>
      <c r="N964" t="s">
        <v>1049</v>
      </c>
      <c r="O964" t="s">
        <v>1050</v>
      </c>
      <c r="P964" t="s">
        <v>463</v>
      </c>
      <c r="Q964" t="s">
        <v>464</v>
      </c>
      <c r="R964">
        <v>201312</v>
      </c>
      <c r="S964">
        <v>0</v>
      </c>
      <c r="T964">
        <v>201312</v>
      </c>
      <c r="U964" t="s">
        <v>35</v>
      </c>
      <c r="V964" t="s">
        <v>1051</v>
      </c>
      <c r="W964" t="s">
        <v>465</v>
      </c>
      <c r="X964" s="4">
        <v>1</v>
      </c>
      <c r="Y964" s="4"/>
      <c r="Z964">
        <f t="shared" si="60"/>
        <v>7</v>
      </c>
      <c r="AA964">
        <f t="shared" si="61"/>
        <v>15</v>
      </c>
      <c r="AB964" s="5">
        <f t="shared" si="62"/>
        <v>0.23241898148262408</v>
      </c>
      <c r="AC964" s="3">
        <f t="shared" si="63"/>
        <v>0.27105324073636439</v>
      </c>
      <c r="AD964" t="str" cm="1">
        <f t="array" ref="AD964">IFERROR(_xlfn.IFS(
    AC964="", "",
    AC964*86400 &lt; 30, "1. 0s - &lt;30s",
    AC964*86400 &lt; 60, "2. 30s - &lt;1m",
    AC964*86400 &lt; 300, "3. 1m - &lt;5m",
    AC964*86400 &lt; 1800, "4. 5m - &lt;30m",
    TRUE, "5. &gt;= 30m"
),"6. Invalid (Order rejected)")</f>
        <v>5. &gt;= 30m</v>
      </c>
    </row>
    <row r="965" spans="1:30" x14ac:dyDescent="0.3">
      <c r="A965" t="s">
        <v>5986</v>
      </c>
      <c r="B965" t="s">
        <v>25</v>
      </c>
      <c r="C965">
        <v>42758642</v>
      </c>
      <c r="D965">
        <v>3764010</v>
      </c>
      <c r="E965" t="s">
        <v>25</v>
      </c>
      <c r="F965" t="s">
        <v>75</v>
      </c>
      <c r="G965" t="s">
        <v>360</v>
      </c>
      <c r="H965" t="s">
        <v>5987</v>
      </c>
      <c r="I965" t="s">
        <v>5988</v>
      </c>
      <c r="J965" t="s">
        <v>5989</v>
      </c>
      <c r="K965" t="s">
        <v>5990</v>
      </c>
      <c r="L965" t="s">
        <v>25</v>
      </c>
      <c r="M965" t="s">
        <v>25</v>
      </c>
      <c r="N965" t="s">
        <v>974</v>
      </c>
      <c r="O965" t="s">
        <v>975</v>
      </c>
      <c r="P965" t="s">
        <v>237</v>
      </c>
      <c r="Q965" t="s">
        <v>238</v>
      </c>
      <c r="R965">
        <v>211788</v>
      </c>
      <c r="S965">
        <v>164185</v>
      </c>
      <c r="T965">
        <v>47603</v>
      </c>
      <c r="U965" t="s">
        <v>35</v>
      </c>
      <c r="V965" t="s">
        <v>976</v>
      </c>
      <c r="W965" t="s">
        <v>239</v>
      </c>
      <c r="X965" s="4">
        <v>1</v>
      </c>
      <c r="Y965" s="4"/>
      <c r="Z965">
        <f t="shared" si="60"/>
        <v>7</v>
      </c>
      <c r="AA965">
        <f t="shared" si="61"/>
        <v>15</v>
      </c>
      <c r="AB965" s="5">
        <f t="shared" si="62"/>
        <v>0.23622685185546288</v>
      </c>
      <c r="AC965" s="3" t="str">
        <f t="shared" si="63"/>
        <v>Order rejected, no time available</v>
      </c>
      <c r="AD965" t="str" cm="1">
        <f t="array" ref="AD965">IFERROR(_xlfn.IFS(
    AC965="", "",
    AC965*86400 &lt; 30, "1. 0s - &lt;30s",
    AC965*86400 &lt; 60, "2. 30s - &lt;1m",
    AC965*86400 &lt; 300, "3. 1m - &lt;5m",
    AC965*86400 &lt; 1800, "4. 5m - &lt;30m",
    TRUE, "5. &gt;= 30m"
),"6. Invalid (Order rejected)")</f>
        <v>6. Invalid (Order rejected)</v>
      </c>
    </row>
    <row r="966" spans="1:30" hidden="1" x14ac:dyDescent="0.3">
      <c r="A966" t="s">
        <v>5991</v>
      </c>
      <c r="B966" t="s">
        <v>25</v>
      </c>
      <c r="C966">
        <v>42758642</v>
      </c>
      <c r="D966">
        <v>0</v>
      </c>
      <c r="E966" t="s">
        <v>25</v>
      </c>
      <c r="F966" t="s">
        <v>26</v>
      </c>
      <c r="G966" t="s">
        <v>27</v>
      </c>
      <c r="H966" t="s">
        <v>5992</v>
      </c>
      <c r="I966" t="s">
        <v>5979</v>
      </c>
      <c r="J966" t="s">
        <v>26</v>
      </c>
      <c r="K966" t="s">
        <v>26</v>
      </c>
      <c r="L966" t="s">
        <v>5980</v>
      </c>
      <c r="M966" t="s">
        <v>25</v>
      </c>
      <c r="N966" t="s">
        <v>1049</v>
      </c>
      <c r="O966" t="s">
        <v>1050</v>
      </c>
      <c r="P966" t="s">
        <v>768</v>
      </c>
      <c r="Q966" t="s">
        <v>769</v>
      </c>
      <c r="R966">
        <v>208116</v>
      </c>
      <c r="S966">
        <v>0</v>
      </c>
      <c r="T966">
        <v>208116</v>
      </c>
      <c r="U966" t="s">
        <v>35</v>
      </c>
      <c r="V966" t="s">
        <v>1051</v>
      </c>
      <c r="W966" t="s">
        <v>771</v>
      </c>
      <c r="X966" s="4">
        <v>1</v>
      </c>
      <c r="Y966" s="4"/>
      <c r="Z966">
        <f t="shared" si="60"/>
        <v>7</v>
      </c>
      <c r="AA966">
        <f t="shared" si="61"/>
        <v>15</v>
      </c>
      <c r="AB966" s="5">
        <f t="shared" si="62"/>
        <v>0.22976851851854008</v>
      </c>
      <c r="AC966" s="3">
        <f t="shared" si="63"/>
        <v>0.2278703703705105</v>
      </c>
      <c r="AD966" t="str" cm="1">
        <f t="array" ref="AD966">IFERROR(_xlfn.IFS(
    AC966="", "",
    AC966*86400 &lt; 30, "1. 0s - &lt;30s",
    AC966*86400 &lt; 60, "2. 30s - &lt;1m",
    AC966*86400 &lt; 300, "3. 1m - &lt;5m",
    AC966*86400 &lt; 1800, "4. 5m - &lt;30m",
    TRUE, "5. &gt;= 30m"
),"6. Invalid (Order rejected)")</f>
        <v>5. &gt;= 30m</v>
      </c>
    </row>
    <row r="967" spans="1:30" hidden="1" x14ac:dyDescent="0.3">
      <c r="A967" t="s">
        <v>5993</v>
      </c>
      <c r="B967" t="s">
        <v>25</v>
      </c>
      <c r="C967">
        <v>42758642</v>
      </c>
      <c r="D967">
        <v>4411069</v>
      </c>
      <c r="E967" t="s">
        <v>25</v>
      </c>
      <c r="F967" t="s">
        <v>75</v>
      </c>
      <c r="G967" t="s">
        <v>76</v>
      </c>
      <c r="H967" t="s">
        <v>5994</v>
      </c>
      <c r="I967" t="s">
        <v>5969</v>
      </c>
      <c r="J967" t="s">
        <v>5995</v>
      </c>
      <c r="K967" t="s">
        <v>26</v>
      </c>
      <c r="L967" t="s">
        <v>5996</v>
      </c>
      <c r="M967" t="s">
        <v>25</v>
      </c>
      <c r="N967" t="s">
        <v>1049</v>
      </c>
      <c r="O967" t="s">
        <v>1050</v>
      </c>
      <c r="P967" t="s">
        <v>246</v>
      </c>
      <c r="Q967" t="s">
        <v>247</v>
      </c>
      <c r="R967">
        <v>123228</v>
      </c>
      <c r="S967">
        <v>95530</v>
      </c>
      <c r="T967">
        <v>27698</v>
      </c>
      <c r="U967" t="s">
        <v>35</v>
      </c>
      <c r="V967" t="s">
        <v>1051</v>
      </c>
      <c r="W967" t="s">
        <v>249</v>
      </c>
      <c r="X967" s="4">
        <v>1</v>
      </c>
      <c r="Y967" s="4"/>
      <c r="Z967">
        <f t="shared" si="60"/>
        <v>7</v>
      </c>
      <c r="AA967">
        <f t="shared" si="61"/>
        <v>15</v>
      </c>
      <c r="AB967" s="5">
        <f t="shared" si="62"/>
        <v>0.23141203703562496</v>
      </c>
      <c r="AC967" s="3">
        <f t="shared" si="63"/>
        <v>0.19144675925781485</v>
      </c>
      <c r="AD967" t="str" cm="1">
        <f t="array" ref="AD967">IFERROR(_xlfn.IFS(
    AC967="", "",
    AC967*86400 &lt; 30, "1. 0s - &lt;30s",
    AC967*86400 &lt; 60, "2. 30s - &lt;1m",
    AC967*86400 &lt; 300, "3. 1m - &lt;5m",
    AC967*86400 &lt; 1800, "4. 5m - &lt;30m",
    TRUE, "5. &gt;= 30m"
),"6. Invalid (Order rejected)")</f>
        <v>5. &gt;= 30m</v>
      </c>
    </row>
    <row r="968" spans="1:30" hidden="1" x14ac:dyDescent="0.3">
      <c r="A968" t="s">
        <v>5997</v>
      </c>
      <c r="B968" t="s">
        <v>25</v>
      </c>
      <c r="C968">
        <v>42758642</v>
      </c>
      <c r="D968">
        <v>0</v>
      </c>
      <c r="E968" t="s">
        <v>25</v>
      </c>
      <c r="F968" t="s">
        <v>26</v>
      </c>
      <c r="G968" t="s">
        <v>27</v>
      </c>
      <c r="H968" t="s">
        <v>5998</v>
      </c>
      <c r="I968" t="s">
        <v>811</v>
      </c>
      <c r="J968" t="s">
        <v>26</v>
      </c>
      <c r="K968" t="s">
        <v>26</v>
      </c>
      <c r="L968" t="s">
        <v>5822</v>
      </c>
      <c r="M968" t="s">
        <v>25</v>
      </c>
      <c r="N968" t="s">
        <v>974</v>
      </c>
      <c r="O968" t="s">
        <v>975</v>
      </c>
      <c r="P968" t="s">
        <v>237</v>
      </c>
      <c r="Q968" t="s">
        <v>238</v>
      </c>
      <c r="R968">
        <v>222588</v>
      </c>
      <c r="S968">
        <v>0</v>
      </c>
      <c r="T968">
        <v>222588</v>
      </c>
      <c r="U968" t="s">
        <v>35</v>
      </c>
      <c r="V968" t="s">
        <v>976</v>
      </c>
      <c r="W968" t="s">
        <v>239</v>
      </c>
      <c r="X968" s="4">
        <v>1</v>
      </c>
      <c r="Y968" s="4"/>
      <c r="Z968">
        <f t="shared" si="60"/>
        <v>7</v>
      </c>
      <c r="AA968">
        <f t="shared" si="61"/>
        <v>15</v>
      </c>
      <c r="AB968" s="5">
        <f t="shared" si="62"/>
        <v>0.23591435185517184</v>
      </c>
      <c r="AC968" s="3">
        <f t="shared" si="63"/>
        <v>0.22241898148058681</v>
      </c>
      <c r="AD968" t="str" cm="1">
        <f t="array" ref="AD968">IFERROR(_xlfn.IFS(
    AC968="", "",
    AC968*86400 &lt; 30, "1. 0s - &lt;30s",
    AC968*86400 &lt; 60, "2. 30s - &lt;1m",
    AC968*86400 &lt; 300, "3. 1m - &lt;5m",
    AC968*86400 &lt; 1800, "4. 5m - &lt;30m",
    TRUE, "5. &gt;= 30m"
),"6. Invalid (Order rejected)")</f>
        <v>5. &gt;= 30m</v>
      </c>
    </row>
    <row r="969" spans="1:30" hidden="1" x14ac:dyDescent="0.3">
      <c r="A969" t="s">
        <v>5999</v>
      </c>
      <c r="B969" t="s">
        <v>25</v>
      </c>
      <c r="C969">
        <v>42758642</v>
      </c>
      <c r="D969">
        <v>0</v>
      </c>
      <c r="E969" t="s">
        <v>25</v>
      </c>
      <c r="F969" t="s">
        <v>26</v>
      </c>
      <c r="G969" t="s">
        <v>27</v>
      </c>
      <c r="H969" t="s">
        <v>6000</v>
      </c>
      <c r="I969" t="s">
        <v>796</v>
      </c>
      <c r="J969" t="s">
        <v>26</v>
      </c>
      <c r="K969" t="s">
        <v>26</v>
      </c>
      <c r="L969" t="s">
        <v>797</v>
      </c>
      <c r="M969" t="s">
        <v>25</v>
      </c>
      <c r="N969" t="s">
        <v>980</v>
      </c>
      <c r="O969" t="s">
        <v>981</v>
      </c>
      <c r="P969" t="s">
        <v>6001</v>
      </c>
      <c r="Q969" t="s">
        <v>6002</v>
      </c>
      <c r="R969">
        <v>338472</v>
      </c>
      <c r="S969">
        <v>0</v>
      </c>
      <c r="T969">
        <v>338472</v>
      </c>
      <c r="U969" t="s">
        <v>35</v>
      </c>
      <c r="V969" t="s">
        <v>982</v>
      </c>
      <c r="W969" t="s">
        <v>6003</v>
      </c>
      <c r="X969" s="4">
        <v>1</v>
      </c>
      <c r="Y969" s="4"/>
      <c r="Z969">
        <f t="shared" si="60"/>
        <v>7</v>
      </c>
      <c r="AA969">
        <f t="shared" si="61"/>
        <v>15</v>
      </c>
      <c r="AB969" s="5">
        <f t="shared" si="62"/>
        <v>0.24296296296233777</v>
      </c>
      <c r="AC969" s="3">
        <f t="shared" si="63"/>
        <v>0.22300925925810589</v>
      </c>
      <c r="AD969" t="str" cm="1">
        <f t="array" ref="AD969">IFERROR(_xlfn.IFS(
    AC969="", "",
    AC969*86400 &lt; 30, "1. 0s - &lt;30s",
    AC969*86400 &lt; 60, "2. 30s - &lt;1m",
    AC969*86400 &lt; 300, "3. 1m - &lt;5m",
    AC969*86400 &lt; 1800, "4. 5m - &lt;30m",
    TRUE, "5. &gt;= 30m"
),"6. Invalid (Order rejected)")</f>
        <v>5. &gt;= 30m</v>
      </c>
    </row>
    <row r="970" spans="1:30" hidden="1" x14ac:dyDescent="0.3">
      <c r="A970" t="s">
        <v>6004</v>
      </c>
      <c r="B970" t="s">
        <v>25</v>
      </c>
      <c r="C970">
        <v>42758642</v>
      </c>
      <c r="D970">
        <v>0</v>
      </c>
      <c r="E970" t="s">
        <v>25</v>
      </c>
      <c r="F970" t="s">
        <v>26</v>
      </c>
      <c r="G970" t="s">
        <v>27</v>
      </c>
      <c r="H970" t="s">
        <v>6005</v>
      </c>
      <c r="I970" t="s">
        <v>668</v>
      </c>
      <c r="J970" t="s">
        <v>26</v>
      </c>
      <c r="K970" t="s">
        <v>26</v>
      </c>
      <c r="L970" t="s">
        <v>669</v>
      </c>
      <c r="M970" t="s">
        <v>25</v>
      </c>
      <c r="N970" t="s">
        <v>1049</v>
      </c>
      <c r="O970" t="s">
        <v>1050</v>
      </c>
      <c r="P970" t="s">
        <v>1043</v>
      </c>
      <c r="Q970" t="s">
        <v>1044</v>
      </c>
      <c r="R970">
        <v>90936</v>
      </c>
      <c r="S970">
        <v>0</v>
      </c>
      <c r="T970">
        <v>90936</v>
      </c>
      <c r="U970" t="s">
        <v>35</v>
      </c>
      <c r="V970" t="s">
        <v>1051</v>
      </c>
      <c r="W970" t="s">
        <v>266</v>
      </c>
      <c r="X970" s="4">
        <v>1</v>
      </c>
      <c r="Y970" s="4"/>
      <c r="Z970">
        <f t="shared" si="60"/>
        <v>7</v>
      </c>
      <c r="AA970">
        <f t="shared" si="61"/>
        <v>15</v>
      </c>
      <c r="AB970" s="5">
        <f t="shared" si="62"/>
        <v>0.23214120370539604</v>
      </c>
      <c r="AC970" s="3">
        <f t="shared" si="63"/>
        <v>0.27133101851359243</v>
      </c>
      <c r="AD970" t="str" cm="1">
        <f t="array" ref="AD970">IFERROR(_xlfn.IFS(
    AC970="", "",
    AC970*86400 &lt; 30, "1. 0s - &lt;30s",
    AC970*86400 &lt; 60, "2. 30s - &lt;1m",
    AC970*86400 &lt; 300, "3. 1m - &lt;5m",
    AC970*86400 &lt; 1800, "4. 5m - &lt;30m",
    TRUE, "5. &gt;= 30m"
),"6. Invalid (Order rejected)")</f>
        <v>5. &gt;= 30m</v>
      </c>
    </row>
    <row r="971" spans="1:30" x14ac:dyDescent="0.3">
      <c r="A971" t="s">
        <v>6006</v>
      </c>
      <c r="B971" t="s">
        <v>25</v>
      </c>
      <c r="C971">
        <v>42758642</v>
      </c>
      <c r="D971">
        <v>4057288</v>
      </c>
      <c r="E971" t="s">
        <v>25</v>
      </c>
      <c r="F971" t="s">
        <v>75</v>
      </c>
      <c r="G971" t="s">
        <v>360</v>
      </c>
      <c r="H971" t="s">
        <v>6007</v>
      </c>
      <c r="I971" t="s">
        <v>5850</v>
      </c>
      <c r="J971" t="s">
        <v>6008</v>
      </c>
      <c r="K971" t="s">
        <v>6009</v>
      </c>
      <c r="L971" t="s">
        <v>25</v>
      </c>
      <c r="M971" t="s">
        <v>25</v>
      </c>
      <c r="N971" t="s">
        <v>1013</v>
      </c>
      <c r="O971" t="s">
        <v>1014</v>
      </c>
      <c r="P971" t="s">
        <v>237</v>
      </c>
      <c r="Q971" t="s">
        <v>238</v>
      </c>
      <c r="R971">
        <v>200124</v>
      </c>
      <c r="S971">
        <v>155142</v>
      </c>
      <c r="T971">
        <v>44982</v>
      </c>
      <c r="U971" t="s">
        <v>35</v>
      </c>
      <c r="V971" t="s">
        <v>1015</v>
      </c>
      <c r="W971" t="s">
        <v>239</v>
      </c>
      <c r="X971" s="4">
        <v>1</v>
      </c>
      <c r="Y971" s="4"/>
      <c r="Z971">
        <f t="shared" si="60"/>
        <v>7</v>
      </c>
      <c r="AA971">
        <f t="shared" si="61"/>
        <v>15</v>
      </c>
      <c r="AB971" s="5">
        <f t="shared" si="62"/>
        <v>0.23874999999679858</v>
      </c>
      <c r="AC971" s="3" t="str">
        <f t="shared" si="63"/>
        <v>Order rejected, no time available</v>
      </c>
      <c r="AD971" t="str" cm="1">
        <f t="array" ref="AD971">IFERROR(_xlfn.IFS(
    AC971="", "",
    AC971*86400 &lt; 30, "1. 0s - &lt;30s",
    AC971*86400 &lt; 60, "2. 30s - &lt;1m",
    AC971*86400 &lt; 300, "3. 1m - &lt;5m",
    AC971*86400 &lt; 1800, "4. 5m - &lt;30m",
    TRUE, "5. &gt;= 30m"
),"6. Invalid (Order rejected)")</f>
        <v>6. Invalid (Order rejected)</v>
      </c>
    </row>
    <row r="972" spans="1:30" hidden="1" x14ac:dyDescent="0.3">
      <c r="A972" t="s">
        <v>6010</v>
      </c>
      <c r="B972" t="s">
        <v>25</v>
      </c>
      <c r="C972">
        <v>42758642</v>
      </c>
      <c r="D972">
        <v>4522767</v>
      </c>
      <c r="E972" t="s">
        <v>25</v>
      </c>
      <c r="F972" t="s">
        <v>75</v>
      </c>
      <c r="G972" t="s">
        <v>76</v>
      </c>
      <c r="H972" t="s">
        <v>6011</v>
      </c>
      <c r="I972" t="s">
        <v>811</v>
      </c>
      <c r="J972" t="s">
        <v>6012</v>
      </c>
      <c r="K972" t="s">
        <v>26</v>
      </c>
      <c r="L972" t="s">
        <v>6013</v>
      </c>
      <c r="M972" t="s">
        <v>25</v>
      </c>
      <c r="N972" t="s">
        <v>980</v>
      </c>
      <c r="O972" t="s">
        <v>981</v>
      </c>
      <c r="P972" t="s">
        <v>768</v>
      </c>
      <c r="Q972" t="s">
        <v>769</v>
      </c>
      <c r="R972">
        <v>187812</v>
      </c>
      <c r="S972">
        <v>145598</v>
      </c>
      <c r="T972">
        <v>42214</v>
      </c>
      <c r="U972" t="s">
        <v>35</v>
      </c>
      <c r="V972" t="s">
        <v>982</v>
      </c>
      <c r="W972" t="s">
        <v>771</v>
      </c>
      <c r="X972" s="4">
        <v>1</v>
      </c>
      <c r="Y972" s="4"/>
      <c r="Z972">
        <f t="shared" si="60"/>
        <v>7</v>
      </c>
      <c r="AA972">
        <f t="shared" si="61"/>
        <v>15</v>
      </c>
      <c r="AB972" s="5">
        <f t="shared" si="62"/>
        <v>0.24381944444758119</v>
      </c>
      <c r="AC972" s="3">
        <f t="shared" si="63"/>
        <v>5.9583333328191657E-2</v>
      </c>
      <c r="AD972" t="str" cm="1">
        <f t="array" ref="AD972">IFERROR(_xlfn.IFS(
    AC972="", "",
    AC972*86400 &lt; 30, "1. 0s - &lt;30s",
    AC972*86400 &lt; 60, "2. 30s - &lt;1m",
    AC972*86400 &lt; 300, "3. 1m - &lt;5m",
    AC972*86400 &lt; 1800, "4. 5m - &lt;30m",
    TRUE, "5. &gt;= 30m"
),"6. Invalid (Order rejected)")</f>
        <v>5. &gt;= 30m</v>
      </c>
    </row>
    <row r="973" spans="1:30" x14ac:dyDescent="0.3">
      <c r="A973" t="s">
        <v>6014</v>
      </c>
      <c r="B973" t="s">
        <v>25</v>
      </c>
      <c r="C973">
        <v>42758642</v>
      </c>
      <c r="D973">
        <v>4626251</v>
      </c>
      <c r="E973" t="s">
        <v>25</v>
      </c>
      <c r="F973" t="s">
        <v>75</v>
      </c>
      <c r="G973" t="s">
        <v>360</v>
      </c>
      <c r="H973" t="s">
        <v>6015</v>
      </c>
      <c r="I973" t="s">
        <v>811</v>
      </c>
      <c r="J973" t="s">
        <v>6016</v>
      </c>
      <c r="K973" t="s">
        <v>26</v>
      </c>
      <c r="L973" t="s">
        <v>25</v>
      </c>
      <c r="M973" t="s">
        <v>25</v>
      </c>
      <c r="N973" t="s">
        <v>1002</v>
      </c>
      <c r="O973" t="s">
        <v>1003</v>
      </c>
      <c r="P973" t="s">
        <v>342</v>
      </c>
      <c r="Q973" t="s">
        <v>343</v>
      </c>
      <c r="R973">
        <v>84672</v>
      </c>
      <c r="S973">
        <v>65640</v>
      </c>
      <c r="T973">
        <v>19032</v>
      </c>
      <c r="U973" t="s">
        <v>35</v>
      </c>
      <c r="V973" t="s">
        <v>1004</v>
      </c>
      <c r="W973" t="s">
        <v>344</v>
      </c>
      <c r="X973" s="4">
        <v>1</v>
      </c>
      <c r="Y973" s="4"/>
      <c r="Z973">
        <f t="shared" si="60"/>
        <v>7</v>
      </c>
      <c r="AA973">
        <f t="shared" si="61"/>
        <v>15</v>
      </c>
      <c r="AB973" s="5">
        <f t="shared" si="62"/>
        <v>0.24637731481197989</v>
      </c>
      <c r="AC973" s="3" t="str">
        <f t="shared" si="63"/>
        <v>Order rejected, no time available</v>
      </c>
      <c r="AD973" t="str" cm="1">
        <f t="array" ref="AD973">IFERROR(_xlfn.IFS(
    AC973="", "",
    AC973*86400 &lt; 30, "1. 0s - &lt;30s",
    AC973*86400 &lt; 60, "2. 30s - &lt;1m",
    AC973*86400 &lt; 300, "3. 1m - &lt;5m",
    AC973*86400 &lt; 1800, "4. 5m - &lt;30m",
    TRUE, "5. &gt;= 30m"
),"6. Invalid (Order rejected)")</f>
        <v>6. Invalid (Order rejected)</v>
      </c>
    </row>
    <row r="974" spans="1:30" hidden="1" x14ac:dyDescent="0.3">
      <c r="A974" t="s">
        <v>6017</v>
      </c>
      <c r="B974" t="s">
        <v>25</v>
      </c>
      <c r="C974">
        <v>42758642</v>
      </c>
      <c r="D974">
        <v>0</v>
      </c>
      <c r="E974" t="s">
        <v>25</v>
      </c>
      <c r="F974" t="s">
        <v>26</v>
      </c>
      <c r="G974" t="s">
        <v>27</v>
      </c>
      <c r="H974" t="s">
        <v>6018</v>
      </c>
      <c r="I974" t="s">
        <v>796</v>
      </c>
      <c r="J974" t="s">
        <v>26</v>
      </c>
      <c r="K974" t="s">
        <v>26</v>
      </c>
      <c r="L974" t="s">
        <v>797</v>
      </c>
      <c r="M974" t="s">
        <v>25</v>
      </c>
      <c r="N974" t="s">
        <v>974</v>
      </c>
      <c r="O974" t="s">
        <v>975</v>
      </c>
      <c r="P974" t="s">
        <v>418</v>
      </c>
      <c r="Q974" t="s">
        <v>419</v>
      </c>
      <c r="R974">
        <v>280044</v>
      </c>
      <c r="S974">
        <v>0</v>
      </c>
      <c r="T974">
        <v>280044</v>
      </c>
      <c r="U974" t="s">
        <v>35</v>
      </c>
      <c r="V974" t="s">
        <v>976</v>
      </c>
      <c r="W974" t="s">
        <v>420</v>
      </c>
      <c r="X974" s="4">
        <v>1</v>
      </c>
      <c r="Y974" s="4"/>
      <c r="Z974">
        <f t="shared" si="60"/>
        <v>7</v>
      </c>
      <c r="AA974">
        <f t="shared" si="61"/>
        <v>15</v>
      </c>
      <c r="AB974" s="5">
        <f t="shared" si="62"/>
        <v>0.23697916666424135</v>
      </c>
      <c r="AC974" s="3">
        <f t="shared" si="63"/>
        <v>0.22899305555620231</v>
      </c>
      <c r="AD974" t="str" cm="1">
        <f t="array" ref="AD974">IFERROR(_xlfn.IFS(
    AC974="", "",
    AC974*86400 &lt; 30, "1. 0s - &lt;30s",
    AC974*86400 &lt; 60, "2. 30s - &lt;1m",
    AC974*86400 &lt; 300, "3. 1m - &lt;5m",
    AC974*86400 &lt; 1800, "4. 5m - &lt;30m",
    TRUE, "5. &gt;= 30m"
),"6. Invalid (Order rejected)")</f>
        <v>5. &gt;= 30m</v>
      </c>
    </row>
    <row r="975" spans="1:30" hidden="1" x14ac:dyDescent="0.3">
      <c r="A975" t="s">
        <v>6019</v>
      </c>
      <c r="B975" t="s">
        <v>25</v>
      </c>
      <c r="C975">
        <v>42758642</v>
      </c>
      <c r="D975">
        <v>4522767</v>
      </c>
      <c r="E975" t="s">
        <v>25</v>
      </c>
      <c r="F975" t="s">
        <v>75</v>
      </c>
      <c r="G975" t="s">
        <v>76</v>
      </c>
      <c r="H975" t="s">
        <v>6020</v>
      </c>
      <c r="I975" t="s">
        <v>811</v>
      </c>
      <c r="J975" t="s">
        <v>6021</v>
      </c>
      <c r="K975" t="s">
        <v>26</v>
      </c>
      <c r="L975" t="s">
        <v>6022</v>
      </c>
      <c r="M975" t="s">
        <v>25</v>
      </c>
      <c r="N975" t="s">
        <v>980</v>
      </c>
      <c r="O975" t="s">
        <v>981</v>
      </c>
      <c r="P975" t="s">
        <v>317</v>
      </c>
      <c r="Q975" t="s">
        <v>318</v>
      </c>
      <c r="R975">
        <v>208980</v>
      </c>
      <c r="S975">
        <v>162008</v>
      </c>
      <c r="T975">
        <v>46972</v>
      </c>
      <c r="U975" t="s">
        <v>35</v>
      </c>
      <c r="V975" t="s">
        <v>982</v>
      </c>
      <c r="W975" t="s">
        <v>319</v>
      </c>
      <c r="X975" s="4">
        <v>1</v>
      </c>
      <c r="Y975" s="4"/>
      <c r="Z975">
        <f t="shared" si="60"/>
        <v>7</v>
      </c>
      <c r="AA975">
        <f t="shared" si="61"/>
        <v>15</v>
      </c>
      <c r="AB975" s="5">
        <f t="shared" si="62"/>
        <v>0.24420138888672227</v>
      </c>
      <c r="AC975" s="3">
        <f t="shared" si="63"/>
        <v>6.2384259261307307E-2</v>
      </c>
      <c r="AD975" t="str" cm="1">
        <f t="array" ref="AD975">IFERROR(_xlfn.IFS(
    AC975="", "",
    AC975*86400 &lt; 30, "1. 0s - &lt;30s",
    AC975*86400 &lt; 60, "2. 30s - &lt;1m",
    AC975*86400 &lt; 300, "3. 1m - &lt;5m",
    AC975*86400 &lt; 1800, "4. 5m - &lt;30m",
    TRUE, "5. &gt;= 30m"
),"6. Invalid (Order rejected)")</f>
        <v>5. &gt;= 30m</v>
      </c>
    </row>
    <row r="976" spans="1:30" hidden="1" x14ac:dyDescent="0.3">
      <c r="A976" t="s">
        <v>6023</v>
      </c>
      <c r="B976" t="s">
        <v>25</v>
      </c>
      <c r="C976">
        <v>42758642</v>
      </c>
      <c r="D976">
        <v>3746341</v>
      </c>
      <c r="E976" t="s">
        <v>25</v>
      </c>
      <c r="F976" t="s">
        <v>75</v>
      </c>
      <c r="G976" t="s">
        <v>76</v>
      </c>
      <c r="H976" t="s">
        <v>6024</v>
      </c>
      <c r="I976" t="s">
        <v>6025</v>
      </c>
      <c r="J976" t="s">
        <v>6026</v>
      </c>
      <c r="K976" t="s">
        <v>26</v>
      </c>
      <c r="L976" t="s">
        <v>6027</v>
      </c>
      <c r="M976" t="s">
        <v>25</v>
      </c>
      <c r="N976" t="s">
        <v>1067</v>
      </c>
      <c r="O976" t="s">
        <v>1068</v>
      </c>
      <c r="P976" t="s">
        <v>351</v>
      </c>
      <c r="Q976" t="s">
        <v>352</v>
      </c>
      <c r="R976">
        <v>393984</v>
      </c>
      <c r="S976">
        <v>323395</v>
      </c>
      <c r="T976">
        <v>70589</v>
      </c>
      <c r="U976" t="s">
        <v>35</v>
      </c>
      <c r="V976" t="s">
        <v>1069</v>
      </c>
      <c r="W976" t="s">
        <v>354</v>
      </c>
      <c r="X976" s="4">
        <v>1</v>
      </c>
      <c r="Y976" s="4"/>
      <c r="Z976">
        <f t="shared" si="60"/>
        <v>7</v>
      </c>
      <c r="AA976">
        <f t="shared" si="61"/>
        <v>15</v>
      </c>
      <c r="AB976" s="5">
        <f t="shared" si="62"/>
        <v>0.29340277778101154</v>
      </c>
      <c r="AC976" s="3">
        <f t="shared" si="63"/>
        <v>4.3171296296350192E-2</v>
      </c>
      <c r="AD976" t="str" cm="1">
        <f t="array" ref="AD976">IFERROR(_xlfn.IFS(
    AC976="", "",
    AC976*86400 &lt; 30, "1. 0s - &lt;30s",
    AC976*86400 &lt; 60, "2. 30s - &lt;1m",
    AC976*86400 &lt; 300, "3. 1m - &lt;5m",
    AC976*86400 &lt; 1800, "4. 5m - &lt;30m",
    TRUE, "5. &gt;= 30m"
),"6. Invalid (Order rejected)")</f>
        <v>5. &gt;= 30m</v>
      </c>
    </row>
    <row r="977" spans="1:30" hidden="1" x14ac:dyDescent="0.3">
      <c r="A977" t="s">
        <v>6028</v>
      </c>
      <c r="B977" t="s">
        <v>25</v>
      </c>
      <c r="C977">
        <v>42758642</v>
      </c>
      <c r="D977">
        <v>0</v>
      </c>
      <c r="E977" t="s">
        <v>25</v>
      </c>
      <c r="F977" t="s">
        <v>26</v>
      </c>
      <c r="G977" t="s">
        <v>27</v>
      </c>
      <c r="H977" t="s">
        <v>6029</v>
      </c>
      <c r="I977" t="s">
        <v>6030</v>
      </c>
      <c r="J977" t="s">
        <v>26</v>
      </c>
      <c r="K977" t="s">
        <v>26</v>
      </c>
      <c r="L977" t="s">
        <v>6031</v>
      </c>
      <c r="M977" t="s">
        <v>25</v>
      </c>
      <c r="N977" t="s">
        <v>1128</v>
      </c>
      <c r="O977" t="s">
        <v>1129</v>
      </c>
      <c r="P977" t="s">
        <v>289</v>
      </c>
      <c r="Q977" t="s">
        <v>290</v>
      </c>
      <c r="R977">
        <v>198720</v>
      </c>
      <c r="S977">
        <v>0</v>
      </c>
      <c r="T977">
        <v>198720</v>
      </c>
      <c r="U977" t="s">
        <v>35</v>
      </c>
      <c r="V977" t="s">
        <v>1130</v>
      </c>
      <c r="W977" t="s">
        <v>291</v>
      </c>
      <c r="X977" s="4">
        <v>1</v>
      </c>
      <c r="Y977" s="4"/>
      <c r="Z977">
        <f t="shared" si="60"/>
        <v>7</v>
      </c>
      <c r="AA977">
        <f t="shared" si="61"/>
        <v>15</v>
      </c>
      <c r="AB977" s="5">
        <f t="shared" si="62"/>
        <v>0.29957175925665069</v>
      </c>
      <c r="AC977" s="3">
        <f t="shared" si="63"/>
        <v>9.0266203704231884E-2</v>
      </c>
      <c r="AD977" t="str" cm="1">
        <f t="array" ref="AD977">IFERROR(_xlfn.IFS(
    AC977="", "",
    AC977*86400 &lt; 30, "1. 0s - &lt;30s",
    AC977*86400 &lt; 60, "2. 30s - &lt;1m",
    AC977*86400 &lt; 300, "3. 1m - &lt;5m",
    AC977*86400 &lt; 1800, "4. 5m - &lt;30m",
    TRUE, "5. &gt;= 30m"
),"6. Invalid (Order rejected)")</f>
        <v>5. &gt;= 30m</v>
      </c>
    </row>
    <row r="978" spans="1:30" hidden="1" x14ac:dyDescent="0.3">
      <c r="A978" t="s">
        <v>6032</v>
      </c>
      <c r="B978" t="s">
        <v>25</v>
      </c>
      <c r="C978">
        <v>42758642</v>
      </c>
      <c r="D978">
        <v>0</v>
      </c>
      <c r="E978" t="s">
        <v>25</v>
      </c>
      <c r="F978" t="s">
        <v>26</v>
      </c>
      <c r="G978" t="s">
        <v>27</v>
      </c>
      <c r="H978" t="s">
        <v>6033</v>
      </c>
      <c r="I978" t="s">
        <v>6034</v>
      </c>
      <c r="J978" t="s">
        <v>26</v>
      </c>
      <c r="K978" t="s">
        <v>26</v>
      </c>
      <c r="L978" t="s">
        <v>6035</v>
      </c>
      <c r="M978" t="s">
        <v>25</v>
      </c>
      <c r="N978" t="s">
        <v>1149</v>
      </c>
      <c r="O978" t="s">
        <v>1150</v>
      </c>
      <c r="P978" t="s">
        <v>6036</v>
      </c>
      <c r="Q978" t="s">
        <v>6037</v>
      </c>
      <c r="R978">
        <v>153900</v>
      </c>
      <c r="S978">
        <v>0</v>
      </c>
      <c r="T978">
        <v>153900</v>
      </c>
      <c r="U978" t="s">
        <v>35</v>
      </c>
      <c r="V978" t="s">
        <v>1153</v>
      </c>
      <c r="W978" t="s">
        <v>1154</v>
      </c>
      <c r="X978" s="4">
        <v>1</v>
      </c>
      <c r="Y978" s="4"/>
      <c r="Z978">
        <f t="shared" si="60"/>
        <v>7</v>
      </c>
      <c r="AA978">
        <f t="shared" si="61"/>
        <v>15</v>
      </c>
      <c r="AB978" s="5">
        <f t="shared" si="62"/>
        <v>0.297013888892252</v>
      </c>
      <c r="AC978" s="3">
        <f t="shared" si="63"/>
        <v>9.0266203696955927E-2</v>
      </c>
      <c r="AD978" t="str" cm="1">
        <f t="array" ref="AD978">IFERROR(_xlfn.IFS(
    AC978="", "",
    AC978*86400 &lt; 30, "1. 0s - &lt;30s",
    AC978*86400 &lt; 60, "2. 30s - &lt;1m",
    AC978*86400 &lt; 300, "3. 1m - &lt;5m",
    AC978*86400 &lt; 1800, "4. 5m - &lt;30m",
    TRUE, "5. &gt;= 30m"
),"6. Invalid (Order rejected)")</f>
        <v>5. &gt;= 30m</v>
      </c>
    </row>
    <row r="979" spans="1:30" hidden="1" x14ac:dyDescent="0.3">
      <c r="A979" t="s">
        <v>6038</v>
      </c>
      <c r="B979" t="s">
        <v>25</v>
      </c>
      <c r="C979">
        <v>42758642</v>
      </c>
      <c r="D979">
        <v>0</v>
      </c>
      <c r="E979" t="s">
        <v>25</v>
      </c>
      <c r="F979" t="s">
        <v>26</v>
      </c>
      <c r="G979" t="s">
        <v>27</v>
      </c>
      <c r="H979" t="s">
        <v>6039</v>
      </c>
      <c r="I979" t="s">
        <v>6040</v>
      </c>
      <c r="J979" t="s">
        <v>26</v>
      </c>
      <c r="K979" t="s">
        <v>26</v>
      </c>
      <c r="L979" t="s">
        <v>6041</v>
      </c>
      <c r="M979" t="s">
        <v>25</v>
      </c>
      <c r="N979" t="s">
        <v>1128</v>
      </c>
      <c r="O979" t="s">
        <v>1129</v>
      </c>
      <c r="P979" t="s">
        <v>289</v>
      </c>
      <c r="Q979" t="s">
        <v>290</v>
      </c>
      <c r="R979">
        <v>145044</v>
      </c>
      <c r="S979">
        <v>0</v>
      </c>
      <c r="T979">
        <v>145044</v>
      </c>
      <c r="U979" t="s">
        <v>35</v>
      </c>
      <c r="V979" t="s">
        <v>1130</v>
      </c>
      <c r="W979" t="s">
        <v>291</v>
      </c>
      <c r="X979" s="4">
        <v>1</v>
      </c>
      <c r="Y979" s="4"/>
      <c r="Z979">
        <f t="shared" si="60"/>
        <v>7</v>
      </c>
      <c r="AA979">
        <f t="shared" si="61"/>
        <v>15</v>
      </c>
      <c r="AB979" s="5">
        <f t="shared" si="62"/>
        <v>0.29940972222539131</v>
      </c>
      <c r="AC979" s="3">
        <f t="shared" si="63"/>
        <v>9.0277777773735579E-2</v>
      </c>
      <c r="AD979" t="str" cm="1">
        <f t="array" ref="AD979">IFERROR(_xlfn.IFS(
    AC979="", "",
    AC979*86400 &lt; 30, "1. 0s - &lt;30s",
    AC979*86400 &lt; 60, "2. 30s - &lt;1m",
    AC979*86400 &lt; 300, "3. 1m - &lt;5m",
    AC979*86400 &lt; 1800, "4. 5m - &lt;30m",
    TRUE, "5. &gt;= 30m"
),"6. Invalid (Order rejected)")</f>
        <v>5. &gt;= 30m</v>
      </c>
    </row>
    <row r="980" spans="1:30" hidden="1" x14ac:dyDescent="0.3">
      <c r="A980" t="s">
        <v>6042</v>
      </c>
      <c r="B980" t="s">
        <v>25</v>
      </c>
      <c r="C980">
        <v>42758642</v>
      </c>
      <c r="D980">
        <v>0</v>
      </c>
      <c r="E980" t="s">
        <v>25</v>
      </c>
      <c r="F980" t="s">
        <v>26</v>
      </c>
      <c r="G980" t="s">
        <v>27</v>
      </c>
      <c r="H980" t="s">
        <v>6043</v>
      </c>
      <c r="I980" t="s">
        <v>6044</v>
      </c>
      <c r="J980" t="s">
        <v>26</v>
      </c>
      <c r="K980" t="s">
        <v>26</v>
      </c>
      <c r="L980" t="s">
        <v>6045</v>
      </c>
      <c r="M980" t="s">
        <v>25</v>
      </c>
      <c r="N980" t="s">
        <v>1142</v>
      </c>
      <c r="O980" t="s">
        <v>1143</v>
      </c>
      <c r="P980" t="s">
        <v>351</v>
      </c>
      <c r="Q980" t="s">
        <v>352</v>
      </c>
      <c r="R980">
        <v>263304</v>
      </c>
      <c r="S980">
        <v>0</v>
      </c>
      <c r="T980">
        <v>263304</v>
      </c>
      <c r="U980" t="s">
        <v>35</v>
      </c>
      <c r="V980" t="s">
        <v>1144</v>
      </c>
      <c r="W980" t="s">
        <v>354</v>
      </c>
      <c r="X980" s="4">
        <v>1</v>
      </c>
      <c r="Y980" s="4"/>
      <c r="Z980">
        <f t="shared" si="60"/>
        <v>7</v>
      </c>
      <c r="AA980">
        <f t="shared" si="61"/>
        <v>15</v>
      </c>
      <c r="AB980" s="5">
        <f t="shared" si="62"/>
        <v>0.30172453703562496</v>
      </c>
      <c r="AC980" s="3">
        <f t="shared" si="63"/>
        <v>0.11359953703504289</v>
      </c>
      <c r="AD980" t="str" cm="1">
        <f t="array" ref="AD980">IFERROR(_xlfn.IFS(
    AC980="", "",
    AC980*86400 &lt; 30, "1. 0s - &lt;30s",
    AC980*86400 &lt; 60, "2. 30s - &lt;1m",
    AC980*86400 &lt; 300, "3. 1m - &lt;5m",
    AC980*86400 &lt; 1800, "4. 5m - &lt;30m",
    TRUE, "5. &gt;= 30m"
),"6. Invalid (Order rejected)")</f>
        <v>5. &gt;= 30m</v>
      </c>
    </row>
    <row r="981" spans="1:30" x14ac:dyDescent="0.3">
      <c r="A981" t="s">
        <v>6046</v>
      </c>
      <c r="B981" t="s">
        <v>25</v>
      </c>
      <c r="C981">
        <v>42758642</v>
      </c>
      <c r="D981">
        <v>4629882</v>
      </c>
      <c r="E981" t="s">
        <v>25</v>
      </c>
      <c r="F981" t="s">
        <v>75</v>
      </c>
      <c r="G981" t="s">
        <v>360</v>
      </c>
      <c r="H981" t="s">
        <v>6047</v>
      </c>
      <c r="I981" t="s">
        <v>6048</v>
      </c>
      <c r="J981" t="s">
        <v>6049</v>
      </c>
      <c r="K981" t="s">
        <v>26</v>
      </c>
      <c r="L981" t="s">
        <v>25</v>
      </c>
      <c r="M981" t="s">
        <v>25</v>
      </c>
      <c r="N981" t="s">
        <v>1078</v>
      </c>
      <c r="O981" t="s">
        <v>1079</v>
      </c>
      <c r="P981" t="s">
        <v>237</v>
      </c>
      <c r="Q981" t="s">
        <v>238</v>
      </c>
      <c r="R981">
        <v>234144</v>
      </c>
      <c r="S981">
        <v>181516</v>
      </c>
      <c r="T981">
        <v>52628</v>
      </c>
      <c r="U981" t="s">
        <v>35</v>
      </c>
      <c r="V981" t="s">
        <v>1080</v>
      </c>
      <c r="W981" t="s">
        <v>239</v>
      </c>
      <c r="X981" s="4">
        <v>1</v>
      </c>
      <c r="Y981" s="4"/>
      <c r="Z981">
        <f t="shared" si="60"/>
        <v>7</v>
      </c>
      <c r="AA981">
        <f t="shared" si="61"/>
        <v>15</v>
      </c>
      <c r="AB981" s="5">
        <f t="shared" si="62"/>
        <v>0.29547453703708015</v>
      </c>
      <c r="AC981" s="3" t="str">
        <f t="shared" si="63"/>
        <v>Order rejected, no time available</v>
      </c>
      <c r="AD981" t="str" cm="1">
        <f t="array" ref="AD981">IFERROR(_xlfn.IFS(
    AC981="", "",
    AC981*86400 &lt; 30, "1. 0s - &lt;30s",
    AC981*86400 &lt; 60, "2. 30s - &lt;1m",
    AC981*86400 &lt; 300, "3. 1m - &lt;5m",
    AC981*86400 &lt; 1800, "4. 5m - &lt;30m",
    TRUE, "5. &gt;= 30m"
),"6. Invalid (Order rejected)")</f>
        <v>6. Invalid (Order rejected)</v>
      </c>
    </row>
    <row r="982" spans="1:30" hidden="1" x14ac:dyDescent="0.3">
      <c r="A982" t="s">
        <v>6050</v>
      </c>
      <c r="B982" t="s">
        <v>25</v>
      </c>
      <c r="C982">
        <v>42758642</v>
      </c>
      <c r="D982">
        <v>0</v>
      </c>
      <c r="E982" t="s">
        <v>25</v>
      </c>
      <c r="F982" t="s">
        <v>26</v>
      </c>
      <c r="G982" t="s">
        <v>27</v>
      </c>
      <c r="H982" t="s">
        <v>6051</v>
      </c>
      <c r="I982" t="s">
        <v>6052</v>
      </c>
      <c r="J982" t="s">
        <v>26</v>
      </c>
      <c r="K982" t="s">
        <v>26</v>
      </c>
      <c r="L982" t="s">
        <v>6053</v>
      </c>
      <c r="M982" t="s">
        <v>25</v>
      </c>
      <c r="N982" t="s">
        <v>1149</v>
      </c>
      <c r="O982" t="s">
        <v>1150</v>
      </c>
      <c r="P982" t="s">
        <v>81</v>
      </c>
      <c r="Q982" t="s">
        <v>82</v>
      </c>
      <c r="R982">
        <v>194940</v>
      </c>
      <c r="S982">
        <v>0</v>
      </c>
      <c r="T982">
        <v>194940</v>
      </c>
      <c r="U982" t="s">
        <v>35</v>
      </c>
      <c r="V982" t="s">
        <v>1153</v>
      </c>
      <c r="W982" t="s">
        <v>83</v>
      </c>
      <c r="X982" s="4">
        <v>1</v>
      </c>
      <c r="Y982" s="4"/>
      <c r="Z982">
        <f t="shared" si="60"/>
        <v>7</v>
      </c>
      <c r="AA982">
        <f t="shared" si="61"/>
        <v>15</v>
      </c>
      <c r="AB982" s="5">
        <f t="shared" si="62"/>
        <v>0.29734953703882638</v>
      </c>
      <c r="AC982" s="3">
        <f t="shared" si="63"/>
        <v>9.0266203704231884E-2</v>
      </c>
      <c r="AD982" t="str" cm="1">
        <f t="array" ref="AD982">IFERROR(_xlfn.IFS(
    AC982="", "",
    AC982*86400 &lt; 30, "1. 0s - &lt;30s",
    AC982*86400 &lt; 60, "2. 30s - &lt;1m",
    AC982*86400 &lt; 300, "3. 1m - &lt;5m",
    AC982*86400 &lt; 1800, "4. 5m - &lt;30m",
    TRUE, "5. &gt;= 30m"
),"6. Invalid (Order rejected)")</f>
        <v>5. &gt;= 30m</v>
      </c>
    </row>
    <row r="983" spans="1:30" hidden="1" x14ac:dyDescent="0.3">
      <c r="A983" t="s">
        <v>6054</v>
      </c>
      <c r="B983" t="s">
        <v>25</v>
      </c>
      <c r="C983">
        <v>42758642</v>
      </c>
      <c r="D983">
        <v>3974295</v>
      </c>
      <c r="E983" t="s">
        <v>25</v>
      </c>
      <c r="F983" t="s">
        <v>75</v>
      </c>
      <c r="G983" t="s">
        <v>76</v>
      </c>
      <c r="H983" t="s">
        <v>6055</v>
      </c>
      <c r="I983" t="s">
        <v>6056</v>
      </c>
      <c r="J983" t="s">
        <v>6057</v>
      </c>
      <c r="K983" t="s">
        <v>6058</v>
      </c>
      <c r="L983" t="s">
        <v>6059</v>
      </c>
      <c r="M983" t="s">
        <v>25</v>
      </c>
      <c r="N983" t="s">
        <v>1113</v>
      </c>
      <c r="O983" t="s">
        <v>1114</v>
      </c>
      <c r="P983" t="s">
        <v>463</v>
      </c>
      <c r="Q983" t="s">
        <v>464</v>
      </c>
      <c r="R983">
        <v>275832</v>
      </c>
      <c r="S983">
        <v>213834</v>
      </c>
      <c r="T983">
        <v>61998</v>
      </c>
      <c r="U983" t="s">
        <v>35</v>
      </c>
      <c r="V983" t="s">
        <v>1115</v>
      </c>
      <c r="W983" t="s">
        <v>465</v>
      </c>
      <c r="X983" s="4">
        <v>1</v>
      </c>
      <c r="Y983" s="4"/>
      <c r="Z983">
        <f t="shared" si="60"/>
        <v>7</v>
      </c>
      <c r="AA983">
        <f t="shared" si="61"/>
        <v>15</v>
      </c>
      <c r="AB983" s="5">
        <f t="shared" si="62"/>
        <v>0.30365740740671754</v>
      </c>
      <c r="AC983" s="3">
        <f t="shared" si="63"/>
        <v>9.5578703701903578E-2</v>
      </c>
      <c r="AD983" t="str" cm="1">
        <f t="array" ref="AD983">IFERROR(_xlfn.IFS(
    AC983="", "",
    AC983*86400 &lt; 30, "1. 0s - &lt;30s",
    AC983*86400 &lt; 60, "2. 30s - &lt;1m",
    AC983*86400 &lt; 300, "3. 1m - &lt;5m",
    AC983*86400 &lt; 1800, "4. 5m - &lt;30m",
    TRUE, "5. &gt;= 30m"
),"6. Invalid (Order rejected)")</f>
        <v>5. &gt;= 30m</v>
      </c>
    </row>
    <row r="984" spans="1:30" hidden="1" x14ac:dyDescent="0.3">
      <c r="A984" t="s">
        <v>6060</v>
      </c>
      <c r="B984" t="s">
        <v>25</v>
      </c>
      <c r="C984">
        <v>42758642</v>
      </c>
      <c r="D984">
        <v>0</v>
      </c>
      <c r="E984" t="s">
        <v>25</v>
      </c>
      <c r="F984" t="s">
        <v>26</v>
      </c>
      <c r="G984" t="s">
        <v>27</v>
      </c>
      <c r="H984" t="s">
        <v>6061</v>
      </c>
      <c r="I984" t="s">
        <v>6062</v>
      </c>
      <c r="J984" t="s">
        <v>26</v>
      </c>
      <c r="K984" t="s">
        <v>26</v>
      </c>
      <c r="L984" t="s">
        <v>6063</v>
      </c>
      <c r="M984" t="s">
        <v>25</v>
      </c>
      <c r="N984" t="s">
        <v>1149</v>
      </c>
      <c r="O984" t="s">
        <v>1150</v>
      </c>
      <c r="P984" t="s">
        <v>1792</v>
      </c>
      <c r="Q984" t="s">
        <v>1793</v>
      </c>
      <c r="R984">
        <v>156060</v>
      </c>
      <c r="S984">
        <v>0</v>
      </c>
      <c r="T984">
        <v>156060</v>
      </c>
      <c r="U984" t="s">
        <v>35</v>
      </c>
      <c r="V984" t="s">
        <v>1153</v>
      </c>
      <c r="W984" t="s">
        <v>1794</v>
      </c>
      <c r="X984" s="4">
        <v>1</v>
      </c>
      <c r="Y984" s="4"/>
      <c r="Z984">
        <f t="shared" si="60"/>
        <v>7</v>
      </c>
      <c r="AA984">
        <f t="shared" si="61"/>
        <v>15</v>
      </c>
      <c r="AB984" s="5">
        <f t="shared" si="62"/>
        <v>0.29663194444583496</v>
      </c>
      <c r="AC984" s="3">
        <f t="shared" si="63"/>
        <v>9.0277777773735579E-2</v>
      </c>
      <c r="AD984" t="str" cm="1">
        <f t="array" ref="AD984">IFERROR(_xlfn.IFS(
    AC984="", "",
    AC984*86400 &lt; 30, "1. 0s - &lt;30s",
    AC984*86400 &lt; 60, "2. 30s - &lt;1m",
    AC984*86400 &lt; 300, "3. 1m - &lt;5m",
    AC984*86400 &lt; 1800, "4. 5m - &lt;30m",
    TRUE, "5. &gt;= 30m"
),"6. Invalid (Order rejected)")</f>
        <v>5. &gt;= 30m</v>
      </c>
    </row>
    <row r="985" spans="1:30" hidden="1" x14ac:dyDescent="0.3">
      <c r="A985" t="s">
        <v>6064</v>
      </c>
      <c r="B985" t="s">
        <v>25</v>
      </c>
      <c r="C985">
        <v>42758642</v>
      </c>
      <c r="D985">
        <v>0</v>
      </c>
      <c r="E985" t="s">
        <v>25</v>
      </c>
      <c r="F985" t="s">
        <v>26</v>
      </c>
      <c r="G985" t="s">
        <v>27</v>
      </c>
      <c r="H985" t="s">
        <v>6065</v>
      </c>
      <c r="I985" t="s">
        <v>6066</v>
      </c>
      <c r="J985" t="s">
        <v>26</v>
      </c>
      <c r="K985" t="s">
        <v>26</v>
      </c>
      <c r="L985" t="s">
        <v>6067</v>
      </c>
      <c r="M985" t="s">
        <v>25</v>
      </c>
      <c r="N985" t="s">
        <v>1135</v>
      </c>
      <c r="O985" t="s">
        <v>1136</v>
      </c>
      <c r="P985" t="s">
        <v>857</v>
      </c>
      <c r="Q985" t="s">
        <v>858</v>
      </c>
      <c r="R985">
        <v>141372</v>
      </c>
      <c r="S985">
        <v>0</v>
      </c>
      <c r="T985">
        <v>141372</v>
      </c>
      <c r="U985" t="s">
        <v>35</v>
      </c>
      <c r="V985" t="s">
        <v>1137</v>
      </c>
      <c r="W985" t="s">
        <v>860</v>
      </c>
      <c r="X985" s="4">
        <v>1</v>
      </c>
      <c r="Y985" s="4"/>
      <c r="Z985">
        <f t="shared" si="60"/>
        <v>7</v>
      </c>
      <c r="AA985">
        <f t="shared" si="61"/>
        <v>15</v>
      </c>
      <c r="AB985" s="5">
        <f t="shared" si="62"/>
        <v>0.30040509259561077</v>
      </c>
      <c r="AC985" s="3">
        <f t="shared" si="63"/>
        <v>9.0266203704231884E-2</v>
      </c>
      <c r="AD985" t="str" cm="1">
        <f t="array" ref="AD985">IFERROR(_xlfn.IFS(
    AC985="", "",
    AC985*86400 &lt; 30, "1. 0s - &lt;30s",
    AC985*86400 &lt; 60, "2. 30s - &lt;1m",
    AC985*86400 &lt; 300, "3. 1m - &lt;5m",
    AC985*86400 &lt; 1800, "4. 5m - &lt;30m",
    TRUE, "5. &gt;= 30m"
),"6. Invalid (Order rejected)")</f>
        <v>5. &gt;= 30m</v>
      </c>
    </row>
    <row r="986" spans="1:30" hidden="1" x14ac:dyDescent="0.3">
      <c r="A986" t="s">
        <v>6068</v>
      </c>
      <c r="B986" t="s">
        <v>25</v>
      </c>
      <c r="C986">
        <v>42758642</v>
      </c>
      <c r="D986">
        <v>0</v>
      </c>
      <c r="E986" t="s">
        <v>25</v>
      </c>
      <c r="F986" t="s">
        <v>26</v>
      </c>
      <c r="G986" t="s">
        <v>27</v>
      </c>
      <c r="H986" t="s">
        <v>6069</v>
      </c>
      <c r="I986" t="s">
        <v>6070</v>
      </c>
      <c r="J986" t="s">
        <v>26</v>
      </c>
      <c r="K986" t="s">
        <v>26</v>
      </c>
      <c r="L986" t="s">
        <v>6071</v>
      </c>
      <c r="M986" t="s">
        <v>25</v>
      </c>
      <c r="N986" t="s">
        <v>6072</v>
      </c>
      <c r="O986" t="s">
        <v>6073</v>
      </c>
      <c r="P986" t="s">
        <v>384</v>
      </c>
      <c r="Q986" t="s">
        <v>385</v>
      </c>
      <c r="R986">
        <v>201744</v>
      </c>
      <c r="S986">
        <v>0</v>
      </c>
      <c r="T986">
        <v>201744</v>
      </c>
      <c r="U986" t="s">
        <v>35</v>
      </c>
      <c r="V986" t="s">
        <v>6074</v>
      </c>
      <c r="W986" t="s">
        <v>386</v>
      </c>
      <c r="X986" s="4">
        <v>1</v>
      </c>
      <c r="Y986" s="4"/>
      <c r="Z986">
        <f t="shared" si="60"/>
        <v>7</v>
      </c>
      <c r="AA986">
        <f t="shared" si="61"/>
        <v>15</v>
      </c>
      <c r="AB986" s="5">
        <f t="shared" si="62"/>
        <v>0.30531250000058208</v>
      </c>
      <c r="AC986" s="3">
        <f t="shared" si="63"/>
        <v>9.0277777773735579E-2</v>
      </c>
      <c r="AD986" t="str" cm="1">
        <f t="array" ref="AD986">IFERROR(_xlfn.IFS(
    AC986="", "",
    AC986*86400 &lt; 30, "1. 0s - &lt;30s",
    AC986*86400 &lt; 60, "2. 30s - &lt;1m",
    AC986*86400 &lt; 300, "3. 1m - &lt;5m",
    AC986*86400 &lt; 1800, "4. 5m - &lt;30m",
    TRUE, "5. &gt;= 30m"
),"6. Invalid (Order rejected)")</f>
        <v>5. &gt;= 30m</v>
      </c>
    </row>
    <row r="987" spans="1:30" hidden="1" x14ac:dyDescent="0.3">
      <c r="A987" t="s">
        <v>6075</v>
      </c>
      <c r="B987" t="s">
        <v>25</v>
      </c>
      <c r="C987">
        <v>42758642</v>
      </c>
      <c r="D987">
        <v>3746341</v>
      </c>
      <c r="E987" t="s">
        <v>25</v>
      </c>
      <c r="F987" t="s">
        <v>75</v>
      </c>
      <c r="G987" t="s">
        <v>76</v>
      </c>
      <c r="H987" t="s">
        <v>6076</v>
      </c>
      <c r="I987" t="s">
        <v>1196</v>
      </c>
      <c r="J987" t="s">
        <v>6077</v>
      </c>
      <c r="K987" t="s">
        <v>26</v>
      </c>
      <c r="L987" t="s">
        <v>6078</v>
      </c>
      <c r="M987" t="s">
        <v>25</v>
      </c>
      <c r="N987" t="s">
        <v>1067</v>
      </c>
      <c r="O987" t="s">
        <v>1068</v>
      </c>
      <c r="P987" t="s">
        <v>384</v>
      </c>
      <c r="Q987" t="s">
        <v>385</v>
      </c>
      <c r="R987">
        <v>218916</v>
      </c>
      <c r="S987">
        <v>179694</v>
      </c>
      <c r="T987">
        <v>39222</v>
      </c>
      <c r="U987" t="s">
        <v>35</v>
      </c>
      <c r="V987" t="s">
        <v>1069</v>
      </c>
      <c r="W987" t="s">
        <v>386</v>
      </c>
      <c r="X987" s="4">
        <v>1</v>
      </c>
      <c r="Y987" s="4"/>
      <c r="Z987">
        <f t="shared" si="60"/>
        <v>7</v>
      </c>
      <c r="AA987">
        <f t="shared" si="61"/>
        <v>15</v>
      </c>
      <c r="AB987" s="5">
        <f t="shared" si="62"/>
        <v>0.29388888888934162</v>
      </c>
      <c r="AC987" s="3">
        <f t="shared" si="63"/>
        <v>1.0671296295186039E-2</v>
      </c>
      <c r="AD987" t="str" cm="1">
        <f t="array" ref="AD987">IFERROR(_xlfn.IFS(
    AC987="", "",
    AC987*86400 &lt; 30, "1. 0s - &lt;30s",
    AC987*86400 &lt; 60, "2. 30s - &lt;1m",
    AC987*86400 &lt; 300, "3. 1m - &lt;5m",
    AC987*86400 &lt; 1800, "4. 5m - &lt;30m",
    TRUE, "5. &gt;= 30m"
),"6. Invalid (Order rejected)")</f>
        <v>4. 5m - &lt;30m</v>
      </c>
    </row>
    <row r="988" spans="1:30" hidden="1" x14ac:dyDescent="0.3">
      <c r="A988" t="s">
        <v>6079</v>
      </c>
      <c r="B988" t="s">
        <v>25</v>
      </c>
      <c r="C988">
        <v>42758642</v>
      </c>
      <c r="D988">
        <v>0</v>
      </c>
      <c r="E988" t="s">
        <v>25</v>
      </c>
      <c r="F988" t="s">
        <v>26</v>
      </c>
      <c r="G988" t="s">
        <v>27</v>
      </c>
      <c r="H988" t="s">
        <v>6080</v>
      </c>
      <c r="I988" t="s">
        <v>6081</v>
      </c>
      <c r="J988" t="s">
        <v>26</v>
      </c>
      <c r="K988" t="s">
        <v>26</v>
      </c>
      <c r="L988" t="s">
        <v>6082</v>
      </c>
      <c r="M988" t="s">
        <v>25</v>
      </c>
      <c r="N988" t="s">
        <v>1113</v>
      </c>
      <c r="O988" t="s">
        <v>1114</v>
      </c>
      <c r="P988" t="s">
        <v>463</v>
      </c>
      <c r="Q988" t="s">
        <v>464</v>
      </c>
      <c r="R988">
        <v>207792</v>
      </c>
      <c r="S988">
        <v>0</v>
      </c>
      <c r="T988">
        <v>207792</v>
      </c>
      <c r="U988" t="s">
        <v>35</v>
      </c>
      <c r="V988" t="s">
        <v>1115</v>
      </c>
      <c r="W988" t="s">
        <v>465</v>
      </c>
      <c r="X988" s="4">
        <v>1</v>
      </c>
      <c r="Y988" s="4"/>
      <c r="Z988">
        <f t="shared" si="60"/>
        <v>7</v>
      </c>
      <c r="AA988">
        <f t="shared" si="61"/>
        <v>15</v>
      </c>
      <c r="AB988" s="5">
        <f t="shared" si="62"/>
        <v>0.3035185185217415</v>
      </c>
      <c r="AC988" s="3">
        <f t="shared" si="63"/>
        <v>9.0277777773735579E-2</v>
      </c>
      <c r="AD988" t="str" cm="1">
        <f t="array" ref="AD988">IFERROR(_xlfn.IFS(
    AC988="", "",
    AC988*86400 &lt; 30, "1. 0s - &lt;30s",
    AC988*86400 &lt; 60, "2. 30s - &lt;1m",
    AC988*86400 &lt; 300, "3. 1m - &lt;5m",
    AC988*86400 &lt; 1800, "4. 5m - &lt;30m",
    TRUE, "5. &gt;= 30m"
),"6. Invalid (Order rejected)")</f>
        <v>5. &gt;= 30m</v>
      </c>
    </row>
    <row r="989" spans="1:30" hidden="1" x14ac:dyDescent="0.3">
      <c r="A989" t="s">
        <v>6083</v>
      </c>
      <c r="B989" t="s">
        <v>25</v>
      </c>
      <c r="C989">
        <v>42758642</v>
      </c>
      <c r="D989">
        <v>1802383</v>
      </c>
      <c r="E989" t="s">
        <v>25</v>
      </c>
      <c r="F989" t="s">
        <v>75</v>
      </c>
      <c r="G989" t="s">
        <v>76</v>
      </c>
      <c r="H989" t="s">
        <v>6084</v>
      </c>
      <c r="I989" t="s">
        <v>6085</v>
      </c>
      <c r="J989" t="s">
        <v>6086</v>
      </c>
      <c r="K989" t="s">
        <v>26</v>
      </c>
      <c r="L989" t="s">
        <v>6087</v>
      </c>
      <c r="M989" t="s">
        <v>25</v>
      </c>
      <c r="N989" t="s">
        <v>1067</v>
      </c>
      <c r="O989" t="s">
        <v>1068</v>
      </c>
      <c r="P989" t="s">
        <v>616</v>
      </c>
      <c r="Q989" t="s">
        <v>617</v>
      </c>
      <c r="R989">
        <v>251748</v>
      </c>
      <c r="S989">
        <v>206643</v>
      </c>
      <c r="T989">
        <v>45105</v>
      </c>
      <c r="U989" t="s">
        <v>35</v>
      </c>
      <c r="V989" t="s">
        <v>1069</v>
      </c>
      <c r="W989" t="s">
        <v>619</v>
      </c>
      <c r="X989" s="4">
        <v>1</v>
      </c>
      <c r="Y989" s="4"/>
      <c r="Z989">
        <f t="shared" si="60"/>
        <v>7</v>
      </c>
      <c r="AA989">
        <f t="shared" si="61"/>
        <v>15</v>
      </c>
      <c r="AB989" s="5">
        <f t="shared" si="62"/>
        <v>0.29359953703533392</v>
      </c>
      <c r="AC989" s="3">
        <f t="shared" si="63"/>
        <v>8.891203704115469E-2</v>
      </c>
      <c r="AD989" t="str" cm="1">
        <f t="array" ref="AD989">IFERROR(_xlfn.IFS(
    AC989="", "",
    AC989*86400 &lt; 30, "1. 0s - &lt;30s",
    AC989*86400 &lt; 60, "2. 30s - &lt;1m",
    AC989*86400 &lt; 300, "3. 1m - &lt;5m",
    AC989*86400 &lt; 1800, "4. 5m - &lt;30m",
    TRUE, "5. &gt;= 30m"
),"6. Invalid (Order rejected)")</f>
        <v>5. &gt;= 30m</v>
      </c>
    </row>
    <row r="990" spans="1:30" x14ac:dyDescent="0.3">
      <c r="A990" t="s">
        <v>6088</v>
      </c>
      <c r="B990" t="s">
        <v>25</v>
      </c>
      <c r="C990">
        <v>42758642</v>
      </c>
      <c r="D990">
        <v>3132768</v>
      </c>
      <c r="E990" t="s">
        <v>25</v>
      </c>
      <c r="F990" t="s">
        <v>75</v>
      </c>
      <c r="G990" t="s">
        <v>360</v>
      </c>
      <c r="H990" t="s">
        <v>6089</v>
      </c>
      <c r="I990" t="s">
        <v>6090</v>
      </c>
      <c r="J990" t="s">
        <v>6091</v>
      </c>
      <c r="K990" t="s">
        <v>26</v>
      </c>
      <c r="L990" t="s">
        <v>25</v>
      </c>
      <c r="M990" t="s">
        <v>25</v>
      </c>
      <c r="N990" t="s">
        <v>1269</v>
      </c>
      <c r="O990" t="s">
        <v>1270</v>
      </c>
      <c r="P990" t="s">
        <v>342</v>
      </c>
      <c r="Q990" t="s">
        <v>343</v>
      </c>
      <c r="R990">
        <v>146340</v>
      </c>
      <c r="S990">
        <v>113447</v>
      </c>
      <c r="T990">
        <v>32893</v>
      </c>
      <c r="U990" t="s">
        <v>35</v>
      </c>
      <c r="V990" t="s">
        <v>1271</v>
      </c>
      <c r="W990" t="s">
        <v>344</v>
      </c>
      <c r="X990" s="4">
        <v>1</v>
      </c>
      <c r="Y990" s="4"/>
      <c r="Z990">
        <f t="shared" si="60"/>
        <v>7</v>
      </c>
      <c r="AA990">
        <f t="shared" si="61"/>
        <v>15</v>
      </c>
      <c r="AB990" s="5">
        <f t="shared" si="62"/>
        <v>0.3086458333345945</v>
      </c>
      <c r="AC990" s="3" t="str">
        <f t="shared" si="63"/>
        <v>Order rejected, no time available</v>
      </c>
      <c r="AD990" t="str" cm="1">
        <f t="array" ref="AD990">IFERROR(_xlfn.IFS(
    AC990="", "",
    AC990*86400 &lt; 30, "1. 0s - &lt;30s",
    AC990*86400 &lt; 60, "2. 30s - &lt;1m",
    AC990*86400 &lt; 300, "3. 1m - &lt;5m",
    AC990*86400 &lt; 1800, "4. 5m - &lt;30m",
    TRUE, "5. &gt;= 30m"
),"6. Invalid (Order rejected)")</f>
        <v>6. Invalid (Order rejected)</v>
      </c>
    </row>
    <row r="991" spans="1:30" hidden="1" x14ac:dyDescent="0.3">
      <c r="A991" t="s">
        <v>6092</v>
      </c>
      <c r="B991" t="s">
        <v>25</v>
      </c>
      <c r="C991">
        <v>42758642</v>
      </c>
      <c r="D991">
        <v>0</v>
      </c>
      <c r="E991" t="s">
        <v>25</v>
      </c>
      <c r="F991" t="s">
        <v>26</v>
      </c>
      <c r="G991" t="s">
        <v>27</v>
      </c>
      <c r="H991" t="s">
        <v>6093</v>
      </c>
      <c r="I991" t="s">
        <v>6094</v>
      </c>
      <c r="J991" t="s">
        <v>26</v>
      </c>
      <c r="K991" t="s">
        <v>26</v>
      </c>
      <c r="L991" t="s">
        <v>6095</v>
      </c>
      <c r="M991" t="s">
        <v>25</v>
      </c>
      <c r="N991" t="s">
        <v>1078</v>
      </c>
      <c r="O991" t="s">
        <v>1079</v>
      </c>
      <c r="P991" t="s">
        <v>418</v>
      </c>
      <c r="Q991" t="s">
        <v>419</v>
      </c>
      <c r="R991">
        <v>409644</v>
      </c>
      <c r="S991">
        <v>0</v>
      </c>
      <c r="T991">
        <v>409644</v>
      </c>
      <c r="U991" t="s">
        <v>35</v>
      </c>
      <c r="V991" t="s">
        <v>1080</v>
      </c>
      <c r="W991" t="s">
        <v>420</v>
      </c>
      <c r="X991" s="4">
        <v>1</v>
      </c>
      <c r="Y991" s="4"/>
      <c r="Z991">
        <f t="shared" si="60"/>
        <v>7</v>
      </c>
      <c r="AA991">
        <f t="shared" si="61"/>
        <v>15</v>
      </c>
      <c r="AB991" s="5">
        <f t="shared" si="62"/>
        <v>0.29592592592234723</v>
      </c>
      <c r="AC991" s="3">
        <f t="shared" si="63"/>
        <v>9.0266203704231884E-2</v>
      </c>
      <c r="AD991" t="str" cm="1">
        <f t="array" ref="AD991">IFERROR(_xlfn.IFS(
    AC991="", "",
    AC991*86400 &lt; 30, "1. 0s - &lt;30s",
    AC991*86400 &lt; 60, "2. 30s - &lt;1m",
    AC991*86400 &lt; 300, "3. 1m - &lt;5m",
    AC991*86400 &lt; 1800, "4. 5m - &lt;30m",
    TRUE, "5. &gt;= 30m"
),"6. Invalid (Order rejected)")</f>
        <v>5. &gt;= 30m</v>
      </c>
    </row>
    <row r="992" spans="1:30" hidden="1" x14ac:dyDescent="0.3">
      <c r="A992" t="s">
        <v>6096</v>
      </c>
      <c r="B992" t="s">
        <v>25</v>
      </c>
      <c r="C992">
        <v>42758642</v>
      </c>
      <c r="D992">
        <v>0</v>
      </c>
      <c r="E992" t="s">
        <v>25</v>
      </c>
      <c r="F992" t="s">
        <v>26</v>
      </c>
      <c r="G992" t="s">
        <v>27</v>
      </c>
      <c r="H992" t="s">
        <v>6097</v>
      </c>
      <c r="I992" t="s">
        <v>6098</v>
      </c>
      <c r="J992" t="s">
        <v>26</v>
      </c>
      <c r="K992" t="s">
        <v>26</v>
      </c>
      <c r="L992" t="s">
        <v>6099</v>
      </c>
      <c r="M992" t="s">
        <v>25</v>
      </c>
      <c r="N992" t="s">
        <v>1171</v>
      </c>
      <c r="O992" t="s">
        <v>1172</v>
      </c>
      <c r="P992" t="s">
        <v>237</v>
      </c>
      <c r="Q992" t="s">
        <v>238</v>
      </c>
      <c r="R992">
        <v>240084</v>
      </c>
      <c r="S992">
        <v>0</v>
      </c>
      <c r="T992">
        <v>240084</v>
      </c>
      <c r="U992" t="s">
        <v>35</v>
      </c>
      <c r="V992" t="s">
        <v>1173</v>
      </c>
      <c r="W992" t="s">
        <v>239</v>
      </c>
      <c r="X992" s="4">
        <v>1</v>
      </c>
      <c r="Y992" s="4"/>
      <c r="Z992">
        <f t="shared" si="60"/>
        <v>7</v>
      </c>
      <c r="AA992">
        <f t="shared" si="61"/>
        <v>15</v>
      </c>
      <c r="AB992" s="5">
        <f t="shared" si="62"/>
        <v>0.30625000000145519</v>
      </c>
      <c r="AC992" s="3">
        <f t="shared" si="63"/>
        <v>9.0266203704231884E-2</v>
      </c>
      <c r="AD992" t="str" cm="1">
        <f t="array" ref="AD992">IFERROR(_xlfn.IFS(
    AC992="", "",
    AC992*86400 &lt; 30, "1. 0s - &lt;30s",
    AC992*86400 &lt; 60, "2. 30s - &lt;1m",
    AC992*86400 &lt; 300, "3. 1m - &lt;5m",
    AC992*86400 &lt; 1800, "4. 5m - &lt;30m",
    TRUE, "5. &gt;= 30m"
),"6. Invalid (Order rejected)")</f>
        <v>5. &gt;= 30m</v>
      </c>
    </row>
    <row r="993" spans="1:30" x14ac:dyDescent="0.3">
      <c r="A993" t="s">
        <v>6100</v>
      </c>
      <c r="B993" t="s">
        <v>25</v>
      </c>
      <c r="C993">
        <v>42758642</v>
      </c>
      <c r="D993">
        <v>4107547</v>
      </c>
      <c r="E993" t="s">
        <v>25</v>
      </c>
      <c r="F993" t="s">
        <v>75</v>
      </c>
      <c r="G993" t="s">
        <v>360</v>
      </c>
      <c r="H993" t="s">
        <v>6101</v>
      </c>
      <c r="I993" t="s">
        <v>6102</v>
      </c>
      <c r="J993" t="s">
        <v>6103</v>
      </c>
      <c r="K993" t="s">
        <v>26</v>
      </c>
      <c r="L993" t="s">
        <v>25</v>
      </c>
      <c r="M993" t="s">
        <v>25</v>
      </c>
      <c r="N993" t="s">
        <v>1269</v>
      </c>
      <c r="O993" t="s">
        <v>1270</v>
      </c>
      <c r="P993" t="s">
        <v>246</v>
      </c>
      <c r="Q993" t="s">
        <v>247</v>
      </c>
      <c r="R993">
        <v>183384</v>
      </c>
      <c r="S993">
        <v>142165</v>
      </c>
      <c r="T993">
        <v>41219</v>
      </c>
      <c r="U993" t="s">
        <v>35</v>
      </c>
      <c r="V993" t="s">
        <v>1271</v>
      </c>
      <c r="W993" t="s">
        <v>249</v>
      </c>
      <c r="X993" s="4">
        <v>1</v>
      </c>
      <c r="Y993" s="4"/>
      <c r="Z993">
        <f t="shared" si="60"/>
        <v>7</v>
      </c>
      <c r="AA993">
        <f t="shared" si="61"/>
        <v>15</v>
      </c>
      <c r="AB993" s="5">
        <f t="shared" si="62"/>
        <v>0.30846064814977581</v>
      </c>
      <c r="AC993" s="3" t="str">
        <f t="shared" si="63"/>
        <v>Order rejected, no time available</v>
      </c>
      <c r="AD993" t="str" cm="1">
        <f t="array" ref="AD993">IFERROR(_xlfn.IFS(
    AC993="", "",
    AC993*86400 &lt; 30, "1. 0s - &lt;30s",
    AC993*86400 &lt; 60, "2. 30s - &lt;1m",
    AC993*86400 &lt; 300, "3. 1m - &lt;5m",
    AC993*86400 &lt; 1800, "4. 5m - &lt;30m",
    TRUE, "5. &gt;= 30m"
),"6. Invalid (Order rejected)")</f>
        <v>6. Invalid (Order rejected)</v>
      </c>
    </row>
    <row r="994" spans="1:30" x14ac:dyDescent="0.3">
      <c r="A994" t="s">
        <v>6104</v>
      </c>
      <c r="B994" t="s">
        <v>25</v>
      </c>
      <c r="C994">
        <v>42758642</v>
      </c>
      <c r="D994">
        <v>1297315</v>
      </c>
      <c r="E994" t="s">
        <v>25</v>
      </c>
      <c r="F994" t="s">
        <v>75</v>
      </c>
      <c r="G994" t="s">
        <v>360</v>
      </c>
      <c r="H994" t="s">
        <v>6105</v>
      </c>
      <c r="I994" t="s">
        <v>6106</v>
      </c>
      <c r="J994" t="s">
        <v>6107</v>
      </c>
      <c r="K994" t="s">
        <v>26</v>
      </c>
      <c r="L994" t="s">
        <v>25</v>
      </c>
      <c r="M994" t="s">
        <v>25</v>
      </c>
      <c r="N994" t="s">
        <v>6072</v>
      </c>
      <c r="O994" t="s">
        <v>6073</v>
      </c>
      <c r="P994" t="s">
        <v>384</v>
      </c>
      <c r="Q994" t="s">
        <v>385</v>
      </c>
      <c r="R994">
        <v>190944</v>
      </c>
      <c r="S994">
        <v>148026</v>
      </c>
      <c r="T994">
        <v>42918</v>
      </c>
      <c r="U994" t="s">
        <v>35</v>
      </c>
      <c r="V994" t="s">
        <v>6074</v>
      </c>
      <c r="W994" t="s">
        <v>386</v>
      </c>
      <c r="X994" s="4">
        <v>1</v>
      </c>
      <c r="Y994" s="4"/>
      <c r="Z994">
        <f t="shared" si="60"/>
        <v>7</v>
      </c>
      <c r="AA994">
        <f t="shared" si="61"/>
        <v>15</v>
      </c>
      <c r="AB994" s="5">
        <f t="shared" si="62"/>
        <v>0.30546296296233777</v>
      </c>
      <c r="AC994" s="3" t="str">
        <f t="shared" si="63"/>
        <v>Order rejected, no time available</v>
      </c>
      <c r="AD994" t="str" cm="1">
        <f t="array" ref="AD994">IFERROR(_xlfn.IFS(
    AC994="", "",
    AC994*86400 &lt; 30, "1. 0s - &lt;30s",
    AC994*86400 &lt; 60, "2. 30s - &lt;1m",
    AC994*86400 &lt; 300, "3. 1m - &lt;5m",
    AC994*86400 &lt; 1800, "4. 5m - &lt;30m",
    TRUE, "5. &gt;= 30m"
),"6. Invalid (Order rejected)")</f>
        <v>6. Invalid (Order rejected)</v>
      </c>
    </row>
    <row r="995" spans="1:30" hidden="1" x14ac:dyDescent="0.3">
      <c r="A995" t="s">
        <v>6108</v>
      </c>
      <c r="B995" t="s">
        <v>25</v>
      </c>
      <c r="C995">
        <v>42758642</v>
      </c>
      <c r="D995">
        <v>0</v>
      </c>
      <c r="E995" t="s">
        <v>25</v>
      </c>
      <c r="F995" t="s">
        <v>26</v>
      </c>
      <c r="G995" t="s">
        <v>27</v>
      </c>
      <c r="H995" t="s">
        <v>6109</v>
      </c>
      <c r="I995" t="s">
        <v>6110</v>
      </c>
      <c r="J995" t="s">
        <v>26</v>
      </c>
      <c r="K995" t="s">
        <v>26</v>
      </c>
      <c r="L995" t="s">
        <v>6111</v>
      </c>
      <c r="M995" t="s">
        <v>25</v>
      </c>
      <c r="N995" t="s">
        <v>1269</v>
      </c>
      <c r="O995" t="s">
        <v>1270</v>
      </c>
      <c r="P995" t="s">
        <v>418</v>
      </c>
      <c r="Q995" t="s">
        <v>419</v>
      </c>
      <c r="R995">
        <v>287280</v>
      </c>
      <c r="S995">
        <v>0</v>
      </c>
      <c r="T995">
        <v>287280</v>
      </c>
      <c r="U995" t="s">
        <v>35</v>
      </c>
      <c r="V995" t="s">
        <v>1271</v>
      </c>
      <c r="W995" t="s">
        <v>420</v>
      </c>
      <c r="X995" s="4">
        <v>1</v>
      </c>
      <c r="Y995" s="4"/>
      <c r="Z995">
        <f t="shared" si="60"/>
        <v>7</v>
      </c>
      <c r="AA995">
        <f t="shared" si="61"/>
        <v>15</v>
      </c>
      <c r="AB995" s="5">
        <f t="shared" si="62"/>
        <v>0.30898148148116888</v>
      </c>
      <c r="AC995" s="3">
        <f t="shared" si="63"/>
        <v>9.0277777781011537E-2</v>
      </c>
      <c r="AD995" t="str" cm="1">
        <f t="array" ref="AD995">IFERROR(_xlfn.IFS(
    AC995="", "",
    AC995*86400 &lt; 30, "1. 0s - &lt;30s",
    AC995*86400 &lt; 60, "2. 30s - &lt;1m",
    AC995*86400 &lt; 300, "3. 1m - &lt;5m",
    AC995*86400 &lt; 1800, "4. 5m - &lt;30m",
    TRUE, "5. &gt;= 30m"
),"6. Invalid (Order rejected)")</f>
        <v>5. &gt;= 30m</v>
      </c>
    </row>
    <row r="996" spans="1:30" hidden="1" x14ac:dyDescent="0.3">
      <c r="A996" t="s">
        <v>6112</v>
      </c>
      <c r="B996" t="s">
        <v>25</v>
      </c>
      <c r="C996">
        <v>42459206</v>
      </c>
      <c r="D996">
        <v>0</v>
      </c>
      <c r="E996" t="s">
        <v>25</v>
      </c>
      <c r="F996" t="s">
        <v>26</v>
      </c>
      <c r="G996" t="s">
        <v>27</v>
      </c>
      <c r="H996" t="s">
        <v>6113</v>
      </c>
      <c r="I996" t="s">
        <v>6114</v>
      </c>
      <c r="J996" t="s">
        <v>26</v>
      </c>
      <c r="K996" t="s">
        <v>26</v>
      </c>
      <c r="L996" t="s">
        <v>6115</v>
      </c>
      <c r="M996" t="s">
        <v>25</v>
      </c>
      <c r="N996" t="s">
        <v>1258</v>
      </c>
      <c r="O996" t="s">
        <v>1259</v>
      </c>
      <c r="P996" t="s">
        <v>81</v>
      </c>
      <c r="Q996" t="s">
        <v>82</v>
      </c>
      <c r="R996">
        <v>220968</v>
      </c>
      <c r="S996">
        <v>0</v>
      </c>
      <c r="T996">
        <v>220968</v>
      </c>
      <c r="U996" t="s">
        <v>35</v>
      </c>
      <c r="V996" t="s">
        <v>1260</v>
      </c>
      <c r="W996" t="s">
        <v>83</v>
      </c>
      <c r="X996" s="4">
        <v>1</v>
      </c>
      <c r="Y996" s="4"/>
      <c r="Z996">
        <f t="shared" si="60"/>
        <v>7</v>
      </c>
      <c r="AA996">
        <f t="shared" si="61"/>
        <v>15</v>
      </c>
      <c r="AB996" s="5">
        <f t="shared" si="62"/>
        <v>0.31061342592875008</v>
      </c>
      <c r="AC996" s="3">
        <f t="shared" si="63"/>
        <v>0.10289351851679385</v>
      </c>
      <c r="AD996" t="str" cm="1">
        <f t="array" ref="AD996">IFERROR(_xlfn.IFS(
    AC996="", "",
    AC996*86400 &lt; 30, "1. 0s - &lt;30s",
    AC996*86400 &lt; 60, "2. 30s - &lt;1m",
    AC996*86400 &lt; 300, "3. 1m - &lt;5m",
    AC996*86400 &lt; 1800, "4. 5m - &lt;30m",
    TRUE, "5. &gt;= 30m"
),"6. Invalid (Order rejected)")</f>
        <v>5. &gt;= 30m</v>
      </c>
    </row>
    <row r="997" spans="1:30" hidden="1" x14ac:dyDescent="0.3">
      <c r="A997" t="s">
        <v>6116</v>
      </c>
      <c r="B997" t="s">
        <v>25</v>
      </c>
      <c r="C997">
        <v>42758642</v>
      </c>
      <c r="D997">
        <v>0</v>
      </c>
      <c r="E997" t="s">
        <v>25</v>
      </c>
      <c r="F997" t="s">
        <v>26</v>
      </c>
      <c r="G997" t="s">
        <v>27</v>
      </c>
      <c r="H997" t="s">
        <v>6117</v>
      </c>
      <c r="I997" t="s">
        <v>6118</v>
      </c>
      <c r="J997" t="s">
        <v>26</v>
      </c>
      <c r="K997" t="s">
        <v>26</v>
      </c>
      <c r="L997" t="s">
        <v>6119</v>
      </c>
      <c r="M997" t="s">
        <v>25</v>
      </c>
      <c r="N997" t="s">
        <v>987</v>
      </c>
      <c r="O997" t="s">
        <v>988</v>
      </c>
      <c r="P997" t="s">
        <v>317</v>
      </c>
      <c r="Q997" t="s">
        <v>318</v>
      </c>
      <c r="R997">
        <v>316224</v>
      </c>
      <c r="S997">
        <v>0</v>
      </c>
      <c r="T997">
        <v>316224</v>
      </c>
      <c r="U997" t="s">
        <v>35</v>
      </c>
      <c r="V997" t="s">
        <v>991</v>
      </c>
      <c r="W997" t="s">
        <v>319</v>
      </c>
      <c r="X997" s="4">
        <v>1</v>
      </c>
      <c r="Y997" s="4"/>
      <c r="Z997">
        <f t="shared" si="60"/>
        <v>7</v>
      </c>
      <c r="AA997">
        <f t="shared" si="61"/>
        <v>15</v>
      </c>
      <c r="AB997" s="5">
        <f t="shared" si="62"/>
        <v>0.30429398148407927</v>
      </c>
      <c r="AC997" s="3">
        <f t="shared" si="63"/>
        <v>9.3668981477094349E-2</v>
      </c>
      <c r="AD997" t="str" cm="1">
        <f t="array" ref="AD997">IFERROR(_xlfn.IFS(
    AC997="", "",
    AC997*86400 &lt; 30, "1. 0s - &lt;30s",
    AC997*86400 &lt; 60, "2. 30s - &lt;1m",
    AC997*86400 &lt; 300, "3. 1m - &lt;5m",
    AC997*86400 &lt; 1800, "4. 5m - &lt;30m",
    TRUE, "5. &gt;= 30m"
),"6. Invalid (Order rejected)")</f>
        <v>5. &gt;= 30m</v>
      </c>
    </row>
    <row r="998" spans="1:30" hidden="1" x14ac:dyDescent="0.3">
      <c r="A998" t="s">
        <v>6120</v>
      </c>
      <c r="B998" t="s">
        <v>25</v>
      </c>
      <c r="C998">
        <v>42758642</v>
      </c>
      <c r="D998">
        <v>0</v>
      </c>
      <c r="E998" t="s">
        <v>25</v>
      </c>
      <c r="F998" t="s">
        <v>26</v>
      </c>
      <c r="G998" t="s">
        <v>27</v>
      </c>
      <c r="H998" t="s">
        <v>6121</v>
      </c>
      <c r="I998" t="s">
        <v>6122</v>
      </c>
      <c r="J998" t="s">
        <v>26</v>
      </c>
      <c r="K998" t="s">
        <v>26</v>
      </c>
      <c r="L998" t="s">
        <v>6123</v>
      </c>
      <c r="M998" t="s">
        <v>25</v>
      </c>
      <c r="N998" t="s">
        <v>1171</v>
      </c>
      <c r="O998" t="s">
        <v>1172</v>
      </c>
      <c r="P998" t="s">
        <v>237</v>
      </c>
      <c r="Q998" t="s">
        <v>238</v>
      </c>
      <c r="R998">
        <v>229284</v>
      </c>
      <c r="S998">
        <v>0</v>
      </c>
      <c r="T998">
        <v>229284</v>
      </c>
      <c r="U998" t="s">
        <v>35</v>
      </c>
      <c r="V998" t="s">
        <v>1173</v>
      </c>
      <c r="W998" t="s">
        <v>239</v>
      </c>
      <c r="X998" s="4">
        <v>1</v>
      </c>
      <c r="Y998" s="4"/>
      <c r="Z998">
        <f t="shared" si="60"/>
        <v>7</v>
      </c>
      <c r="AA998">
        <f t="shared" si="61"/>
        <v>15</v>
      </c>
      <c r="AB998" s="5">
        <f t="shared" si="62"/>
        <v>0.30641203703999054</v>
      </c>
      <c r="AC998" s="3">
        <f t="shared" si="63"/>
        <v>0.11041666666278616</v>
      </c>
      <c r="AD998" t="str" cm="1">
        <f t="array" ref="AD998">IFERROR(_xlfn.IFS(
    AC998="", "",
    AC998*86400 &lt; 30, "1. 0s - &lt;30s",
    AC998*86400 &lt; 60, "2. 30s - &lt;1m",
    AC998*86400 &lt; 300, "3. 1m - &lt;5m",
    AC998*86400 &lt; 1800, "4. 5m - &lt;30m",
    TRUE, "5. &gt;= 30m"
),"6. Invalid (Order rejected)")</f>
        <v>5. &gt;= 30m</v>
      </c>
    </row>
    <row r="999" spans="1:30" hidden="1" x14ac:dyDescent="0.3">
      <c r="A999" t="s">
        <v>6124</v>
      </c>
      <c r="B999" t="s">
        <v>25</v>
      </c>
      <c r="C999">
        <v>42758642</v>
      </c>
      <c r="D999">
        <v>0</v>
      </c>
      <c r="E999" t="s">
        <v>25</v>
      </c>
      <c r="F999" t="s">
        <v>26</v>
      </c>
      <c r="G999" t="s">
        <v>27</v>
      </c>
      <c r="H999" t="s">
        <v>6125</v>
      </c>
      <c r="I999" t="s">
        <v>6126</v>
      </c>
      <c r="J999" t="s">
        <v>26</v>
      </c>
      <c r="K999" t="s">
        <v>26</v>
      </c>
      <c r="L999" t="s">
        <v>6127</v>
      </c>
      <c r="M999" t="s">
        <v>25</v>
      </c>
      <c r="N999" t="s">
        <v>1171</v>
      </c>
      <c r="O999" t="s">
        <v>1172</v>
      </c>
      <c r="P999" t="s">
        <v>857</v>
      </c>
      <c r="Q999" t="s">
        <v>858</v>
      </c>
      <c r="R999">
        <v>179820</v>
      </c>
      <c r="S999">
        <v>0</v>
      </c>
      <c r="T999">
        <v>179820</v>
      </c>
      <c r="U999" t="s">
        <v>35</v>
      </c>
      <c r="V999" t="s">
        <v>1173</v>
      </c>
      <c r="W999" t="s">
        <v>860</v>
      </c>
      <c r="X999" s="4">
        <v>1</v>
      </c>
      <c r="Y999" s="4"/>
      <c r="Z999">
        <f t="shared" si="60"/>
        <v>7</v>
      </c>
      <c r="AA999">
        <f t="shared" si="61"/>
        <v>15</v>
      </c>
      <c r="AB999" s="5">
        <f t="shared" si="62"/>
        <v>0.30748842592583969</v>
      </c>
      <c r="AC999" s="3">
        <f t="shared" si="63"/>
        <v>9.0266203704231884E-2</v>
      </c>
      <c r="AD999" t="str" cm="1">
        <f t="array" ref="AD999">IFERROR(_xlfn.IFS(
    AC999="", "",
    AC999*86400 &lt; 30, "1. 0s - &lt;30s",
    AC999*86400 &lt; 60, "2. 30s - &lt;1m",
    AC999*86400 &lt; 300, "3. 1m - &lt;5m",
    AC999*86400 &lt; 1800, "4. 5m - &lt;30m",
    TRUE, "5. &gt;= 30m"
),"6. Invalid (Order rejected)")</f>
        <v>5. &gt;= 30m</v>
      </c>
    </row>
    <row r="1000" spans="1:30" hidden="1" x14ac:dyDescent="0.3">
      <c r="A1000" t="s">
        <v>6128</v>
      </c>
      <c r="B1000" t="s">
        <v>25</v>
      </c>
      <c r="C1000">
        <v>42758642</v>
      </c>
      <c r="D1000">
        <v>0</v>
      </c>
      <c r="E1000" t="s">
        <v>25</v>
      </c>
      <c r="F1000" t="s">
        <v>26</v>
      </c>
      <c r="G1000" t="s">
        <v>27</v>
      </c>
      <c r="H1000" t="s">
        <v>6129</v>
      </c>
      <c r="I1000" t="s">
        <v>6130</v>
      </c>
      <c r="J1000" t="s">
        <v>26</v>
      </c>
      <c r="K1000" t="s">
        <v>26</v>
      </c>
      <c r="L1000" t="s">
        <v>6131</v>
      </c>
      <c r="M1000" t="s">
        <v>25</v>
      </c>
      <c r="N1000" t="s">
        <v>1269</v>
      </c>
      <c r="O1000" t="s">
        <v>1270</v>
      </c>
      <c r="P1000" t="s">
        <v>616</v>
      </c>
      <c r="Q1000" t="s">
        <v>617</v>
      </c>
      <c r="R1000">
        <v>235332</v>
      </c>
      <c r="S1000">
        <v>0</v>
      </c>
      <c r="T1000">
        <v>235332</v>
      </c>
      <c r="U1000" t="s">
        <v>35</v>
      </c>
      <c r="V1000" t="s">
        <v>1271</v>
      </c>
      <c r="W1000" t="s">
        <v>619</v>
      </c>
      <c r="X1000" s="4">
        <v>1</v>
      </c>
      <c r="Y1000" s="4"/>
      <c r="Z1000">
        <f t="shared" si="60"/>
        <v>7</v>
      </c>
      <c r="AA1000">
        <f t="shared" si="61"/>
        <v>15</v>
      </c>
      <c r="AB1000" s="5">
        <f t="shared" si="62"/>
        <v>0.30916666666598758</v>
      </c>
      <c r="AC1000" s="3">
        <f t="shared" si="63"/>
        <v>9.0266203704231884E-2</v>
      </c>
      <c r="AD1000" t="str" cm="1">
        <f t="array" ref="AD1000">IFERROR(_xlfn.IFS(
    AC1000="", "",
    AC1000*86400 &lt; 30, "1. 0s - &lt;30s",
    AC1000*86400 &lt; 60, "2. 30s - &lt;1m",
    AC1000*86400 &lt; 300, "3. 1m - &lt;5m",
    AC1000*86400 &lt; 1800, "4. 5m - &lt;30m",
    TRUE, "5. &gt;= 30m"
),"6. Invalid (Order rejected)")</f>
        <v>5. &gt;= 30m</v>
      </c>
    </row>
    <row r="1001" spans="1:30" hidden="1" x14ac:dyDescent="0.3">
      <c r="A1001" t="s">
        <v>6132</v>
      </c>
      <c r="B1001" t="s">
        <v>25</v>
      </c>
      <c r="C1001">
        <v>42758642</v>
      </c>
      <c r="D1001">
        <v>0</v>
      </c>
      <c r="E1001" t="s">
        <v>25</v>
      </c>
      <c r="F1001" t="s">
        <v>26</v>
      </c>
      <c r="G1001" t="s">
        <v>27</v>
      </c>
      <c r="H1001" t="s">
        <v>6133</v>
      </c>
      <c r="I1001" t="s">
        <v>6134</v>
      </c>
      <c r="J1001" t="s">
        <v>26</v>
      </c>
      <c r="K1001" t="s">
        <v>26</v>
      </c>
      <c r="L1001" t="s">
        <v>6135</v>
      </c>
      <c r="M1001" t="s">
        <v>25</v>
      </c>
      <c r="N1001" t="s">
        <v>1232</v>
      </c>
      <c r="O1001" t="s">
        <v>1233</v>
      </c>
      <c r="P1001" t="s">
        <v>616</v>
      </c>
      <c r="Q1001" t="s">
        <v>617</v>
      </c>
      <c r="R1001">
        <v>221724</v>
      </c>
      <c r="S1001">
        <v>0</v>
      </c>
      <c r="T1001">
        <v>221724</v>
      </c>
      <c r="U1001" t="s">
        <v>35</v>
      </c>
      <c r="V1001" t="s">
        <v>1234</v>
      </c>
      <c r="W1001" t="s">
        <v>619</v>
      </c>
      <c r="X1001" s="4">
        <v>1</v>
      </c>
      <c r="Y1001" s="4"/>
      <c r="Z1001">
        <f t="shared" si="60"/>
        <v>7</v>
      </c>
      <c r="AA1001">
        <f t="shared" si="61"/>
        <v>15</v>
      </c>
      <c r="AB1001" s="5">
        <f t="shared" si="62"/>
        <v>0.30478009259240935</v>
      </c>
      <c r="AC1001" s="3">
        <f t="shared" si="63"/>
        <v>9.0277777781011537E-2</v>
      </c>
      <c r="AD1001" t="str" cm="1">
        <f t="array" ref="AD1001">IFERROR(_xlfn.IFS(
    AC1001="", "",
    AC1001*86400 &lt; 30, "1. 0s - &lt;30s",
    AC1001*86400 &lt; 60, "2. 30s - &lt;1m",
    AC1001*86400 &lt; 300, "3. 1m - &lt;5m",
    AC1001*86400 &lt; 1800, "4. 5m - &lt;30m",
    TRUE, "5. &gt;= 30m"
),"6. Invalid (Order rejected)")</f>
        <v>5. &gt;= 30m</v>
      </c>
    </row>
    <row r="1002" spans="1:30" hidden="1" x14ac:dyDescent="0.3">
      <c r="A1002" t="s">
        <v>6136</v>
      </c>
      <c r="B1002" t="s">
        <v>25</v>
      </c>
      <c r="C1002">
        <v>42459206</v>
      </c>
      <c r="D1002">
        <v>0</v>
      </c>
      <c r="E1002" t="s">
        <v>25</v>
      </c>
      <c r="F1002" t="s">
        <v>26</v>
      </c>
      <c r="G1002" t="s">
        <v>27</v>
      </c>
      <c r="H1002" t="s">
        <v>6137</v>
      </c>
      <c r="I1002" t="s">
        <v>6138</v>
      </c>
      <c r="J1002" t="s">
        <v>26</v>
      </c>
      <c r="K1002" t="s">
        <v>26</v>
      </c>
      <c r="L1002" t="s">
        <v>6139</v>
      </c>
      <c r="M1002" t="s">
        <v>25</v>
      </c>
      <c r="N1002" t="s">
        <v>31</v>
      </c>
      <c r="O1002" t="s">
        <v>32</v>
      </c>
      <c r="P1002" t="s">
        <v>4512</v>
      </c>
      <c r="Q1002" t="s">
        <v>4513</v>
      </c>
      <c r="R1002">
        <v>179388</v>
      </c>
      <c r="S1002">
        <v>0</v>
      </c>
      <c r="T1002">
        <v>179388</v>
      </c>
      <c r="U1002" t="s">
        <v>35</v>
      </c>
      <c r="V1002" t="s">
        <v>36</v>
      </c>
      <c r="W1002" t="s">
        <v>4515</v>
      </c>
      <c r="X1002" s="4">
        <v>1</v>
      </c>
      <c r="Y1002" s="4"/>
      <c r="Z1002">
        <f t="shared" si="60"/>
        <v>7</v>
      </c>
      <c r="AA1002">
        <f t="shared" si="61"/>
        <v>15</v>
      </c>
      <c r="AB1002" s="5">
        <f t="shared" si="62"/>
        <v>0.3086805555576575</v>
      </c>
      <c r="AC1002" s="3">
        <f t="shared" si="63"/>
        <v>9.0289351850515231E-2</v>
      </c>
      <c r="AD1002" t="str" cm="1">
        <f t="array" ref="AD1002">IFERROR(_xlfn.IFS(
    AC1002="", "",
    AC1002*86400 &lt; 30, "1. 0s - &lt;30s",
    AC1002*86400 &lt; 60, "2. 30s - &lt;1m",
    AC1002*86400 &lt; 300, "3. 1m - &lt;5m",
    AC1002*86400 &lt; 1800, "4. 5m - &lt;30m",
    TRUE, "5. &gt;= 30m"
),"6. Invalid (Order rejected)")</f>
        <v>5. &gt;= 30m</v>
      </c>
    </row>
    <row r="1003" spans="1:30" hidden="1" x14ac:dyDescent="0.3">
      <c r="A1003" t="s">
        <v>6140</v>
      </c>
      <c r="B1003" t="s">
        <v>25</v>
      </c>
      <c r="C1003">
        <v>42459206</v>
      </c>
      <c r="D1003">
        <v>0</v>
      </c>
      <c r="E1003" t="s">
        <v>25</v>
      </c>
      <c r="F1003" t="s">
        <v>26</v>
      </c>
      <c r="G1003" t="s">
        <v>27</v>
      </c>
      <c r="H1003" t="s">
        <v>6141</v>
      </c>
      <c r="I1003" t="s">
        <v>6142</v>
      </c>
      <c r="J1003" t="s">
        <v>26</v>
      </c>
      <c r="K1003" t="s">
        <v>26</v>
      </c>
      <c r="L1003" t="s">
        <v>6143</v>
      </c>
      <c r="M1003" t="s">
        <v>25</v>
      </c>
      <c r="N1003" t="s">
        <v>1326</v>
      </c>
      <c r="O1003" t="s">
        <v>1327</v>
      </c>
      <c r="P1003" t="s">
        <v>169</v>
      </c>
      <c r="Q1003" t="s">
        <v>170</v>
      </c>
      <c r="R1003">
        <v>143640</v>
      </c>
      <c r="S1003">
        <v>0</v>
      </c>
      <c r="T1003">
        <v>143640</v>
      </c>
      <c r="U1003" t="s">
        <v>35</v>
      </c>
      <c r="V1003" t="s">
        <v>1328</v>
      </c>
      <c r="W1003" t="s">
        <v>171</v>
      </c>
      <c r="X1003" s="4">
        <v>1</v>
      </c>
      <c r="Y1003" s="4"/>
      <c r="Z1003">
        <f t="shared" si="60"/>
        <v>7</v>
      </c>
      <c r="AA1003">
        <f t="shared" si="61"/>
        <v>15</v>
      </c>
      <c r="AB1003" s="5">
        <f t="shared" si="62"/>
        <v>0.31269675926159834</v>
      </c>
      <c r="AC1003" s="3">
        <f t="shared" si="63"/>
        <v>9.0277777773735579E-2</v>
      </c>
      <c r="AD1003" t="str" cm="1">
        <f t="array" ref="AD1003">IFERROR(_xlfn.IFS(
    AC1003="", "",
    AC1003*86400 &lt; 30, "1. 0s - &lt;30s",
    AC1003*86400 &lt; 60, "2. 30s - &lt;1m",
    AC1003*86400 &lt; 300, "3. 1m - &lt;5m",
    AC1003*86400 &lt; 1800, "4. 5m - &lt;30m",
    TRUE, "5. &gt;= 30m"
),"6. Invalid (Order rejected)")</f>
        <v>5. &gt;= 30m</v>
      </c>
    </row>
    <row r="1004" spans="1:30" hidden="1" x14ac:dyDescent="0.3">
      <c r="A1004" t="s">
        <v>6144</v>
      </c>
      <c r="B1004" t="s">
        <v>25</v>
      </c>
      <c r="C1004">
        <v>42459206</v>
      </c>
      <c r="D1004">
        <v>0</v>
      </c>
      <c r="E1004" t="s">
        <v>25</v>
      </c>
      <c r="F1004" t="s">
        <v>26</v>
      </c>
      <c r="G1004" t="s">
        <v>27</v>
      </c>
      <c r="H1004" t="s">
        <v>6145</v>
      </c>
      <c r="I1004" t="s">
        <v>6146</v>
      </c>
      <c r="J1004" t="s">
        <v>26</v>
      </c>
      <c r="K1004" t="s">
        <v>26</v>
      </c>
      <c r="L1004" t="s">
        <v>6147</v>
      </c>
      <c r="M1004" t="s">
        <v>25</v>
      </c>
      <c r="N1004" t="s">
        <v>1326</v>
      </c>
      <c r="O1004" t="s">
        <v>1327</v>
      </c>
      <c r="P1004" t="s">
        <v>180</v>
      </c>
      <c r="Q1004" t="s">
        <v>181</v>
      </c>
      <c r="R1004">
        <v>156384</v>
      </c>
      <c r="S1004">
        <v>0</v>
      </c>
      <c r="T1004">
        <v>156384</v>
      </c>
      <c r="U1004" t="s">
        <v>35</v>
      </c>
      <c r="V1004" t="s">
        <v>1328</v>
      </c>
      <c r="W1004" t="s">
        <v>182</v>
      </c>
      <c r="X1004" s="4">
        <v>1</v>
      </c>
      <c r="Y1004" s="4"/>
      <c r="Z1004">
        <f t="shared" si="60"/>
        <v>7</v>
      </c>
      <c r="AA1004">
        <f t="shared" si="61"/>
        <v>15</v>
      </c>
      <c r="AB1004" s="5">
        <f t="shared" si="62"/>
        <v>0.31418981481692754</v>
      </c>
      <c r="AC1004" s="3">
        <f t="shared" si="63"/>
        <v>9.0289351850515231E-2</v>
      </c>
      <c r="AD1004" t="str" cm="1">
        <f t="array" ref="AD1004">IFERROR(_xlfn.IFS(
    AC1004="", "",
    AC1004*86400 &lt; 30, "1. 0s - &lt;30s",
    AC1004*86400 &lt; 60, "2. 30s - &lt;1m",
    AC1004*86400 &lt; 300, "3. 1m - &lt;5m",
    AC1004*86400 &lt; 1800, "4. 5m - &lt;30m",
    TRUE, "5. &gt;= 30m"
),"6. Invalid (Order rejected)")</f>
        <v>5. &gt;= 30m</v>
      </c>
    </row>
    <row r="1005" spans="1:30" hidden="1" x14ac:dyDescent="0.3">
      <c r="A1005" t="s">
        <v>6148</v>
      </c>
      <c r="B1005" t="s">
        <v>25</v>
      </c>
      <c r="C1005">
        <v>42459206</v>
      </c>
      <c r="D1005">
        <v>0</v>
      </c>
      <c r="E1005" t="s">
        <v>25</v>
      </c>
      <c r="F1005" t="s">
        <v>26</v>
      </c>
      <c r="G1005" t="s">
        <v>27</v>
      </c>
      <c r="H1005" t="s">
        <v>6149</v>
      </c>
      <c r="I1005" t="s">
        <v>6150</v>
      </c>
      <c r="J1005" t="s">
        <v>26</v>
      </c>
      <c r="K1005" t="s">
        <v>26</v>
      </c>
      <c r="L1005" t="s">
        <v>6151</v>
      </c>
      <c r="M1005" t="s">
        <v>25</v>
      </c>
      <c r="N1005" t="s">
        <v>31</v>
      </c>
      <c r="O1005" t="s">
        <v>32</v>
      </c>
      <c r="P1005" t="s">
        <v>208</v>
      </c>
      <c r="Q1005" t="s">
        <v>209</v>
      </c>
      <c r="R1005">
        <v>275724</v>
      </c>
      <c r="S1005">
        <v>0</v>
      </c>
      <c r="T1005">
        <v>275724</v>
      </c>
      <c r="U1005" t="s">
        <v>35</v>
      </c>
      <c r="V1005" t="s">
        <v>36</v>
      </c>
      <c r="W1005" t="s">
        <v>210</v>
      </c>
      <c r="X1005" s="4">
        <v>1</v>
      </c>
      <c r="Y1005" s="4"/>
      <c r="Z1005">
        <f t="shared" si="60"/>
        <v>7</v>
      </c>
      <c r="AA1005">
        <f t="shared" si="61"/>
        <v>15</v>
      </c>
      <c r="AB1005" s="5">
        <f t="shared" si="62"/>
        <v>0.30945601851999527</v>
      </c>
      <c r="AC1005" s="3">
        <f t="shared" si="63"/>
        <v>9.0289351850515231E-2</v>
      </c>
      <c r="AD1005" t="str" cm="1">
        <f t="array" ref="AD1005">IFERROR(_xlfn.IFS(
    AC1005="", "",
    AC1005*86400 &lt; 30, "1. 0s - &lt;30s",
    AC1005*86400 &lt; 60, "2. 30s - &lt;1m",
    AC1005*86400 &lt; 300, "3. 1m - &lt;5m",
    AC1005*86400 &lt; 1800, "4. 5m - &lt;30m",
    TRUE, "5. &gt;= 30m"
),"6. Invalid (Order rejected)")</f>
        <v>5. &gt;= 30m</v>
      </c>
    </row>
    <row r="1006" spans="1:30" hidden="1" x14ac:dyDescent="0.3">
      <c r="A1006" t="s">
        <v>6152</v>
      </c>
      <c r="B1006" t="s">
        <v>25</v>
      </c>
      <c r="C1006">
        <v>42459206</v>
      </c>
      <c r="D1006">
        <v>0</v>
      </c>
      <c r="E1006" t="s">
        <v>25</v>
      </c>
      <c r="F1006" t="s">
        <v>26</v>
      </c>
      <c r="G1006" t="s">
        <v>27</v>
      </c>
      <c r="H1006" t="s">
        <v>6153</v>
      </c>
      <c r="I1006" t="s">
        <v>6154</v>
      </c>
      <c r="J1006" t="s">
        <v>26</v>
      </c>
      <c r="K1006" t="s">
        <v>26</v>
      </c>
      <c r="L1006" t="s">
        <v>6155</v>
      </c>
      <c r="M1006" t="s">
        <v>25</v>
      </c>
      <c r="N1006" t="s">
        <v>1258</v>
      </c>
      <c r="O1006" t="s">
        <v>1259</v>
      </c>
      <c r="P1006" t="s">
        <v>246</v>
      </c>
      <c r="Q1006" t="s">
        <v>247</v>
      </c>
      <c r="R1006">
        <v>186192</v>
      </c>
      <c r="S1006">
        <v>0</v>
      </c>
      <c r="T1006">
        <v>186192</v>
      </c>
      <c r="U1006" t="s">
        <v>35</v>
      </c>
      <c r="V1006" t="s">
        <v>1260</v>
      </c>
      <c r="W1006" t="s">
        <v>249</v>
      </c>
      <c r="X1006" s="4">
        <v>1</v>
      </c>
      <c r="Y1006" s="4"/>
      <c r="Z1006">
        <f t="shared" si="60"/>
        <v>7</v>
      </c>
      <c r="AA1006">
        <f t="shared" si="61"/>
        <v>15</v>
      </c>
      <c r="AB1006" s="5">
        <f t="shared" si="62"/>
        <v>0.31127314814511919</v>
      </c>
      <c r="AC1006" s="3">
        <f t="shared" si="63"/>
        <v>9.0289351857791189E-2</v>
      </c>
      <c r="AD1006" t="str" cm="1">
        <f t="array" ref="AD1006">IFERROR(_xlfn.IFS(
    AC1006="", "",
    AC1006*86400 &lt; 30, "1. 0s - &lt;30s",
    AC1006*86400 &lt; 60, "2. 30s - &lt;1m",
    AC1006*86400 &lt; 300, "3. 1m - &lt;5m",
    AC1006*86400 &lt; 1800, "4. 5m - &lt;30m",
    TRUE, "5. &gt;= 30m"
),"6. Invalid (Order rejected)")</f>
        <v>5. &gt;= 30m</v>
      </c>
    </row>
    <row r="1007" spans="1:30" hidden="1" x14ac:dyDescent="0.3">
      <c r="A1007" t="s">
        <v>6156</v>
      </c>
      <c r="B1007" t="s">
        <v>25</v>
      </c>
      <c r="C1007">
        <v>42459206</v>
      </c>
      <c r="D1007">
        <v>0</v>
      </c>
      <c r="E1007" t="s">
        <v>25</v>
      </c>
      <c r="F1007" t="s">
        <v>26</v>
      </c>
      <c r="G1007" t="s">
        <v>27</v>
      </c>
      <c r="H1007" t="s">
        <v>6157</v>
      </c>
      <c r="I1007" t="s">
        <v>6158</v>
      </c>
      <c r="J1007" t="s">
        <v>26</v>
      </c>
      <c r="K1007" t="s">
        <v>26</v>
      </c>
      <c r="L1007" t="s">
        <v>6159</v>
      </c>
      <c r="M1007" t="s">
        <v>25</v>
      </c>
      <c r="N1007" t="s">
        <v>1258</v>
      </c>
      <c r="O1007" t="s">
        <v>1259</v>
      </c>
      <c r="P1007" t="s">
        <v>246</v>
      </c>
      <c r="Q1007" t="s">
        <v>247</v>
      </c>
      <c r="R1007">
        <v>175392</v>
      </c>
      <c r="S1007">
        <v>0</v>
      </c>
      <c r="T1007">
        <v>175392</v>
      </c>
      <c r="U1007" t="s">
        <v>35</v>
      </c>
      <c r="V1007" t="s">
        <v>1260</v>
      </c>
      <c r="W1007" t="s">
        <v>249</v>
      </c>
      <c r="X1007" s="4">
        <v>1</v>
      </c>
      <c r="Y1007" s="4"/>
      <c r="Z1007">
        <f t="shared" si="60"/>
        <v>7</v>
      </c>
      <c r="AA1007">
        <f t="shared" si="61"/>
        <v>15</v>
      </c>
      <c r="AB1007" s="5">
        <f t="shared" si="62"/>
        <v>0.31146990740671754</v>
      </c>
      <c r="AC1007" s="3">
        <f t="shared" si="63"/>
        <v>0.13625000000320142</v>
      </c>
      <c r="AD1007" t="str" cm="1">
        <f t="array" ref="AD1007">IFERROR(_xlfn.IFS(
    AC1007="", "",
    AC1007*86400 &lt; 30, "1. 0s - &lt;30s",
    AC1007*86400 &lt; 60, "2. 30s - &lt;1m",
    AC1007*86400 &lt; 300, "3. 1m - &lt;5m",
    AC1007*86400 &lt; 1800, "4. 5m - &lt;30m",
    TRUE, "5. &gt;= 30m"
),"6. Invalid (Order rejected)")</f>
        <v>5. &gt;= 30m</v>
      </c>
    </row>
    <row r="1008" spans="1:30" hidden="1" x14ac:dyDescent="0.3">
      <c r="A1008" t="s">
        <v>6160</v>
      </c>
      <c r="B1008" t="s">
        <v>25</v>
      </c>
      <c r="C1008">
        <v>42758642</v>
      </c>
      <c r="D1008">
        <v>0</v>
      </c>
      <c r="E1008" t="s">
        <v>25</v>
      </c>
      <c r="F1008" t="s">
        <v>26</v>
      </c>
      <c r="G1008" t="s">
        <v>27</v>
      </c>
      <c r="H1008" t="s">
        <v>6161</v>
      </c>
      <c r="I1008" t="s">
        <v>6162</v>
      </c>
      <c r="J1008" t="s">
        <v>26</v>
      </c>
      <c r="K1008" t="s">
        <v>26</v>
      </c>
      <c r="L1008" t="s">
        <v>6163</v>
      </c>
      <c r="M1008" t="s">
        <v>25</v>
      </c>
      <c r="N1008" t="s">
        <v>1171</v>
      </c>
      <c r="O1008" t="s">
        <v>1172</v>
      </c>
      <c r="P1008" t="s">
        <v>390</v>
      </c>
      <c r="Q1008" t="s">
        <v>391</v>
      </c>
      <c r="R1008">
        <v>170208</v>
      </c>
      <c r="S1008">
        <v>0</v>
      </c>
      <c r="T1008">
        <v>170208</v>
      </c>
      <c r="U1008" t="s">
        <v>35</v>
      </c>
      <c r="V1008" t="s">
        <v>1173</v>
      </c>
      <c r="W1008" t="s">
        <v>392</v>
      </c>
      <c r="X1008" s="4">
        <v>1</v>
      </c>
      <c r="Y1008" s="4"/>
      <c r="Z1008">
        <f t="shared" si="60"/>
        <v>7</v>
      </c>
      <c r="AA1008">
        <f t="shared" si="61"/>
        <v>15</v>
      </c>
      <c r="AB1008" s="5">
        <f t="shared" si="62"/>
        <v>0.30717592592554865</v>
      </c>
      <c r="AC1008" s="3">
        <f t="shared" si="63"/>
        <v>9.0266203704231884E-2</v>
      </c>
      <c r="AD1008" t="str" cm="1">
        <f t="array" ref="AD1008">IFERROR(_xlfn.IFS(
    AC1008="", "",
    AC1008*86400 &lt; 30, "1. 0s - &lt;30s",
    AC1008*86400 &lt; 60, "2. 30s - &lt;1m",
    AC1008*86400 &lt; 300, "3. 1m - &lt;5m",
    AC1008*86400 &lt; 1800, "4. 5m - &lt;30m",
    TRUE, "5. &gt;= 30m"
),"6. Invalid (Order rejected)")</f>
        <v>5. &gt;= 30m</v>
      </c>
    </row>
    <row r="1009" spans="1:30" hidden="1" x14ac:dyDescent="0.3">
      <c r="A1009" t="s">
        <v>6164</v>
      </c>
      <c r="B1009" t="s">
        <v>25</v>
      </c>
      <c r="C1009">
        <v>42459206</v>
      </c>
      <c r="D1009">
        <v>0</v>
      </c>
      <c r="E1009" t="s">
        <v>25</v>
      </c>
      <c r="F1009" t="s">
        <v>26</v>
      </c>
      <c r="G1009" t="s">
        <v>27</v>
      </c>
      <c r="H1009" t="s">
        <v>6165</v>
      </c>
      <c r="I1009" t="s">
        <v>6166</v>
      </c>
      <c r="J1009" t="s">
        <v>26</v>
      </c>
      <c r="K1009" t="s">
        <v>26</v>
      </c>
      <c r="L1009" t="s">
        <v>6167</v>
      </c>
      <c r="M1009" t="s">
        <v>25</v>
      </c>
      <c r="N1009" t="s">
        <v>1300</v>
      </c>
      <c r="O1009" t="s">
        <v>1301</v>
      </c>
      <c r="P1009" t="s">
        <v>180</v>
      </c>
      <c r="Q1009" t="s">
        <v>181</v>
      </c>
      <c r="R1009">
        <v>133596</v>
      </c>
      <c r="S1009">
        <v>0</v>
      </c>
      <c r="T1009">
        <v>133596</v>
      </c>
      <c r="U1009" t="s">
        <v>35</v>
      </c>
      <c r="V1009" t="s">
        <v>1302</v>
      </c>
      <c r="W1009" t="s">
        <v>182</v>
      </c>
      <c r="X1009" s="4">
        <v>1</v>
      </c>
      <c r="Y1009" s="4"/>
      <c r="Z1009">
        <f t="shared" si="60"/>
        <v>7</v>
      </c>
      <c r="AA1009">
        <f t="shared" si="61"/>
        <v>15</v>
      </c>
      <c r="AB1009" s="5">
        <f t="shared" si="62"/>
        <v>0.31613425925752381</v>
      </c>
      <c r="AC1009" s="3">
        <f t="shared" si="63"/>
        <v>9.0289351850515231E-2</v>
      </c>
      <c r="AD1009" t="str" cm="1">
        <f t="array" ref="AD1009">IFERROR(_xlfn.IFS(
    AC1009="", "",
    AC1009*86400 &lt; 30, "1. 0s - &lt;30s",
    AC1009*86400 &lt; 60, "2. 30s - &lt;1m",
    AC1009*86400 &lt; 300, "3. 1m - &lt;5m",
    AC1009*86400 &lt; 1800, "4. 5m - &lt;30m",
    TRUE, "5. &gt;= 30m"
),"6. Invalid (Order rejected)")</f>
        <v>5. &gt;= 30m</v>
      </c>
    </row>
    <row r="1010" spans="1:30" hidden="1" x14ac:dyDescent="0.3">
      <c r="A1010" t="s">
        <v>6168</v>
      </c>
      <c r="B1010" t="s">
        <v>25</v>
      </c>
      <c r="C1010">
        <v>42758642</v>
      </c>
      <c r="D1010">
        <v>0</v>
      </c>
      <c r="E1010" t="s">
        <v>25</v>
      </c>
      <c r="F1010" t="s">
        <v>26</v>
      </c>
      <c r="G1010" t="s">
        <v>27</v>
      </c>
      <c r="H1010" t="s">
        <v>6169</v>
      </c>
      <c r="I1010" t="s">
        <v>6170</v>
      </c>
      <c r="J1010" t="s">
        <v>26</v>
      </c>
      <c r="K1010" t="s">
        <v>26</v>
      </c>
      <c r="L1010" t="s">
        <v>6171</v>
      </c>
      <c r="M1010" t="s">
        <v>25</v>
      </c>
      <c r="N1010" t="s">
        <v>1269</v>
      </c>
      <c r="O1010" t="s">
        <v>1270</v>
      </c>
      <c r="P1010" t="s">
        <v>237</v>
      </c>
      <c r="Q1010" t="s">
        <v>238</v>
      </c>
      <c r="R1010">
        <v>226908</v>
      </c>
      <c r="S1010">
        <v>0</v>
      </c>
      <c r="T1010">
        <v>226908</v>
      </c>
      <c r="U1010" t="s">
        <v>35</v>
      </c>
      <c r="V1010" t="s">
        <v>1271</v>
      </c>
      <c r="W1010" t="s">
        <v>239</v>
      </c>
      <c r="X1010" s="4">
        <v>1</v>
      </c>
      <c r="Y1010" s="4"/>
      <c r="Z1010">
        <f t="shared" si="60"/>
        <v>7</v>
      </c>
      <c r="AA1010">
        <f t="shared" si="61"/>
        <v>15</v>
      </c>
      <c r="AB1010" s="5">
        <f t="shared" si="62"/>
        <v>0.30881944444263354</v>
      </c>
      <c r="AC1010" s="3">
        <f t="shared" si="63"/>
        <v>9.0266203704231884E-2</v>
      </c>
      <c r="AD1010" t="str" cm="1">
        <f t="array" ref="AD1010">IFERROR(_xlfn.IFS(
    AC1010="", "",
    AC1010*86400 &lt; 30, "1. 0s - &lt;30s",
    AC1010*86400 &lt; 60, "2. 30s - &lt;1m",
    AC1010*86400 &lt; 300, "3. 1m - &lt;5m",
    AC1010*86400 &lt; 1800, "4. 5m - &lt;30m",
    TRUE, "5. &gt;= 30m"
),"6. Invalid (Order rejected)")</f>
        <v>5. &gt;= 30m</v>
      </c>
    </row>
    <row r="1011" spans="1:30" hidden="1" x14ac:dyDescent="0.3">
      <c r="A1011" t="s">
        <v>6172</v>
      </c>
      <c r="B1011" t="s">
        <v>25</v>
      </c>
      <c r="C1011">
        <v>42758642</v>
      </c>
      <c r="D1011">
        <v>0</v>
      </c>
      <c r="E1011" t="s">
        <v>25</v>
      </c>
      <c r="F1011" t="s">
        <v>26</v>
      </c>
      <c r="G1011" t="s">
        <v>27</v>
      </c>
      <c r="H1011" t="s">
        <v>6173</v>
      </c>
      <c r="I1011" t="s">
        <v>6174</v>
      </c>
      <c r="J1011" t="s">
        <v>26</v>
      </c>
      <c r="K1011" t="s">
        <v>26</v>
      </c>
      <c r="L1011" t="s">
        <v>6175</v>
      </c>
      <c r="M1011" t="s">
        <v>25</v>
      </c>
      <c r="N1011" t="s">
        <v>1269</v>
      </c>
      <c r="O1011" t="s">
        <v>1270</v>
      </c>
      <c r="P1011" t="s">
        <v>384</v>
      </c>
      <c r="Q1011" t="s">
        <v>385</v>
      </c>
      <c r="R1011">
        <v>274536</v>
      </c>
      <c r="S1011">
        <v>0</v>
      </c>
      <c r="T1011">
        <v>274536</v>
      </c>
      <c r="U1011" t="s">
        <v>35</v>
      </c>
      <c r="V1011" t="s">
        <v>1271</v>
      </c>
      <c r="W1011" t="s">
        <v>386</v>
      </c>
      <c r="X1011" s="4">
        <v>1</v>
      </c>
      <c r="Y1011" s="4"/>
      <c r="Z1011">
        <f t="shared" si="60"/>
        <v>7</v>
      </c>
      <c r="AA1011">
        <f t="shared" si="61"/>
        <v>15</v>
      </c>
      <c r="AB1011" s="5">
        <f t="shared" si="62"/>
        <v>0.30934027778130258</v>
      </c>
      <c r="AC1011" s="3">
        <f t="shared" si="63"/>
        <v>9.0277777773735579E-2</v>
      </c>
      <c r="AD1011" t="str" cm="1">
        <f t="array" ref="AD1011">IFERROR(_xlfn.IFS(
    AC1011="", "",
    AC1011*86400 &lt; 30, "1. 0s - &lt;30s",
    AC1011*86400 &lt; 60, "2. 30s - &lt;1m",
    AC1011*86400 &lt; 300, "3. 1m - &lt;5m",
    AC1011*86400 &lt; 1800, "4. 5m - &lt;30m",
    TRUE, "5. &gt;= 30m"
),"6. Invalid (Order rejected)")</f>
        <v>5. &gt;= 30m</v>
      </c>
    </row>
    <row r="1012" spans="1:30" hidden="1" x14ac:dyDescent="0.3">
      <c r="A1012" t="s">
        <v>6176</v>
      </c>
      <c r="B1012" t="s">
        <v>25</v>
      </c>
      <c r="C1012">
        <v>42459206</v>
      </c>
      <c r="D1012">
        <v>0</v>
      </c>
      <c r="E1012" t="s">
        <v>25</v>
      </c>
      <c r="F1012" t="s">
        <v>26</v>
      </c>
      <c r="G1012" t="s">
        <v>27</v>
      </c>
      <c r="H1012" t="s">
        <v>6177</v>
      </c>
      <c r="I1012" t="s">
        <v>6178</v>
      </c>
      <c r="J1012" t="s">
        <v>26</v>
      </c>
      <c r="K1012" t="s">
        <v>26</v>
      </c>
      <c r="L1012" t="s">
        <v>6179</v>
      </c>
      <c r="M1012" t="s">
        <v>25</v>
      </c>
      <c r="N1012" t="s">
        <v>1300</v>
      </c>
      <c r="O1012" t="s">
        <v>1301</v>
      </c>
      <c r="P1012" t="s">
        <v>342</v>
      </c>
      <c r="Q1012" t="s">
        <v>343</v>
      </c>
      <c r="R1012">
        <v>149256</v>
      </c>
      <c r="S1012">
        <v>0</v>
      </c>
      <c r="T1012">
        <v>149256</v>
      </c>
      <c r="U1012" t="s">
        <v>35</v>
      </c>
      <c r="V1012" t="s">
        <v>1302</v>
      </c>
      <c r="W1012" t="s">
        <v>344</v>
      </c>
      <c r="X1012" s="4">
        <v>1</v>
      </c>
      <c r="Y1012" s="4"/>
      <c r="Z1012">
        <f t="shared" si="60"/>
        <v>7</v>
      </c>
      <c r="AA1012">
        <f t="shared" si="61"/>
        <v>15</v>
      </c>
      <c r="AB1012" s="5">
        <f t="shared" si="62"/>
        <v>0.31710648148145992</v>
      </c>
      <c r="AC1012" s="3">
        <f t="shared" si="63"/>
        <v>9.0289351850515231E-2</v>
      </c>
      <c r="AD1012" t="str" cm="1">
        <f t="array" ref="AD1012">IFERROR(_xlfn.IFS(
    AC1012="", "",
    AC1012*86400 &lt; 30, "1. 0s - &lt;30s",
    AC1012*86400 &lt; 60, "2. 30s - &lt;1m",
    AC1012*86400 &lt; 300, "3. 1m - &lt;5m",
    AC1012*86400 &lt; 1800, "4. 5m - &lt;30m",
    TRUE, "5. &gt;= 30m"
),"6. Invalid (Order rejected)")</f>
        <v>5. &gt;= 30m</v>
      </c>
    </row>
    <row r="1013" spans="1:30" x14ac:dyDescent="0.3">
      <c r="A1013" t="s">
        <v>6180</v>
      </c>
      <c r="B1013" t="s">
        <v>25</v>
      </c>
      <c r="C1013">
        <v>42459206</v>
      </c>
      <c r="D1013">
        <v>3141376</v>
      </c>
      <c r="E1013" t="s">
        <v>25</v>
      </c>
      <c r="F1013" t="s">
        <v>75</v>
      </c>
      <c r="G1013" t="s">
        <v>360</v>
      </c>
      <c r="H1013" t="s">
        <v>6181</v>
      </c>
      <c r="I1013" t="s">
        <v>6182</v>
      </c>
      <c r="J1013" t="s">
        <v>6183</v>
      </c>
      <c r="K1013" t="s">
        <v>26</v>
      </c>
      <c r="L1013" t="s">
        <v>25</v>
      </c>
      <c r="M1013" t="s">
        <v>25</v>
      </c>
      <c r="N1013" t="s">
        <v>1280</v>
      </c>
      <c r="O1013" t="s">
        <v>1281</v>
      </c>
      <c r="P1013" t="s">
        <v>96</v>
      </c>
      <c r="Q1013" t="s">
        <v>97</v>
      </c>
      <c r="R1013">
        <v>159732</v>
      </c>
      <c r="S1013">
        <v>123829</v>
      </c>
      <c r="T1013">
        <v>35903</v>
      </c>
      <c r="U1013" t="s">
        <v>35</v>
      </c>
      <c r="V1013" t="s">
        <v>1282</v>
      </c>
      <c r="W1013" t="s">
        <v>98</v>
      </c>
      <c r="X1013" s="4">
        <v>1</v>
      </c>
      <c r="Y1013" s="4"/>
      <c r="Z1013">
        <f t="shared" si="60"/>
        <v>7</v>
      </c>
      <c r="AA1013">
        <f t="shared" si="61"/>
        <v>15</v>
      </c>
      <c r="AB1013" s="5">
        <f t="shared" si="62"/>
        <v>0.31543981481809169</v>
      </c>
      <c r="AC1013" s="3" t="str">
        <f t="shared" si="63"/>
        <v>Order rejected, no time available</v>
      </c>
      <c r="AD1013" t="str" cm="1">
        <f t="array" ref="AD1013">IFERROR(_xlfn.IFS(
    AC1013="", "",
    AC1013*86400 &lt; 30, "1. 0s - &lt;30s",
    AC1013*86400 &lt; 60, "2. 30s - &lt;1m",
    AC1013*86400 &lt; 300, "3. 1m - &lt;5m",
    AC1013*86400 &lt; 1800, "4. 5m - &lt;30m",
    TRUE, "5. &gt;= 30m"
),"6. Invalid (Order rejected)")</f>
        <v>6. Invalid (Order rejected)</v>
      </c>
    </row>
    <row r="1014" spans="1:30" hidden="1" x14ac:dyDescent="0.3">
      <c r="A1014" t="s">
        <v>6184</v>
      </c>
      <c r="B1014" t="s">
        <v>25</v>
      </c>
      <c r="C1014">
        <v>42459206</v>
      </c>
      <c r="D1014">
        <v>4332385</v>
      </c>
      <c r="E1014" t="s">
        <v>25</v>
      </c>
      <c r="F1014" t="s">
        <v>75</v>
      </c>
      <c r="G1014" t="s">
        <v>76</v>
      </c>
      <c r="H1014" t="s">
        <v>6185</v>
      </c>
      <c r="I1014" t="s">
        <v>6186</v>
      </c>
      <c r="J1014" t="s">
        <v>6187</v>
      </c>
      <c r="K1014" t="s">
        <v>26</v>
      </c>
      <c r="L1014" t="s">
        <v>6188</v>
      </c>
      <c r="M1014" t="s">
        <v>25</v>
      </c>
      <c r="N1014" t="s">
        <v>1300</v>
      </c>
      <c r="O1014" t="s">
        <v>1301</v>
      </c>
      <c r="P1014" t="s">
        <v>56</v>
      </c>
      <c r="Q1014" t="s">
        <v>57</v>
      </c>
      <c r="R1014">
        <v>136728</v>
      </c>
      <c r="S1014">
        <v>105996</v>
      </c>
      <c r="T1014">
        <v>30732</v>
      </c>
      <c r="U1014" t="s">
        <v>35</v>
      </c>
      <c r="V1014" t="s">
        <v>1302</v>
      </c>
      <c r="W1014" t="s">
        <v>58</v>
      </c>
      <c r="X1014" s="4">
        <v>1</v>
      </c>
      <c r="Y1014" s="4"/>
      <c r="Z1014">
        <f t="shared" si="60"/>
        <v>7</v>
      </c>
      <c r="AA1014">
        <f t="shared" si="61"/>
        <v>15</v>
      </c>
      <c r="AB1014" s="5">
        <f t="shared" si="62"/>
        <v>0.31591435184964212</v>
      </c>
      <c r="AC1014" s="3">
        <f t="shared" si="63"/>
        <v>3.4467592595319729E-2</v>
      </c>
      <c r="AD1014" t="str" cm="1">
        <f t="array" ref="AD1014">IFERROR(_xlfn.IFS(
    AC1014="", "",
    AC1014*86400 &lt; 30, "1. 0s - &lt;30s",
    AC1014*86400 &lt; 60, "2. 30s - &lt;1m",
    AC1014*86400 &lt; 300, "3. 1m - &lt;5m",
    AC1014*86400 &lt; 1800, "4. 5m - &lt;30m",
    TRUE, "5. &gt;= 30m"
),"6. Invalid (Order rejected)")</f>
        <v>5. &gt;= 30m</v>
      </c>
    </row>
    <row r="1015" spans="1:30" hidden="1" x14ac:dyDescent="0.3">
      <c r="A1015" t="s">
        <v>6189</v>
      </c>
      <c r="B1015" t="s">
        <v>25</v>
      </c>
      <c r="C1015">
        <v>42459206</v>
      </c>
      <c r="D1015">
        <v>2729171</v>
      </c>
      <c r="E1015" t="s">
        <v>25</v>
      </c>
      <c r="F1015" t="s">
        <v>75</v>
      </c>
      <c r="G1015" t="s">
        <v>76</v>
      </c>
      <c r="H1015" t="s">
        <v>6190</v>
      </c>
      <c r="I1015" t="s">
        <v>6191</v>
      </c>
      <c r="J1015" t="s">
        <v>6192</v>
      </c>
      <c r="K1015" t="s">
        <v>26</v>
      </c>
      <c r="L1015" t="s">
        <v>6193</v>
      </c>
      <c r="M1015" t="s">
        <v>25</v>
      </c>
      <c r="N1015" t="s">
        <v>1300</v>
      </c>
      <c r="O1015" t="s">
        <v>1301</v>
      </c>
      <c r="P1015" t="s">
        <v>6194</v>
      </c>
      <c r="Q1015" t="s">
        <v>6195</v>
      </c>
      <c r="R1015">
        <v>132300</v>
      </c>
      <c r="S1015">
        <v>102563</v>
      </c>
      <c r="T1015">
        <v>29737</v>
      </c>
      <c r="U1015" t="s">
        <v>35</v>
      </c>
      <c r="V1015" t="s">
        <v>1302</v>
      </c>
      <c r="W1015" t="s">
        <v>6196</v>
      </c>
      <c r="X1015" s="4">
        <v>1</v>
      </c>
      <c r="Y1015" s="4"/>
      <c r="Z1015">
        <f t="shared" si="60"/>
        <v>7</v>
      </c>
      <c r="AA1015">
        <f t="shared" si="61"/>
        <v>15</v>
      </c>
      <c r="AB1015" s="5">
        <f t="shared" si="62"/>
        <v>0.31690972221986158</v>
      </c>
      <c r="AC1015" s="3">
        <f t="shared" si="63"/>
        <v>3.2476851854880806E-2</v>
      </c>
      <c r="AD1015" t="str" cm="1">
        <f t="array" ref="AD1015">IFERROR(_xlfn.IFS(
    AC1015="", "",
    AC1015*86400 &lt; 30, "1. 0s - &lt;30s",
    AC1015*86400 &lt; 60, "2. 30s - &lt;1m",
    AC1015*86400 &lt; 300, "3. 1m - &lt;5m",
    AC1015*86400 &lt; 1800, "4. 5m - &lt;30m",
    TRUE, "5. &gt;= 30m"
),"6. Invalid (Order rejected)")</f>
        <v>5. &gt;= 30m</v>
      </c>
    </row>
    <row r="1016" spans="1:30" hidden="1" x14ac:dyDescent="0.3">
      <c r="A1016" t="s">
        <v>6197</v>
      </c>
      <c r="B1016" t="s">
        <v>25</v>
      </c>
      <c r="C1016">
        <v>42459206</v>
      </c>
      <c r="D1016">
        <v>0</v>
      </c>
      <c r="E1016" t="s">
        <v>25</v>
      </c>
      <c r="F1016" t="s">
        <v>26</v>
      </c>
      <c r="G1016" t="s">
        <v>27</v>
      </c>
      <c r="H1016" t="s">
        <v>6198</v>
      </c>
      <c r="I1016" t="s">
        <v>6199</v>
      </c>
      <c r="J1016" t="s">
        <v>26</v>
      </c>
      <c r="K1016" t="s">
        <v>26</v>
      </c>
      <c r="L1016" t="s">
        <v>6200</v>
      </c>
      <c r="M1016" t="s">
        <v>25</v>
      </c>
      <c r="N1016" t="s">
        <v>1300</v>
      </c>
      <c r="O1016" t="s">
        <v>1301</v>
      </c>
      <c r="P1016" t="s">
        <v>390</v>
      </c>
      <c r="Q1016" t="s">
        <v>391</v>
      </c>
      <c r="R1016">
        <v>239868</v>
      </c>
      <c r="S1016">
        <v>0</v>
      </c>
      <c r="T1016">
        <v>239868</v>
      </c>
      <c r="U1016" t="s">
        <v>35</v>
      </c>
      <c r="V1016" t="s">
        <v>1302</v>
      </c>
      <c r="W1016" t="s">
        <v>392</v>
      </c>
      <c r="X1016" s="4">
        <v>1</v>
      </c>
      <c r="Y1016" s="4"/>
      <c r="Z1016">
        <f t="shared" si="60"/>
        <v>7</v>
      </c>
      <c r="AA1016">
        <f t="shared" si="61"/>
        <v>15</v>
      </c>
      <c r="AB1016" s="5">
        <f t="shared" si="62"/>
        <v>0.31738425925868796</v>
      </c>
      <c r="AC1016" s="3">
        <f t="shared" si="63"/>
        <v>9.0289351850515231E-2</v>
      </c>
      <c r="AD1016" t="str" cm="1">
        <f t="array" ref="AD1016">IFERROR(_xlfn.IFS(
    AC1016="", "",
    AC1016*86400 &lt; 30, "1. 0s - &lt;30s",
    AC1016*86400 &lt; 60, "2. 30s - &lt;1m",
    AC1016*86400 &lt; 300, "3. 1m - &lt;5m",
    AC1016*86400 &lt; 1800, "4. 5m - &lt;30m",
    TRUE, "5. &gt;= 30m"
),"6. Invalid (Order rejected)")</f>
        <v>5. &gt;= 30m</v>
      </c>
    </row>
    <row r="1017" spans="1:30" x14ac:dyDescent="0.3">
      <c r="A1017" t="s">
        <v>6201</v>
      </c>
      <c r="B1017" t="s">
        <v>25</v>
      </c>
      <c r="C1017">
        <v>42459206</v>
      </c>
      <c r="D1017">
        <v>2932063</v>
      </c>
      <c r="E1017" t="s">
        <v>25</v>
      </c>
      <c r="F1017" t="s">
        <v>75</v>
      </c>
      <c r="G1017" t="s">
        <v>360</v>
      </c>
      <c r="H1017" t="s">
        <v>6202</v>
      </c>
      <c r="I1017" t="s">
        <v>6203</v>
      </c>
      <c r="J1017" t="s">
        <v>6204</v>
      </c>
      <c r="K1017" t="s">
        <v>26</v>
      </c>
      <c r="L1017" t="s">
        <v>25</v>
      </c>
      <c r="M1017" t="s">
        <v>25</v>
      </c>
      <c r="N1017" t="s">
        <v>1300</v>
      </c>
      <c r="O1017" t="s">
        <v>1301</v>
      </c>
      <c r="P1017" t="s">
        <v>246</v>
      </c>
      <c r="Q1017" t="s">
        <v>247</v>
      </c>
      <c r="R1017">
        <v>176256</v>
      </c>
      <c r="S1017">
        <v>136639</v>
      </c>
      <c r="T1017">
        <v>39617</v>
      </c>
      <c r="U1017" t="s">
        <v>35</v>
      </c>
      <c r="V1017" t="s">
        <v>1302</v>
      </c>
      <c r="W1017" t="s">
        <v>249</v>
      </c>
      <c r="X1017" s="4">
        <v>1</v>
      </c>
      <c r="Y1017" s="4"/>
      <c r="Z1017">
        <f t="shared" si="60"/>
        <v>7</v>
      </c>
      <c r="AA1017">
        <f t="shared" si="61"/>
        <v>15</v>
      </c>
      <c r="AB1017" s="5">
        <f t="shared" si="62"/>
        <v>0.31866898148291511</v>
      </c>
      <c r="AC1017" s="3" t="str">
        <f t="shared" si="63"/>
        <v>Order rejected, no time available</v>
      </c>
      <c r="AD1017" t="str" cm="1">
        <f t="array" ref="AD1017">IFERROR(_xlfn.IFS(
    AC1017="", "",
    AC1017*86400 &lt; 30, "1. 0s - &lt;30s",
    AC1017*86400 &lt; 60, "2. 30s - &lt;1m",
    AC1017*86400 &lt; 300, "3. 1m - &lt;5m",
    AC1017*86400 &lt; 1800, "4. 5m - &lt;30m",
    TRUE, "5. &gt;= 30m"
),"6. Invalid (Order rejected)")</f>
        <v>6. Invalid (Order rejected)</v>
      </c>
    </row>
    <row r="1018" spans="1:30" hidden="1" x14ac:dyDescent="0.3">
      <c r="A1018" t="s">
        <v>6205</v>
      </c>
      <c r="B1018" t="s">
        <v>1345</v>
      </c>
      <c r="C1018">
        <v>42787717</v>
      </c>
      <c r="D1018">
        <v>3849371</v>
      </c>
      <c r="E1018" t="s">
        <v>25</v>
      </c>
      <c r="F1018" t="s">
        <v>75</v>
      </c>
      <c r="G1018" t="s">
        <v>76</v>
      </c>
      <c r="H1018" t="s">
        <v>6206</v>
      </c>
      <c r="I1018" t="s">
        <v>6207</v>
      </c>
      <c r="J1018" t="s">
        <v>6208</v>
      </c>
      <c r="K1018" t="s">
        <v>26</v>
      </c>
      <c r="L1018" t="s">
        <v>6209</v>
      </c>
      <c r="M1018" t="s">
        <v>25</v>
      </c>
      <c r="N1018" t="s">
        <v>1378</v>
      </c>
      <c r="O1018" t="s">
        <v>1379</v>
      </c>
      <c r="P1018" t="s">
        <v>1380</v>
      </c>
      <c r="Q1018" t="s">
        <v>1381</v>
      </c>
      <c r="R1018">
        <v>307260</v>
      </c>
      <c r="S1018">
        <v>238198</v>
      </c>
      <c r="T1018">
        <v>69062</v>
      </c>
      <c r="U1018" t="s">
        <v>35</v>
      </c>
      <c r="V1018" t="s">
        <v>1382</v>
      </c>
      <c r="W1018" t="s">
        <v>1383</v>
      </c>
      <c r="X1018" s="4">
        <v>1</v>
      </c>
      <c r="Y1018" s="4"/>
      <c r="Z1018">
        <f t="shared" si="60"/>
        <v>7</v>
      </c>
      <c r="AA1018">
        <f t="shared" si="61"/>
        <v>16</v>
      </c>
      <c r="AB1018" s="5">
        <f t="shared" si="62"/>
        <v>0.28458333333401242</v>
      </c>
      <c r="AC1018" s="3">
        <f t="shared" si="63"/>
        <v>0.18458333333546761</v>
      </c>
      <c r="AD1018" t="str" cm="1">
        <f t="array" ref="AD1018">IFERROR(_xlfn.IFS(
    AC1018="", "",
    AC1018*86400 &lt; 30, "1. 0s - &lt;30s",
    AC1018*86400 &lt; 60, "2. 30s - &lt;1m",
    AC1018*86400 &lt; 300, "3. 1m - &lt;5m",
    AC1018*86400 &lt; 1800, "4. 5m - &lt;30m",
    TRUE, "5. &gt;= 30m"
),"6. Invalid (Order rejected)")</f>
        <v>5. &gt;= 30m</v>
      </c>
    </row>
    <row r="1019" spans="1:30" x14ac:dyDescent="0.3">
      <c r="A1019" t="s">
        <v>6210</v>
      </c>
      <c r="B1019" t="s">
        <v>1345</v>
      </c>
      <c r="C1019">
        <v>42787717</v>
      </c>
      <c r="D1019">
        <v>2379115</v>
      </c>
      <c r="E1019" t="s">
        <v>25</v>
      </c>
      <c r="F1019" t="s">
        <v>75</v>
      </c>
      <c r="G1019" t="s">
        <v>360</v>
      </c>
      <c r="H1019" t="s">
        <v>6211</v>
      </c>
      <c r="I1019" t="s">
        <v>6212</v>
      </c>
      <c r="J1019" t="s">
        <v>6213</v>
      </c>
      <c r="K1019" t="s">
        <v>26</v>
      </c>
      <c r="L1019" t="s">
        <v>25</v>
      </c>
      <c r="M1019" t="s">
        <v>25</v>
      </c>
      <c r="N1019" t="s">
        <v>1349</v>
      </c>
      <c r="O1019" t="s">
        <v>1350</v>
      </c>
      <c r="P1019" t="s">
        <v>1351</v>
      </c>
      <c r="Q1019" t="s">
        <v>1352</v>
      </c>
      <c r="R1019">
        <v>232956</v>
      </c>
      <c r="S1019">
        <v>191218</v>
      </c>
      <c r="T1019">
        <v>41738</v>
      </c>
      <c r="U1019" t="s">
        <v>35</v>
      </c>
      <c r="V1019" t="s">
        <v>1353</v>
      </c>
      <c r="W1019" t="s">
        <v>1354</v>
      </c>
      <c r="X1019" s="4">
        <v>1</v>
      </c>
      <c r="Y1019" s="4"/>
      <c r="Z1019">
        <f t="shared" si="60"/>
        <v>7</v>
      </c>
      <c r="AA1019">
        <f t="shared" si="61"/>
        <v>16</v>
      </c>
      <c r="AB1019" s="5">
        <f t="shared" si="62"/>
        <v>0.286585648151231</v>
      </c>
      <c r="AC1019" s="3" t="str">
        <f t="shared" si="63"/>
        <v>Order rejected, no time available</v>
      </c>
      <c r="AD1019" t="str" cm="1">
        <f t="array" ref="AD1019">IFERROR(_xlfn.IFS(
    AC1019="", "",
    AC1019*86400 &lt; 30, "1. 0s - &lt;30s",
    AC1019*86400 &lt; 60, "2. 30s - &lt;1m",
    AC1019*86400 &lt; 300, "3. 1m - &lt;5m",
    AC1019*86400 &lt; 1800, "4. 5m - &lt;30m",
    TRUE, "5. &gt;= 30m"
),"6. Invalid (Order rejected)")</f>
        <v>6. Invalid (Order rejected)</v>
      </c>
    </row>
    <row r="1020" spans="1:30" hidden="1" x14ac:dyDescent="0.3">
      <c r="A1020" t="s">
        <v>6214</v>
      </c>
      <c r="B1020" t="s">
        <v>1345</v>
      </c>
      <c r="C1020">
        <v>42787717</v>
      </c>
      <c r="D1020">
        <v>4020532</v>
      </c>
      <c r="E1020" t="s">
        <v>25</v>
      </c>
      <c r="F1020" t="s">
        <v>75</v>
      </c>
      <c r="G1020" t="s">
        <v>76</v>
      </c>
      <c r="H1020" t="s">
        <v>6215</v>
      </c>
      <c r="I1020" t="s">
        <v>6216</v>
      </c>
      <c r="J1020" t="s">
        <v>6217</v>
      </c>
      <c r="K1020" t="s">
        <v>26</v>
      </c>
      <c r="L1020" t="s">
        <v>6218</v>
      </c>
      <c r="M1020" t="s">
        <v>25</v>
      </c>
      <c r="N1020" t="s">
        <v>1378</v>
      </c>
      <c r="O1020" t="s">
        <v>1379</v>
      </c>
      <c r="P1020" t="s">
        <v>1380</v>
      </c>
      <c r="Q1020" t="s">
        <v>1381</v>
      </c>
      <c r="R1020">
        <v>307260</v>
      </c>
      <c r="S1020">
        <v>238198</v>
      </c>
      <c r="T1020">
        <v>69062</v>
      </c>
      <c r="U1020" t="s">
        <v>35</v>
      </c>
      <c r="V1020" t="s">
        <v>1382</v>
      </c>
      <c r="W1020" t="s">
        <v>1383</v>
      </c>
      <c r="X1020" s="4">
        <v>1</v>
      </c>
      <c r="Y1020" s="4"/>
      <c r="Z1020">
        <f t="shared" si="60"/>
        <v>7</v>
      </c>
      <c r="AA1020">
        <f t="shared" si="61"/>
        <v>16</v>
      </c>
      <c r="AB1020" s="5">
        <f t="shared" si="62"/>
        <v>0.28489583333430346</v>
      </c>
      <c r="AC1020" s="3">
        <f t="shared" si="63"/>
        <v>0.16131944444350665</v>
      </c>
      <c r="AD1020" t="str" cm="1">
        <f t="array" ref="AD1020">IFERROR(_xlfn.IFS(
    AC1020="", "",
    AC1020*86400 &lt; 30, "1. 0s - &lt;30s",
    AC1020*86400 &lt; 60, "2. 30s - &lt;1m",
    AC1020*86400 &lt; 300, "3. 1m - &lt;5m",
    AC1020*86400 &lt; 1800, "4. 5m - &lt;30m",
    TRUE, "5. &gt;= 30m"
),"6. Invalid (Order rejected)")</f>
        <v>5. &gt;= 30m</v>
      </c>
    </row>
    <row r="1021" spans="1:30" hidden="1" x14ac:dyDescent="0.3">
      <c r="A1021" t="s">
        <v>6219</v>
      </c>
      <c r="B1021" t="s">
        <v>1345</v>
      </c>
      <c r="C1021">
        <v>42787717</v>
      </c>
      <c r="D1021">
        <v>4361592</v>
      </c>
      <c r="E1021" t="s">
        <v>25</v>
      </c>
      <c r="F1021" t="s">
        <v>75</v>
      </c>
      <c r="G1021" t="s">
        <v>76</v>
      </c>
      <c r="H1021" t="s">
        <v>6220</v>
      </c>
      <c r="I1021" t="s">
        <v>6221</v>
      </c>
      <c r="J1021" t="s">
        <v>6222</v>
      </c>
      <c r="K1021" t="s">
        <v>6223</v>
      </c>
      <c r="L1021" t="s">
        <v>6224</v>
      </c>
      <c r="M1021" t="s">
        <v>25</v>
      </c>
      <c r="N1021" t="s">
        <v>1419</v>
      </c>
      <c r="O1021" t="s">
        <v>1420</v>
      </c>
      <c r="P1021" t="s">
        <v>6225</v>
      </c>
      <c r="Q1021" t="s">
        <v>6226</v>
      </c>
      <c r="R1021">
        <v>371304</v>
      </c>
      <c r="S1021">
        <v>287847</v>
      </c>
      <c r="T1021">
        <v>83457</v>
      </c>
      <c r="U1021" t="s">
        <v>35</v>
      </c>
      <c r="V1021" t="s">
        <v>1423</v>
      </c>
      <c r="W1021" t="s">
        <v>6227</v>
      </c>
      <c r="X1021" s="4">
        <v>1</v>
      </c>
      <c r="Y1021" s="4"/>
      <c r="Z1021">
        <f t="shared" si="60"/>
        <v>7</v>
      </c>
      <c r="AA1021">
        <f t="shared" si="61"/>
        <v>16</v>
      </c>
      <c r="AB1021" s="5">
        <f t="shared" si="62"/>
        <v>0.29282407407299615</v>
      </c>
      <c r="AC1021" s="3">
        <f t="shared" si="63"/>
        <v>0.10137731481518131</v>
      </c>
      <c r="AD1021" t="str" cm="1">
        <f t="array" ref="AD1021">IFERROR(_xlfn.IFS(
    AC1021="", "",
    AC1021*86400 &lt; 30, "1. 0s - &lt;30s",
    AC1021*86400 &lt; 60, "2. 30s - &lt;1m",
    AC1021*86400 &lt; 300, "3. 1m - &lt;5m",
    AC1021*86400 &lt; 1800, "4. 5m - &lt;30m",
    TRUE, "5. &gt;= 30m"
),"6. Invalid (Order rejected)")</f>
        <v>5. &gt;= 30m</v>
      </c>
    </row>
    <row r="1022" spans="1:30" x14ac:dyDescent="0.3">
      <c r="A1022" t="s">
        <v>6228</v>
      </c>
      <c r="B1022" t="s">
        <v>1345</v>
      </c>
      <c r="C1022">
        <v>42787717</v>
      </c>
      <c r="D1022">
        <v>3522165</v>
      </c>
      <c r="E1022" t="s">
        <v>25</v>
      </c>
      <c r="F1022" t="s">
        <v>75</v>
      </c>
      <c r="G1022" t="s">
        <v>360</v>
      </c>
      <c r="H1022" t="s">
        <v>6229</v>
      </c>
      <c r="I1022" t="s">
        <v>1432</v>
      </c>
      <c r="J1022" t="s">
        <v>6230</v>
      </c>
      <c r="K1022" t="s">
        <v>6231</v>
      </c>
      <c r="L1022" t="s">
        <v>25</v>
      </c>
      <c r="M1022" t="s">
        <v>25</v>
      </c>
      <c r="N1022" t="s">
        <v>1349</v>
      </c>
      <c r="O1022" t="s">
        <v>1350</v>
      </c>
      <c r="P1022" t="s">
        <v>1351</v>
      </c>
      <c r="Q1022" t="s">
        <v>1352</v>
      </c>
      <c r="R1022">
        <v>232956</v>
      </c>
      <c r="S1022">
        <v>180595</v>
      </c>
      <c r="T1022">
        <v>52361</v>
      </c>
      <c r="U1022" t="s">
        <v>35</v>
      </c>
      <c r="V1022" t="s">
        <v>1353</v>
      </c>
      <c r="W1022" t="s">
        <v>1354</v>
      </c>
      <c r="X1022" s="4">
        <v>1</v>
      </c>
      <c r="Y1022" s="4"/>
      <c r="Z1022">
        <f t="shared" si="60"/>
        <v>7</v>
      </c>
      <c r="AA1022">
        <f t="shared" si="61"/>
        <v>16</v>
      </c>
      <c r="AB1022" s="5">
        <f t="shared" si="62"/>
        <v>0.28613425925868796</v>
      </c>
      <c r="AC1022" s="3" t="str">
        <f t="shared" si="63"/>
        <v>Order rejected, no time available</v>
      </c>
      <c r="AD1022" t="str" cm="1">
        <f t="array" ref="AD1022">IFERROR(_xlfn.IFS(
    AC1022="", "",
    AC1022*86400 &lt; 30, "1. 0s - &lt;30s",
    AC1022*86400 &lt; 60, "2. 30s - &lt;1m",
    AC1022*86400 &lt; 300, "3. 1m - &lt;5m",
    AC1022*86400 &lt; 1800, "4. 5m - &lt;30m",
    TRUE, "5. &gt;= 30m"
),"6. Invalid (Order rejected)")</f>
        <v>6. Invalid (Order rejected)</v>
      </c>
    </row>
    <row r="1023" spans="1:30" x14ac:dyDescent="0.3">
      <c r="A1023" t="s">
        <v>6232</v>
      </c>
      <c r="B1023" t="s">
        <v>1345</v>
      </c>
      <c r="C1023">
        <v>42787717</v>
      </c>
      <c r="D1023">
        <v>4306463</v>
      </c>
      <c r="E1023" t="s">
        <v>25</v>
      </c>
      <c r="F1023" t="s">
        <v>75</v>
      </c>
      <c r="G1023" t="s">
        <v>360</v>
      </c>
      <c r="H1023" t="s">
        <v>6233</v>
      </c>
      <c r="I1023" t="s">
        <v>1478</v>
      </c>
      <c r="J1023" t="s">
        <v>6234</v>
      </c>
      <c r="K1023" t="s">
        <v>26</v>
      </c>
      <c r="L1023" t="s">
        <v>25</v>
      </c>
      <c r="M1023" t="s">
        <v>25</v>
      </c>
      <c r="N1023" t="s">
        <v>1419</v>
      </c>
      <c r="O1023" t="s">
        <v>1420</v>
      </c>
      <c r="P1023" t="s">
        <v>1631</v>
      </c>
      <c r="Q1023" t="s">
        <v>1632</v>
      </c>
      <c r="R1023">
        <v>266868</v>
      </c>
      <c r="S1023">
        <v>219054</v>
      </c>
      <c r="T1023">
        <v>47814</v>
      </c>
      <c r="U1023" t="s">
        <v>35</v>
      </c>
      <c r="V1023" t="s">
        <v>1423</v>
      </c>
      <c r="W1023" t="s">
        <v>1633</v>
      </c>
      <c r="X1023" s="4">
        <v>1</v>
      </c>
      <c r="Y1023" s="4"/>
      <c r="Z1023">
        <f t="shared" si="60"/>
        <v>7</v>
      </c>
      <c r="AA1023">
        <f t="shared" si="61"/>
        <v>16</v>
      </c>
      <c r="AB1023" s="5">
        <f t="shared" si="62"/>
        <v>0.29256944444205146</v>
      </c>
      <c r="AC1023" s="3" t="str">
        <f t="shared" si="63"/>
        <v>Order rejected, no time available</v>
      </c>
      <c r="AD1023" t="str" cm="1">
        <f t="array" ref="AD1023">IFERROR(_xlfn.IFS(
    AC1023="", "",
    AC1023*86400 &lt; 30, "1. 0s - &lt;30s",
    AC1023*86400 &lt; 60, "2. 30s - &lt;1m",
    AC1023*86400 &lt; 300, "3. 1m - &lt;5m",
    AC1023*86400 &lt; 1800, "4. 5m - &lt;30m",
    TRUE, "5. &gt;= 30m"
),"6. Invalid (Order rejected)")</f>
        <v>6. Invalid (Order rejected)</v>
      </c>
    </row>
    <row r="1024" spans="1:30" hidden="1" x14ac:dyDescent="0.3">
      <c r="A1024" t="s">
        <v>6235</v>
      </c>
      <c r="B1024" t="s">
        <v>1345</v>
      </c>
      <c r="C1024">
        <v>42787717</v>
      </c>
      <c r="D1024">
        <v>0</v>
      </c>
      <c r="E1024" t="s">
        <v>25</v>
      </c>
      <c r="F1024" t="s">
        <v>26</v>
      </c>
      <c r="G1024" t="s">
        <v>27</v>
      </c>
      <c r="H1024" t="s">
        <v>6236</v>
      </c>
      <c r="I1024" t="s">
        <v>1524</v>
      </c>
      <c r="J1024" t="s">
        <v>26</v>
      </c>
      <c r="K1024" t="s">
        <v>26</v>
      </c>
      <c r="L1024" t="s">
        <v>1525</v>
      </c>
      <c r="M1024" t="s">
        <v>25</v>
      </c>
      <c r="N1024" t="s">
        <v>1467</v>
      </c>
      <c r="O1024" t="s">
        <v>1468</v>
      </c>
      <c r="P1024" t="s">
        <v>4666</v>
      </c>
      <c r="Q1024" t="s">
        <v>4667</v>
      </c>
      <c r="R1024">
        <v>276912</v>
      </c>
      <c r="S1024">
        <v>0</v>
      </c>
      <c r="T1024">
        <v>276912</v>
      </c>
      <c r="U1024" t="s">
        <v>35</v>
      </c>
      <c r="V1024" t="s">
        <v>1471</v>
      </c>
      <c r="W1024" t="s">
        <v>6237</v>
      </c>
      <c r="X1024" s="4">
        <v>1</v>
      </c>
      <c r="Y1024" s="4"/>
      <c r="Z1024">
        <f t="shared" si="60"/>
        <v>7</v>
      </c>
      <c r="AA1024">
        <f t="shared" si="61"/>
        <v>16</v>
      </c>
      <c r="AB1024" s="5">
        <f t="shared" si="62"/>
        <v>0.29376157407386927</v>
      </c>
      <c r="AC1024" s="3">
        <f t="shared" si="63"/>
        <v>0.145821759258979</v>
      </c>
      <c r="AD1024" t="str" cm="1">
        <f t="array" ref="AD1024">IFERROR(_xlfn.IFS(
    AC1024="", "",
    AC1024*86400 &lt; 30, "1. 0s - &lt;30s",
    AC1024*86400 &lt; 60, "2. 30s - &lt;1m",
    AC1024*86400 &lt; 300, "3. 1m - &lt;5m",
    AC1024*86400 &lt; 1800, "4. 5m - &lt;30m",
    TRUE, "5. &gt;= 30m"
),"6. Invalid (Order rejected)")</f>
        <v>5. &gt;= 30m</v>
      </c>
    </row>
    <row r="1025" spans="1:30" x14ac:dyDescent="0.3">
      <c r="A1025" t="s">
        <v>6238</v>
      </c>
      <c r="B1025" t="s">
        <v>1345</v>
      </c>
      <c r="C1025">
        <v>42787717</v>
      </c>
      <c r="D1025">
        <v>2178671</v>
      </c>
      <c r="E1025" t="s">
        <v>25</v>
      </c>
      <c r="F1025" t="s">
        <v>75</v>
      </c>
      <c r="G1025" t="s">
        <v>360</v>
      </c>
      <c r="H1025" t="s">
        <v>6239</v>
      </c>
      <c r="I1025" t="s">
        <v>6240</v>
      </c>
      <c r="J1025" t="s">
        <v>6241</v>
      </c>
      <c r="K1025" t="s">
        <v>26</v>
      </c>
      <c r="L1025" t="s">
        <v>25</v>
      </c>
      <c r="M1025" t="s">
        <v>25</v>
      </c>
      <c r="N1025" t="s">
        <v>1409</v>
      </c>
      <c r="O1025" t="s">
        <v>1410</v>
      </c>
      <c r="P1025" t="s">
        <v>1439</v>
      </c>
      <c r="Q1025" t="s">
        <v>1440</v>
      </c>
      <c r="R1025">
        <v>299268</v>
      </c>
      <c r="S1025">
        <v>232002</v>
      </c>
      <c r="T1025">
        <v>67266</v>
      </c>
      <c r="U1025" t="s">
        <v>35</v>
      </c>
      <c r="V1025" t="s">
        <v>1413</v>
      </c>
      <c r="W1025" t="s">
        <v>1441</v>
      </c>
      <c r="X1025" s="4">
        <v>1</v>
      </c>
      <c r="Y1025" s="4"/>
      <c r="Z1025">
        <f t="shared" si="60"/>
        <v>7</v>
      </c>
      <c r="AA1025">
        <f t="shared" si="61"/>
        <v>16</v>
      </c>
      <c r="AB1025" s="5">
        <f t="shared" si="62"/>
        <v>0.29055555555532919</v>
      </c>
      <c r="AC1025" s="3" t="str">
        <f t="shared" si="63"/>
        <v>Order rejected, no time available</v>
      </c>
      <c r="AD1025" t="str" cm="1">
        <f t="array" ref="AD1025">IFERROR(_xlfn.IFS(
    AC1025="", "",
    AC1025*86400 &lt; 30, "1. 0s - &lt;30s",
    AC1025*86400 &lt; 60, "2. 30s - &lt;1m",
    AC1025*86400 &lt; 300, "3. 1m - &lt;5m",
    AC1025*86400 &lt; 1800, "4. 5m - &lt;30m",
    TRUE, "5. &gt;= 30m"
),"6. Invalid (Order rejected)")</f>
        <v>6. Invalid (Order rejected)</v>
      </c>
    </row>
    <row r="1026" spans="1:30" hidden="1" x14ac:dyDescent="0.3">
      <c r="A1026" t="s">
        <v>6242</v>
      </c>
      <c r="B1026" t="s">
        <v>1345</v>
      </c>
      <c r="C1026">
        <v>42787717</v>
      </c>
      <c r="D1026">
        <v>0</v>
      </c>
      <c r="E1026" t="s">
        <v>25</v>
      </c>
      <c r="F1026" t="s">
        <v>26</v>
      </c>
      <c r="G1026" t="s">
        <v>27</v>
      </c>
      <c r="H1026" t="s">
        <v>6243</v>
      </c>
      <c r="I1026" t="s">
        <v>6244</v>
      </c>
      <c r="J1026" t="s">
        <v>26</v>
      </c>
      <c r="K1026" t="s">
        <v>26</v>
      </c>
      <c r="L1026" t="s">
        <v>6245</v>
      </c>
      <c r="M1026" t="s">
        <v>25</v>
      </c>
      <c r="N1026" t="s">
        <v>1419</v>
      </c>
      <c r="O1026" t="s">
        <v>1420</v>
      </c>
      <c r="P1026" t="s">
        <v>1617</v>
      </c>
      <c r="Q1026" t="s">
        <v>1618</v>
      </c>
      <c r="R1026">
        <v>260496</v>
      </c>
      <c r="S1026">
        <v>0</v>
      </c>
      <c r="T1026">
        <v>260496</v>
      </c>
      <c r="U1026" t="s">
        <v>35</v>
      </c>
      <c r="V1026" t="s">
        <v>1423</v>
      </c>
      <c r="W1026" t="s">
        <v>1619</v>
      </c>
      <c r="X1026" s="4">
        <v>1</v>
      </c>
      <c r="Y1026" s="4"/>
      <c r="Z1026">
        <f t="shared" si="60"/>
        <v>7</v>
      </c>
      <c r="AA1026">
        <f t="shared" si="61"/>
        <v>16</v>
      </c>
      <c r="AB1026" s="5">
        <f t="shared" si="62"/>
        <v>0.29163194444117835</v>
      </c>
      <c r="AC1026" s="3">
        <f t="shared" si="63"/>
        <v>0.14586805555882165</v>
      </c>
      <c r="AD1026" t="str" cm="1">
        <f t="array" ref="AD1026">IFERROR(_xlfn.IFS(
    AC1026="", "",
    AC1026*86400 &lt; 30, "1. 0s - &lt;30s",
    AC1026*86400 &lt; 60, "2. 30s - &lt;1m",
    AC1026*86400 &lt; 300, "3. 1m - &lt;5m",
    AC1026*86400 &lt; 1800, "4. 5m - &lt;30m",
    TRUE, "5. &gt;= 30m"
),"6. Invalid (Order rejected)")</f>
        <v>5. &gt;= 30m</v>
      </c>
    </row>
    <row r="1027" spans="1:30" x14ac:dyDescent="0.3">
      <c r="A1027" t="s">
        <v>6246</v>
      </c>
      <c r="B1027" t="s">
        <v>1345</v>
      </c>
      <c r="C1027">
        <v>42787717</v>
      </c>
      <c r="D1027">
        <v>4730103</v>
      </c>
      <c r="E1027" t="s">
        <v>25</v>
      </c>
      <c r="F1027" t="s">
        <v>75</v>
      </c>
      <c r="G1027" t="s">
        <v>360</v>
      </c>
      <c r="H1027" t="s">
        <v>6247</v>
      </c>
      <c r="I1027" t="s">
        <v>6248</v>
      </c>
      <c r="J1027" t="s">
        <v>6249</v>
      </c>
      <c r="K1027" t="s">
        <v>26</v>
      </c>
      <c r="L1027" t="s">
        <v>25</v>
      </c>
      <c r="M1027" t="s">
        <v>25</v>
      </c>
      <c r="N1027" t="s">
        <v>1481</v>
      </c>
      <c r="O1027" t="s">
        <v>1482</v>
      </c>
      <c r="P1027" t="s">
        <v>6250</v>
      </c>
      <c r="Q1027" t="s">
        <v>6251</v>
      </c>
      <c r="R1027">
        <v>114048</v>
      </c>
      <c r="S1027">
        <v>88414</v>
      </c>
      <c r="T1027">
        <v>25634</v>
      </c>
      <c r="U1027" t="s">
        <v>35</v>
      </c>
      <c r="V1027" t="s">
        <v>1485</v>
      </c>
      <c r="W1027" t="s">
        <v>6252</v>
      </c>
      <c r="X1027" s="4">
        <v>1</v>
      </c>
      <c r="Y1027" s="4"/>
      <c r="Z1027">
        <f t="shared" ref="Z1027:Z1090" si="64">MONTH(H1027)</f>
        <v>7</v>
      </c>
      <c r="AA1027">
        <f t="shared" ref="AA1027:AA1090" si="65">DAY(H1027)</f>
        <v>16</v>
      </c>
      <c r="AB1027" s="5">
        <f t="shared" ref="AB1027:AB1090" si="66">MOD(H1027, 1)</f>
        <v>0.30089120370394085</v>
      </c>
      <c r="AC1027" s="3" t="str">
        <f t="shared" ref="AC1027:AC1090" si="67">IFERROR(IF(M1027="",L1027-H1027,M1027-H1027),"Order rejected, no time available")</f>
        <v>Order rejected, no time available</v>
      </c>
      <c r="AD1027" t="str" cm="1">
        <f t="array" ref="AD1027">IFERROR(_xlfn.IFS(
    AC1027="", "",
    AC1027*86400 &lt; 30, "1. 0s - &lt;30s",
    AC1027*86400 &lt; 60, "2. 30s - &lt;1m",
    AC1027*86400 &lt; 300, "3. 1m - &lt;5m",
    AC1027*86400 &lt; 1800, "4. 5m - &lt;30m",
    TRUE, "5. &gt;= 30m"
),"6. Invalid (Order rejected)")</f>
        <v>6. Invalid (Order rejected)</v>
      </c>
    </row>
    <row r="1028" spans="1:30" hidden="1" x14ac:dyDescent="0.3">
      <c r="A1028" t="s">
        <v>6253</v>
      </c>
      <c r="B1028" t="s">
        <v>1345</v>
      </c>
      <c r="C1028">
        <v>42787717</v>
      </c>
      <c r="D1028">
        <v>0</v>
      </c>
      <c r="E1028" t="s">
        <v>25</v>
      </c>
      <c r="F1028" t="s">
        <v>26</v>
      </c>
      <c r="G1028" t="s">
        <v>27</v>
      </c>
      <c r="H1028" t="s">
        <v>6254</v>
      </c>
      <c r="I1028" t="s">
        <v>1516</v>
      </c>
      <c r="J1028" t="s">
        <v>26</v>
      </c>
      <c r="K1028" t="s">
        <v>26</v>
      </c>
      <c r="L1028" t="s">
        <v>6255</v>
      </c>
      <c r="M1028" t="s">
        <v>25</v>
      </c>
      <c r="N1028" t="s">
        <v>1467</v>
      </c>
      <c r="O1028" t="s">
        <v>1468</v>
      </c>
      <c r="P1028" t="s">
        <v>6256</v>
      </c>
      <c r="Q1028" t="s">
        <v>6257</v>
      </c>
      <c r="R1028">
        <v>381672</v>
      </c>
      <c r="S1028">
        <v>0</v>
      </c>
      <c r="T1028">
        <v>381672</v>
      </c>
      <c r="U1028" t="s">
        <v>35</v>
      </c>
      <c r="V1028" t="s">
        <v>1471</v>
      </c>
      <c r="W1028" t="s">
        <v>6258</v>
      </c>
      <c r="X1028" s="4">
        <v>1</v>
      </c>
      <c r="Y1028" s="4"/>
      <c r="Z1028">
        <f t="shared" si="64"/>
        <v>7</v>
      </c>
      <c r="AA1028">
        <f t="shared" si="65"/>
        <v>16</v>
      </c>
      <c r="AB1028" s="5">
        <f t="shared" si="66"/>
        <v>0.29401620370481396</v>
      </c>
      <c r="AC1028" s="3">
        <f t="shared" si="67"/>
        <v>0.14626157407474238</v>
      </c>
      <c r="AD1028" t="str" cm="1">
        <f t="array" ref="AD1028">IFERROR(_xlfn.IFS(
    AC1028="", "",
    AC1028*86400 &lt; 30, "1. 0s - &lt;30s",
    AC1028*86400 &lt; 60, "2. 30s - &lt;1m",
    AC1028*86400 &lt; 300, "3. 1m - &lt;5m",
    AC1028*86400 &lt; 1800, "4. 5m - &lt;30m",
    TRUE, "5. &gt;= 30m"
),"6. Invalid (Order rejected)")</f>
        <v>5. &gt;= 30m</v>
      </c>
    </row>
    <row r="1029" spans="1:30" x14ac:dyDescent="0.3">
      <c r="A1029" t="s">
        <v>6259</v>
      </c>
      <c r="B1029" t="s">
        <v>1345</v>
      </c>
      <c r="C1029">
        <v>42787717</v>
      </c>
      <c r="D1029">
        <v>4306463</v>
      </c>
      <c r="E1029" t="s">
        <v>25</v>
      </c>
      <c r="F1029" t="s">
        <v>75</v>
      </c>
      <c r="G1029" t="s">
        <v>360</v>
      </c>
      <c r="H1029" t="s">
        <v>6260</v>
      </c>
      <c r="I1029" t="s">
        <v>1509</v>
      </c>
      <c r="J1029" t="s">
        <v>6261</v>
      </c>
      <c r="K1029" t="s">
        <v>26</v>
      </c>
      <c r="L1029" t="s">
        <v>25</v>
      </c>
      <c r="M1029" t="s">
        <v>25</v>
      </c>
      <c r="N1029" t="s">
        <v>1467</v>
      </c>
      <c r="O1029" t="s">
        <v>1468</v>
      </c>
      <c r="P1029" t="s">
        <v>1469</v>
      </c>
      <c r="Q1029" t="s">
        <v>1470</v>
      </c>
      <c r="R1029">
        <v>385452</v>
      </c>
      <c r="S1029">
        <v>316392</v>
      </c>
      <c r="T1029">
        <v>69060</v>
      </c>
      <c r="U1029" t="s">
        <v>35</v>
      </c>
      <c r="V1029" t="s">
        <v>1471</v>
      </c>
      <c r="W1029" t="s">
        <v>1472</v>
      </c>
      <c r="X1029" s="4">
        <v>1</v>
      </c>
      <c r="Y1029" s="4"/>
      <c r="Z1029">
        <f t="shared" si="64"/>
        <v>7</v>
      </c>
      <c r="AA1029">
        <f t="shared" si="65"/>
        <v>16</v>
      </c>
      <c r="AB1029" s="5">
        <f t="shared" si="66"/>
        <v>0.29458333333604969</v>
      </c>
      <c r="AC1029" s="3" t="str">
        <f t="shared" si="67"/>
        <v>Order rejected, no time available</v>
      </c>
      <c r="AD1029" t="str" cm="1">
        <f t="array" ref="AD1029">IFERROR(_xlfn.IFS(
    AC1029="", "",
    AC1029*86400 &lt; 30, "1. 0s - &lt;30s",
    AC1029*86400 &lt; 60, "2. 30s - &lt;1m",
    AC1029*86400 &lt; 300, "3. 1m - &lt;5m",
    AC1029*86400 &lt; 1800, "4. 5m - &lt;30m",
    TRUE, "5. &gt;= 30m"
),"6. Invalid (Order rejected)")</f>
        <v>6. Invalid (Order rejected)</v>
      </c>
    </row>
    <row r="1030" spans="1:30" hidden="1" x14ac:dyDescent="0.3">
      <c r="A1030" t="s">
        <v>6262</v>
      </c>
      <c r="B1030" t="s">
        <v>1345</v>
      </c>
      <c r="C1030">
        <v>42787717</v>
      </c>
      <c r="D1030">
        <v>0</v>
      </c>
      <c r="E1030" t="s">
        <v>25</v>
      </c>
      <c r="F1030" t="s">
        <v>26</v>
      </c>
      <c r="G1030" t="s">
        <v>27</v>
      </c>
      <c r="H1030" t="s">
        <v>6263</v>
      </c>
      <c r="I1030" t="s">
        <v>6264</v>
      </c>
      <c r="J1030" t="s">
        <v>26</v>
      </c>
      <c r="K1030" t="s">
        <v>26</v>
      </c>
      <c r="L1030" t="s">
        <v>6265</v>
      </c>
      <c r="M1030" t="s">
        <v>25</v>
      </c>
      <c r="N1030" t="s">
        <v>1447</v>
      </c>
      <c r="O1030" t="s">
        <v>1448</v>
      </c>
      <c r="P1030" t="s">
        <v>6266</v>
      </c>
      <c r="Q1030" t="s">
        <v>6267</v>
      </c>
      <c r="R1030">
        <v>134676</v>
      </c>
      <c r="S1030">
        <v>0</v>
      </c>
      <c r="T1030">
        <v>134676</v>
      </c>
      <c r="U1030" t="s">
        <v>35</v>
      </c>
      <c r="V1030" t="s">
        <v>1451</v>
      </c>
      <c r="W1030" t="s">
        <v>6268</v>
      </c>
      <c r="X1030" s="4">
        <v>1</v>
      </c>
      <c r="Y1030" s="4"/>
      <c r="Z1030">
        <f t="shared" si="64"/>
        <v>7</v>
      </c>
      <c r="AA1030">
        <f t="shared" si="65"/>
        <v>16</v>
      </c>
      <c r="AB1030" s="5">
        <f t="shared" si="66"/>
        <v>0.29646990740729962</v>
      </c>
      <c r="AC1030" s="3">
        <f t="shared" si="67"/>
        <v>0.145891203705105</v>
      </c>
      <c r="AD1030" t="str" cm="1">
        <f t="array" ref="AD1030">IFERROR(_xlfn.IFS(
    AC1030="", "",
    AC1030*86400 &lt; 30, "1. 0s - &lt;30s",
    AC1030*86400 &lt; 60, "2. 30s - &lt;1m",
    AC1030*86400 &lt; 300, "3. 1m - &lt;5m",
    AC1030*86400 &lt; 1800, "4. 5m - &lt;30m",
    TRUE, "5. &gt;= 30m"
),"6. Invalid (Order rejected)")</f>
        <v>5. &gt;= 30m</v>
      </c>
    </row>
    <row r="1031" spans="1:30" hidden="1" x14ac:dyDescent="0.3">
      <c r="A1031" t="s">
        <v>6269</v>
      </c>
      <c r="B1031" t="s">
        <v>1345</v>
      </c>
      <c r="C1031">
        <v>42787717</v>
      </c>
      <c r="D1031">
        <v>0</v>
      </c>
      <c r="E1031" t="s">
        <v>25</v>
      </c>
      <c r="F1031" t="s">
        <v>26</v>
      </c>
      <c r="G1031" t="s">
        <v>27</v>
      </c>
      <c r="H1031" t="s">
        <v>6270</v>
      </c>
      <c r="I1031" t="s">
        <v>1407</v>
      </c>
      <c r="J1031" t="s">
        <v>26</v>
      </c>
      <c r="K1031" t="s">
        <v>26</v>
      </c>
      <c r="L1031" t="s">
        <v>1408</v>
      </c>
      <c r="M1031" t="s">
        <v>25</v>
      </c>
      <c r="N1031" t="s">
        <v>1409</v>
      </c>
      <c r="O1031" t="s">
        <v>1410</v>
      </c>
      <c r="P1031" t="s">
        <v>1411</v>
      </c>
      <c r="Q1031" t="s">
        <v>1412</v>
      </c>
      <c r="R1031">
        <v>302184</v>
      </c>
      <c r="S1031">
        <v>0</v>
      </c>
      <c r="T1031">
        <v>302184</v>
      </c>
      <c r="U1031" t="s">
        <v>35</v>
      </c>
      <c r="V1031" t="s">
        <v>1413</v>
      </c>
      <c r="W1031" t="s">
        <v>1414</v>
      </c>
      <c r="X1031" s="4">
        <v>1</v>
      </c>
      <c r="Y1031" s="4"/>
      <c r="Z1031">
        <f t="shared" si="64"/>
        <v>7</v>
      </c>
      <c r="AA1031">
        <f t="shared" si="65"/>
        <v>16</v>
      </c>
      <c r="AB1031" s="5">
        <f t="shared" si="66"/>
        <v>0.28991898147796746</v>
      </c>
      <c r="AC1031" s="3">
        <f t="shared" si="67"/>
        <v>0.14619212963589234</v>
      </c>
      <c r="AD1031" t="str" cm="1">
        <f t="array" ref="AD1031">IFERROR(_xlfn.IFS(
    AC1031="", "",
    AC1031*86400 &lt; 30, "1. 0s - &lt;30s",
    AC1031*86400 &lt; 60, "2. 30s - &lt;1m",
    AC1031*86400 &lt; 300, "3. 1m - &lt;5m",
    AC1031*86400 &lt; 1800, "4. 5m - &lt;30m",
    TRUE, "5. &gt;= 30m"
),"6. Invalid (Order rejected)")</f>
        <v>5. &gt;= 30m</v>
      </c>
    </row>
    <row r="1032" spans="1:30" hidden="1" x14ac:dyDescent="0.3">
      <c r="A1032" t="s">
        <v>6271</v>
      </c>
      <c r="B1032" t="s">
        <v>1345</v>
      </c>
      <c r="C1032">
        <v>42787717</v>
      </c>
      <c r="D1032">
        <v>0</v>
      </c>
      <c r="E1032" t="s">
        <v>25</v>
      </c>
      <c r="F1032" t="s">
        <v>26</v>
      </c>
      <c r="G1032" t="s">
        <v>27</v>
      </c>
      <c r="H1032" t="s">
        <v>6272</v>
      </c>
      <c r="I1032" t="s">
        <v>6264</v>
      </c>
      <c r="J1032" t="s">
        <v>26</v>
      </c>
      <c r="K1032" t="s">
        <v>26</v>
      </c>
      <c r="L1032" t="s">
        <v>6265</v>
      </c>
      <c r="M1032" t="s">
        <v>25</v>
      </c>
      <c r="N1032" t="s">
        <v>1447</v>
      </c>
      <c r="O1032" t="s">
        <v>1448</v>
      </c>
      <c r="P1032" t="s">
        <v>1491</v>
      </c>
      <c r="Q1032" t="s">
        <v>1492</v>
      </c>
      <c r="R1032">
        <v>196128</v>
      </c>
      <c r="S1032">
        <v>0</v>
      </c>
      <c r="T1032">
        <v>196128</v>
      </c>
      <c r="U1032" t="s">
        <v>35</v>
      </c>
      <c r="V1032" t="s">
        <v>1451</v>
      </c>
      <c r="W1032" t="s">
        <v>1493</v>
      </c>
      <c r="X1032" s="4">
        <v>1</v>
      </c>
      <c r="Y1032" s="4"/>
      <c r="Z1032">
        <f t="shared" si="64"/>
        <v>7</v>
      </c>
      <c r="AA1032">
        <f t="shared" si="65"/>
        <v>16</v>
      </c>
      <c r="AB1032" s="5">
        <f t="shared" si="66"/>
        <v>0.29622685185313458</v>
      </c>
      <c r="AC1032" s="3">
        <f t="shared" si="67"/>
        <v>0.14613425925927004</v>
      </c>
      <c r="AD1032" t="str" cm="1">
        <f t="array" ref="AD1032">IFERROR(_xlfn.IFS(
    AC1032="", "",
    AC1032*86400 &lt; 30, "1. 0s - &lt;30s",
    AC1032*86400 &lt; 60, "2. 30s - &lt;1m",
    AC1032*86400 &lt; 300, "3. 1m - &lt;5m",
    AC1032*86400 &lt; 1800, "4. 5m - &lt;30m",
    TRUE, "5. &gt;= 30m"
),"6. Invalid (Order rejected)")</f>
        <v>5. &gt;= 30m</v>
      </c>
    </row>
    <row r="1033" spans="1:30" hidden="1" x14ac:dyDescent="0.3">
      <c r="A1033" t="s">
        <v>6273</v>
      </c>
      <c r="B1033" t="s">
        <v>1345</v>
      </c>
      <c r="C1033">
        <v>42787717</v>
      </c>
      <c r="D1033">
        <v>0</v>
      </c>
      <c r="E1033" t="s">
        <v>25</v>
      </c>
      <c r="F1033" t="s">
        <v>26</v>
      </c>
      <c r="G1033" t="s">
        <v>27</v>
      </c>
      <c r="H1033" t="s">
        <v>6274</v>
      </c>
      <c r="I1033" t="s">
        <v>1616</v>
      </c>
      <c r="J1033" t="s">
        <v>26</v>
      </c>
      <c r="K1033" t="s">
        <v>26</v>
      </c>
      <c r="L1033" t="s">
        <v>6275</v>
      </c>
      <c r="M1033" t="s">
        <v>25</v>
      </c>
      <c r="N1033" t="s">
        <v>6276</v>
      </c>
      <c r="O1033" t="s">
        <v>6277</v>
      </c>
      <c r="P1033" t="s">
        <v>6278</v>
      </c>
      <c r="Q1033" t="s">
        <v>6279</v>
      </c>
      <c r="R1033">
        <v>131328</v>
      </c>
      <c r="S1033">
        <v>0</v>
      </c>
      <c r="T1033">
        <v>131328</v>
      </c>
      <c r="U1033" t="s">
        <v>35</v>
      </c>
      <c r="V1033" t="s">
        <v>6280</v>
      </c>
      <c r="W1033" t="s">
        <v>6281</v>
      </c>
      <c r="X1033" s="4">
        <v>1</v>
      </c>
      <c r="Y1033" s="4"/>
      <c r="Z1033">
        <f t="shared" si="64"/>
        <v>7</v>
      </c>
      <c r="AA1033">
        <f t="shared" si="65"/>
        <v>16</v>
      </c>
      <c r="AB1033" s="5">
        <f t="shared" si="66"/>
        <v>0.29887731481721858</v>
      </c>
      <c r="AC1033" s="3">
        <f t="shared" si="67"/>
        <v>0.14627314814424608</v>
      </c>
      <c r="AD1033" t="str" cm="1">
        <f t="array" ref="AD1033">IFERROR(_xlfn.IFS(
    AC1033="", "",
    AC1033*86400 &lt; 30, "1. 0s - &lt;30s",
    AC1033*86400 &lt; 60, "2. 30s - &lt;1m",
    AC1033*86400 &lt; 300, "3. 1m - &lt;5m",
    AC1033*86400 &lt; 1800, "4. 5m - &lt;30m",
    TRUE, "5. &gt;= 30m"
),"6. Invalid (Order rejected)")</f>
        <v>5. &gt;= 30m</v>
      </c>
    </row>
    <row r="1034" spans="1:30" hidden="1" x14ac:dyDescent="0.3">
      <c r="A1034" t="s">
        <v>6282</v>
      </c>
      <c r="B1034" t="s">
        <v>1345</v>
      </c>
      <c r="C1034">
        <v>42787717</v>
      </c>
      <c r="D1034">
        <v>0</v>
      </c>
      <c r="E1034" t="s">
        <v>25</v>
      </c>
      <c r="F1034" t="s">
        <v>26</v>
      </c>
      <c r="G1034" t="s">
        <v>27</v>
      </c>
      <c r="H1034" t="s">
        <v>6283</v>
      </c>
      <c r="I1034" t="s">
        <v>1545</v>
      </c>
      <c r="J1034" t="s">
        <v>26</v>
      </c>
      <c r="K1034" t="s">
        <v>26</v>
      </c>
      <c r="L1034" t="s">
        <v>6284</v>
      </c>
      <c r="M1034" t="s">
        <v>25</v>
      </c>
      <c r="N1034" t="s">
        <v>1481</v>
      </c>
      <c r="O1034" t="s">
        <v>1482</v>
      </c>
      <c r="P1034" t="s">
        <v>342</v>
      </c>
      <c r="Q1034" t="s">
        <v>343</v>
      </c>
      <c r="R1034">
        <v>154008</v>
      </c>
      <c r="S1034">
        <v>0</v>
      </c>
      <c r="T1034">
        <v>154008</v>
      </c>
      <c r="U1034" t="s">
        <v>35</v>
      </c>
      <c r="V1034" t="s">
        <v>1485</v>
      </c>
      <c r="W1034" t="s">
        <v>344</v>
      </c>
      <c r="X1034" s="4">
        <v>1</v>
      </c>
      <c r="Y1034" s="4"/>
      <c r="Z1034">
        <f t="shared" si="64"/>
        <v>7</v>
      </c>
      <c r="AA1034">
        <f t="shared" si="65"/>
        <v>16</v>
      </c>
      <c r="AB1034" s="5">
        <f t="shared" si="66"/>
        <v>0.30000000000291038</v>
      </c>
      <c r="AC1034" s="3">
        <f t="shared" si="67"/>
        <v>0.17916666666133096</v>
      </c>
      <c r="AD1034" t="str" cm="1">
        <f t="array" ref="AD1034">IFERROR(_xlfn.IFS(
    AC1034="", "",
    AC1034*86400 &lt; 30, "1. 0s - &lt;30s",
    AC1034*86400 &lt; 60, "2. 30s - &lt;1m",
    AC1034*86400 &lt; 300, "3. 1m - &lt;5m",
    AC1034*86400 &lt; 1800, "4. 5m - &lt;30m",
    TRUE, "5. &gt;= 30m"
),"6. Invalid (Order rejected)")</f>
        <v>5. &gt;= 30m</v>
      </c>
    </row>
    <row r="1035" spans="1:30" hidden="1" x14ac:dyDescent="0.3">
      <c r="A1035" t="s">
        <v>6285</v>
      </c>
      <c r="B1035" t="s">
        <v>1345</v>
      </c>
      <c r="C1035">
        <v>42787717</v>
      </c>
      <c r="D1035">
        <v>0</v>
      </c>
      <c r="E1035" t="s">
        <v>25</v>
      </c>
      <c r="F1035" t="s">
        <v>26</v>
      </c>
      <c r="G1035" t="s">
        <v>27</v>
      </c>
      <c r="H1035" t="s">
        <v>6286</v>
      </c>
      <c r="I1035" t="s">
        <v>1444</v>
      </c>
      <c r="J1035" t="s">
        <v>26</v>
      </c>
      <c r="K1035" t="s">
        <v>26</v>
      </c>
      <c r="L1035" t="s">
        <v>6287</v>
      </c>
      <c r="M1035" t="s">
        <v>25</v>
      </c>
      <c r="N1035" t="s">
        <v>1501</v>
      </c>
      <c r="O1035" t="s">
        <v>1502</v>
      </c>
      <c r="P1035" t="s">
        <v>1503</v>
      </c>
      <c r="Q1035" t="s">
        <v>1504</v>
      </c>
      <c r="R1035">
        <v>140724</v>
      </c>
      <c r="S1035">
        <v>0</v>
      </c>
      <c r="T1035">
        <v>140724</v>
      </c>
      <c r="U1035" t="s">
        <v>35</v>
      </c>
      <c r="V1035" t="s">
        <v>1505</v>
      </c>
      <c r="W1035" t="s">
        <v>1506</v>
      </c>
      <c r="X1035" s="4">
        <v>1</v>
      </c>
      <c r="Y1035" s="4"/>
      <c r="Z1035">
        <f t="shared" si="64"/>
        <v>7</v>
      </c>
      <c r="AA1035">
        <f t="shared" si="65"/>
        <v>16</v>
      </c>
      <c r="AB1035" s="5">
        <f t="shared" si="66"/>
        <v>0.30222222222073469</v>
      </c>
      <c r="AC1035" s="3">
        <f t="shared" si="67"/>
        <v>0.18250000000261934</v>
      </c>
      <c r="AD1035" t="str" cm="1">
        <f t="array" ref="AD1035">IFERROR(_xlfn.IFS(
    AC1035="", "",
    AC1035*86400 &lt; 30, "1. 0s - &lt;30s",
    AC1035*86400 &lt; 60, "2. 30s - &lt;1m",
    AC1035*86400 &lt; 300, "3. 1m - &lt;5m",
    AC1035*86400 &lt; 1800, "4. 5m - &lt;30m",
    TRUE, "5. &gt;= 30m"
),"6. Invalid (Order rejected)")</f>
        <v>5. &gt;= 30m</v>
      </c>
    </row>
    <row r="1036" spans="1:30" x14ac:dyDescent="0.3">
      <c r="A1036" t="s">
        <v>6288</v>
      </c>
      <c r="B1036" t="s">
        <v>1345</v>
      </c>
      <c r="C1036">
        <v>42787717</v>
      </c>
      <c r="D1036">
        <v>2178671</v>
      </c>
      <c r="E1036" t="s">
        <v>25</v>
      </c>
      <c r="F1036" t="s">
        <v>75</v>
      </c>
      <c r="G1036" t="s">
        <v>360</v>
      </c>
      <c r="H1036" t="s">
        <v>6289</v>
      </c>
      <c r="I1036" t="s">
        <v>6290</v>
      </c>
      <c r="J1036" t="s">
        <v>6291</v>
      </c>
      <c r="K1036" t="s">
        <v>6292</v>
      </c>
      <c r="L1036" t="s">
        <v>25</v>
      </c>
      <c r="M1036" t="s">
        <v>25</v>
      </c>
      <c r="N1036" t="s">
        <v>1501</v>
      </c>
      <c r="O1036" t="s">
        <v>1502</v>
      </c>
      <c r="P1036" t="s">
        <v>6293</v>
      </c>
      <c r="Q1036" t="s">
        <v>6294</v>
      </c>
      <c r="R1036">
        <v>164808</v>
      </c>
      <c r="S1036">
        <v>127764</v>
      </c>
      <c r="T1036">
        <v>37044</v>
      </c>
      <c r="U1036" t="s">
        <v>35</v>
      </c>
      <c r="V1036" t="s">
        <v>1505</v>
      </c>
      <c r="W1036" t="s">
        <v>6295</v>
      </c>
      <c r="X1036" s="4">
        <v>1</v>
      </c>
      <c r="Y1036" s="4"/>
      <c r="Z1036">
        <f t="shared" si="64"/>
        <v>7</v>
      </c>
      <c r="AA1036">
        <f t="shared" si="65"/>
        <v>16</v>
      </c>
      <c r="AB1036" s="5">
        <f t="shared" si="66"/>
        <v>0.30346064814511919</v>
      </c>
      <c r="AC1036" s="3" t="str">
        <f t="shared" si="67"/>
        <v>Order rejected, no time available</v>
      </c>
      <c r="AD1036" t="str" cm="1">
        <f t="array" ref="AD1036">IFERROR(_xlfn.IFS(
    AC1036="", "",
    AC1036*86400 &lt; 30, "1. 0s - &lt;30s",
    AC1036*86400 &lt; 60, "2. 30s - &lt;1m",
    AC1036*86400 &lt; 300, "3. 1m - &lt;5m",
    AC1036*86400 &lt; 1800, "4. 5m - &lt;30m",
    TRUE, "5. &gt;= 30m"
),"6. Invalid (Order rejected)")</f>
        <v>6. Invalid (Order rejected)</v>
      </c>
    </row>
    <row r="1037" spans="1:30" hidden="1" x14ac:dyDescent="0.3">
      <c r="A1037" t="s">
        <v>6296</v>
      </c>
      <c r="B1037" t="s">
        <v>1345</v>
      </c>
      <c r="C1037">
        <v>42787717</v>
      </c>
      <c r="D1037">
        <v>3621789</v>
      </c>
      <c r="E1037" t="s">
        <v>25</v>
      </c>
      <c r="F1037" t="s">
        <v>75</v>
      </c>
      <c r="G1037" t="s">
        <v>76</v>
      </c>
      <c r="H1037" t="s">
        <v>6297</v>
      </c>
      <c r="I1037" t="s">
        <v>6298</v>
      </c>
      <c r="J1037" t="s">
        <v>6299</v>
      </c>
      <c r="K1037" t="s">
        <v>6300</v>
      </c>
      <c r="L1037" t="s">
        <v>6301</v>
      </c>
      <c r="M1037" t="s">
        <v>25</v>
      </c>
      <c r="N1037" t="s">
        <v>6276</v>
      </c>
      <c r="O1037" t="s">
        <v>6277</v>
      </c>
      <c r="P1037" t="s">
        <v>6278</v>
      </c>
      <c r="Q1037" t="s">
        <v>6279</v>
      </c>
      <c r="R1037">
        <v>183816</v>
      </c>
      <c r="S1037">
        <v>142500</v>
      </c>
      <c r="T1037">
        <v>41316</v>
      </c>
      <c r="U1037" t="s">
        <v>35</v>
      </c>
      <c r="V1037" t="s">
        <v>6280</v>
      </c>
      <c r="W1037" t="s">
        <v>6281</v>
      </c>
      <c r="X1037" s="4">
        <v>1</v>
      </c>
      <c r="Y1037" s="4"/>
      <c r="Z1037">
        <f t="shared" si="64"/>
        <v>7</v>
      </c>
      <c r="AA1037">
        <f t="shared" si="65"/>
        <v>16</v>
      </c>
      <c r="AB1037" s="5">
        <f t="shared" si="66"/>
        <v>0.29908564814832062</v>
      </c>
      <c r="AC1037" s="3">
        <f t="shared" si="67"/>
        <v>0.10958333333110204</v>
      </c>
      <c r="AD1037" t="str" cm="1">
        <f t="array" ref="AD1037">IFERROR(_xlfn.IFS(
    AC1037="", "",
    AC1037*86400 &lt; 30, "1. 0s - &lt;30s",
    AC1037*86400 &lt; 60, "2. 30s - &lt;1m",
    AC1037*86400 &lt; 300, "3. 1m - &lt;5m",
    AC1037*86400 &lt; 1800, "4. 5m - &lt;30m",
    TRUE, "5. &gt;= 30m"
),"6. Invalid (Order rejected)")</f>
        <v>5. &gt;= 30m</v>
      </c>
    </row>
    <row r="1038" spans="1:30" hidden="1" x14ac:dyDescent="0.3">
      <c r="A1038" t="s">
        <v>6302</v>
      </c>
      <c r="B1038" t="s">
        <v>1345</v>
      </c>
      <c r="C1038">
        <v>42787717</v>
      </c>
      <c r="D1038">
        <v>4458430</v>
      </c>
      <c r="E1038" t="s">
        <v>25</v>
      </c>
      <c r="F1038" t="s">
        <v>75</v>
      </c>
      <c r="G1038" t="s">
        <v>76</v>
      </c>
      <c r="H1038" t="s">
        <v>6303</v>
      </c>
      <c r="I1038" t="s">
        <v>6304</v>
      </c>
      <c r="J1038" t="s">
        <v>6305</v>
      </c>
      <c r="K1038" t="s">
        <v>26</v>
      </c>
      <c r="L1038" t="s">
        <v>6306</v>
      </c>
      <c r="M1038" t="s">
        <v>25</v>
      </c>
      <c r="N1038" t="s">
        <v>1269</v>
      </c>
      <c r="O1038" t="s">
        <v>1270</v>
      </c>
      <c r="P1038" t="s">
        <v>6307</v>
      </c>
      <c r="Q1038" t="s">
        <v>6308</v>
      </c>
      <c r="R1038">
        <v>183816</v>
      </c>
      <c r="S1038">
        <v>142500</v>
      </c>
      <c r="T1038">
        <v>41316</v>
      </c>
      <c r="U1038" t="s">
        <v>35</v>
      </c>
      <c r="V1038" t="s">
        <v>1271</v>
      </c>
      <c r="W1038" t="s">
        <v>1528</v>
      </c>
      <c r="X1038" s="4">
        <v>1</v>
      </c>
      <c r="Y1038" s="4"/>
      <c r="Z1038">
        <f t="shared" si="64"/>
        <v>7</v>
      </c>
      <c r="AA1038">
        <f t="shared" si="65"/>
        <v>16</v>
      </c>
      <c r="AB1038" s="5">
        <f t="shared" si="66"/>
        <v>0.30760416666453239</v>
      </c>
      <c r="AC1038" s="3">
        <f t="shared" si="67"/>
        <v>4.8599537039990537E-2</v>
      </c>
      <c r="AD1038" t="str" cm="1">
        <f t="array" ref="AD1038">IFERROR(_xlfn.IFS(
    AC1038="", "",
    AC1038*86400 &lt; 30, "1. 0s - &lt;30s",
    AC1038*86400 &lt; 60, "2. 30s - &lt;1m",
    AC1038*86400 &lt; 300, "3. 1m - &lt;5m",
    AC1038*86400 &lt; 1800, "4. 5m - &lt;30m",
    TRUE, "5. &gt;= 30m"
),"6. Invalid (Order rejected)")</f>
        <v>5. &gt;= 30m</v>
      </c>
    </row>
    <row r="1039" spans="1:30" hidden="1" x14ac:dyDescent="0.3">
      <c r="A1039" t="s">
        <v>6309</v>
      </c>
      <c r="B1039" t="s">
        <v>1345</v>
      </c>
      <c r="C1039">
        <v>42787717</v>
      </c>
      <c r="D1039">
        <v>0</v>
      </c>
      <c r="E1039" t="s">
        <v>25</v>
      </c>
      <c r="F1039" t="s">
        <v>26</v>
      </c>
      <c r="G1039" t="s">
        <v>27</v>
      </c>
      <c r="H1039" t="s">
        <v>6310</v>
      </c>
      <c r="I1039" t="s">
        <v>6311</v>
      </c>
      <c r="J1039" t="s">
        <v>26</v>
      </c>
      <c r="K1039" t="s">
        <v>26</v>
      </c>
      <c r="L1039" t="s">
        <v>6312</v>
      </c>
      <c r="M1039" t="s">
        <v>25</v>
      </c>
      <c r="N1039" t="s">
        <v>6276</v>
      </c>
      <c r="O1039" t="s">
        <v>6277</v>
      </c>
      <c r="P1039" t="s">
        <v>6313</v>
      </c>
      <c r="Q1039" t="s">
        <v>6314</v>
      </c>
      <c r="R1039">
        <v>147960</v>
      </c>
      <c r="S1039">
        <v>0</v>
      </c>
      <c r="T1039">
        <v>147960</v>
      </c>
      <c r="U1039" t="s">
        <v>35</v>
      </c>
      <c r="V1039" t="s">
        <v>6280</v>
      </c>
      <c r="W1039" t="s">
        <v>6315</v>
      </c>
      <c r="X1039" s="4">
        <v>1</v>
      </c>
      <c r="Y1039" s="4"/>
      <c r="Z1039">
        <f t="shared" si="64"/>
        <v>7</v>
      </c>
      <c r="AA1039">
        <f t="shared" si="65"/>
        <v>16</v>
      </c>
      <c r="AB1039" s="5">
        <f t="shared" si="66"/>
        <v>0.29820601851679385</v>
      </c>
      <c r="AC1039" s="3">
        <f t="shared" si="67"/>
        <v>0.14554398148175096</v>
      </c>
      <c r="AD1039" t="str" cm="1">
        <f t="array" ref="AD1039">IFERROR(_xlfn.IFS(
    AC1039="", "",
    AC1039*86400 &lt; 30, "1. 0s - &lt;30s",
    AC1039*86400 &lt; 60, "2. 30s - &lt;1m",
    AC1039*86400 &lt; 300, "3. 1m - &lt;5m",
    AC1039*86400 &lt; 1800, "4. 5m - &lt;30m",
    TRUE, "5. &gt;= 30m"
),"6. Invalid (Order rejected)")</f>
        <v>5. &gt;= 30m</v>
      </c>
    </row>
    <row r="1040" spans="1:30" hidden="1" x14ac:dyDescent="0.3">
      <c r="A1040" t="s">
        <v>6316</v>
      </c>
      <c r="B1040" t="s">
        <v>1345</v>
      </c>
      <c r="C1040">
        <v>42787717</v>
      </c>
      <c r="D1040">
        <v>0</v>
      </c>
      <c r="E1040" t="s">
        <v>25</v>
      </c>
      <c r="F1040" t="s">
        <v>26</v>
      </c>
      <c r="G1040" t="s">
        <v>27</v>
      </c>
      <c r="H1040" t="s">
        <v>6317</v>
      </c>
      <c r="I1040" t="s">
        <v>6290</v>
      </c>
      <c r="J1040" t="s">
        <v>26</v>
      </c>
      <c r="K1040" t="s">
        <v>26</v>
      </c>
      <c r="L1040" t="s">
        <v>6318</v>
      </c>
      <c r="M1040" t="s">
        <v>25</v>
      </c>
      <c r="N1040" t="s">
        <v>1501</v>
      </c>
      <c r="O1040" t="s">
        <v>1502</v>
      </c>
      <c r="P1040" t="s">
        <v>6293</v>
      </c>
      <c r="Q1040" t="s">
        <v>6294</v>
      </c>
      <c r="R1040">
        <v>128520</v>
      </c>
      <c r="S1040">
        <v>0</v>
      </c>
      <c r="T1040">
        <v>128520</v>
      </c>
      <c r="U1040" t="s">
        <v>35</v>
      </c>
      <c r="V1040" t="s">
        <v>1505</v>
      </c>
      <c r="W1040" t="s">
        <v>6295</v>
      </c>
      <c r="X1040" s="4">
        <v>1</v>
      </c>
      <c r="Y1040" s="4"/>
      <c r="Z1040">
        <f t="shared" si="64"/>
        <v>7</v>
      </c>
      <c r="AA1040">
        <f t="shared" si="65"/>
        <v>16</v>
      </c>
      <c r="AB1040" s="5">
        <f t="shared" si="66"/>
        <v>0.3032407407372375</v>
      </c>
      <c r="AC1040" s="3">
        <f t="shared" si="67"/>
        <v>0.14606481482042</v>
      </c>
      <c r="AD1040" t="str" cm="1">
        <f t="array" ref="AD1040">IFERROR(_xlfn.IFS(
    AC1040="", "",
    AC1040*86400 &lt; 30, "1. 0s - &lt;30s",
    AC1040*86400 &lt; 60, "2. 30s - &lt;1m",
    AC1040*86400 &lt; 300, "3. 1m - &lt;5m",
    AC1040*86400 &lt; 1800, "4. 5m - &lt;30m",
    TRUE, "5. &gt;= 30m"
),"6. Invalid (Order rejected)")</f>
        <v>5. &gt;= 30m</v>
      </c>
    </row>
    <row r="1041" spans="1:30" hidden="1" x14ac:dyDescent="0.3">
      <c r="A1041" t="s">
        <v>6319</v>
      </c>
      <c r="B1041" t="s">
        <v>1345</v>
      </c>
      <c r="C1041">
        <v>42787717</v>
      </c>
      <c r="D1041">
        <v>4020532</v>
      </c>
      <c r="E1041" t="s">
        <v>25</v>
      </c>
      <c r="F1041" t="s">
        <v>75</v>
      </c>
      <c r="G1041" t="s">
        <v>76</v>
      </c>
      <c r="H1041" t="s">
        <v>6320</v>
      </c>
      <c r="I1041" t="s">
        <v>6321</v>
      </c>
      <c r="J1041" t="s">
        <v>6322</v>
      </c>
      <c r="K1041" t="s">
        <v>6323</v>
      </c>
      <c r="L1041" t="s">
        <v>6324</v>
      </c>
      <c r="M1041" t="s">
        <v>25</v>
      </c>
      <c r="N1041" t="s">
        <v>6276</v>
      </c>
      <c r="O1041" t="s">
        <v>6277</v>
      </c>
      <c r="P1041" t="s">
        <v>6325</v>
      </c>
      <c r="Q1041" t="s">
        <v>6326</v>
      </c>
      <c r="R1041">
        <v>198720</v>
      </c>
      <c r="S1041">
        <v>154054</v>
      </c>
      <c r="T1041">
        <v>44666</v>
      </c>
      <c r="U1041" t="s">
        <v>35</v>
      </c>
      <c r="V1041" t="s">
        <v>6280</v>
      </c>
      <c r="W1041" t="s">
        <v>6327</v>
      </c>
      <c r="X1041" s="4">
        <v>1</v>
      </c>
      <c r="Y1041" s="4"/>
      <c r="Z1041">
        <f t="shared" si="64"/>
        <v>7</v>
      </c>
      <c r="AA1041">
        <f t="shared" si="65"/>
        <v>16</v>
      </c>
      <c r="AB1041" s="5">
        <f t="shared" si="66"/>
        <v>0.29850694444758119</v>
      </c>
      <c r="AC1041" s="3">
        <f t="shared" si="67"/>
        <v>0.15032407407124992</v>
      </c>
      <c r="AD1041" t="str" cm="1">
        <f t="array" ref="AD1041">IFERROR(_xlfn.IFS(
    AC1041="", "",
    AC1041*86400 &lt; 30, "1. 0s - &lt;30s",
    AC1041*86400 &lt; 60, "2. 30s - &lt;1m",
    AC1041*86400 &lt; 300, "3. 1m - &lt;5m",
    AC1041*86400 &lt; 1800, "4. 5m - &lt;30m",
    TRUE, "5. &gt;= 30m"
),"6. Invalid (Order rejected)")</f>
        <v>5. &gt;= 30m</v>
      </c>
    </row>
    <row r="1042" spans="1:30" x14ac:dyDescent="0.3">
      <c r="A1042" t="s">
        <v>6328</v>
      </c>
      <c r="B1042" t="s">
        <v>1345</v>
      </c>
      <c r="C1042">
        <v>42787717</v>
      </c>
      <c r="D1042">
        <v>4561747</v>
      </c>
      <c r="E1042" t="s">
        <v>25</v>
      </c>
      <c r="F1042" t="s">
        <v>75</v>
      </c>
      <c r="G1042" t="s">
        <v>360</v>
      </c>
      <c r="H1042" t="s">
        <v>6329</v>
      </c>
      <c r="I1042" t="s">
        <v>6330</v>
      </c>
      <c r="J1042" t="s">
        <v>6331</v>
      </c>
      <c r="K1042" t="s">
        <v>26</v>
      </c>
      <c r="L1042" t="s">
        <v>25</v>
      </c>
      <c r="M1042" t="s">
        <v>25</v>
      </c>
      <c r="N1042" t="s">
        <v>1501</v>
      </c>
      <c r="O1042" t="s">
        <v>1502</v>
      </c>
      <c r="P1042" t="s">
        <v>1540</v>
      </c>
      <c r="Q1042" t="s">
        <v>1541</v>
      </c>
      <c r="R1042">
        <v>259308</v>
      </c>
      <c r="S1042">
        <v>201024</v>
      </c>
      <c r="T1042">
        <v>58284</v>
      </c>
      <c r="U1042" t="s">
        <v>35</v>
      </c>
      <c r="V1042" t="s">
        <v>1505</v>
      </c>
      <c r="W1042" t="s">
        <v>1542</v>
      </c>
      <c r="X1042" s="4">
        <v>1</v>
      </c>
      <c r="Y1042" s="4"/>
      <c r="Z1042">
        <f t="shared" si="64"/>
        <v>7</v>
      </c>
      <c r="AA1042">
        <f t="shared" si="65"/>
        <v>16</v>
      </c>
      <c r="AB1042" s="5">
        <f t="shared" si="66"/>
        <v>0.30423611111473292</v>
      </c>
      <c r="AC1042" s="3" t="str">
        <f t="shared" si="67"/>
        <v>Order rejected, no time available</v>
      </c>
      <c r="AD1042" t="str" cm="1">
        <f t="array" ref="AD1042">IFERROR(_xlfn.IFS(
    AC1042="", "",
    AC1042*86400 &lt; 30, "1. 0s - &lt;30s",
    AC1042*86400 &lt; 60, "2. 30s - &lt;1m",
    AC1042*86400 &lt; 300, "3. 1m - &lt;5m",
    AC1042*86400 &lt; 1800, "4. 5m - &lt;30m",
    TRUE, "5. &gt;= 30m"
),"6. Invalid (Order rejected)")</f>
        <v>6. Invalid (Order rejected)</v>
      </c>
    </row>
    <row r="1043" spans="1:30" hidden="1" x14ac:dyDescent="0.3">
      <c r="A1043" t="s">
        <v>6332</v>
      </c>
      <c r="B1043" t="s">
        <v>1345</v>
      </c>
      <c r="C1043">
        <v>42787717</v>
      </c>
      <c r="D1043">
        <v>0</v>
      </c>
      <c r="E1043" t="s">
        <v>25</v>
      </c>
      <c r="F1043" t="s">
        <v>26</v>
      </c>
      <c r="G1043" t="s">
        <v>27</v>
      </c>
      <c r="H1043" t="s">
        <v>6333</v>
      </c>
      <c r="I1043" t="s">
        <v>6334</v>
      </c>
      <c r="J1043" t="s">
        <v>26</v>
      </c>
      <c r="K1043" t="s">
        <v>26</v>
      </c>
      <c r="L1043" t="s">
        <v>6335</v>
      </c>
      <c r="M1043" t="s">
        <v>25</v>
      </c>
      <c r="N1043" t="s">
        <v>1269</v>
      </c>
      <c r="O1043" t="s">
        <v>1270</v>
      </c>
      <c r="P1043" t="s">
        <v>6336</v>
      </c>
      <c r="Q1043" t="s">
        <v>6337</v>
      </c>
      <c r="R1043">
        <v>274212</v>
      </c>
      <c r="S1043">
        <v>0</v>
      </c>
      <c r="T1043">
        <v>274212</v>
      </c>
      <c r="U1043" t="s">
        <v>35</v>
      </c>
      <c r="V1043" t="s">
        <v>1271</v>
      </c>
      <c r="W1043" t="s">
        <v>6338</v>
      </c>
      <c r="X1043" s="4">
        <v>1</v>
      </c>
      <c r="Y1043" s="4"/>
      <c r="Z1043">
        <f t="shared" si="64"/>
        <v>7</v>
      </c>
      <c r="AA1043">
        <f t="shared" si="65"/>
        <v>16</v>
      </c>
      <c r="AB1043" s="5">
        <f t="shared" si="66"/>
        <v>0.30667824074043892</v>
      </c>
      <c r="AC1043" s="3">
        <f t="shared" si="67"/>
        <v>0.14609953703620704</v>
      </c>
      <c r="AD1043" t="str" cm="1">
        <f t="array" ref="AD1043">IFERROR(_xlfn.IFS(
    AC1043="", "",
    AC1043*86400 &lt; 30, "1. 0s - &lt;30s",
    AC1043*86400 &lt; 60, "2. 30s - &lt;1m",
    AC1043*86400 &lt; 300, "3. 1m - &lt;5m",
    AC1043*86400 &lt; 1800, "4. 5m - &lt;30m",
    TRUE, "5. &gt;= 30m"
),"6. Invalid (Order rejected)")</f>
        <v>5. &gt;= 30m</v>
      </c>
    </row>
    <row r="1044" spans="1:30" hidden="1" x14ac:dyDescent="0.3">
      <c r="A1044" t="s">
        <v>6339</v>
      </c>
      <c r="B1044" t="s">
        <v>1345</v>
      </c>
      <c r="C1044">
        <v>42787717</v>
      </c>
      <c r="D1044">
        <v>0</v>
      </c>
      <c r="E1044" t="s">
        <v>25</v>
      </c>
      <c r="F1044" t="s">
        <v>26</v>
      </c>
      <c r="G1044" t="s">
        <v>27</v>
      </c>
      <c r="H1044" t="s">
        <v>6340</v>
      </c>
      <c r="I1044" t="s">
        <v>6341</v>
      </c>
      <c r="J1044" t="s">
        <v>26</v>
      </c>
      <c r="K1044" t="s">
        <v>26</v>
      </c>
      <c r="L1044" t="s">
        <v>6342</v>
      </c>
      <c r="M1044" t="s">
        <v>25</v>
      </c>
      <c r="N1044" t="s">
        <v>1568</v>
      </c>
      <c r="O1044" t="s">
        <v>1569</v>
      </c>
      <c r="P1044" t="s">
        <v>1392</v>
      </c>
      <c r="Q1044" t="s">
        <v>1393</v>
      </c>
      <c r="R1044">
        <v>228096</v>
      </c>
      <c r="S1044">
        <v>0</v>
      </c>
      <c r="T1044">
        <v>228096</v>
      </c>
      <c r="U1044" t="s">
        <v>35</v>
      </c>
      <c r="V1044" t="s">
        <v>1572</v>
      </c>
      <c r="W1044" t="s">
        <v>1395</v>
      </c>
      <c r="X1044" s="4">
        <v>1</v>
      </c>
      <c r="Y1044" s="4"/>
      <c r="Z1044">
        <f t="shared" si="64"/>
        <v>7</v>
      </c>
      <c r="AA1044">
        <f t="shared" si="65"/>
        <v>16</v>
      </c>
      <c r="AB1044" s="5">
        <f t="shared" si="66"/>
        <v>0.31188657407619758</v>
      </c>
      <c r="AC1044" s="3">
        <f t="shared" si="67"/>
        <v>9.0266203704231884E-2</v>
      </c>
      <c r="AD1044" t="str" cm="1">
        <f t="array" ref="AD1044">IFERROR(_xlfn.IFS(
    AC1044="", "",
    AC1044*86400 &lt; 30, "1. 0s - &lt;30s",
    AC1044*86400 &lt; 60, "2. 30s - &lt;1m",
    AC1044*86400 &lt; 300, "3. 1m - &lt;5m",
    AC1044*86400 &lt; 1800, "4. 5m - &lt;30m",
    TRUE, "5. &gt;= 30m"
),"6. Invalid (Order rejected)")</f>
        <v>5. &gt;= 30m</v>
      </c>
    </row>
    <row r="1045" spans="1:30" hidden="1" x14ac:dyDescent="0.3">
      <c r="A1045" t="s">
        <v>6343</v>
      </c>
      <c r="B1045" t="s">
        <v>1345</v>
      </c>
      <c r="C1045">
        <v>42787717</v>
      </c>
      <c r="D1045">
        <v>0</v>
      </c>
      <c r="E1045" t="s">
        <v>25</v>
      </c>
      <c r="F1045" t="s">
        <v>26</v>
      </c>
      <c r="G1045" t="s">
        <v>27</v>
      </c>
      <c r="H1045" t="s">
        <v>6344</v>
      </c>
      <c r="I1045" t="s">
        <v>6345</v>
      </c>
      <c r="J1045" t="s">
        <v>26</v>
      </c>
      <c r="K1045" t="s">
        <v>26</v>
      </c>
      <c r="L1045" t="s">
        <v>6346</v>
      </c>
      <c r="M1045" t="s">
        <v>25</v>
      </c>
      <c r="N1045" t="s">
        <v>1568</v>
      </c>
      <c r="O1045" t="s">
        <v>1569</v>
      </c>
      <c r="P1045" t="s">
        <v>1392</v>
      </c>
      <c r="Q1045" t="s">
        <v>1393</v>
      </c>
      <c r="R1045">
        <v>319356</v>
      </c>
      <c r="S1045">
        <v>0</v>
      </c>
      <c r="T1045">
        <v>319356</v>
      </c>
      <c r="U1045" t="s">
        <v>35</v>
      </c>
      <c r="V1045" t="s">
        <v>1572</v>
      </c>
      <c r="W1045" t="s">
        <v>1395</v>
      </c>
      <c r="X1045" s="4">
        <v>1</v>
      </c>
      <c r="Y1045" s="4"/>
      <c r="Z1045">
        <f t="shared" si="64"/>
        <v>7</v>
      </c>
      <c r="AA1045">
        <f t="shared" si="65"/>
        <v>16</v>
      </c>
      <c r="AB1045" s="5">
        <f t="shared" si="66"/>
        <v>0.31206018518423662</v>
      </c>
      <c r="AC1045" s="3">
        <f t="shared" si="67"/>
        <v>0.10043981481430819</v>
      </c>
      <c r="AD1045" t="str" cm="1">
        <f t="array" ref="AD1045">IFERROR(_xlfn.IFS(
    AC1045="", "",
    AC1045*86400 &lt; 30, "1. 0s - &lt;30s",
    AC1045*86400 &lt; 60, "2. 30s - &lt;1m",
    AC1045*86400 &lt; 300, "3. 1m - &lt;5m",
    AC1045*86400 &lt; 1800, "4. 5m - &lt;30m",
    TRUE, "5. &gt;= 30m"
),"6. Invalid (Order rejected)")</f>
        <v>5. &gt;= 30m</v>
      </c>
    </row>
    <row r="1046" spans="1:30" hidden="1" x14ac:dyDescent="0.3">
      <c r="A1046" t="s">
        <v>6347</v>
      </c>
      <c r="B1046" t="s">
        <v>1345</v>
      </c>
      <c r="C1046">
        <v>42787717</v>
      </c>
      <c r="D1046">
        <v>0</v>
      </c>
      <c r="E1046" t="s">
        <v>25</v>
      </c>
      <c r="F1046" t="s">
        <v>26</v>
      </c>
      <c r="G1046" t="s">
        <v>27</v>
      </c>
      <c r="H1046" t="s">
        <v>6348</v>
      </c>
      <c r="I1046" t="s">
        <v>1489</v>
      </c>
      <c r="J1046" t="s">
        <v>26</v>
      </c>
      <c r="K1046" t="s">
        <v>26</v>
      </c>
      <c r="L1046" t="s">
        <v>1490</v>
      </c>
      <c r="M1046" t="s">
        <v>25</v>
      </c>
      <c r="N1046" t="s">
        <v>1269</v>
      </c>
      <c r="O1046" t="s">
        <v>1270</v>
      </c>
      <c r="P1046" t="s">
        <v>81</v>
      </c>
      <c r="Q1046" t="s">
        <v>82</v>
      </c>
      <c r="R1046">
        <v>195372</v>
      </c>
      <c r="S1046">
        <v>0</v>
      </c>
      <c r="T1046">
        <v>195372</v>
      </c>
      <c r="U1046" t="s">
        <v>35</v>
      </c>
      <c r="V1046" t="s">
        <v>1271</v>
      </c>
      <c r="W1046" t="s">
        <v>83</v>
      </c>
      <c r="X1046" s="4">
        <v>1</v>
      </c>
      <c r="Y1046" s="4"/>
      <c r="Z1046">
        <f t="shared" si="64"/>
        <v>7</v>
      </c>
      <c r="AA1046">
        <f t="shared" si="65"/>
        <v>16</v>
      </c>
      <c r="AB1046" s="5">
        <f t="shared" si="66"/>
        <v>0.30645833333255723</v>
      </c>
      <c r="AC1046" s="3">
        <f t="shared" si="67"/>
        <v>0.13520833333313931</v>
      </c>
      <c r="AD1046" t="str" cm="1">
        <f t="array" ref="AD1046">IFERROR(_xlfn.IFS(
    AC1046="", "",
    AC1046*86400 &lt; 30, "1. 0s - &lt;30s",
    AC1046*86400 &lt; 60, "2. 30s - &lt;1m",
    AC1046*86400 &lt; 300, "3. 1m - &lt;5m",
    AC1046*86400 &lt; 1800, "4. 5m - &lt;30m",
    TRUE, "5. &gt;= 30m"
),"6. Invalid (Order rejected)")</f>
        <v>5. &gt;= 30m</v>
      </c>
    </row>
    <row r="1047" spans="1:30" hidden="1" x14ac:dyDescent="0.3">
      <c r="A1047" t="s">
        <v>6349</v>
      </c>
      <c r="B1047" t="s">
        <v>1345</v>
      </c>
      <c r="C1047">
        <v>42787717</v>
      </c>
      <c r="D1047">
        <v>0</v>
      </c>
      <c r="E1047" t="s">
        <v>25</v>
      </c>
      <c r="F1047" t="s">
        <v>26</v>
      </c>
      <c r="G1047" t="s">
        <v>27</v>
      </c>
      <c r="H1047" t="s">
        <v>6350</v>
      </c>
      <c r="I1047" t="s">
        <v>6351</v>
      </c>
      <c r="J1047" t="s">
        <v>26</v>
      </c>
      <c r="K1047" t="s">
        <v>26</v>
      </c>
      <c r="L1047" t="s">
        <v>6352</v>
      </c>
      <c r="M1047" t="s">
        <v>25</v>
      </c>
      <c r="N1047" t="s">
        <v>1578</v>
      </c>
      <c r="O1047" t="s">
        <v>1579</v>
      </c>
      <c r="P1047" t="s">
        <v>507</v>
      </c>
      <c r="Q1047" t="s">
        <v>508</v>
      </c>
      <c r="R1047">
        <v>230472</v>
      </c>
      <c r="S1047">
        <v>0</v>
      </c>
      <c r="T1047">
        <v>230472</v>
      </c>
      <c r="U1047" t="s">
        <v>35</v>
      </c>
      <c r="V1047" t="s">
        <v>1580</v>
      </c>
      <c r="W1047" t="s">
        <v>509</v>
      </c>
      <c r="X1047" s="4">
        <v>1</v>
      </c>
      <c r="Y1047" s="4"/>
      <c r="Z1047">
        <f t="shared" si="64"/>
        <v>7</v>
      </c>
      <c r="AA1047">
        <f t="shared" si="65"/>
        <v>16</v>
      </c>
      <c r="AB1047" s="5">
        <f t="shared" si="66"/>
        <v>0.31300925926188938</v>
      </c>
      <c r="AC1047" s="3">
        <f t="shared" si="67"/>
        <v>9.0277777773735579E-2</v>
      </c>
      <c r="AD1047" t="str" cm="1">
        <f t="array" ref="AD1047">IFERROR(_xlfn.IFS(
    AC1047="", "",
    AC1047*86400 &lt; 30, "1. 0s - &lt;30s",
    AC1047*86400 &lt; 60, "2. 30s - &lt;1m",
    AC1047*86400 &lt; 300, "3. 1m - &lt;5m",
    AC1047*86400 &lt; 1800, "4. 5m - &lt;30m",
    TRUE, "5. &gt;= 30m"
),"6. Invalid (Order rejected)")</f>
        <v>5. &gt;= 30m</v>
      </c>
    </row>
    <row r="1048" spans="1:30" hidden="1" x14ac:dyDescent="0.3">
      <c r="A1048" t="s">
        <v>6353</v>
      </c>
      <c r="B1048" t="s">
        <v>1345</v>
      </c>
      <c r="C1048">
        <v>42787717</v>
      </c>
      <c r="D1048">
        <v>0</v>
      </c>
      <c r="E1048" t="s">
        <v>25</v>
      </c>
      <c r="F1048" t="s">
        <v>26</v>
      </c>
      <c r="G1048" t="s">
        <v>27</v>
      </c>
      <c r="H1048" t="s">
        <v>6354</v>
      </c>
      <c r="I1048" t="s">
        <v>1516</v>
      </c>
      <c r="J1048" t="s">
        <v>26</v>
      </c>
      <c r="K1048" t="s">
        <v>26</v>
      </c>
      <c r="L1048" t="s">
        <v>6255</v>
      </c>
      <c r="M1048" t="s">
        <v>25</v>
      </c>
      <c r="N1048" t="s">
        <v>1269</v>
      </c>
      <c r="O1048" t="s">
        <v>1270</v>
      </c>
      <c r="P1048" t="s">
        <v>1511</v>
      </c>
      <c r="Q1048" t="s">
        <v>1512</v>
      </c>
      <c r="R1048">
        <v>186624</v>
      </c>
      <c r="S1048">
        <v>0</v>
      </c>
      <c r="T1048">
        <v>186624</v>
      </c>
      <c r="U1048" t="s">
        <v>35</v>
      </c>
      <c r="V1048" t="s">
        <v>1271</v>
      </c>
      <c r="W1048" t="s">
        <v>1513</v>
      </c>
      <c r="X1048" s="4">
        <v>1</v>
      </c>
      <c r="Y1048" s="4"/>
      <c r="Z1048">
        <f t="shared" si="64"/>
        <v>7</v>
      </c>
      <c r="AA1048">
        <f t="shared" si="65"/>
        <v>16</v>
      </c>
      <c r="AB1048" s="5">
        <f t="shared" si="66"/>
        <v>0.30546296296233777</v>
      </c>
      <c r="AC1048" s="3">
        <f t="shared" si="67"/>
        <v>0.13481481481721858</v>
      </c>
      <c r="AD1048" t="str" cm="1">
        <f t="array" ref="AD1048">IFERROR(_xlfn.IFS(
    AC1048="", "",
    AC1048*86400 &lt; 30, "1. 0s - &lt;30s",
    AC1048*86400 &lt; 60, "2. 30s - &lt;1m",
    AC1048*86400 &lt; 300, "3. 1m - &lt;5m",
    AC1048*86400 &lt; 1800, "4. 5m - &lt;30m",
    TRUE, "5. &gt;= 30m"
),"6. Invalid (Order rejected)")</f>
        <v>5. &gt;= 30m</v>
      </c>
    </row>
    <row r="1049" spans="1:30" hidden="1" x14ac:dyDescent="0.3">
      <c r="A1049" t="s">
        <v>6355</v>
      </c>
      <c r="B1049" t="s">
        <v>1345</v>
      </c>
      <c r="C1049">
        <v>42787717</v>
      </c>
      <c r="D1049">
        <v>0</v>
      </c>
      <c r="E1049" t="s">
        <v>25</v>
      </c>
      <c r="F1049" t="s">
        <v>26</v>
      </c>
      <c r="G1049" t="s">
        <v>27</v>
      </c>
      <c r="H1049" t="s">
        <v>6356</v>
      </c>
      <c r="I1049" t="s">
        <v>6357</v>
      </c>
      <c r="J1049" t="s">
        <v>26</v>
      </c>
      <c r="K1049" t="s">
        <v>26</v>
      </c>
      <c r="L1049" t="s">
        <v>6358</v>
      </c>
      <c r="M1049" t="s">
        <v>25</v>
      </c>
      <c r="N1049" t="s">
        <v>1588</v>
      </c>
      <c r="O1049" t="s">
        <v>1589</v>
      </c>
      <c r="P1049" t="s">
        <v>1617</v>
      </c>
      <c r="Q1049" t="s">
        <v>1618</v>
      </c>
      <c r="R1049">
        <v>248076</v>
      </c>
      <c r="S1049">
        <v>0</v>
      </c>
      <c r="T1049">
        <v>248076</v>
      </c>
      <c r="U1049" t="s">
        <v>35</v>
      </c>
      <c r="V1049" t="s">
        <v>1592</v>
      </c>
      <c r="W1049" t="s">
        <v>1619</v>
      </c>
      <c r="X1049" s="4">
        <v>1</v>
      </c>
      <c r="Y1049" s="4"/>
      <c r="Z1049">
        <f t="shared" si="64"/>
        <v>7</v>
      </c>
      <c r="AA1049">
        <f t="shared" si="65"/>
        <v>16</v>
      </c>
      <c r="AB1049" s="5">
        <f t="shared" si="66"/>
        <v>0.31464120370219462</v>
      </c>
      <c r="AC1049" s="3">
        <f t="shared" si="67"/>
        <v>9.0277777781011537E-2</v>
      </c>
      <c r="AD1049" t="str" cm="1">
        <f t="array" ref="AD1049">IFERROR(_xlfn.IFS(
    AC1049="", "",
    AC1049*86400 &lt; 30, "1. 0s - &lt;30s",
    AC1049*86400 &lt; 60, "2. 30s - &lt;1m",
    AC1049*86400 &lt; 300, "3. 1m - &lt;5m",
    AC1049*86400 &lt; 1800, "4. 5m - &lt;30m",
    TRUE, "5. &gt;= 30m"
),"6. Invalid (Order rejected)")</f>
        <v>5. &gt;= 30m</v>
      </c>
    </row>
    <row r="1050" spans="1:30" x14ac:dyDescent="0.3">
      <c r="A1050" t="s">
        <v>6359</v>
      </c>
      <c r="B1050" t="s">
        <v>1345</v>
      </c>
      <c r="C1050">
        <v>42787717</v>
      </c>
      <c r="D1050">
        <v>3020539</v>
      </c>
      <c r="E1050" t="s">
        <v>25</v>
      </c>
      <c r="F1050" t="s">
        <v>75</v>
      </c>
      <c r="G1050" t="s">
        <v>360</v>
      </c>
      <c r="H1050" t="s">
        <v>6360</v>
      </c>
      <c r="I1050" t="s">
        <v>6361</v>
      </c>
      <c r="J1050" t="s">
        <v>6362</v>
      </c>
      <c r="K1050" t="s">
        <v>26</v>
      </c>
      <c r="L1050" t="s">
        <v>25</v>
      </c>
      <c r="M1050" t="s">
        <v>25</v>
      </c>
      <c r="N1050" t="s">
        <v>1269</v>
      </c>
      <c r="O1050" t="s">
        <v>1270</v>
      </c>
      <c r="P1050" t="s">
        <v>6363</v>
      </c>
      <c r="Q1050" t="s">
        <v>6364</v>
      </c>
      <c r="R1050">
        <v>187488</v>
      </c>
      <c r="S1050">
        <v>145347</v>
      </c>
      <c r="T1050">
        <v>42141</v>
      </c>
      <c r="U1050" t="s">
        <v>35</v>
      </c>
      <c r="V1050" t="s">
        <v>1271</v>
      </c>
      <c r="W1050" t="s">
        <v>6365</v>
      </c>
      <c r="X1050" s="4">
        <v>1</v>
      </c>
      <c r="Y1050" s="4"/>
      <c r="Z1050">
        <f t="shared" si="64"/>
        <v>7</v>
      </c>
      <c r="AA1050">
        <f t="shared" si="65"/>
        <v>16</v>
      </c>
      <c r="AB1050" s="5">
        <f t="shared" si="66"/>
        <v>0.30844907407299615</v>
      </c>
      <c r="AC1050" s="3" t="str">
        <f t="shared" si="67"/>
        <v>Order rejected, no time available</v>
      </c>
      <c r="AD1050" t="str" cm="1">
        <f t="array" ref="AD1050">IFERROR(_xlfn.IFS(
    AC1050="", "",
    AC1050*86400 &lt; 30, "1. 0s - &lt;30s",
    AC1050*86400 &lt; 60, "2. 30s - &lt;1m",
    AC1050*86400 &lt; 300, "3. 1m - &lt;5m",
    AC1050*86400 &lt; 1800, "4. 5m - &lt;30m",
    TRUE, "5. &gt;= 30m"
),"6. Invalid (Order rejected)")</f>
        <v>6. Invalid (Order rejected)</v>
      </c>
    </row>
    <row r="1051" spans="1:30" hidden="1" x14ac:dyDescent="0.3">
      <c r="A1051" t="s">
        <v>6366</v>
      </c>
      <c r="B1051" t="s">
        <v>1345</v>
      </c>
      <c r="C1051">
        <v>42787717</v>
      </c>
      <c r="D1051">
        <v>0</v>
      </c>
      <c r="E1051" t="s">
        <v>25</v>
      </c>
      <c r="F1051" t="s">
        <v>26</v>
      </c>
      <c r="G1051" t="s">
        <v>27</v>
      </c>
      <c r="H1051" t="s">
        <v>6367</v>
      </c>
      <c r="I1051" t="s">
        <v>6368</v>
      </c>
      <c r="J1051" t="s">
        <v>26</v>
      </c>
      <c r="K1051" t="s">
        <v>26</v>
      </c>
      <c r="L1051" t="s">
        <v>6369</v>
      </c>
      <c r="M1051" t="s">
        <v>25</v>
      </c>
      <c r="N1051" t="s">
        <v>1588</v>
      </c>
      <c r="O1051" t="s">
        <v>1589</v>
      </c>
      <c r="P1051" t="s">
        <v>81</v>
      </c>
      <c r="Q1051" t="s">
        <v>82</v>
      </c>
      <c r="R1051">
        <v>186948</v>
      </c>
      <c r="S1051">
        <v>0</v>
      </c>
      <c r="T1051">
        <v>186948</v>
      </c>
      <c r="U1051" t="s">
        <v>35</v>
      </c>
      <c r="V1051" t="s">
        <v>1592</v>
      </c>
      <c r="W1051" t="s">
        <v>83</v>
      </c>
      <c r="X1051" s="4">
        <v>1</v>
      </c>
      <c r="Y1051" s="4"/>
      <c r="Z1051">
        <f t="shared" si="64"/>
        <v>7</v>
      </c>
      <c r="AA1051">
        <f t="shared" si="65"/>
        <v>16</v>
      </c>
      <c r="AB1051" s="5">
        <f t="shared" si="66"/>
        <v>0.31537037037196569</v>
      </c>
      <c r="AC1051" s="3">
        <f t="shared" si="67"/>
        <v>9.0277777773735579E-2</v>
      </c>
      <c r="AD1051" t="str" cm="1">
        <f t="array" ref="AD1051">IFERROR(_xlfn.IFS(
    AC1051="", "",
    AC1051*86400 &lt; 30, "1. 0s - &lt;30s",
    AC1051*86400 &lt; 60, "2. 30s - &lt;1m",
    AC1051*86400 &lt; 300, "3. 1m - &lt;5m",
    AC1051*86400 &lt; 1800, "4. 5m - &lt;30m",
    TRUE, "5. &gt;= 30m"
),"6. Invalid (Order rejected)")</f>
        <v>5. &gt;= 30m</v>
      </c>
    </row>
    <row r="1052" spans="1:30" hidden="1" x14ac:dyDescent="0.3">
      <c r="A1052" t="s">
        <v>6370</v>
      </c>
      <c r="B1052" t="s">
        <v>1345</v>
      </c>
      <c r="C1052">
        <v>42787717</v>
      </c>
      <c r="D1052">
        <v>0</v>
      </c>
      <c r="E1052" t="s">
        <v>25</v>
      </c>
      <c r="F1052" t="s">
        <v>26</v>
      </c>
      <c r="G1052" t="s">
        <v>27</v>
      </c>
      <c r="H1052" t="s">
        <v>6371</v>
      </c>
      <c r="I1052" t="s">
        <v>6372</v>
      </c>
      <c r="J1052" t="s">
        <v>26</v>
      </c>
      <c r="K1052" t="s">
        <v>26</v>
      </c>
      <c r="L1052" t="s">
        <v>6373</v>
      </c>
      <c r="M1052" t="s">
        <v>25</v>
      </c>
      <c r="N1052" t="s">
        <v>1588</v>
      </c>
      <c r="O1052" t="s">
        <v>1589</v>
      </c>
      <c r="P1052" t="s">
        <v>6374</v>
      </c>
      <c r="Q1052" t="s">
        <v>6375</v>
      </c>
      <c r="R1052">
        <v>131004</v>
      </c>
      <c r="S1052">
        <v>0</v>
      </c>
      <c r="T1052">
        <v>131004</v>
      </c>
      <c r="U1052" t="s">
        <v>35</v>
      </c>
      <c r="V1052" t="s">
        <v>1592</v>
      </c>
      <c r="W1052" t="s">
        <v>6376</v>
      </c>
      <c r="X1052" s="4">
        <v>1</v>
      </c>
      <c r="Y1052" s="4"/>
      <c r="Z1052">
        <f t="shared" si="64"/>
        <v>7</v>
      </c>
      <c r="AA1052">
        <f t="shared" si="65"/>
        <v>16</v>
      </c>
      <c r="AB1052" s="5">
        <f t="shared" si="66"/>
        <v>0.31614583333430346</v>
      </c>
      <c r="AC1052" s="3">
        <f t="shared" si="67"/>
        <v>9.0277777773735579E-2</v>
      </c>
      <c r="AD1052" t="str" cm="1">
        <f t="array" ref="AD1052">IFERROR(_xlfn.IFS(
    AC1052="", "",
    AC1052*86400 &lt; 30, "1. 0s - &lt;30s",
    AC1052*86400 &lt; 60, "2. 30s - &lt;1m",
    AC1052*86400 &lt; 300, "3. 1m - &lt;5m",
    AC1052*86400 &lt; 1800, "4. 5m - &lt;30m",
    TRUE, "5. &gt;= 30m"
),"6. Invalid (Order rejected)")</f>
        <v>5. &gt;= 30m</v>
      </c>
    </row>
    <row r="1053" spans="1:30" hidden="1" x14ac:dyDescent="0.3">
      <c r="A1053" t="s">
        <v>6377</v>
      </c>
      <c r="B1053" t="s">
        <v>1345</v>
      </c>
      <c r="C1053">
        <v>42787717</v>
      </c>
      <c r="D1053">
        <v>0</v>
      </c>
      <c r="E1053" t="s">
        <v>25</v>
      </c>
      <c r="F1053" t="s">
        <v>26</v>
      </c>
      <c r="G1053" t="s">
        <v>27</v>
      </c>
      <c r="H1053" t="s">
        <v>6378</v>
      </c>
      <c r="I1053" t="s">
        <v>6379</v>
      </c>
      <c r="J1053" t="s">
        <v>26</v>
      </c>
      <c r="K1053" t="s">
        <v>26</v>
      </c>
      <c r="L1053" t="s">
        <v>6380</v>
      </c>
      <c r="M1053" t="s">
        <v>25</v>
      </c>
      <c r="N1053" t="s">
        <v>1269</v>
      </c>
      <c r="O1053" t="s">
        <v>1270</v>
      </c>
      <c r="P1053" t="s">
        <v>6381</v>
      </c>
      <c r="Q1053" t="s">
        <v>6382</v>
      </c>
      <c r="R1053">
        <v>246132</v>
      </c>
      <c r="S1053">
        <v>0</v>
      </c>
      <c r="T1053">
        <v>246132</v>
      </c>
      <c r="U1053" t="s">
        <v>35</v>
      </c>
      <c r="V1053" t="s">
        <v>1271</v>
      </c>
      <c r="W1053" t="s">
        <v>6383</v>
      </c>
      <c r="X1053" s="4">
        <v>1</v>
      </c>
      <c r="Y1053" s="4"/>
      <c r="Z1053">
        <f t="shared" si="64"/>
        <v>7</v>
      </c>
      <c r="AA1053">
        <f t="shared" si="65"/>
        <v>16</v>
      </c>
      <c r="AB1053" s="5">
        <f t="shared" si="66"/>
        <v>0.30621527777839219</v>
      </c>
      <c r="AC1053" s="3">
        <f t="shared" si="67"/>
        <v>0.10098379629926058</v>
      </c>
      <c r="AD1053" t="str" cm="1">
        <f t="array" ref="AD1053">IFERROR(_xlfn.IFS(
    AC1053="", "",
    AC1053*86400 &lt; 30, "1. 0s - &lt;30s",
    AC1053*86400 &lt; 60, "2. 30s - &lt;1m",
    AC1053*86400 &lt; 300, "3. 1m - &lt;5m",
    AC1053*86400 &lt; 1800, "4. 5m - &lt;30m",
    TRUE, "5. &gt;= 30m"
),"6. Invalid (Order rejected)")</f>
        <v>5. &gt;= 30m</v>
      </c>
    </row>
    <row r="1054" spans="1:30" hidden="1" x14ac:dyDescent="0.3">
      <c r="A1054" t="s">
        <v>6384</v>
      </c>
      <c r="B1054" t="s">
        <v>1345</v>
      </c>
      <c r="C1054">
        <v>42787717</v>
      </c>
      <c r="D1054">
        <v>3106185</v>
      </c>
      <c r="E1054" t="s">
        <v>25</v>
      </c>
      <c r="F1054" t="s">
        <v>75</v>
      </c>
      <c r="G1054" t="s">
        <v>76</v>
      </c>
      <c r="H1054" t="s">
        <v>6385</v>
      </c>
      <c r="I1054" t="s">
        <v>6386</v>
      </c>
      <c r="J1054" t="s">
        <v>6387</v>
      </c>
      <c r="K1054" t="s">
        <v>26</v>
      </c>
      <c r="L1054" t="s">
        <v>6388</v>
      </c>
      <c r="M1054" t="s">
        <v>25</v>
      </c>
      <c r="N1054" t="s">
        <v>1568</v>
      </c>
      <c r="O1054" t="s">
        <v>1569</v>
      </c>
      <c r="P1054" t="s">
        <v>1570</v>
      </c>
      <c r="Q1054" t="s">
        <v>1571</v>
      </c>
      <c r="R1054">
        <v>348948</v>
      </c>
      <c r="S1054">
        <v>270515</v>
      </c>
      <c r="T1054">
        <v>78433</v>
      </c>
      <c r="U1054" t="s">
        <v>35</v>
      </c>
      <c r="V1054" t="s">
        <v>1572</v>
      </c>
      <c r="W1054" t="s">
        <v>1573</v>
      </c>
      <c r="X1054" s="4">
        <v>1</v>
      </c>
      <c r="Y1054" s="4"/>
      <c r="Z1054">
        <f t="shared" si="64"/>
        <v>7</v>
      </c>
      <c r="AA1054">
        <f t="shared" si="65"/>
        <v>16</v>
      </c>
      <c r="AB1054" s="5">
        <f t="shared" si="66"/>
        <v>0.31146990740671754</v>
      </c>
      <c r="AC1054" s="3">
        <f t="shared" si="67"/>
        <v>5.8657407411374152E-2</v>
      </c>
      <c r="AD1054" t="str" cm="1">
        <f t="array" ref="AD1054">IFERROR(_xlfn.IFS(
    AC1054="", "",
    AC1054*86400 &lt; 30, "1. 0s - &lt;30s",
    AC1054*86400 &lt; 60, "2. 30s - &lt;1m",
    AC1054*86400 &lt; 300, "3. 1m - &lt;5m",
    AC1054*86400 &lt; 1800, "4. 5m - &lt;30m",
    TRUE, "5. &gt;= 30m"
),"6. Invalid (Order rejected)")</f>
        <v>5. &gt;= 30m</v>
      </c>
    </row>
    <row r="1055" spans="1:30" hidden="1" x14ac:dyDescent="0.3">
      <c r="A1055" t="s">
        <v>6389</v>
      </c>
      <c r="B1055" t="s">
        <v>1345</v>
      </c>
      <c r="C1055">
        <v>42787717</v>
      </c>
      <c r="D1055">
        <v>0</v>
      </c>
      <c r="E1055" t="s">
        <v>25</v>
      </c>
      <c r="F1055" t="s">
        <v>26</v>
      </c>
      <c r="G1055" t="s">
        <v>27</v>
      </c>
      <c r="H1055" t="s">
        <v>6390</v>
      </c>
      <c r="I1055" t="s">
        <v>6391</v>
      </c>
      <c r="J1055" t="s">
        <v>26</v>
      </c>
      <c r="K1055" t="s">
        <v>26</v>
      </c>
      <c r="L1055" t="s">
        <v>6392</v>
      </c>
      <c r="M1055" t="s">
        <v>25</v>
      </c>
      <c r="N1055" t="s">
        <v>1578</v>
      </c>
      <c r="O1055" t="s">
        <v>1579</v>
      </c>
      <c r="P1055" t="s">
        <v>507</v>
      </c>
      <c r="Q1055" t="s">
        <v>508</v>
      </c>
      <c r="R1055">
        <v>241272</v>
      </c>
      <c r="S1055">
        <v>0</v>
      </c>
      <c r="T1055">
        <v>241272</v>
      </c>
      <c r="U1055" t="s">
        <v>35</v>
      </c>
      <c r="V1055" t="s">
        <v>1580</v>
      </c>
      <c r="W1055" t="s">
        <v>509</v>
      </c>
      <c r="X1055" s="4">
        <v>1</v>
      </c>
      <c r="Y1055" s="4"/>
      <c r="Z1055">
        <f t="shared" si="64"/>
        <v>7</v>
      </c>
      <c r="AA1055">
        <f t="shared" si="65"/>
        <v>16</v>
      </c>
      <c r="AB1055" s="5">
        <f t="shared" si="66"/>
        <v>0.31270833333110204</v>
      </c>
      <c r="AC1055" s="3">
        <f t="shared" si="67"/>
        <v>9.0277777781011537E-2</v>
      </c>
      <c r="AD1055" t="str" cm="1">
        <f t="array" ref="AD1055">IFERROR(_xlfn.IFS(
    AC1055="", "",
    AC1055*86400 &lt; 30, "1. 0s - &lt;30s",
    AC1055*86400 &lt; 60, "2. 30s - &lt;1m",
    AC1055*86400 &lt; 300, "3. 1m - &lt;5m",
    AC1055*86400 &lt; 1800, "4. 5m - &lt;30m",
    TRUE, "5. &gt;= 30m"
),"6. Invalid (Order rejected)")</f>
        <v>5. &gt;= 30m</v>
      </c>
    </row>
    <row r="1056" spans="1:30" hidden="1" x14ac:dyDescent="0.3">
      <c r="A1056" t="s">
        <v>6393</v>
      </c>
      <c r="B1056" t="s">
        <v>1345</v>
      </c>
      <c r="C1056">
        <v>42787717</v>
      </c>
      <c r="D1056">
        <v>4729280</v>
      </c>
      <c r="E1056" t="s">
        <v>25</v>
      </c>
      <c r="F1056" t="s">
        <v>75</v>
      </c>
      <c r="G1056" t="s">
        <v>76</v>
      </c>
      <c r="H1056" t="s">
        <v>6394</v>
      </c>
      <c r="I1056" t="s">
        <v>6395</v>
      </c>
      <c r="J1056" t="s">
        <v>6396</v>
      </c>
      <c r="K1056" t="s">
        <v>26</v>
      </c>
      <c r="L1056" t="s">
        <v>6397</v>
      </c>
      <c r="M1056" t="s">
        <v>25</v>
      </c>
      <c r="N1056" t="s">
        <v>1588</v>
      </c>
      <c r="O1056" t="s">
        <v>1589</v>
      </c>
      <c r="P1056" t="s">
        <v>1631</v>
      </c>
      <c r="Q1056" t="s">
        <v>1632</v>
      </c>
      <c r="R1056">
        <v>356832</v>
      </c>
      <c r="S1056">
        <v>276627</v>
      </c>
      <c r="T1056">
        <v>80205</v>
      </c>
      <c r="U1056" t="s">
        <v>35</v>
      </c>
      <c r="V1056" t="s">
        <v>1592</v>
      </c>
      <c r="W1056" t="s">
        <v>1633</v>
      </c>
      <c r="X1056" s="4">
        <v>1</v>
      </c>
      <c r="Y1056" s="4"/>
      <c r="Z1056">
        <f t="shared" si="64"/>
        <v>7</v>
      </c>
      <c r="AA1056">
        <f t="shared" si="65"/>
        <v>16</v>
      </c>
      <c r="AB1056" s="5">
        <f t="shared" si="66"/>
        <v>0.31520833333343035</v>
      </c>
      <c r="AC1056" s="3">
        <f t="shared" si="67"/>
        <v>3.5578703704231884E-2</v>
      </c>
      <c r="AD1056" t="str" cm="1">
        <f t="array" ref="AD1056">IFERROR(_xlfn.IFS(
    AC1056="", "",
    AC1056*86400 &lt; 30, "1. 0s - &lt;30s",
    AC1056*86400 &lt; 60, "2. 30s - &lt;1m",
    AC1056*86400 &lt; 300, "3. 1m - &lt;5m",
    AC1056*86400 &lt; 1800, "4. 5m - &lt;30m",
    TRUE, "5. &gt;= 30m"
),"6. Invalid (Order rejected)")</f>
        <v>5. &gt;= 30m</v>
      </c>
    </row>
    <row r="1057" spans="1:30" hidden="1" x14ac:dyDescent="0.3">
      <c r="A1057" t="s">
        <v>6398</v>
      </c>
      <c r="B1057" t="s">
        <v>1345</v>
      </c>
      <c r="C1057">
        <v>42787717</v>
      </c>
      <c r="D1057">
        <v>0</v>
      </c>
      <c r="E1057" t="s">
        <v>25</v>
      </c>
      <c r="F1057" t="s">
        <v>26</v>
      </c>
      <c r="G1057" t="s">
        <v>27</v>
      </c>
      <c r="H1057" t="s">
        <v>6399</v>
      </c>
      <c r="I1057" t="s">
        <v>6400</v>
      </c>
      <c r="J1057" t="s">
        <v>26</v>
      </c>
      <c r="K1057" t="s">
        <v>26</v>
      </c>
      <c r="L1057" t="s">
        <v>6401</v>
      </c>
      <c r="M1057" t="s">
        <v>25</v>
      </c>
      <c r="N1057" t="s">
        <v>1588</v>
      </c>
      <c r="O1057" t="s">
        <v>1589</v>
      </c>
      <c r="P1057" t="s">
        <v>6402</v>
      </c>
      <c r="Q1057" t="s">
        <v>6403</v>
      </c>
      <c r="R1057">
        <v>175392</v>
      </c>
      <c r="S1057">
        <v>0</v>
      </c>
      <c r="T1057">
        <v>175392</v>
      </c>
      <c r="U1057" t="s">
        <v>35</v>
      </c>
      <c r="V1057" t="s">
        <v>1592</v>
      </c>
      <c r="W1057" t="s">
        <v>6404</v>
      </c>
      <c r="X1057" s="4">
        <v>1</v>
      </c>
      <c r="Y1057" s="4"/>
      <c r="Z1057">
        <f t="shared" si="64"/>
        <v>7</v>
      </c>
      <c r="AA1057">
        <f t="shared" si="65"/>
        <v>16</v>
      </c>
      <c r="AB1057" s="5">
        <f t="shared" si="66"/>
        <v>0.31553240741050104</v>
      </c>
      <c r="AC1057" s="3">
        <f t="shared" si="67"/>
        <v>9.0277777773735579E-2</v>
      </c>
      <c r="AD1057" t="str" cm="1">
        <f t="array" ref="AD1057">IFERROR(_xlfn.IFS(
    AC1057="", "",
    AC1057*86400 &lt; 30, "1. 0s - &lt;30s",
    AC1057*86400 &lt; 60, "2. 30s - &lt;1m",
    AC1057*86400 &lt; 300, "3. 1m - &lt;5m",
    AC1057*86400 &lt; 1800, "4. 5m - &lt;30m",
    TRUE, "5. &gt;= 30m"
),"6. Invalid (Order rejected)")</f>
        <v>5. &gt;= 30m</v>
      </c>
    </row>
    <row r="1058" spans="1:30" hidden="1" x14ac:dyDescent="0.3">
      <c r="A1058" t="s">
        <v>6405</v>
      </c>
      <c r="B1058" t="s">
        <v>1345</v>
      </c>
      <c r="C1058">
        <v>42787717</v>
      </c>
      <c r="D1058">
        <v>0</v>
      </c>
      <c r="E1058" t="s">
        <v>25</v>
      </c>
      <c r="F1058" t="s">
        <v>26</v>
      </c>
      <c r="G1058" t="s">
        <v>27</v>
      </c>
      <c r="H1058" t="s">
        <v>6406</v>
      </c>
      <c r="I1058" t="s">
        <v>6407</v>
      </c>
      <c r="J1058" t="s">
        <v>26</v>
      </c>
      <c r="K1058" t="s">
        <v>26</v>
      </c>
      <c r="L1058" t="s">
        <v>6408</v>
      </c>
      <c r="M1058" t="s">
        <v>25</v>
      </c>
      <c r="N1058" t="s">
        <v>1578</v>
      </c>
      <c r="O1058" t="s">
        <v>1579</v>
      </c>
      <c r="P1058" t="s">
        <v>1624</v>
      </c>
      <c r="Q1058" t="s">
        <v>1625</v>
      </c>
      <c r="R1058">
        <v>212112</v>
      </c>
      <c r="S1058">
        <v>0</v>
      </c>
      <c r="T1058">
        <v>212112</v>
      </c>
      <c r="U1058" t="s">
        <v>35</v>
      </c>
      <c r="V1058" t="s">
        <v>1580</v>
      </c>
      <c r="W1058" t="s">
        <v>1626</v>
      </c>
      <c r="X1058" s="4">
        <v>1</v>
      </c>
      <c r="Y1058" s="4"/>
      <c r="Z1058">
        <f t="shared" si="64"/>
        <v>7</v>
      </c>
      <c r="AA1058">
        <f t="shared" si="65"/>
        <v>16</v>
      </c>
      <c r="AB1058" s="5">
        <f t="shared" si="66"/>
        <v>0.31340277777781012</v>
      </c>
      <c r="AC1058" s="3">
        <f t="shared" si="67"/>
        <v>9.0277777781011537E-2</v>
      </c>
      <c r="AD1058" t="str" cm="1">
        <f t="array" ref="AD1058">IFERROR(_xlfn.IFS(
    AC1058="", "",
    AC1058*86400 &lt; 30, "1. 0s - &lt;30s",
    AC1058*86400 &lt; 60, "2. 30s - &lt;1m",
    AC1058*86400 &lt; 300, "3. 1m - &lt;5m",
    AC1058*86400 &lt; 1800, "4. 5m - &lt;30m",
    TRUE, "5. &gt;= 30m"
),"6. Invalid (Order rejected)")</f>
        <v>5. &gt;= 30m</v>
      </c>
    </row>
    <row r="1059" spans="1:30" hidden="1" x14ac:dyDescent="0.3">
      <c r="A1059" t="s">
        <v>6409</v>
      </c>
      <c r="B1059" t="s">
        <v>1345</v>
      </c>
      <c r="C1059">
        <v>42787717</v>
      </c>
      <c r="D1059">
        <v>0</v>
      </c>
      <c r="E1059" t="s">
        <v>25</v>
      </c>
      <c r="F1059" t="s">
        <v>26</v>
      </c>
      <c r="G1059" t="s">
        <v>27</v>
      </c>
      <c r="H1059" t="s">
        <v>6410</v>
      </c>
      <c r="I1059" t="s">
        <v>6411</v>
      </c>
      <c r="J1059" t="s">
        <v>26</v>
      </c>
      <c r="K1059" t="s">
        <v>26</v>
      </c>
      <c r="L1059" t="s">
        <v>6412</v>
      </c>
      <c r="M1059" t="s">
        <v>25</v>
      </c>
      <c r="N1059" t="s">
        <v>1578</v>
      </c>
      <c r="O1059" t="s">
        <v>1579</v>
      </c>
      <c r="P1059" t="s">
        <v>1624</v>
      </c>
      <c r="Q1059" t="s">
        <v>1625</v>
      </c>
      <c r="R1059">
        <v>201312</v>
      </c>
      <c r="S1059">
        <v>0</v>
      </c>
      <c r="T1059">
        <v>201312</v>
      </c>
      <c r="U1059" t="s">
        <v>35</v>
      </c>
      <c r="V1059" t="s">
        <v>1580</v>
      </c>
      <c r="W1059" t="s">
        <v>1626</v>
      </c>
      <c r="X1059" s="4">
        <v>1</v>
      </c>
      <c r="Y1059" s="4"/>
      <c r="Z1059">
        <f t="shared" si="64"/>
        <v>7</v>
      </c>
      <c r="AA1059">
        <f t="shared" si="65"/>
        <v>16</v>
      </c>
      <c r="AB1059" s="5">
        <f t="shared" si="66"/>
        <v>0.3136689814782585</v>
      </c>
      <c r="AC1059" s="3">
        <f t="shared" si="67"/>
        <v>9.0277777781011537E-2</v>
      </c>
      <c r="AD1059" t="str" cm="1">
        <f t="array" ref="AD1059">IFERROR(_xlfn.IFS(
    AC1059="", "",
    AC1059*86400 &lt; 30, "1. 0s - &lt;30s",
    AC1059*86400 &lt; 60, "2. 30s - &lt;1m",
    AC1059*86400 &lt; 300, "3. 1m - &lt;5m",
    AC1059*86400 &lt; 1800, "4. 5m - &lt;30m",
    TRUE, "5. &gt;= 30m"
),"6. Invalid (Order rejected)")</f>
        <v>5. &gt;= 30m</v>
      </c>
    </row>
    <row r="1060" spans="1:30" hidden="1" x14ac:dyDescent="0.3">
      <c r="A1060" t="s">
        <v>6413</v>
      </c>
      <c r="B1060" t="s">
        <v>1345</v>
      </c>
      <c r="C1060">
        <v>42787717</v>
      </c>
      <c r="D1060">
        <v>0</v>
      </c>
      <c r="E1060" t="s">
        <v>25</v>
      </c>
      <c r="F1060" t="s">
        <v>26</v>
      </c>
      <c r="G1060" t="s">
        <v>27</v>
      </c>
      <c r="H1060" t="s">
        <v>6414</v>
      </c>
      <c r="I1060" t="s">
        <v>6415</v>
      </c>
      <c r="J1060" t="s">
        <v>26</v>
      </c>
      <c r="K1060" t="s">
        <v>26</v>
      </c>
      <c r="L1060" t="s">
        <v>6416</v>
      </c>
      <c r="M1060" t="s">
        <v>25</v>
      </c>
      <c r="N1060" t="s">
        <v>1578</v>
      </c>
      <c r="O1060" t="s">
        <v>1579</v>
      </c>
      <c r="P1060" t="s">
        <v>6417</v>
      </c>
      <c r="Q1060" t="s">
        <v>6418</v>
      </c>
      <c r="R1060">
        <v>282420</v>
      </c>
      <c r="S1060">
        <v>0</v>
      </c>
      <c r="T1060">
        <v>282420</v>
      </c>
      <c r="U1060" t="s">
        <v>35</v>
      </c>
      <c r="V1060" t="s">
        <v>1580</v>
      </c>
      <c r="W1060" t="s">
        <v>6419</v>
      </c>
      <c r="X1060" s="4">
        <v>1</v>
      </c>
      <c r="Y1060" s="4"/>
      <c r="Z1060">
        <f t="shared" si="64"/>
        <v>7</v>
      </c>
      <c r="AA1060">
        <f t="shared" si="65"/>
        <v>16</v>
      </c>
      <c r="AB1060" s="5">
        <f t="shared" si="66"/>
        <v>0.31390046296291985</v>
      </c>
      <c r="AC1060" s="3">
        <f t="shared" si="67"/>
        <v>9.0277777781011537E-2</v>
      </c>
      <c r="AD1060" t="str" cm="1">
        <f t="array" ref="AD1060">IFERROR(_xlfn.IFS(
    AC1060="", "",
    AC1060*86400 &lt; 30, "1. 0s - &lt;30s",
    AC1060*86400 &lt; 60, "2. 30s - &lt;1m",
    AC1060*86400 &lt; 300, "3. 1m - &lt;5m",
    AC1060*86400 &lt; 1800, "4. 5m - &lt;30m",
    TRUE, "5. &gt;= 30m"
),"6. Invalid (Order rejected)")</f>
        <v>5. &gt;= 30m</v>
      </c>
    </row>
    <row r="1061" spans="1:30" hidden="1" x14ac:dyDescent="0.3">
      <c r="A1061" t="s">
        <v>6420</v>
      </c>
      <c r="B1061" t="s">
        <v>1345</v>
      </c>
      <c r="C1061">
        <v>42787717</v>
      </c>
      <c r="D1061">
        <v>0</v>
      </c>
      <c r="E1061" t="s">
        <v>25</v>
      </c>
      <c r="F1061" t="s">
        <v>26</v>
      </c>
      <c r="G1061" t="s">
        <v>27</v>
      </c>
      <c r="H1061" t="s">
        <v>6421</v>
      </c>
      <c r="I1061" t="s">
        <v>6422</v>
      </c>
      <c r="J1061" t="s">
        <v>26</v>
      </c>
      <c r="K1061" t="s">
        <v>26</v>
      </c>
      <c r="L1061" t="s">
        <v>6423</v>
      </c>
      <c r="M1061" t="s">
        <v>25</v>
      </c>
      <c r="N1061" t="s">
        <v>1568</v>
      </c>
      <c r="O1061" t="s">
        <v>1569</v>
      </c>
      <c r="P1061" t="s">
        <v>351</v>
      </c>
      <c r="Q1061" t="s">
        <v>352</v>
      </c>
      <c r="R1061">
        <v>386100</v>
      </c>
      <c r="S1061">
        <v>0</v>
      </c>
      <c r="T1061">
        <v>386100</v>
      </c>
      <c r="U1061" t="s">
        <v>35</v>
      </c>
      <c r="V1061" t="s">
        <v>1572</v>
      </c>
      <c r="W1061" t="s">
        <v>354</v>
      </c>
      <c r="X1061" s="4">
        <v>1</v>
      </c>
      <c r="Y1061" s="4"/>
      <c r="Z1061">
        <f t="shared" si="64"/>
        <v>7</v>
      </c>
      <c r="AA1061">
        <f t="shared" si="65"/>
        <v>16</v>
      </c>
      <c r="AB1061" s="5">
        <f t="shared" si="66"/>
        <v>0.31047453703649808</v>
      </c>
      <c r="AC1061" s="3">
        <f t="shared" si="67"/>
        <v>9.0277777781011537E-2</v>
      </c>
      <c r="AD1061" t="str" cm="1">
        <f t="array" ref="AD1061">IFERROR(_xlfn.IFS(
    AC1061="", "",
    AC1061*86400 &lt; 30, "1. 0s - &lt;30s",
    AC1061*86400 &lt; 60, "2. 30s - &lt;1m",
    AC1061*86400 &lt; 300, "3. 1m - &lt;5m",
    AC1061*86400 &lt; 1800, "4. 5m - &lt;30m",
    TRUE, "5. &gt;= 30m"
),"6. Invalid (Order rejected)")</f>
        <v>5. &gt;= 30m</v>
      </c>
    </row>
    <row r="1062" spans="1:30" hidden="1" x14ac:dyDescent="0.3">
      <c r="A1062" t="s">
        <v>6424</v>
      </c>
      <c r="B1062" t="s">
        <v>1345</v>
      </c>
      <c r="C1062">
        <v>42787717</v>
      </c>
      <c r="D1062">
        <v>0</v>
      </c>
      <c r="E1062" t="s">
        <v>25</v>
      </c>
      <c r="F1062" t="s">
        <v>26</v>
      </c>
      <c r="G1062" t="s">
        <v>27</v>
      </c>
      <c r="H1062" t="s">
        <v>6425</v>
      </c>
      <c r="I1062" t="s">
        <v>6426</v>
      </c>
      <c r="J1062" t="s">
        <v>26</v>
      </c>
      <c r="K1062" t="s">
        <v>26</v>
      </c>
      <c r="L1062" t="s">
        <v>6427</v>
      </c>
      <c r="M1062" t="s">
        <v>25</v>
      </c>
      <c r="N1062" t="s">
        <v>1568</v>
      </c>
      <c r="O1062" t="s">
        <v>1569</v>
      </c>
      <c r="P1062" t="s">
        <v>1370</v>
      </c>
      <c r="Q1062" t="s">
        <v>1371</v>
      </c>
      <c r="R1062">
        <v>297648</v>
      </c>
      <c r="S1062">
        <v>0</v>
      </c>
      <c r="T1062">
        <v>297648</v>
      </c>
      <c r="U1062" t="s">
        <v>35</v>
      </c>
      <c r="V1062" t="s">
        <v>1572</v>
      </c>
      <c r="W1062" t="s">
        <v>1372</v>
      </c>
      <c r="X1062" s="4">
        <v>1</v>
      </c>
      <c r="Y1062" s="4"/>
      <c r="Z1062">
        <f t="shared" si="64"/>
        <v>7</v>
      </c>
      <c r="AA1062">
        <f t="shared" si="65"/>
        <v>16</v>
      </c>
      <c r="AB1062" s="5">
        <f t="shared" si="66"/>
        <v>0.31067129629809642</v>
      </c>
      <c r="AC1062" s="3">
        <f t="shared" si="67"/>
        <v>9.0266203704231884E-2</v>
      </c>
      <c r="AD1062" t="str" cm="1">
        <f t="array" ref="AD1062">IFERROR(_xlfn.IFS(
    AC1062="", "",
    AC1062*86400 &lt; 30, "1. 0s - &lt;30s",
    AC1062*86400 &lt; 60, "2. 30s - &lt;1m",
    AC1062*86400 &lt; 300, "3. 1m - &lt;5m",
    AC1062*86400 &lt; 1800, "4. 5m - &lt;30m",
    TRUE, "5. &gt;= 30m"
),"6. Invalid (Order rejected)")</f>
        <v>5. &gt;= 30m</v>
      </c>
    </row>
    <row r="1063" spans="1:30" x14ac:dyDescent="0.3">
      <c r="A1063" t="s">
        <v>6428</v>
      </c>
      <c r="B1063" t="s">
        <v>1345</v>
      </c>
      <c r="C1063">
        <v>42787717</v>
      </c>
      <c r="D1063">
        <v>3370641</v>
      </c>
      <c r="E1063" t="s">
        <v>25</v>
      </c>
      <c r="F1063" t="s">
        <v>75</v>
      </c>
      <c r="G1063" t="s">
        <v>360</v>
      </c>
      <c r="H1063" t="s">
        <v>6429</v>
      </c>
      <c r="I1063" t="s">
        <v>6430</v>
      </c>
      <c r="J1063" t="s">
        <v>6431</v>
      </c>
      <c r="K1063" t="s">
        <v>26</v>
      </c>
      <c r="L1063" t="s">
        <v>25</v>
      </c>
      <c r="M1063" t="s">
        <v>25</v>
      </c>
      <c r="N1063" t="s">
        <v>1568</v>
      </c>
      <c r="O1063" t="s">
        <v>1569</v>
      </c>
      <c r="P1063" t="s">
        <v>1570</v>
      </c>
      <c r="Q1063" t="s">
        <v>1571</v>
      </c>
      <c r="R1063">
        <v>249264</v>
      </c>
      <c r="S1063">
        <v>193237</v>
      </c>
      <c r="T1063">
        <v>56027</v>
      </c>
      <c r="U1063" t="s">
        <v>35</v>
      </c>
      <c r="V1063" t="s">
        <v>1572</v>
      </c>
      <c r="W1063" t="s">
        <v>1573</v>
      </c>
      <c r="X1063" s="4">
        <v>1</v>
      </c>
      <c r="Y1063" s="4"/>
      <c r="Z1063">
        <f t="shared" si="64"/>
        <v>7</v>
      </c>
      <c r="AA1063">
        <f t="shared" si="65"/>
        <v>16</v>
      </c>
      <c r="AB1063" s="5">
        <f t="shared" si="66"/>
        <v>0.3113310185217415</v>
      </c>
      <c r="AC1063" s="3" t="str">
        <f t="shared" si="67"/>
        <v>Order rejected, no time available</v>
      </c>
      <c r="AD1063" t="str" cm="1">
        <f t="array" ref="AD1063">IFERROR(_xlfn.IFS(
    AC1063="", "",
    AC1063*86400 &lt; 30, "1. 0s - &lt;30s",
    AC1063*86400 &lt; 60, "2. 30s - &lt;1m",
    AC1063*86400 &lt; 300, "3. 1m - &lt;5m",
    AC1063*86400 &lt; 1800, "4. 5m - &lt;30m",
    TRUE, "5. &gt;= 30m"
),"6. Invalid (Order rejected)")</f>
        <v>6. Invalid (Order rejected)</v>
      </c>
    </row>
    <row r="1064" spans="1:30" hidden="1" x14ac:dyDescent="0.3">
      <c r="A1064" t="s">
        <v>6432</v>
      </c>
      <c r="B1064" t="s">
        <v>1345</v>
      </c>
      <c r="C1064">
        <v>42787717</v>
      </c>
      <c r="D1064">
        <v>0</v>
      </c>
      <c r="E1064" t="s">
        <v>25</v>
      </c>
      <c r="F1064" t="s">
        <v>26</v>
      </c>
      <c r="G1064" t="s">
        <v>27</v>
      </c>
      <c r="H1064" t="s">
        <v>6433</v>
      </c>
      <c r="I1064" t="s">
        <v>6434</v>
      </c>
      <c r="J1064" t="s">
        <v>26</v>
      </c>
      <c r="K1064" t="s">
        <v>26</v>
      </c>
      <c r="L1064" t="s">
        <v>6435</v>
      </c>
      <c r="M1064" t="s">
        <v>25</v>
      </c>
      <c r="N1064" t="s">
        <v>1588</v>
      </c>
      <c r="O1064" t="s">
        <v>1589</v>
      </c>
      <c r="P1064" t="s">
        <v>246</v>
      </c>
      <c r="Q1064" t="s">
        <v>247</v>
      </c>
      <c r="R1064">
        <v>175716</v>
      </c>
      <c r="S1064">
        <v>0</v>
      </c>
      <c r="T1064">
        <v>175716</v>
      </c>
      <c r="U1064" t="s">
        <v>35</v>
      </c>
      <c r="V1064" t="s">
        <v>1592</v>
      </c>
      <c r="W1064" t="s">
        <v>249</v>
      </c>
      <c r="X1064" s="4">
        <v>1</v>
      </c>
      <c r="Y1064" s="4"/>
      <c r="Z1064">
        <f t="shared" si="64"/>
        <v>7</v>
      </c>
      <c r="AA1064">
        <f t="shared" si="65"/>
        <v>16</v>
      </c>
      <c r="AB1064" s="5">
        <f t="shared" si="66"/>
        <v>0.31672453703504289</v>
      </c>
      <c r="AC1064" s="3">
        <f t="shared" si="67"/>
        <v>9.0266203704231884E-2</v>
      </c>
      <c r="AD1064" t="str" cm="1">
        <f t="array" ref="AD1064">IFERROR(_xlfn.IFS(
    AC1064="", "",
    AC1064*86400 &lt; 30, "1. 0s - &lt;30s",
    AC1064*86400 &lt; 60, "2. 30s - &lt;1m",
    AC1064*86400 &lt; 300, "3. 1m - &lt;5m",
    AC1064*86400 &lt; 1800, "4. 5m - &lt;30m",
    TRUE, "5. &gt;= 30m"
),"6. Invalid (Order rejected)")</f>
        <v>5. &gt;= 30m</v>
      </c>
    </row>
    <row r="1065" spans="1:30" hidden="1" x14ac:dyDescent="0.3">
      <c r="A1065" t="s">
        <v>6436</v>
      </c>
      <c r="B1065" t="s">
        <v>1345</v>
      </c>
      <c r="C1065">
        <v>42787717</v>
      </c>
      <c r="D1065">
        <v>3227083</v>
      </c>
      <c r="E1065" t="s">
        <v>25</v>
      </c>
      <c r="F1065" t="s">
        <v>75</v>
      </c>
      <c r="G1065" t="s">
        <v>76</v>
      </c>
      <c r="H1065" t="s">
        <v>6437</v>
      </c>
      <c r="I1065" t="s">
        <v>6438</v>
      </c>
      <c r="J1065" t="s">
        <v>6439</v>
      </c>
      <c r="K1065" t="s">
        <v>6440</v>
      </c>
      <c r="L1065" t="s">
        <v>6441</v>
      </c>
      <c r="M1065" t="s">
        <v>25</v>
      </c>
      <c r="N1065" t="s">
        <v>1588</v>
      </c>
      <c r="O1065" t="s">
        <v>1589</v>
      </c>
      <c r="P1065" t="s">
        <v>6442</v>
      </c>
      <c r="Q1065" t="s">
        <v>6443</v>
      </c>
      <c r="R1065">
        <v>177336</v>
      </c>
      <c r="S1065">
        <v>145563</v>
      </c>
      <c r="T1065">
        <v>31773</v>
      </c>
      <c r="U1065" t="s">
        <v>35</v>
      </c>
      <c r="V1065" t="s">
        <v>1592</v>
      </c>
      <c r="W1065" t="s">
        <v>6444</v>
      </c>
      <c r="X1065" s="4">
        <v>1</v>
      </c>
      <c r="Y1065" s="4"/>
      <c r="Z1065">
        <f t="shared" si="64"/>
        <v>7</v>
      </c>
      <c r="AA1065">
        <f t="shared" si="65"/>
        <v>16</v>
      </c>
      <c r="AB1065" s="5">
        <f t="shared" si="66"/>
        <v>0.31593750000320142</v>
      </c>
      <c r="AC1065" s="3">
        <f t="shared" si="67"/>
        <v>0.12442129629198462</v>
      </c>
      <c r="AD1065" t="str" cm="1">
        <f t="array" ref="AD1065">IFERROR(_xlfn.IFS(
    AC1065="", "",
    AC1065*86400 &lt; 30, "1. 0s - &lt;30s",
    AC1065*86400 &lt; 60, "2. 30s - &lt;1m",
    AC1065*86400 &lt; 300, "3. 1m - &lt;5m",
    AC1065*86400 &lt; 1800, "4. 5m - &lt;30m",
    TRUE, "5. &gt;= 30m"
),"6. Invalid (Order rejected)")</f>
        <v>5. &gt;= 30m</v>
      </c>
    </row>
    <row r="1066" spans="1:30" hidden="1" x14ac:dyDescent="0.3">
      <c r="A1066" t="s">
        <v>6445</v>
      </c>
      <c r="B1066" t="s">
        <v>1345</v>
      </c>
      <c r="C1066">
        <v>42787717</v>
      </c>
      <c r="D1066">
        <v>0</v>
      </c>
      <c r="E1066" t="s">
        <v>25</v>
      </c>
      <c r="F1066" t="s">
        <v>26</v>
      </c>
      <c r="G1066" t="s">
        <v>27</v>
      </c>
      <c r="H1066" t="s">
        <v>6446</v>
      </c>
      <c r="I1066" t="s">
        <v>6447</v>
      </c>
      <c r="J1066" t="s">
        <v>26</v>
      </c>
      <c r="K1066" t="s">
        <v>26</v>
      </c>
      <c r="L1066" t="s">
        <v>6448</v>
      </c>
      <c r="M1066" t="s">
        <v>25</v>
      </c>
      <c r="N1066" t="s">
        <v>1702</v>
      </c>
      <c r="O1066" t="s">
        <v>1703</v>
      </c>
      <c r="P1066" t="s">
        <v>6449</v>
      </c>
      <c r="Q1066" t="s">
        <v>6450</v>
      </c>
      <c r="R1066">
        <v>397116</v>
      </c>
      <c r="S1066">
        <v>0</v>
      </c>
      <c r="T1066">
        <v>397116</v>
      </c>
      <c r="U1066" t="s">
        <v>35</v>
      </c>
      <c r="V1066" t="s">
        <v>1706</v>
      </c>
      <c r="W1066" t="s">
        <v>6451</v>
      </c>
      <c r="X1066" s="4">
        <v>1</v>
      </c>
      <c r="Y1066" s="4"/>
      <c r="Z1066">
        <f t="shared" si="64"/>
        <v>7</v>
      </c>
      <c r="AA1066">
        <f t="shared" si="65"/>
        <v>16</v>
      </c>
      <c r="AB1066" s="5">
        <f t="shared" si="66"/>
        <v>0.32321759259502869</v>
      </c>
      <c r="AC1066" s="3">
        <f t="shared" si="67"/>
        <v>9.2129629629198462E-2</v>
      </c>
      <c r="AD1066" t="str" cm="1">
        <f t="array" ref="AD1066">IFERROR(_xlfn.IFS(
    AC1066="", "",
    AC1066*86400 &lt; 30, "1. 0s - &lt;30s",
    AC1066*86400 &lt; 60, "2. 30s - &lt;1m",
    AC1066*86400 &lt; 300, "3. 1m - &lt;5m",
    AC1066*86400 &lt; 1800, "4. 5m - &lt;30m",
    TRUE, "5. &gt;= 30m"
),"6. Invalid (Order rejected)")</f>
        <v>5. &gt;= 30m</v>
      </c>
    </row>
    <row r="1067" spans="1:30" hidden="1" x14ac:dyDescent="0.3">
      <c r="A1067" t="s">
        <v>6452</v>
      </c>
      <c r="B1067" t="s">
        <v>1345</v>
      </c>
      <c r="C1067">
        <v>42787717</v>
      </c>
      <c r="D1067">
        <v>0</v>
      </c>
      <c r="E1067" t="s">
        <v>25</v>
      </c>
      <c r="F1067" t="s">
        <v>26</v>
      </c>
      <c r="G1067" t="s">
        <v>27</v>
      </c>
      <c r="H1067" t="s">
        <v>6453</v>
      </c>
      <c r="I1067" t="s">
        <v>6454</v>
      </c>
      <c r="J1067" t="s">
        <v>26</v>
      </c>
      <c r="K1067" t="s">
        <v>26</v>
      </c>
      <c r="L1067" t="s">
        <v>6455</v>
      </c>
      <c r="M1067" t="s">
        <v>25</v>
      </c>
      <c r="N1067" t="s">
        <v>1702</v>
      </c>
      <c r="O1067" t="s">
        <v>1703</v>
      </c>
      <c r="P1067" t="s">
        <v>6456</v>
      </c>
      <c r="Q1067" t="s">
        <v>6457</v>
      </c>
      <c r="R1067">
        <v>307152</v>
      </c>
      <c r="S1067">
        <v>0</v>
      </c>
      <c r="T1067">
        <v>307152</v>
      </c>
      <c r="U1067" t="s">
        <v>35</v>
      </c>
      <c r="V1067" t="s">
        <v>1706</v>
      </c>
      <c r="W1067" t="s">
        <v>6451</v>
      </c>
      <c r="X1067" s="4">
        <v>1</v>
      </c>
      <c r="Y1067" s="4"/>
      <c r="Z1067">
        <f t="shared" si="64"/>
        <v>7</v>
      </c>
      <c r="AA1067">
        <f t="shared" si="65"/>
        <v>16</v>
      </c>
      <c r="AB1067" s="5">
        <f t="shared" si="66"/>
        <v>0.32336805555678438</v>
      </c>
      <c r="AC1067" s="3">
        <f t="shared" si="67"/>
        <v>9.0277777773735579E-2</v>
      </c>
      <c r="AD1067" t="str" cm="1">
        <f t="array" ref="AD1067">IFERROR(_xlfn.IFS(
    AC1067="", "",
    AC1067*86400 &lt; 30, "1. 0s - &lt;30s",
    AC1067*86400 &lt; 60, "2. 30s - &lt;1m",
    AC1067*86400 &lt; 300, "3. 1m - &lt;5m",
    AC1067*86400 &lt; 1800, "4. 5m - &lt;30m",
    TRUE, "5. &gt;= 30m"
),"6. Invalid (Order rejected)")</f>
        <v>5. &gt;= 30m</v>
      </c>
    </row>
    <row r="1068" spans="1:30" hidden="1" x14ac:dyDescent="0.3">
      <c r="A1068" t="s">
        <v>6458</v>
      </c>
      <c r="B1068" t="s">
        <v>1345</v>
      </c>
      <c r="C1068">
        <v>42787717</v>
      </c>
      <c r="D1068">
        <v>0</v>
      </c>
      <c r="E1068" t="s">
        <v>25</v>
      </c>
      <c r="F1068" t="s">
        <v>26</v>
      </c>
      <c r="G1068" t="s">
        <v>27</v>
      </c>
      <c r="H1068" t="s">
        <v>6459</v>
      </c>
      <c r="I1068" t="s">
        <v>6460</v>
      </c>
      <c r="J1068" t="s">
        <v>26</v>
      </c>
      <c r="K1068" t="s">
        <v>26</v>
      </c>
      <c r="L1068" t="s">
        <v>6461</v>
      </c>
      <c r="M1068" t="s">
        <v>25</v>
      </c>
      <c r="N1068" t="s">
        <v>1684</v>
      </c>
      <c r="O1068" t="s">
        <v>1685</v>
      </c>
      <c r="P1068" t="s">
        <v>1686</v>
      </c>
      <c r="Q1068" t="s">
        <v>1687</v>
      </c>
      <c r="R1068">
        <v>252504</v>
      </c>
      <c r="S1068">
        <v>0</v>
      </c>
      <c r="T1068">
        <v>252504</v>
      </c>
      <c r="U1068" t="s">
        <v>35</v>
      </c>
      <c r="V1068" t="s">
        <v>1688</v>
      </c>
      <c r="W1068" t="s">
        <v>1689</v>
      </c>
      <c r="X1068" s="4">
        <v>1</v>
      </c>
      <c r="Y1068" s="4"/>
      <c r="Z1068">
        <f t="shared" si="64"/>
        <v>7</v>
      </c>
      <c r="AA1068">
        <f t="shared" si="65"/>
        <v>16</v>
      </c>
      <c r="AB1068" s="5">
        <f t="shared" si="66"/>
        <v>0.32730324073781958</v>
      </c>
      <c r="AC1068" s="3">
        <f t="shared" si="67"/>
        <v>9.0266203704231884E-2</v>
      </c>
      <c r="AD1068" t="str" cm="1">
        <f t="array" ref="AD1068">IFERROR(_xlfn.IFS(
    AC1068="", "",
    AC1068*86400 &lt; 30, "1. 0s - &lt;30s",
    AC1068*86400 &lt; 60, "2. 30s - &lt;1m",
    AC1068*86400 &lt; 300, "3. 1m - &lt;5m",
    AC1068*86400 &lt; 1800, "4. 5m - &lt;30m",
    TRUE, "5. &gt;= 30m"
),"6. Invalid (Order rejected)")</f>
        <v>5. &gt;= 30m</v>
      </c>
    </row>
    <row r="1069" spans="1:30" x14ac:dyDescent="0.3">
      <c r="A1069" t="s">
        <v>6462</v>
      </c>
      <c r="B1069" t="s">
        <v>1345</v>
      </c>
      <c r="C1069">
        <v>42787717</v>
      </c>
      <c r="D1069">
        <v>3737957</v>
      </c>
      <c r="E1069" t="s">
        <v>25</v>
      </c>
      <c r="F1069" t="s">
        <v>75</v>
      </c>
      <c r="G1069" t="s">
        <v>360</v>
      </c>
      <c r="H1069" t="s">
        <v>6463</v>
      </c>
      <c r="I1069" t="s">
        <v>6464</v>
      </c>
      <c r="J1069" t="s">
        <v>1358</v>
      </c>
      <c r="K1069" t="s">
        <v>26</v>
      </c>
      <c r="L1069" t="s">
        <v>25</v>
      </c>
      <c r="M1069" t="s">
        <v>25</v>
      </c>
      <c r="N1069" t="s">
        <v>1664</v>
      </c>
      <c r="O1069" t="s">
        <v>1665</v>
      </c>
      <c r="P1069" t="s">
        <v>6465</v>
      </c>
      <c r="Q1069" t="s">
        <v>6466</v>
      </c>
      <c r="R1069">
        <v>425628</v>
      </c>
      <c r="S1069">
        <v>329960</v>
      </c>
      <c r="T1069">
        <v>95668</v>
      </c>
      <c r="U1069" t="s">
        <v>35</v>
      </c>
      <c r="V1069" t="s">
        <v>1668</v>
      </c>
      <c r="W1069" t="s">
        <v>6467</v>
      </c>
      <c r="X1069" s="4">
        <v>1</v>
      </c>
      <c r="Y1069" s="4"/>
      <c r="Z1069">
        <f t="shared" si="64"/>
        <v>7</v>
      </c>
      <c r="AA1069">
        <f t="shared" si="65"/>
        <v>16</v>
      </c>
      <c r="AB1069" s="5">
        <f t="shared" si="66"/>
        <v>0.32440972221957054</v>
      </c>
      <c r="AC1069" s="3" t="str">
        <f t="shared" si="67"/>
        <v>Order rejected, no time available</v>
      </c>
      <c r="AD1069" t="str" cm="1">
        <f t="array" ref="AD1069">IFERROR(_xlfn.IFS(
    AC1069="", "",
    AC1069*86400 &lt; 30, "1. 0s - &lt;30s",
    AC1069*86400 &lt; 60, "2. 30s - &lt;1m",
    AC1069*86400 &lt; 300, "3. 1m - &lt;5m",
    AC1069*86400 &lt; 1800, "4. 5m - &lt;30m",
    TRUE, "5. &gt;= 30m"
),"6. Invalid (Order rejected)")</f>
        <v>6. Invalid (Order rejected)</v>
      </c>
    </row>
    <row r="1070" spans="1:30" hidden="1" x14ac:dyDescent="0.3">
      <c r="A1070" t="s">
        <v>6468</v>
      </c>
      <c r="B1070" t="s">
        <v>1345</v>
      </c>
      <c r="C1070">
        <v>42787717</v>
      </c>
      <c r="D1070">
        <v>0</v>
      </c>
      <c r="E1070" t="s">
        <v>25</v>
      </c>
      <c r="F1070" t="s">
        <v>26</v>
      </c>
      <c r="G1070" t="s">
        <v>27</v>
      </c>
      <c r="H1070" t="s">
        <v>6469</v>
      </c>
      <c r="I1070" t="s">
        <v>6470</v>
      </c>
      <c r="J1070" t="s">
        <v>26</v>
      </c>
      <c r="K1070" t="s">
        <v>26</v>
      </c>
      <c r="L1070" t="s">
        <v>6471</v>
      </c>
      <c r="M1070" t="s">
        <v>25</v>
      </c>
      <c r="N1070" t="s">
        <v>1716</v>
      </c>
      <c r="O1070" t="s">
        <v>1717</v>
      </c>
      <c r="P1070" t="s">
        <v>1624</v>
      </c>
      <c r="Q1070" t="s">
        <v>1625</v>
      </c>
      <c r="R1070">
        <v>212544</v>
      </c>
      <c r="S1070">
        <v>0</v>
      </c>
      <c r="T1070">
        <v>212544</v>
      </c>
      <c r="U1070" t="s">
        <v>35</v>
      </c>
      <c r="V1070" t="s">
        <v>1720</v>
      </c>
      <c r="W1070" t="s">
        <v>1626</v>
      </c>
      <c r="X1070" s="4">
        <v>1</v>
      </c>
      <c r="Y1070" s="4"/>
      <c r="Z1070">
        <f t="shared" si="64"/>
        <v>7</v>
      </c>
      <c r="AA1070">
        <f t="shared" si="65"/>
        <v>16</v>
      </c>
      <c r="AB1070" s="5">
        <f t="shared" si="66"/>
        <v>0.32576388888992369</v>
      </c>
      <c r="AC1070" s="3">
        <f t="shared" si="67"/>
        <v>9.0277777773735579E-2</v>
      </c>
      <c r="AD1070" t="str" cm="1">
        <f t="array" ref="AD1070">IFERROR(_xlfn.IFS(
    AC1070="", "",
    AC1070*86400 &lt; 30, "1. 0s - &lt;30s",
    AC1070*86400 &lt; 60, "2. 30s - &lt;1m",
    AC1070*86400 &lt; 300, "3. 1m - &lt;5m",
    AC1070*86400 &lt; 1800, "4. 5m - &lt;30m",
    TRUE, "5. &gt;= 30m"
),"6. Invalid (Order rejected)")</f>
        <v>5. &gt;= 30m</v>
      </c>
    </row>
    <row r="1071" spans="1:30" hidden="1" x14ac:dyDescent="0.3">
      <c r="A1071" t="s">
        <v>6472</v>
      </c>
      <c r="B1071" t="s">
        <v>1345</v>
      </c>
      <c r="C1071">
        <v>42787717</v>
      </c>
      <c r="D1071">
        <v>0</v>
      </c>
      <c r="E1071" t="s">
        <v>25</v>
      </c>
      <c r="F1071" t="s">
        <v>26</v>
      </c>
      <c r="G1071" t="s">
        <v>27</v>
      </c>
      <c r="H1071" t="s">
        <v>6473</v>
      </c>
      <c r="I1071" t="s">
        <v>6474</v>
      </c>
      <c r="J1071" t="s">
        <v>26</v>
      </c>
      <c r="K1071" t="s">
        <v>26</v>
      </c>
      <c r="L1071" t="s">
        <v>6475</v>
      </c>
      <c r="M1071" t="s">
        <v>25</v>
      </c>
      <c r="N1071" t="s">
        <v>1642</v>
      </c>
      <c r="O1071" t="s">
        <v>1643</v>
      </c>
      <c r="P1071" t="s">
        <v>1741</v>
      </c>
      <c r="Q1071" t="s">
        <v>1742</v>
      </c>
      <c r="R1071">
        <v>274428</v>
      </c>
      <c r="S1071">
        <v>0</v>
      </c>
      <c r="T1071">
        <v>274428</v>
      </c>
      <c r="U1071" t="s">
        <v>35</v>
      </c>
      <c r="V1071" t="s">
        <v>1646</v>
      </c>
      <c r="W1071" t="s">
        <v>1743</v>
      </c>
      <c r="X1071" s="4">
        <v>1</v>
      </c>
      <c r="Y1071" s="4"/>
      <c r="Z1071">
        <f t="shared" si="64"/>
        <v>7</v>
      </c>
      <c r="AA1071">
        <f t="shared" si="65"/>
        <v>16</v>
      </c>
      <c r="AB1071" s="5">
        <f t="shared" si="66"/>
        <v>0.32219907407124992</v>
      </c>
      <c r="AC1071" s="3">
        <f t="shared" si="67"/>
        <v>9.0277777781011537E-2</v>
      </c>
      <c r="AD1071" t="str" cm="1">
        <f t="array" ref="AD1071">IFERROR(_xlfn.IFS(
    AC1071="", "",
    AC1071*86400 &lt; 30, "1. 0s - &lt;30s",
    AC1071*86400 &lt; 60, "2. 30s - &lt;1m",
    AC1071*86400 &lt; 300, "3. 1m - &lt;5m",
    AC1071*86400 &lt; 1800, "4. 5m - &lt;30m",
    TRUE, "5. &gt;= 30m"
),"6. Invalid (Order rejected)")</f>
        <v>5. &gt;= 30m</v>
      </c>
    </row>
    <row r="1072" spans="1:30" hidden="1" x14ac:dyDescent="0.3">
      <c r="A1072" t="s">
        <v>6476</v>
      </c>
      <c r="B1072" t="s">
        <v>1345</v>
      </c>
      <c r="C1072">
        <v>42787717</v>
      </c>
      <c r="D1072">
        <v>0</v>
      </c>
      <c r="E1072" t="s">
        <v>25</v>
      </c>
      <c r="F1072" t="s">
        <v>26</v>
      </c>
      <c r="G1072" t="s">
        <v>27</v>
      </c>
      <c r="H1072" t="s">
        <v>6477</v>
      </c>
      <c r="I1072" t="s">
        <v>6478</v>
      </c>
      <c r="J1072" t="s">
        <v>26</v>
      </c>
      <c r="K1072" t="s">
        <v>26</v>
      </c>
      <c r="L1072" t="s">
        <v>6479</v>
      </c>
      <c r="M1072" t="s">
        <v>25</v>
      </c>
      <c r="N1072" t="s">
        <v>1716</v>
      </c>
      <c r="O1072" t="s">
        <v>1717</v>
      </c>
      <c r="P1072" t="s">
        <v>1624</v>
      </c>
      <c r="Q1072" t="s">
        <v>1625</v>
      </c>
      <c r="R1072">
        <v>293220</v>
      </c>
      <c r="S1072">
        <v>0</v>
      </c>
      <c r="T1072">
        <v>293220</v>
      </c>
      <c r="U1072" t="s">
        <v>35</v>
      </c>
      <c r="V1072" t="s">
        <v>1720</v>
      </c>
      <c r="W1072" t="s">
        <v>1626</v>
      </c>
      <c r="X1072" s="4">
        <v>1</v>
      </c>
      <c r="Y1072" s="4"/>
      <c r="Z1072">
        <f t="shared" si="64"/>
        <v>7</v>
      </c>
      <c r="AA1072">
        <f t="shared" si="65"/>
        <v>16</v>
      </c>
      <c r="AB1072" s="5">
        <f t="shared" si="66"/>
        <v>0.32593749999796273</v>
      </c>
      <c r="AC1072" s="3">
        <f t="shared" si="67"/>
        <v>9.0277777781011537E-2</v>
      </c>
      <c r="AD1072" t="str" cm="1">
        <f t="array" ref="AD1072">IFERROR(_xlfn.IFS(
    AC1072="", "",
    AC1072*86400 &lt; 30, "1. 0s - &lt;30s",
    AC1072*86400 &lt; 60, "2. 30s - &lt;1m",
    AC1072*86400 &lt; 300, "3. 1m - &lt;5m",
    AC1072*86400 &lt; 1800, "4. 5m - &lt;30m",
    TRUE, "5. &gt;= 30m"
),"6. Invalid (Order rejected)")</f>
        <v>5. &gt;= 30m</v>
      </c>
    </row>
    <row r="1073" spans="1:30" hidden="1" x14ac:dyDescent="0.3">
      <c r="A1073" t="s">
        <v>6480</v>
      </c>
      <c r="B1073" t="s">
        <v>1345</v>
      </c>
      <c r="C1073">
        <v>42787717</v>
      </c>
      <c r="D1073">
        <v>4729280</v>
      </c>
      <c r="E1073" t="s">
        <v>25</v>
      </c>
      <c r="F1073" t="s">
        <v>75</v>
      </c>
      <c r="G1073" t="s">
        <v>76</v>
      </c>
      <c r="H1073" t="s">
        <v>6481</v>
      </c>
      <c r="I1073" t="s">
        <v>6482</v>
      </c>
      <c r="J1073" t="s">
        <v>6483</v>
      </c>
      <c r="K1073" t="s">
        <v>26</v>
      </c>
      <c r="L1073" t="s">
        <v>6484</v>
      </c>
      <c r="M1073" t="s">
        <v>25</v>
      </c>
      <c r="N1073" t="s">
        <v>1664</v>
      </c>
      <c r="O1073" t="s">
        <v>1665</v>
      </c>
      <c r="P1073" t="s">
        <v>1666</v>
      </c>
      <c r="Q1073" t="s">
        <v>1667</v>
      </c>
      <c r="R1073">
        <v>410076</v>
      </c>
      <c r="S1073">
        <v>317904</v>
      </c>
      <c r="T1073">
        <v>92172</v>
      </c>
      <c r="U1073" t="s">
        <v>35</v>
      </c>
      <c r="V1073" t="s">
        <v>1668</v>
      </c>
      <c r="W1073" t="s">
        <v>1669</v>
      </c>
      <c r="X1073" s="4">
        <v>1</v>
      </c>
      <c r="Y1073" s="4"/>
      <c r="Z1073">
        <f t="shared" si="64"/>
        <v>7</v>
      </c>
      <c r="AA1073">
        <f t="shared" si="65"/>
        <v>16</v>
      </c>
      <c r="AB1073" s="5">
        <f t="shared" si="66"/>
        <v>0.3240972222192795</v>
      </c>
      <c r="AC1073" s="3">
        <f t="shared" si="67"/>
        <v>5.1018518519413192E-2</v>
      </c>
      <c r="AD1073" t="str" cm="1">
        <f t="array" ref="AD1073">IFERROR(_xlfn.IFS(
    AC1073="", "",
    AC1073*86400 &lt; 30, "1. 0s - &lt;30s",
    AC1073*86400 &lt; 60, "2. 30s - &lt;1m",
    AC1073*86400 &lt; 300, "3. 1m - &lt;5m",
    AC1073*86400 &lt; 1800, "4. 5m - &lt;30m",
    TRUE, "5. &gt;= 30m"
),"6. Invalid (Order rejected)")</f>
        <v>5. &gt;= 30m</v>
      </c>
    </row>
    <row r="1074" spans="1:30" x14ac:dyDescent="0.3">
      <c r="A1074" t="s">
        <v>6485</v>
      </c>
      <c r="B1074" t="s">
        <v>1345</v>
      </c>
      <c r="C1074">
        <v>42787717</v>
      </c>
      <c r="D1074">
        <v>4432422</v>
      </c>
      <c r="E1074" t="s">
        <v>25</v>
      </c>
      <c r="F1074" t="s">
        <v>75</v>
      </c>
      <c r="G1074" t="s">
        <v>360</v>
      </c>
      <c r="H1074" t="s">
        <v>6486</v>
      </c>
      <c r="I1074" t="s">
        <v>6487</v>
      </c>
      <c r="J1074" t="s">
        <v>6488</v>
      </c>
      <c r="K1074" t="s">
        <v>26</v>
      </c>
      <c r="L1074" t="s">
        <v>25</v>
      </c>
      <c r="M1074" t="s">
        <v>25</v>
      </c>
      <c r="N1074" t="s">
        <v>1756</v>
      </c>
      <c r="O1074" t="s">
        <v>1757</v>
      </c>
      <c r="P1074" t="s">
        <v>6489</v>
      </c>
      <c r="Q1074" t="s">
        <v>6490</v>
      </c>
      <c r="R1074">
        <v>143208</v>
      </c>
      <c r="S1074">
        <v>111019</v>
      </c>
      <c r="T1074">
        <v>32189</v>
      </c>
      <c r="U1074" t="s">
        <v>35</v>
      </c>
      <c r="V1074" t="s">
        <v>1760</v>
      </c>
      <c r="W1074" t="s">
        <v>6491</v>
      </c>
      <c r="X1074" s="4">
        <v>1</v>
      </c>
      <c r="Y1074" s="4"/>
      <c r="Z1074">
        <f t="shared" si="64"/>
        <v>7</v>
      </c>
      <c r="AA1074">
        <f t="shared" si="65"/>
        <v>16</v>
      </c>
      <c r="AB1074" s="5">
        <f t="shared" si="66"/>
        <v>0.33170138888817746</v>
      </c>
      <c r="AC1074" s="3" t="str">
        <f t="shared" si="67"/>
        <v>Order rejected, no time available</v>
      </c>
      <c r="AD1074" t="str" cm="1">
        <f t="array" ref="AD1074">IFERROR(_xlfn.IFS(
    AC1074="", "",
    AC1074*86400 &lt; 30, "1. 0s - &lt;30s",
    AC1074*86400 &lt; 60, "2. 30s - &lt;1m",
    AC1074*86400 &lt; 300, "3. 1m - &lt;5m",
    AC1074*86400 &lt; 1800, "4. 5m - &lt;30m",
    TRUE, "5. &gt;= 30m"
),"6. Invalid (Order rejected)")</f>
        <v>6. Invalid (Order rejected)</v>
      </c>
    </row>
    <row r="1075" spans="1:30" hidden="1" x14ac:dyDescent="0.3">
      <c r="A1075" t="s">
        <v>6492</v>
      </c>
      <c r="B1075" t="s">
        <v>1345</v>
      </c>
      <c r="C1075">
        <v>42787717</v>
      </c>
      <c r="D1075">
        <v>0</v>
      </c>
      <c r="E1075" t="s">
        <v>25</v>
      </c>
      <c r="F1075" t="s">
        <v>26</v>
      </c>
      <c r="G1075" t="s">
        <v>27</v>
      </c>
      <c r="H1075" t="s">
        <v>6493</v>
      </c>
      <c r="I1075" t="s">
        <v>6494</v>
      </c>
      <c r="J1075" t="s">
        <v>26</v>
      </c>
      <c r="K1075" t="s">
        <v>26</v>
      </c>
      <c r="L1075" t="s">
        <v>6495</v>
      </c>
      <c r="M1075" t="s">
        <v>25</v>
      </c>
      <c r="N1075" t="s">
        <v>1716</v>
      </c>
      <c r="O1075" t="s">
        <v>1717</v>
      </c>
      <c r="P1075" t="s">
        <v>1624</v>
      </c>
      <c r="Q1075" t="s">
        <v>1625</v>
      </c>
      <c r="R1075">
        <v>201744</v>
      </c>
      <c r="S1075">
        <v>0</v>
      </c>
      <c r="T1075">
        <v>201744</v>
      </c>
      <c r="U1075" t="s">
        <v>35</v>
      </c>
      <c r="V1075" t="s">
        <v>1720</v>
      </c>
      <c r="W1075" t="s">
        <v>1626</v>
      </c>
      <c r="X1075" s="4">
        <v>1</v>
      </c>
      <c r="Y1075" s="4"/>
      <c r="Z1075">
        <f t="shared" si="64"/>
        <v>7</v>
      </c>
      <c r="AA1075">
        <f t="shared" si="65"/>
        <v>16</v>
      </c>
      <c r="AB1075" s="5">
        <f t="shared" si="66"/>
        <v>0.32612268518278142</v>
      </c>
      <c r="AC1075" s="3">
        <f t="shared" si="67"/>
        <v>9.0266203704231884E-2</v>
      </c>
      <c r="AD1075" t="str" cm="1">
        <f t="array" ref="AD1075">IFERROR(_xlfn.IFS(
    AC1075="", "",
    AC1075*86400 &lt; 30, "1. 0s - &lt;30s",
    AC1075*86400 &lt; 60, "2. 30s - &lt;1m",
    AC1075*86400 &lt; 300, "3. 1m - &lt;5m",
    AC1075*86400 &lt; 1800, "4. 5m - &lt;30m",
    TRUE, "5. &gt;= 30m"
),"6. Invalid (Order rejected)")</f>
        <v>5. &gt;= 30m</v>
      </c>
    </row>
    <row r="1076" spans="1:30" hidden="1" x14ac:dyDescent="0.3">
      <c r="A1076" t="s">
        <v>6496</v>
      </c>
      <c r="B1076" t="s">
        <v>1345</v>
      </c>
      <c r="C1076">
        <v>42787717</v>
      </c>
      <c r="D1076">
        <v>0</v>
      </c>
      <c r="E1076" t="s">
        <v>25</v>
      </c>
      <c r="F1076" t="s">
        <v>26</v>
      </c>
      <c r="G1076" t="s">
        <v>27</v>
      </c>
      <c r="H1076" t="s">
        <v>6497</v>
      </c>
      <c r="I1076" t="s">
        <v>6498</v>
      </c>
      <c r="J1076" t="s">
        <v>26</v>
      </c>
      <c r="K1076" t="s">
        <v>26</v>
      </c>
      <c r="L1076" t="s">
        <v>6499</v>
      </c>
      <c r="M1076" t="s">
        <v>25</v>
      </c>
      <c r="N1076" t="s">
        <v>1684</v>
      </c>
      <c r="O1076" t="s">
        <v>1685</v>
      </c>
      <c r="P1076" t="s">
        <v>6500</v>
      </c>
      <c r="Q1076" t="s">
        <v>6501</v>
      </c>
      <c r="R1076">
        <v>244080</v>
      </c>
      <c r="S1076">
        <v>0</v>
      </c>
      <c r="T1076">
        <v>244080</v>
      </c>
      <c r="U1076" t="s">
        <v>35</v>
      </c>
      <c r="V1076" t="s">
        <v>1688</v>
      </c>
      <c r="W1076" t="s">
        <v>6502</v>
      </c>
      <c r="X1076" s="4">
        <v>1</v>
      </c>
      <c r="Y1076" s="4"/>
      <c r="Z1076">
        <f t="shared" si="64"/>
        <v>7</v>
      </c>
      <c r="AA1076">
        <f t="shared" si="65"/>
        <v>16</v>
      </c>
      <c r="AB1076" s="5">
        <f t="shared" si="66"/>
        <v>0.32777777777664596</v>
      </c>
      <c r="AC1076" s="3">
        <f t="shared" si="67"/>
        <v>9.0277777781011537E-2</v>
      </c>
      <c r="AD1076" t="str" cm="1">
        <f t="array" ref="AD1076">IFERROR(_xlfn.IFS(
    AC1076="", "",
    AC1076*86400 &lt; 30, "1. 0s - &lt;30s",
    AC1076*86400 &lt; 60, "2. 30s - &lt;1m",
    AC1076*86400 &lt; 300, "3. 1m - &lt;5m",
    AC1076*86400 &lt; 1800, "4. 5m - &lt;30m",
    TRUE, "5. &gt;= 30m"
),"6. Invalid (Order rejected)")</f>
        <v>5. &gt;= 30m</v>
      </c>
    </row>
    <row r="1077" spans="1:30" hidden="1" x14ac:dyDescent="0.3">
      <c r="A1077" t="s">
        <v>6503</v>
      </c>
      <c r="B1077" t="s">
        <v>1345</v>
      </c>
      <c r="C1077">
        <v>42787717</v>
      </c>
      <c r="D1077">
        <v>0</v>
      </c>
      <c r="E1077" t="s">
        <v>25</v>
      </c>
      <c r="F1077" t="s">
        <v>26</v>
      </c>
      <c r="G1077" t="s">
        <v>27</v>
      </c>
      <c r="H1077" t="s">
        <v>6504</v>
      </c>
      <c r="I1077" t="s">
        <v>6505</v>
      </c>
      <c r="J1077" t="s">
        <v>26</v>
      </c>
      <c r="K1077" t="s">
        <v>26</v>
      </c>
      <c r="L1077" t="s">
        <v>6506</v>
      </c>
      <c r="M1077" t="s">
        <v>25</v>
      </c>
      <c r="N1077" t="s">
        <v>1756</v>
      </c>
      <c r="O1077" t="s">
        <v>1757</v>
      </c>
      <c r="P1077" t="s">
        <v>6507</v>
      </c>
      <c r="Q1077" t="s">
        <v>6508</v>
      </c>
      <c r="R1077">
        <v>178740</v>
      </c>
      <c r="S1077">
        <v>0</v>
      </c>
      <c r="T1077">
        <v>178740</v>
      </c>
      <c r="U1077" t="s">
        <v>35</v>
      </c>
      <c r="V1077" t="s">
        <v>1760</v>
      </c>
      <c r="W1077" t="s">
        <v>6509</v>
      </c>
      <c r="X1077" s="4">
        <v>1</v>
      </c>
      <c r="Y1077" s="4"/>
      <c r="Z1077">
        <f t="shared" si="64"/>
        <v>7</v>
      </c>
      <c r="AA1077">
        <f t="shared" si="65"/>
        <v>16</v>
      </c>
      <c r="AB1077" s="5">
        <f t="shared" si="66"/>
        <v>0.32995370370190358</v>
      </c>
      <c r="AC1077" s="3">
        <f t="shared" si="67"/>
        <v>9.0277777781011537E-2</v>
      </c>
      <c r="AD1077" t="str" cm="1">
        <f t="array" ref="AD1077">IFERROR(_xlfn.IFS(
    AC1077="", "",
    AC1077*86400 &lt; 30, "1. 0s - &lt;30s",
    AC1077*86400 &lt; 60, "2. 30s - &lt;1m",
    AC1077*86400 &lt; 300, "3. 1m - &lt;5m",
    AC1077*86400 &lt; 1800, "4. 5m - &lt;30m",
    TRUE, "5. &gt;= 30m"
),"6. Invalid (Order rejected)")</f>
        <v>5. &gt;= 30m</v>
      </c>
    </row>
    <row r="1078" spans="1:30" x14ac:dyDescent="0.3">
      <c r="A1078" t="s">
        <v>6510</v>
      </c>
      <c r="B1078" t="s">
        <v>1345</v>
      </c>
      <c r="C1078">
        <v>42787717</v>
      </c>
      <c r="D1078">
        <v>647565</v>
      </c>
      <c r="E1078" t="s">
        <v>25</v>
      </c>
      <c r="F1078" t="s">
        <v>75</v>
      </c>
      <c r="G1078" t="s">
        <v>360</v>
      </c>
      <c r="H1078" t="s">
        <v>6511</v>
      </c>
      <c r="I1078" t="s">
        <v>6512</v>
      </c>
      <c r="J1078" t="s">
        <v>6513</v>
      </c>
      <c r="K1078" t="s">
        <v>26</v>
      </c>
      <c r="L1078" t="s">
        <v>25</v>
      </c>
      <c r="M1078" t="s">
        <v>25</v>
      </c>
      <c r="N1078" t="s">
        <v>1756</v>
      </c>
      <c r="O1078" t="s">
        <v>1757</v>
      </c>
      <c r="P1078" t="s">
        <v>6514</v>
      </c>
      <c r="Q1078" t="s">
        <v>6515</v>
      </c>
      <c r="R1078">
        <v>142884</v>
      </c>
      <c r="S1078">
        <v>110768</v>
      </c>
      <c r="T1078">
        <v>32116</v>
      </c>
      <c r="U1078" t="s">
        <v>35</v>
      </c>
      <c r="V1078" t="s">
        <v>1760</v>
      </c>
      <c r="W1078" t="s">
        <v>6516</v>
      </c>
      <c r="X1078" s="4">
        <v>1</v>
      </c>
      <c r="Y1078" s="4"/>
      <c r="Z1078">
        <f t="shared" si="64"/>
        <v>7</v>
      </c>
      <c r="AA1078">
        <f t="shared" si="65"/>
        <v>16</v>
      </c>
      <c r="AB1078" s="5">
        <f t="shared" si="66"/>
        <v>0.33113425925694173</v>
      </c>
      <c r="AC1078" s="3" t="str">
        <f t="shared" si="67"/>
        <v>Order rejected, no time available</v>
      </c>
      <c r="AD1078" t="str" cm="1">
        <f t="array" ref="AD1078">IFERROR(_xlfn.IFS(
    AC1078="", "",
    AC1078*86400 &lt; 30, "1. 0s - &lt;30s",
    AC1078*86400 &lt; 60, "2. 30s - &lt;1m",
    AC1078*86400 &lt; 300, "3. 1m - &lt;5m",
    AC1078*86400 &lt; 1800, "4. 5m - &lt;30m",
    TRUE, "5. &gt;= 30m"
),"6. Invalid (Order rejected)")</f>
        <v>6. Invalid (Order rejected)</v>
      </c>
    </row>
    <row r="1079" spans="1:30" hidden="1" x14ac:dyDescent="0.3">
      <c r="A1079" t="s">
        <v>6517</v>
      </c>
      <c r="B1079" t="s">
        <v>1345</v>
      </c>
      <c r="C1079">
        <v>42787717</v>
      </c>
      <c r="D1079">
        <v>0</v>
      </c>
      <c r="E1079" t="s">
        <v>25</v>
      </c>
      <c r="F1079" t="s">
        <v>26</v>
      </c>
      <c r="G1079" t="s">
        <v>27</v>
      </c>
      <c r="H1079" t="s">
        <v>6518</v>
      </c>
      <c r="I1079" t="s">
        <v>6519</v>
      </c>
      <c r="J1079" t="s">
        <v>26</v>
      </c>
      <c r="K1079" t="s">
        <v>26</v>
      </c>
      <c r="L1079" t="s">
        <v>6520</v>
      </c>
      <c r="M1079" t="s">
        <v>25</v>
      </c>
      <c r="N1079" t="s">
        <v>1756</v>
      </c>
      <c r="O1079" t="s">
        <v>1757</v>
      </c>
      <c r="P1079" t="s">
        <v>169</v>
      </c>
      <c r="Q1079" t="s">
        <v>170</v>
      </c>
      <c r="R1079">
        <v>186948</v>
      </c>
      <c r="S1079">
        <v>0</v>
      </c>
      <c r="T1079">
        <v>186948</v>
      </c>
      <c r="U1079" t="s">
        <v>35</v>
      </c>
      <c r="V1079" t="s">
        <v>1760</v>
      </c>
      <c r="W1079" t="s">
        <v>171</v>
      </c>
      <c r="X1079" s="4">
        <v>1</v>
      </c>
      <c r="Y1079" s="4"/>
      <c r="Z1079">
        <f t="shared" si="64"/>
        <v>7</v>
      </c>
      <c r="AA1079">
        <f t="shared" si="65"/>
        <v>16</v>
      </c>
      <c r="AB1079" s="5">
        <f t="shared" si="66"/>
        <v>0.32967592592467554</v>
      </c>
      <c r="AC1079" s="3">
        <f t="shared" si="67"/>
        <v>9.0277777781011537E-2</v>
      </c>
      <c r="AD1079" t="str" cm="1">
        <f t="array" ref="AD1079">IFERROR(_xlfn.IFS(
    AC1079="", "",
    AC1079*86400 &lt; 30, "1. 0s - &lt;30s",
    AC1079*86400 &lt; 60, "2. 30s - &lt;1m",
    AC1079*86400 &lt; 300, "3. 1m - &lt;5m",
    AC1079*86400 &lt; 1800, "4. 5m - &lt;30m",
    TRUE, "5. &gt;= 30m"
),"6. Invalid (Order rejected)")</f>
        <v>5. &gt;= 30m</v>
      </c>
    </row>
    <row r="1080" spans="1:30" hidden="1" x14ac:dyDescent="0.3">
      <c r="A1080" t="s">
        <v>6521</v>
      </c>
      <c r="B1080" t="s">
        <v>1345</v>
      </c>
      <c r="C1080">
        <v>42787717</v>
      </c>
      <c r="D1080">
        <v>0</v>
      </c>
      <c r="E1080" t="s">
        <v>25</v>
      </c>
      <c r="F1080" t="s">
        <v>26</v>
      </c>
      <c r="G1080" t="s">
        <v>27</v>
      </c>
      <c r="H1080" t="s">
        <v>6522</v>
      </c>
      <c r="I1080" t="s">
        <v>6523</v>
      </c>
      <c r="J1080" t="s">
        <v>26</v>
      </c>
      <c r="K1080" t="s">
        <v>26</v>
      </c>
      <c r="L1080" t="s">
        <v>6524</v>
      </c>
      <c r="M1080" t="s">
        <v>25</v>
      </c>
      <c r="N1080" t="s">
        <v>1756</v>
      </c>
      <c r="O1080" t="s">
        <v>1757</v>
      </c>
      <c r="P1080" t="s">
        <v>6525</v>
      </c>
      <c r="Q1080" t="s">
        <v>6526</v>
      </c>
      <c r="R1080">
        <v>127656</v>
      </c>
      <c r="S1080">
        <v>0</v>
      </c>
      <c r="T1080">
        <v>127656</v>
      </c>
      <c r="U1080" t="s">
        <v>35</v>
      </c>
      <c r="V1080" t="s">
        <v>1760</v>
      </c>
      <c r="W1080" t="s">
        <v>6509</v>
      </c>
      <c r="X1080" s="4">
        <v>1</v>
      </c>
      <c r="Y1080" s="4"/>
      <c r="Z1080">
        <f t="shared" si="64"/>
        <v>7</v>
      </c>
      <c r="AA1080">
        <f t="shared" si="65"/>
        <v>16</v>
      </c>
      <c r="AB1080" s="5">
        <f t="shared" si="66"/>
        <v>0.32982638888643123</v>
      </c>
      <c r="AC1080" s="3">
        <f t="shared" si="67"/>
        <v>9.0277777781011537E-2</v>
      </c>
      <c r="AD1080" t="str" cm="1">
        <f t="array" ref="AD1080">IFERROR(_xlfn.IFS(
    AC1080="", "",
    AC1080*86400 &lt; 30, "1. 0s - &lt;30s",
    AC1080*86400 &lt; 60, "2. 30s - &lt;1m",
    AC1080*86400 &lt; 300, "3. 1m - &lt;5m",
    AC1080*86400 &lt; 1800, "4. 5m - &lt;30m",
    TRUE, "5. &gt;= 30m"
),"6. Invalid (Order rejected)")</f>
        <v>5. &gt;= 30m</v>
      </c>
    </row>
    <row r="1081" spans="1:30" hidden="1" x14ac:dyDescent="0.3">
      <c r="A1081" t="s">
        <v>6527</v>
      </c>
      <c r="B1081" t="s">
        <v>1345</v>
      </c>
      <c r="C1081">
        <v>42787717</v>
      </c>
      <c r="D1081">
        <v>0</v>
      </c>
      <c r="E1081" t="s">
        <v>25</v>
      </c>
      <c r="F1081" t="s">
        <v>26</v>
      </c>
      <c r="G1081" t="s">
        <v>27</v>
      </c>
      <c r="H1081" t="s">
        <v>6528</v>
      </c>
      <c r="I1081" t="s">
        <v>6529</v>
      </c>
      <c r="J1081" t="s">
        <v>26</v>
      </c>
      <c r="K1081" t="s">
        <v>26</v>
      </c>
      <c r="L1081" t="s">
        <v>6530</v>
      </c>
      <c r="M1081" t="s">
        <v>25</v>
      </c>
      <c r="N1081" t="s">
        <v>1756</v>
      </c>
      <c r="O1081" t="s">
        <v>1757</v>
      </c>
      <c r="P1081" t="s">
        <v>289</v>
      </c>
      <c r="Q1081" t="s">
        <v>290</v>
      </c>
      <c r="R1081">
        <v>138456</v>
      </c>
      <c r="S1081">
        <v>0</v>
      </c>
      <c r="T1081">
        <v>138456</v>
      </c>
      <c r="U1081" t="s">
        <v>35</v>
      </c>
      <c r="V1081" t="s">
        <v>1760</v>
      </c>
      <c r="W1081" t="s">
        <v>291</v>
      </c>
      <c r="X1081" s="4">
        <v>1</v>
      </c>
      <c r="Y1081" s="4"/>
      <c r="Z1081">
        <f t="shared" si="64"/>
        <v>7</v>
      </c>
      <c r="AA1081">
        <f t="shared" si="65"/>
        <v>16</v>
      </c>
      <c r="AB1081" s="5">
        <f t="shared" si="66"/>
        <v>0.33012731481721858</v>
      </c>
      <c r="AC1081" s="3">
        <f t="shared" si="67"/>
        <v>9.0266203704231884E-2</v>
      </c>
      <c r="AD1081" t="str" cm="1">
        <f t="array" ref="AD1081">IFERROR(_xlfn.IFS(
    AC1081="", "",
    AC1081*86400 &lt; 30, "1. 0s - &lt;30s",
    AC1081*86400 &lt; 60, "2. 30s - &lt;1m",
    AC1081*86400 &lt; 300, "3. 1m - &lt;5m",
    AC1081*86400 &lt; 1800, "4. 5m - &lt;30m",
    TRUE, "5. &gt;= 30m"
),"6. Invalid (Order rejected)")</f>
        <v>5. &gt;= 30m</v>
      </c>
    </row>
    <row r="1082" spans="1:30" hidden="1" x14ac:dyDescent="0.3">
      <c r="A1082" t="s">
        <v>6531</v>
      </c>
      <c r="B1082" t="s">
        <v>1345</v>
      </c>
      <c r="C1082">
        <v>42787717</v>
      </c>
      <c r="D1082">
        <v>0</v>
      </c>
      <c r="E1082" t="s">
        <v>25</v>
      </c>
      <c r="F1082" t="s">
        <v>26</v>
      </c>
      <c r="G1082" t="s">
        <v>27</v>
      </c>
      <c r="H1082" t="s">
        <v>6532</v>
      </c>
      <c r="I1082" t="s">
        <v>6533</v>
      </c>
      <c r="J1082" t="s">
        <v>26</v>
      </c>
      <c r="K1082" t="s">
        <v>26</v>
      </c>
      <c r="L1082" t="s">
        <v>6534</v>
      </c>
      <c r="M1082" t="s">
        <v>25</v>
      </c>
      <c r="N1082" t="s">
        <v>1756</v>
      </c>
      <c r="O1082" t="s">
        <v>1757</v>
      </c>
      <c r="P1082" t="s">
        <v>289</v>
      </c>
      <c r="Q1082" t="s">
        <v>290</v>
      </c>
      <c r="R1082">
        <v>178740</v>
      </c>
      <c r="S1082">
        <v>0</v>
      </c>
      <c r="T1082">
        <v>178740</v>
      </c>
      <c r="U1082" t="s">
        <v>35</v>
      </c>
      <c r="V1082" t="s">
        <v>1760</v>
      </c>
      <c r="W1082" t="s">
        <v>291</v>
      </c>
      <c r="X1082" s="4">
        <v>1</v>
      </c>
      <c r="Y1082" s="4"/>
      <c r="Z1082">
        <f t="shared" si="64"/>
        <v>7</v>
      </c>
      <c r="AA1082">
        <f t="shared" si="65"/>
        <v>16</v>
      </c>
      <c r="AB1082" s="5">
        <f t="shared" si="66"/>
        <v>0.33027777777897427</v>
      </c>
      <c r="AC1082" s="3">
        <f t="shared" si="67"/>
        <v>9.0266203704231884E-2</v>
      </c>
      <c r="AD1082" t="str" cm="1">
        <f t="array" ref="AD1082">IFERROR(_xlfn.IFS(
    AC1082="", "",
    AC1082*86400 &lt; 30, "1. 0s - &lt;30s",
    AC1082*86400 &lt; 60, "2. 30s - &lt;1m",
    AC1082*86400 &lt; 300, "3. 1m - &lt;5m",
    AC1082*86400 &lt; 1800, "4. 5m - &lt;30m",
    TRUE, "5. &gt;= 30m"
),"6. Invalid (Order rejected)")</f>
        <v>5. &gt;= 30m</v>
      </c>
    </row>
    <row r="1083" spans="1:30" hidden="1" x14ac:dyDescent="0.3">
      <c r="A1083" t="s">
        <v>6535</v>
      </c>
      <c r="B1083" t="s">
        <v>1345</v>
      </c>
      <c r="C1083">
        <v>42787717</v>
      </c>
      <c r="D1083">
        <v>0</v>
      </c>
      <c r="E1083" t="s">
        <v>25</v>
      </c>
      <c r="F1083" t="s">
        <v>26</v>
      </c>
      <c r="G1083" t="s">
        <v>27</v>
      </c>
      <c r="H1083" t="s">
        <v>6536</v>
      </c>
      <c r="I1083" t="s">
        <v>6537</v>
      </c>
      <c r="J1083" t="s">
        <v>26</v>
      </c>
      <c r="K1083" t="s">
        <v>26</v>
      </c>
      <c r="L1083" t="s">
        <v>6538</v>
      </c>
      <c r="M1083" t="s">
        <v>25</v>
      </c>
      <c r="N1083" t="s">
        <v>1756</v>
      </c>
      <c r="O1083" t="s">
        <v>1757</v>
      </c>
      <c r="P1083" t="s">
        <v>6539</v>
      </c>
      <c r="Q1083" t="s">
        <v>6540</v>
      </c>
      <c r="R1083">
        <v>111996</v>
      </c>
      <c r="S1083">
        <v>0</v>
      </c>
      <c r="T1083">
        <v>111996</v>
      </c>
      <c r="U1083" t="s">
        <v>35</v>
      </c>
      <c r="V1083" t="s">
        <v>1760</v>
      </c>
      <c r="W1083" t="s">
        <v>6541</v>
      </c>
      <c r="X1083" s="4">
        <v>1</v>
      </c>
      <c r="Y1083" s="4"/>
      <c r="Z1083">
        <f t="shared" si="64"/>
        <v>7</v>
      </c>
      <c r="AA1083">
        <f t="shared" si="65"/>
        <v>16</v>
      </c>
      <c r="AB1083" s="5">
        <f t="shared" si="66"/>
        <v>0.33152777778013842</v>
      </c>
      <c r="AC1083" s="3">
        <f t="shared" si="67"/>
        <v>9.0266203704231884E-2</v>
      </c>
      <c r="AD1083" t="str" cm="1">
        <f t="array" ref="AD1083">IFERROR(_xlfn.IFS(
    AC1083="", "",
    AC1083*86400 &lt; 30, "1. 0s - &lt;30s",
    AC1083*86400 &lt; 60, "2. 30s - &lt;1m",
    AC1083*86400 &lt; 300, "3. 1m - &lt;5m",
    AC1083*86400 &lt; 1800, "4. 5m - &lt;30m",
    TRUE, "5. &gt;= 30m"
),"6. Invalid (Order rejected)")</f>
        <v>5. &gt;= 30m</v>
      </c>
    </row>
    <row r="1084" spans="1:30" x14ac:dyDescent="0.3">
      <c r="A1084" t="s">
        <v>6542</v>
      </c>
      <c r="B1084" t="s">
        <v>1345</v>
      </c>
      <c r="C1084">
        <v>42787717</v>
      </c>
      <c r="D1084">
        <v>3489357</v>
      </c>
      <c r="E1084" t="s">
        <v>25</v>
      </c>
      <c r="F1084" t="s">
        <v>75</v>
      </c>
      <c r="G1084" t="s">
        <v>360</v>
      </c>
      <c r="H1084" t="s">
        <v>6543</v>
      </c>
      <c r="I1084" t="s">
        <v>6544</v>
      </c>
      <c r="J1084" t="s">
        <v>6545</v>
      </c>
      <c r="K1084" t="s">
        <v>26</v>
      </c>
      <c r="L1084" t="s">
        <v>25</v>
      </c>
      <c r="M1084" t="s">
        <v>25</v>
      </c>
      <c r="N1084" t="s">
        <v>1756</v>
      </c>
      <c r="O1084" t="s">
        <v>1757</v>
      </c>
      <c r="P1084" t="s">
        <v>6546</v>
      </c>
      <c r="Q1084" t="s">
        <v>6547</v>
      </c>
      <c r="R1084">
        <v>606960</v>
      </c>
      <c r="S1084">
        <v>470534</v>
      </c>
      <c r="T1084">
        <v>136426</v>
      </c>
      <c r="U1084" t="s">
        <v>35</v>
      </c>
      <c r="V1084" t="s">
        <v>1760</v>
      </c>
      <c r="W1084" t="s">
        <v>6548</v>
      </c>
      <c r="X1084" s="4">
        <v>1</v>
      </c>
      <c r="Y1084" s="4"/>
      <c r="Z1084">
        <f t="shared" si="64"/>
        <v>7</v>
      </c>
      <c r="AA1084">
        <f t="shared" si="65"/>
        <v>16</v>
      </c>
      <c r="AB1084" s="5">
        <f t="shared" si="66"/>
        <v>0.33187500000349246</v>
      </c>
      <c r="AC1084" s="3" t="str">
        <f t="shared" si="67"/>
        <v>Order rejected, no time available</v>
      </c>
      <c r="AD1084" t="str" cm="1">
        <f t="array" ref="AD1084">IFERROR(_xlfn.IFS(
    AC1084="", "",
    AC1084*86400 &lt; 30, "1. 0s - &lt;30s",
    AC1084*86400 &lt; 60, "2. 30s - &lt;1m",
    AC1084*86400 &lt; 300, "3. 1m - &lt;5m",
    AC1084*86400 &lt; 1800, "4. 5m - &lt;30m",
    TRUE, "5. &gt;= 30m"
),"6. Invalid (Order rejected)")</f>
        <v>6. Invalid (Order rejected)</v>
      </c>
    </row>
    <row r="1085" spans="1:30" hidden="1" x14ac:dyDescent="0.3">
      <c r="A1085" t="s">
        <v>6549</v>
      </c>
      <c r="B1085" t="s">
        <v>1819</v>
      </c>
      <c r="C1085">
        <v>42814075</v>
      </c>
      <c r="D1085">
        <v>0</v>
      </c>
      <c r="E1085" t="s">
        <v>25</v>
      </c>
      <c r="F1085" t="s">
        <v>26</v>
      </c>
      <c r="G1085" t="s">
        <v>27</v>
      </c>
      <c r="H1085" t="s">
        <v>6550</v>
      </c>
      <c r="I1085" t="s">
        <v>6551</v>
      </c>
      <c r="J1085" t="s">
        <v>26</v>
      </c>
      <c r="K1085" t="s">
        <v>26</v>
      </c>
      <c r="L1085" t="s">
        <v>6552</v>
      </c>
      <c r="M1085" t="s">
        <v>25</v>
      </c>
      <c r="N1085" t="s">
        <v>1824</v>
      </c>
      <c r="O1085" t="s">
        <v>1825</v>
      </c>
      <c r="P1085" t="s">
        <v>1644</v>
      </c>
      <c r="Q1085" t="s">
        <v>1645</v>
      </c>
      <c r="R1085">
        <v>280908</v>
      </c>
      <c r="S1085">
        <v>0</v>
      </c>
      <c r="T1085">
        <v>280908</v>
      </c>
      <c r="U1085" t="s">
        <v>35</v>
      </c>
      <c r="V1085" t="s">
        <v>1828</v>
      </c>
      <c r="W1085" t="s">
        <v>1647</v>
      </c>
      <c r="X1085" s="4">
        <v>1</v>
      </c>
      <c r="Y1085" s="4"/>
      <c r="Z1085">
        <f t="shared" si="64"/>
        <v>7</v>
      </c>
      <c r="AA1085">
        <f t="shared" si="65"/>
        <v>17</v>
      </c>
      <c r="AB1085" s="5">
        <f t="shared" si="66"/>
        <v>0.30233796295942739</v>
      </c>
      <c r="AC1085" s="3">
        <f t="shared" si="67"/>
        <v>9.0266203704231884E-2</v>
      </c>
      <c r="AD1085" t="str" cm="1">
        <f t="array" ref="AD1085">IFERROR(_xlfn.IFS(
    AC1085="", "",
    AC1085*86400 &lt; 30, "1. 0s - &lt;30s",
    AC1085*86400 &lt; 60, "2. 30s - &lt;1m",
    AC1085*86400 &lt; 300, "3. 1m - &lt;5m",
    AC1085*86400 &lt; 1800, "4. 5m - &lt;30m",
    TRUE, "5. &gt;= 30m"
),"6. Invalid (Order rejected)")</f>
        <v>5. &gt;= 30m</v>
      </c>
    </row>
    <row r="1086" spans="1:30" hidden="1" x14ac:dyDescent="0.3">
      <c r="A1086" t="s">
        <v>6553</v>
      </c>
      <c r="B1086" t="s">
        <v>1819</v>
      </c>
      <c r="C1086">
        <v>42814075</v>
      </c>
      <c r="D1086">
        <v>0</v>
      </c>
      <c r="E1086" t="s">
        <v>25</v>
      </c>
      <c r="F1086" t="s">
        <v>26</v>
      </c>
      <c r="G1086" t="s">
        <v>27</v>
      </c>
      <c r="H1086" t="s">
        <v>6554</v>
      </c>
      <c r="I1086" t="s">
        <v>6555</v>
      </c>
      <c r="J1086" t="s">
        <v>26</v>
      </c>
      <c r="K1086" t="s">
        <v>26</v>
      </c>
      <c r="L1086" t="s">
        <v>6556</v>
      </c>
      <c r="M1086" t="s">
        <v>25</v>
      </c>
      <c r="N1086" t="s">
        <v>1848</v>
      </c>
      <c r="O1086" t="s">
        <v>1849</v>
      </c>
      <c r="P1086" t="s">
        <v>1666</v>
      </c>
      <c r="Q1086" t="s">
        <v>1667</v>
      </c>
      <c r="R1086">
        <v>334800</v>
      </c>
      <c r="S1086">
        <v>0</v>
      </c>
      <c r="T1086">
        <v>334800</v>
      </c>
      <c r="U1086" t="s">
        <v>35</v>
      </c>
      <c r="V1086" t="s">
        <v>1852</v>
      </c>
      <c r="W1086" t="s">
        <v>1669</v>
      </c>
      <c r="X1086" s="4">
        <v>1</v>
      </c>
      <c r="Y1086" s="4"/>
      <c r="Z1086">
        <f t="shared" si="64"/>
        <v>7</v>
      </c>
      <c r="AA1086">
        <f t="shared" si="65"/>
        <v>17</v>
      </c>
      <c r="AB1086" s="5">
        <f t="shared" si="66"/>
        <v>0.30403935185313458</v>
      </c>
      <c r="AC1086" s="3">
        <f t="shared" si="67"/>
        <v>0.12446759259182727</v>
      </c>
      <c r="AD1086" t="str" cm="1">
        <f t="array" ref="AD1086">IFERROR(_xlfn.IFS(
    AC1086="", "",
    AC1086*86400 &lt; 30, "1. 0s - &lt;30s",
    AC1086*86400 &lt; 60, "2. 30s - &lt;1m",
    AC1086*86400 &lt; 300, "3. 1m - &lt;5m",
    AC1086*86400 &lt; 1800, "4. 5m - &lt;30m",
    TRUE, "5. &gt;= 30m"
),"6. Invalid (Order rejected)")</f>
        <v>5. &gt;= 30m</v>
      </c>
    </row>
    <row r="1087" spans="1:30" x14ac:dyDescent="0.3">
      <c r="A1087" t="s">
        <v>6557</v>
      </c>
      <c r="B1087" t="s">
        <v>1819</v>
      </c>
      <c r="C1087">
        <v>42814075</v>
      </c>
      <c r="D1087">
        <v>4405426</v>
      </c>
      <c r="E1087" t="s">
        <v>25</v>
      </c>
      <c r="F1087" t="s">
        <v>75</v>
      </c>
      <c r="G1087" t="s">
        <v>360</v>
      </c>
      <c r="H1087" t="s">
        <v>6558</v>
      </c>
      <c r="I1087" t="s">
        <v>6559</v>
      </c>
      <c r="J1087" t="s">
        <v>6560</v>
      </c>
      <c r="K1087" t="s">
        <v>26</v>
      </c>
      <c r="L1087" t="s">
        <v>25</v>
      </c>
      <c r="M1087" t="s">
        <v>25</v>
      </c>
      <c r="N1087" t="s">
        <v>1824</v>
      </c>
      <c r="O1087" t="s">
        <v>1825</v>
      </c>
      <c r="P1087" t="s">
        <v>1741</v>
      </c>
      <c r="Q1087" t="s">
        <v>1742</v>
      </c>
      <c r="R1087">
        <v>306504</v>
      </c>
      <c r="S1087">
        <v>237612</v>
      </c>
      <c r="T1087">
        <v>68892</v>
      </c>
      <c r="U1087" t="s">
        <v>35</v>
      </c>
      <c r="V1087" t="s">
        <v>1828</v>
      </c>
      <c r="W1087" t="s">
        <v>1743</v>
      </c>
      <c r="X1087" s="4">
        <v>1</v>
      </c>
      <c r="Y1087" s="4"/>
      <c r="Z1087">
        <f t="shared" si="64"/>
        <v>7</v>
      </c>
      <c r="AA1087">
        <f t="shared" si="65"/>
        <v>17</v>
      </c>
      <c r="AB1087" s="5">
        <f t="shared" si="66"/>
        <v>0.30281249999825377</v>
      </c>
      <c r="AC1087" s="3" t="str">
        <f t="shared" si="67"/>
        <v>Order rejected, no time available</v>
      </c>
      <c r="AD1087" t="str" cm="1">
        <f t="array" ref="AD1087">IFERROR(_xlfn.IFS(
    AC1087="", "",
    AC1087*86400 &lt; 30, "1. 0s - &lt;30s",
    AC1087*86400 &lt; 60, "2. 30s - &lt;1m",
    AC1087*86400 &lt; 300, "3. 1m - &lt;5m",
    AC1087*86400 &lt; 1800, "4. 5m - &lt;30m",
    TRUE, "5. &gt;= 30m"
),"6. Invalid (Order rejected)")</f>
        <v>6. Invalid (Order rejected)</v>
      </c>
    </row>
    <row r="1088" spans="1:30" x14ac:dyDescent="0.3">
      <c r="A1088" t="s">
        <v>6561</v>
      </c>
      <c r="B1088" t="s">
        <v>1819</v>
      </c>
      <c r="C1088">
        <v>42814075</v>
      </c>
      <c r="D1088">
        <v>4393620</v>
      </c>
      <c r="E1088" t="s">
        <v>25</v>
      </c>
      <c r="F1088" t="s">
        <v>75</v>
      </c>
      <c r="G1088" t="s">
        <v>360</v>
      </c>
      <c r="H1088" t="s">
        <v>6562</v>
      </c>
      <c r="I1088" t="s">
        <v>1832</v>
      </c>
      <c r="J1088" t="s">
        <v>6563</v>
      </c>
      <c r="K1088" t="s">
        <v>6564</v>
      </c>
      <c r="L1088" t="s">
        <v>25</v>
      </c>
      <c r="M1088" t="s">
        <v>25</v>
      </c>
      <c r="N1088" t="s">
        <v>349</v>
      </c>
      <c r="O1088" t="s">
        <v>350</v>
      </c>
      <c r="P1088" t="s">
        <v>1704</v>
      </c>
      <c r="Q1088" t="s">
        <v>1705</v>
      </c>
      <c r="R1088">
        <v>615492</v>
      </c>
      <c r="S1088">
        <v>477149</v>
      </c>
      <c r="T1088">
        <v>138343</v>
      </c>
      <c r="U1088" t="s">
        <v>35</v>
      </c>
      <c r="V1088" t="s">
        <v>353</v>
      </c>
      <c r="W1088" t="s">
        <v>1707</v>
      </c>
      <c r="X1088" s="4">
        <v>1</v>
      </c>
      <c r="Y1088" s="4"/>
      <c r="Z1088">
        <f t="shared" si="64"/>
        <v>7</v>
      </c>
      <c r="AA1088">
        <f t="shared" si="65"/>
        <v>17</v>
      </c>
      <c r="AB1088" s="5">
        <f t="shared" si="66"/>
        <v>0.30563657407765277</v>
      </c>
      <c r="AC1088" s="3" t="str">
        <f t="shared" si="67"/>
        <v>Order rejected, no time available</v>
      </c>
      <c r="AD1088" t="str" cm="1">
        <f t="array" ref="AD1088">IFERROR(_xlfn.IFS(
    AC1088="", "",
    AC1088*86400 &lt; 30, "1. 0s - &lt;30s",
    AC1088*86400 &lt; 60, "2. 30s - &lt;1m",
    AC1088*86400 &lt; 300, "3. 1m - &lt;5m",
    AC1088*86400 &lt; 1800, "4. 5m - &lt;30m",
    TRUE, "5. &gt;= 30m"
),"6. Invalid (Order rejected)")</f>
        <v>6. Invalid (Order rejected)</v>
      </c>
    </row>
    <row r="1089" spans="1:30" hidden="1" x14ac:dyDescent="0.3">
      <c r="A1089" t="s">
        <v>6565</v>
      </c>
      <c r="B1089" t="s">
        <v>1819</v>
      </c>
      <c r="C1089">
        <v>42814075</v>
      </c>
      <c r="D1089">
        <v>0</v>
      </c>
      <c r="E1089" t="s">
        <v>25</v>
      </c>
      <c r="F1089" t="s">
        <v>26</v>
      </c>
      <c r="G1089" t="s">
        <v>27</v>
      </c>
      <c r="H1089" t="s">
        <v>6566</v>
      </c>
      <c r="I1089" t="s">
        <v>6567</v>
      </c>
      <c r="J1089" t="s">
        <v>26</v>
      </c>
      <c r="K1089" t="s">
        <v>26</v>
      </c>
      <c r="L1089" t="s">
        <v>6568</v>
      </c>
      <c r="M1089" t="s">
        <v>25</v>
      </c>
      <c r="N1089" t="s">
        <v>1838</v>
      </c>
      <c r="O1089" t="s">
        <v>1839</v>
      </c>
      <c r="P1089" t="s">
        <v>1840</v>
      </c>
      <c r="Q1089" t="s">
        <v>1841</v>
      </c>
      <c r="R1089">
        <v>226476</v>
      </c>
      <c r="S1089">
        <v>0</v>
      </c>
      <c r="T1089">
        <v>226476</v>
      </c>
      <c r="U1089" t="s">
        <v>35</v>
      </c>
      <c r="V1089" t="s">
        <v>1842</v>
      </c>
      <c r="W1089" t="s">
        <v>1843</v>
      </c>
      <c r="X1089" s="4">
        <v>1</v>
      </c>
      <c r="Y1089" s="4"/>
      <c r="Z1089">
        <f t="shared" si="64"/>
        <v>7</v>
      </c>
      <c r="AA1089">
        <f t="shared" si="65"/>
        <v>17</v>
      </c>
      <c r="AB1089" s="5">
        <f t="shared" si="66"/>
        <v>0.30708333333313931</v>
      </c>
      <c r="AC1089" s="3">
        <f t="shared" si="67"/>
        <v>9.5254629632108845E-2</v>
      </c>
      <c r="AD1089" t="str" cm="1">
        <f t="array" ref="AD1089">IFERROR(_xlfn.IFS(
    AC1089="", "",
    AC1089*86400 &lt; 30, "1. 0s - &lt;30s",
    AC1089*86400 &lt; 60, "2. 30s - &lt;1m",
    AC1089*86400 &lt; 300, "3. 1m - &lt;5m",
    AC1089*86400 &lt; 1800, "4. 5m - &lt;30m",
    TRUE, "5. &gt;= 30m"
),"6. Invalid (Order rejected)")</f>
        <v>5. &gt;= 30m</v>
      </c>
    </row>
    <row r="1090" spans="1:30" hidden="1" x14ac:dyDescent="0.3">
      <c r="A1090" t="s">
        <v>6569</v>
      </c>
      <c r="B1090" t="s">
        <v>1819</v>
      </c>
      <c r="C1090">
        <v>42814075</v>
      </c>
      <c r="D1090">
        <v>4729280</v>
      </c>
      <c r="E1090" t="s">
        <v>25</v>
      </c>
      <c r="F1090" t="s">
        <v>75</v>
      </c>
      <c r="G1090" t="s">
        <v>76</v>
      </c>
      <c r="H1090" t="s">
        <v>6570</v>
      </c>
      <c r="I1090" t="s">
        <v>1846</v>
      </c>
      <c r="J1090" t="s">
        <v>6571</v>
      </c>
      <c r="K1090" t="s">
        <v>26</v>
      </c>
      <c r="L1090" t="s">
        <v>6572</v>
      </c>
      <c r="M1090" t="s">
        <v>25</v>
      </c>
      <c r="N1090" t="s">
        <v>1848</v>
      </c>
      <c r="O1090" t="s">
        <v>1849</v>
      </c>
      <c r="P1090" t="s">
        <v>6573</v>
      </c>
      <c r="Q1090" t="s">
        <v>6574</v>
      </c>
      <c r="R1090">
        <v>338040</v>
      </c>
      <c r="S1090">
        <v>262059</v>
      </c>
      <c r="T1090">
        <v>75981</v>
      </c>
      <c r="U1090" t="s">
        <v>35</v>
      </c>
      <c r="V1090" t="s">
        <v>1852</v>
      </c>
      <c r="W1090" t="s">
        <v>6575</v>
      </c>
      <c r="X1090" s="4">
        <v>1</v>
      </c>
      <c r="Y1090" s="4"/>
      <c r="Z1090">
        <f t="shared" si="64"/>
        <v>7</v>
      </c>
      <c r="AA1090">
        <f t="shared" si="65"/>
        <v>17</v>
      </c>
      <c r="AB1090" s="5">
        <f t="shared" si="66"/>
        <v>0.30431712963036261</v>
      </c>
      <c r="AC1090" s="3">
        <f t="shared" si="67"/>
        <v>1.0081018517666962E-2</v>
      </c>
      <c r="AD1090" t="str" cm="1">
        <f t="array" ref="AD1090">IFERROR(_xlfn.IFS(
    AC1090="", "",
    AC1090*86400 &lt; 30, "1. 0s - &lt;30s",
    AC1090*86400 &lt; 60, "2. 30s - &lt;1m",
    AC1090*86400 &lt; 300, "3. 1m - &lt;5m",
    AC1090*86400 &lt; 1800, "4. 5m - &lt;30m",
    TRUE, "5. &gt;= 30m"
),"6. Invalid (Order rejected)")</f>
        <v>4. 5m - &lt;30m</v>
      </c>
    </row>
    <row r="1091" spans="1:30" hidden="1" x14ac:dyDescent="0.3">
      <c r="A1091" t="s">
        <v>6576</v>
      </c>
      <c r="B1091" t="s">
        <v>1819</v>
      </c>
      <c r="C1091">
        <v>42814075</v>
      </c>
      <c r="D1091">
        <v>0</v>
      </c>
      <c r="E1091" t="s">
        <v>25</v>
      </c>
      <c r="F1091" t="s">
        <v>26</v>
      </c>
      <c r="G1091" t="s">
        <v>27</v>
      </c>
      <c r="H1091" t="s">
        <v>6577</v>
      </c>
      <c r="I1091" t="s">
        <v>2008</v>
      </c>
      <c r="J1091" t="s">
        <v>26</v>
      </c>
      <c r="K1091" t="s">
        <v>26</v>
      </c>
      <c r="L1091" t="s">
        <v>6578</v>
      </c>
      <c r="M1091" t="s">
        <v>25</v>
      </c>
      <c r="N1091" t="s">
        <v>1838</v>
      </c>
      <c r="O1091" t="s">
        <v>1839</v>
      </c>
      <c r="P1091" t="s">
        <v>1840</v>
      </c>
      <c r="Q1091" t="s">
        <v>1841</v>
      </c>
      <c r="R1091">
        <v>327888</v>
      </c>
      <c r="S1091">
        <v>0</v>
      </c>
      <c r="T1091">
        <v>327888</v>
      </c>
      <c r="U1091" t="s">
        <v>35</v>
      </c>
      <c r="V1091" t="s">
        <v>1842</v>
      </c>
      <c r="W1091" t="s">
        <v>1843</v>
      </c>
      <c r="X1091" s="4">
        <v>1</v>
      </c>
      <c r="Y1091" s="4"/>
      <c r="Z1091">
        <f t="shared" ref="Z1091:Z1154" si="68">MONTH(H1091)</f>
        <v>7</v>
      </c>
      <c r="AA1091">
        <f t="shared" ref="AA1091:AA1154" si="69">DAY(H1091)</f>
        <v>17</v>
      </c>
      <c r="AB1091" s="5">
        <f t="shared" ref="AB1091:AB1154" si="70">MOD(H1091, 1)</f>
        <v>0.30694444444088731</v>
      </c>
      <c r="AC1091" s="3">
        <f t="shared" ref="AC1091:AC1154" si="71">IFERROR(IF(M1091="",L1091-H1091,M1091-H1091),"Order rejected, no time available")</f>
        <v>0.11755787037691334</v>
      </c>
      <c r="AD1091" t="str" cm="1">
        <f t="array" ref="AD1091">IFERROR(_xlfn.IFS(
    AC1091="", "",
    AC1091*86400 &lt; 30, "1. 0s - &lt;30s",
    AC1091*86400 &lt; 60, "2. 30s - &lt;1m",
    AC1091*86400 &lt; 300, "3. 1m - &lt;5m",
    AC1091*86400 &lt; 1800, "4. 5m - &lt;30m",
    TRUE, "5. &gt;= 30m"
),"6. Invalid (Order rejected)")</f>
        <v>5. &gt;= 30m</v>
      </c>
    </row>
    <row r="1092" spans="1:30" x14ac:dyDescent="0.3">
      <c r="A1092" t="s">
        <v>6579</v>
      </c>
      <c r="B1092" t="s">
        <v>1819</v>
      </c>
      <c r="C1092">
        <v>42814075</v>
      </c>
      <c r="D1092">
        <v>3543660</v>
      </c>
      <c r="E1092" t="s">
        <v>25</v>
      </c>
      <c r="F1092" t="s">
        <v>75</v>
      </c>
      <c r="G1092" t="s">
        <v>360</v>
      </c>
      <c r="H1092" t="s">
        <v>6580</v>
      </c>
      <c r="I1092" t="s">
        <v>6581</v>
      </c>
      <c r="J1092" t="s">
        <v>6582</v>
      </c>
      <c r="K1092" t="s">
        <v>26</v>
      </c>
      <c r="L1092" t="s">
        <v>25</v>
      </c>
      <c r="M1092" t="s">
        <v>25</v>
      </c>
      <c r="N1092" t="s">
        <v>1838</v>
      </c>
      <c r="O1092" t="s">
        <v>1839</v>
      </c>
      <c r="P1092" t="s">
        <v>6583</v>
      </c>
      <c r="Q1092" t="s">
        <v>6584</v>
      </c>
      <c r="R1092">
        <v>322164</v>
      </c>
      <c r="S1092">
        <v>249752</v>
      </c>
      <c r="T1092">
        <v>72412</v>
      </c>
      <c r="U1092" t="s">
        <v>35</v>
      </c>
      <c r="V1092" t="s">
        <v>1842</v>
      </c>
      <c r="W1092" t="s">
        <v>6585</v>
      </c>
      <c r="X1092" s="4">
        <v>1</v>
      </c>
      <c r="Y1092" s="4"/>
      <c r="Z1092">
        <f t="shared" si="68"/>
        <v>7</v>
      </c>
      <c r="AA1092">
        <f t="shared" si="69"/>
        <v>17</v>
      </c>
      <c r="AB1092" s="5">
        <f t="shared" si="70"/>
        <v>0.30767361111065838</v>
      </c>
      <c r="AC1092" s="3" t="str">
        <f t="shared" si="71"/>
        <v>Order rejected, no time available</v>
      </c>
      <c r="AD1092" t="str" cm="1">
        <f t="array" ref="AD1092">IFERROR(_xlfn.IFS(
    AC1092="", "",
    AC1092*86400 &lt; 30, "1. 0s - &lt;30s",
    AC1092*86400 &lt; 60, "2. 30s - &lt;1m",
    AC1092*86400 &lt; 300, "3. 1m - &lt;5m",
    AC1092*86400 &lt; 1800, "4. 5m - &lt;30m",
    TRUE, "5. &gt;= 30m"
),"6. Invalid (Order rejected)")</f>
        <v>6. Invalid (Order rejected)</v>
      </c>
    </row>
    <row r="1093" spans="1:30" hidden="1" x14ac:dyDescent="0.3">
      <c r="A1093" t="s">
        <v>6586</v>
      </c>
      <c r="B1093" t="s">
        <v>1819</v>
      </c>
      <c r="C1093">
        <v>42814075</v>
      </c>
      <c r="D1093">
        <v>0</v>
      </c>
      <c r="E1093" t="s">
        <v>25</v>
      </c>
      <c r="F1093" t="s">
        <v>26</v>
      </c>
      <c r="G1093" t="s">
        <v>27</v>
      </c>
      <c r="H1093" t="s">
        <v>6587</v>
      </c>
      <c r="I1093" t="s">
        <v>6588</v>
      </c>
      <c r="J1093" t="s">
        <v>26</v>
      </c>
      <c r="K1093" t="s">
        <v>26</v>
      </c>
      <c r="L1093" t="s">
        <v>6589</v>
      </c>
      <c r="M1093" t="s">
        <v>25</v>
      </c>
      <c r="N1093" t="s">
        <v>1890</v>
      </c>
      <c r="O1093" t="s">
        <v>1891</v>
      </c>
      <c r="P1093" t="s">
        <v>2048</v>
      </c>
      <c r="Q1093" t="s">
        <v>2049</v>
      </c>
      <c r="R1093">
        <v>199368</v>
      </c>
      <c r="S1093">
        <v>0</v>
      </c>
      <c r="T1093">
        <v>199368</v>
      </c>
      <c r="U1093" t="s">
        <v>35</v>
      </c>
      <c r="V1093" t="s">
        <v>1894</v>
      </c>
      <c r="W1093" t="s">
        <v>2051</v>
      </c>
      <c r="X1093" s="4">
        <v>1</v>
      </c>
      <c r="Y1093" s="4"/>
      <c r="Z1093">
        <f t="shared" si="68"/>
        <v>7</v>
      </c>
      <c r="AA1093">
        <f t="shared" si="69"/>
        <v>17</v>
      </c>
      <c r="AB1093" s="5">
        <f t="shared" si="70"/>
        <v>0.31199074073811062</v>
      </c>
      <c r="AC1093" s="3">
        <f t="shared" si="71"/>
        <v>9.0266203704231884E-2</v>
      </c>
      <c r="AD1093" t="str" cm="1">
        <f t="array" ref="AD1093">IFERROR(_xlfn.IFS(
    AC1093="", "",
    AC1093*86400 &lt; 30, "1. 0s - &lt;30s",
    AC1093*86400 &lt; 60, "2. 30s - &lt;1m",
    AC1093*86400 &lt; 300, "3. 1m - &lt;5m",
    AC1093*86400 &lt; 1800, "4. 5m - &lt;30m",
    TRUE, "5. &gt;= 30m"
),"6. Invalid (Order rejected)")</f>
        <v>5. &gt;= 30m</v>
      </c>
    </row>
    <row r="1094" spans="1:30" hidden="1" x14ac:dyDescent="0.3">
      <c r="A1094" t="s">
        <v>6590</v>
      </c>
      <c r="B1094" t="s">
        <v>1819</v>
      </c>
      <c r="C1094">
        <v>42814075</v>
      </c>
      <c r="D1094">
        <v>0</v>
      </c>
      <c r="E1094" t="s">
        <v>25</v>
      </c>
      <c r="F1094" t="s">
        <v>26</v>
      </c>
      <c r="G1094" t="s">
        <v>27</v>
      </c>
      <c r="H1094" t="s">
        <v>6591</v>
      </c>
      <c r="I1094" t="s">
        <v>6592</v>
      </c>
      <c r="J1094" t="s">
        <v>26</v>
      </c>
      <c r="K1094" t="s">
        <v>26</v>
      </c>
      <c r="L1094" t="s">
        <v>6593</v>
      </c>
      <c r="M1094" t="s">
        <v>25</v>
      </c>
      <c r="N1094" t="s">
        <v>349</v>
      </c>
      <c r="O1094" t="s">
        <v>350</v>
      </c>
      <c r="P1094" t="s">
        <v>1704</v>
      </c>
      <c r="Q1094" t="s">
        <v>1705</v>
      </c>
      <c r="R1094">
        <v>442692</v>
      </c>
      <c r="S1094">
        <v>0</v>
      </c>
      <c r="T1094">
        <v>442692</v>
      </c>
      <c r="U1094" t="s">
        <v>35</v>
      </c>
      <c r="V1094" t="s">
        <v>353</v>
      </c>
      <c r="W1094" t="s">
        <v>1707</v>
      </c>
      <c r="X1094" s="4">
        <v>1</v>
      </c>
      <c r="Y1094" s="4"/>
      <c r="Z1094">
        <f t="shared" si="68"/>
        <v>7</v>
      </c>
      <c r="AA1094">
        <f t="shared" si="69"/>
        <v>17</v>
      </c>
      <c r="AB1094" s="5">
        <f t="shared" si="70"/>
        <v>0.30546296296233777</v>
      </c>
      <c r="AC1094" s="3">
        <f t="shared" si="71"/>
        <v>0.15032407407124992</v>
      </c>
      <c r="AD1094" t="str" cm="1">
        <f t="array" ref="AD1094">IFERROR(_xlfn.IFS(
    AC1094="", "",
    AC1094*86400 &lt; 30, "1. 0s - &lt;30s",
    AC1094*86400 &lt; 60, "2. 30s - &lt;1m",
    AC1094*86400 &lt; 300, "3. 1m - &lt;5m",
    AC1094*86400 &lt; 1800, "4. 5m - &lt;30m",
    TRUE, "5. &gt;= 30m"
),"6. Invalid (Order rejected)")</f>
        <v>5. &gt;= 30m</v>
      </c>
    </row>
    <row r="1095" spans="1:30" x14ac:dyDescent="0.3">
      <c r="A1095" t="s">
        <v>6594</v>
      </c>
      <c r="B1095" t="s">
        <v>1819</v>
      </c>
      <c r="C1095">
        <v>42814075</v>
      </c>
      <c r="D1095">
        <v>470750</v>
      </c>
      <c r="E1095" t="s">
        <v>25</v>
      </c>
      <c r="F1095" t="s">
        <v>75</v>
      </c>
      <c r="G1095" t="s">
        <v>360</v>
      </c>
      <c r="H1095" t="s">
        <v>6595</v>
      </c>
      <c r="I1095" t="s">
        <v>6596</v>
      </c>
      <c r="J1095" t="s">
        <v>6597</v>
      </c>
      <c r="K1095" t="s">
        <v>26</v>
      </c>
      <c r="L1095" t="s">
        <v>25</v>
      </c>
      <c r="M1095" t="s">
        <v>25</v>
      </c>
      <c r="N1095" t="s">
        <v>349</v>
      </c>
      <c r="O1095" t="s">
        <v>350</v>
      </c>
      <c r="P1095" t="s">
        <v>1704</v>
      </c>
      <c r="Q1095" t="s">
        <v>1705</v>
      </c>
      <c r="R1095">
        <v>431892</v>
      </c>
      <c r="S1095">
        <v>334816</v>
      </c>
      <c r="T1095">
        <v>97076</v>
      </c>
      <c r="U1095" t="s">
        <v>35</v>
      </c>
      <c r="V1095" t="s">
        <v>353</v>
      </c>
      <c r="W1095" t="s">
        <v>1707</v>
      </c>
      <c r="X1095" s="4">
        <v>1</v>
      </c>
      <c r="Y1095" s="4"/>
      <c r="Z1095">
        <f t="shared" si="68"/>
        <v>7</v>
      </c>
      <c r="AA1095">
        <f t="shared" si="69"/>
        <v>17</v>
      </c>
      <c r="AB1095" s="5">
        <f t="shared" si="70"/>
        <v>0.30581018518569181</v>
      </c>
      <c r="AC1095" s="3" t="str">
        <f t="shared" si="71"/>
        <v>Order rejected, no time available</v>
      </c>
      <c r="AD1095" t="str" cm="1">
        <f t="array" ref="AD1095">IFERROR(_xlfn.IFS(
    AC1095="", "",
    AC1095*86400 &lt; 30, "1. 0s - &lt;30s",
    AC1095*86400 &lt; 60, "2. 30s - &lt;1m",
    AC1095*86400 &lt; 300, "3. 1m - &lt;5m",
    AC1095*86400 &lt; 1800, "4. 5m - &lt;30m",
    TRUE, "5. &gt;= 30m"
),"6. Invalid (Order rejected)")</f>
        <v>6. Invalid (Order rejected)</v>
      </c>
    </row>
    <row r="1096" spans="1:30" hidden="1" x14ac:dyDescent="0.3">
      <c r="A1096" t="s">
        <v>6598</v>
      </c>
      <c r="B1096" t="s">
        <v>1819</v>
      </c>
      <c r="C1096">
        <v>42814075</v>
      </c>
      <c r="D1096">
        <v>0</v>
      </c>
      <c r="E1096" t="s">
        <v>25</v>
      </c>
      <c r="F1096" t="s">
        <v>26</v>
      </c>
      <c r="G1096" t="s">
        <v>27</v>
      </c>
      <c r="H1096" t="s">
        <v>6599</v>
      </c>
      <c r="I1096" t="s">
        <v>2015</v>
      </c>
      <c r="J1096" t="s">
        <v>26</v>
      </c>
      <c r="K1096" t="s">
        <v>26</v>
      </c>
      <c r="L1096" t="s">
        <v>6600</v>
      </c>
      <c r="M1096" t="s">
        <v>25</v>
      </c>
      <c r="N1096" t="s">
        <v>1900</v>
      </c>
      <c r="O1096" t="s">
        <v>1901</v>
      </c>
      <c r="P1096" t="s">
        <v>1728</v>
      </c>
      <c r="Q1096" t="s">
        <v>1729</v>
      </c>
      <c r="R1096">
        <v>396252</v>
      </c>
      <c r="S1096">
        <v>0</v>
      </c>
      <c r="T1096">
        <v>396252</v>
      </c>
      <c r="U1096" t="s">
        <v>35</v>
      </c>
      <c r="V1096" t="s">
        <v>1904</v>
      </c>
      <c r="W1096" t="s">
        <v>1731</v>
      </c>
      <c r="X1096" s="4">
        <v>1</v>
      </c>
      <c r="Y1096" s="4"/>
      <c r="Z1096">
        <f t="shared" si="68"/>
        <v>7</v>
      </c>
      <c r="AA1096">
        <f t="shared" si="69"/>
        <v>17</v>
      </c>
      <c r="AB1096" s="5">
        <f t="shared" si="70"/>
        <v>0.31082175925985212</v>
      </c>
      <c r="AC1096" s="3">
        <f t="shared" si="71"/>
        <v>9.9814814813726116E-2</v>
      </c>
      <c r="AD1096" t="str" cm="1">
        <f t="array" ref="AD1096">IFERROR(_xlfn.IFS(
    AC1096="", "",
    AC1096*86400 &lt; 30, "1. 0s - &lt;30s",
    AC1096*86400 &lt; 60, "2. 30s - &lt;1m",
    AC1096*86400 &lt; 300, "3. 1m - &lt;5m",
    AC1096*86400 &lt; 1800, "4. 5m - &lt;30m",
    TRUE, "5. &gt;= 30m"
),"6. Invalid (Order rejected)")</f>
        <v>5. &gt;= 30m</v>
      </c>
    </row>
    <row r="1097" spans="1:30" hidden="1" x14ac:dyDescent="0.3">
      <c r="A1097" t="s">
        <v>6601</v>
      </c>
      <c r="B1097" t="s">
        <v>1819</v>
      </c>
      <c r="C1097">
        <v>42814075</v>
      </c>
      <c r="D1097">
        <v>0</v>
      </c>
      <c r="E1097" t="s">
        <v>25</v>
      </c>
      <c r="F1097" t="s">
        <v>26</v>
      </c>
      <c r="G1097" t="s">
        <v>27</v>
      </c>
      <c r="H1097" t="s">
        <v>6602</v>
      </c>
      <c r="I1097" t="s">
        <v>6603</v>
      </c>
      <c r="J1097" t="s">
        <v>26</v>
      </c>
      <c r="K1097" t="s">
        <v>26</v>
      </c>
      <c r="L1097" t="s">
        <v>6604</v>
      </c>
      <c r="M1097" t="s">
        <v>25</v>
      </c>
      <c r="N1097" t="s">
        <v>1911</v>
      </c>
      <c r="O1097" t="s">
        <v>1912</v>
      </c>
      <c r="P1097" t="s">
        <v>1025</v>
      </c>
      <c r="Q1097" t="s">
        <v>1026</v>
      </c>
      <c r="R1097">
        <v>177768</v>
      </c>
      <c r="S1097">
        <v>0</v>
      </c>
      <c r="T1097">
        <v>177768</v>
      </c>
      <c r="U1097" t="s">
        <v>35</v>
      </c>
      <c r="V1097" t="s">
        <v>1915</v>
      </c>
      <c r="W1097" t="s">
        <v>1027</v>
      </c>
      <c r="X1097" s="4">
        <v>1</v>
      </c>
      <c r="Y1097" s="4"/>
      <c r="Z1097">
        <f t="shared" si="68"/>
        <v>7</v>
      </c>
      <c r="AA1097">
        <f t="shared" si="69"/>
        <v>17</v>
      </c>
      <c r="AB1097" s="5">
        <f t="shared" si="70"/>
        <v>0.31562500000291038</v>
      </c>
      <c r="AC1097" s="3">
        <f t="shared" si="71"/>
        <v>9.0266203704231884E-2</v>
      </c>
      <c r="AD1097" t="str" cm="1">
        <f t="array" ref="AD1097">IFERROR(_xlfn.IFS(
    AC1097="", "",
    AC1097*86400 &lt; 30, "1. 0s - &lt;30s",
    AC1097*86400 &lt; 60, "2. 30s - &lt;1m",
    AC1097*86400 &lt; 300, "3. 1m - &lt;5m",
    AC1097*86400 &lt; 1800, "4. 5m - &lt;30m",
    TRUE, "5. &gt;= 30m"
),"6. Invalid (Order rejected)")</f>
        <v>5. &gt;= 30m</v>
      </c>
    </row>
    <row r="1098" spans="1:30" hidden="1" x14ac:dyDescent="0.3">
      <c r="A1098" t="s">
        <v>6605</v>
      </c>
      <c r="B1098" t="s">
        <v>1819</v>
      </c>
      <c r="C1098">
        <v>42814075</v>
      </c>
      <c r="D1098">
        <v>4153228</v>
      </c>
      <c r="E1098" t="s">
        <v>25</v>
      </c>
      <c r="F1098" t="s">
        <v>75</v>
      </c>
      <c r="G1098" t="s">
        <v>76</v>
      </c>
      <c r="H1098" t="s">
        <v>1926</v>
      </c>
      <c r="I1098" t="s">
        <v>6606</v>
      </c>
      <c r="J1098" t="s">
        <v>6607</v>
      </c>
      <c r="K1098" t="s">
        <v>26</v>
      </c>
      <c r="L1098" t="s">
        <v>6608</v>
      </c>
      <c r="M1098" t="s">
        <v>25</v>
      </c>
      <c r="N1098" t="s">
        <v>1948</v>
      </c>
      <c r="O1098" t="s">
        <v>1949</v>
      </c>
      <c r="P1098" t="s">
        <v>6609</v>
      </c>
      <c r="Q1098" t="s">
        <v>6610</v>
      </c>
      <c r="R1098">
        <v>214164</v>
      </c>
      <c r="S1098">
        <v>166027</v>
      </c>
      <c r="T1098">
        <v>48137</v>
      </c>
      <c r="U1098" t="s">
        <v>35</v>
      </c>
      <c r="V1098" t="s">
        <v>1952</v>
      </c>
      <c r="W1098" t="s">
        <v>6611</v>
      </c>
      <c r="X1098" s="4">
        <v>1</v>
      </c>
      <c r="Y1098" s="4"/>
      <c r="Z1098">
        <f t="shared" si="68"/>
        <v>7</v>
      </c>
      <c r="AA1098">
        <f t="shared" si="69"/>
        <v>17</v>
      </c>
      <c r="AB1098" s="5">
        <f t="shared" si="70"/>
        <v>0.31664351851941319</v>
      </c>
      <c r="AC1098" s="3">
        <f t="shared" si="71"/>
        <v>7.7546296291984618E-2</v>
      </c>
      <c r="AD1098" t="str" cm="1">
        <f t="array" ref="AD1098">IFERROR(_xlfn.IFS(
    AC1098="", "",
    AC1098*86400 &lt; 30, "1. 0s - &lt;30s",
    AC1098*86400 &lt; 60, "2. 30s - &lt;1m",
    AC1098*86400 &lt; 300, "3. 1m - &lt;5m",
    AC1098*86400 &lt; 1800, "4. 5m - &lt;30m",
    TRUE, "5. &gt;= 30m"
),"6. Invalid (Order rejected)")</f>
        <v>5. &gt;= 30m</v>
      </c>
    </row>
    <row r="1099" spans="1:30" hidden="1" x14ac:dyDescent="0.3">
      <c r="A1099" t="s">
        <v>6612</v>
      </c>
      <c r="B1099" t="s">
        <v>1819</v>
      </c>
      <c r="C1099">
        <v>42814075</v>
      </c>
      <c r="D1099">
        <v>0</v>
      </c>
      <c r="E1099" t="s">
        <v>25</v>
      </c>
      <c r="F1099" t="s">
        <v>26</v>
      </c>
      <c r="G1099" t="s">
        <v>27</v>
      </c>
      <c r="H1099" t="s">
        <v>6613</v>
      </c>
      <c r="I1099" t="s">
        <v>2016</v>
      </c>
      <c r="J1099" t="s">
        <v>26</v>
      </c>
      <c r="K1099" t="s">
        <v>26</v>
      </c>
      <c r="L1099" t="s">
        <v>6614</v>
      </c>
      <c r="M1099" t="s">
        <v>25</v>
      </c>
      <c r="N1099" t="s">
        <v>1948</v>
      </c>
      <c r="O1099" t="s">
        <v>1949</v>
      </c>
      <c r="P1099" t="s">
        <v>6615</v>
      </c>
      <c r="Q1099" t="s">
        <v>6616</v>
      </c>
      <c r="R1099">
        <v>120312</v>
      </c>
      <c r="S1099">
        <v>0</v>
      </c>
      <c r="T1099">
        <v>120312</v>
      </c>
      <c r="U1099" t="s">
        <v>35</v>
      </c>
      <c r="V1099" t="s">
        <v>1952</v>
      </c>
      <c r="W1099" t="s">
        <v>6617</v>
      </c>
      <c r="X1099" s="4">
        <v>1</v>
      </c>
      <c r="Y1099" s="4"/>
      <c r="Z1099">
        <f t="shared" si="68"/>
        <v>7</v>
      </c>
      <c r="AA1099">
        <f t="shared" si="69"/>
        <v>17</v>
      </c>
      <c r="AB1099" s="5">
        <f t="shared" si="70"/>
        <v>0.31754629629722331</v>
      </c>
      <c r="AC1099" s="3">
        <f t="shared" si="71"/>
        <v>0.14634259259037208</v>
      </c>
      <c r="AD1099" t="str" cm="1">
        <f t="array" ref="AD1099">IFERROR(_xlfn.IFS(
    AC1099="", "",
    AC1099*86400 &lt; 30, "1. 0s - &lt;30s",
    AC1099*86400 &lt; 60, "2. 30s - &lt;1m",
    AC1099*86400 &lt; 300, "3. 1m - &lt;5m",
    AC1099*86400 &lt; 1800, "4. 5m - &lt;30m",
    TRUE, "5. &gt;= 30m"
),"6. Invalid (Order rejected)")</f>
        <v>5. &gt;= 30m</v>
      </c>
    </row>
    <row r="1100" spans="1:30" hidden="1" x14ac:dyDescent="0.3">
      <c r="A1100" t="s">
        <v>6618</v>
      </c>
      <c r="B1100" t="s">
        <v>1819</v>
      </c>
      <c r="C1100">
        <v>42814075</v>
      </c>
      <c r="D1100">
        <v>0</v>
      </c>
      <c r="E1100" t="s">
        <v>25</v>
      </c>
      <c r="F1100" t="s">
        <v>26</v>
      </c>
      <c r="G1100" t="s">
        <v>27</v>
      </c>
      <c r="H1100" t="s">
        <v>6619</v>
      </c>
      <c r="I1100" t="s">
        <v>6620</v>
      </c>
      <c r="J1100" t="s">
        <v>26</v>
      </c>
      <c r="K1100" t="s">
        <v>26</v>
      </c>
      <c r="L1100" t="s">
        <v>6621</v>
      </c>
      <c r="M1100" t="s">
        <v>25</v>
      </c>
      <c r="N1100" t="s">
        <v>2811</v>
      </c>
      <c r="O1100" t="s">
        <v>2812</v>
      </c>
      <c r="P1100" t="s">
        <v>6622</v>
      </c>
      <c r="Q1100" t="s">
        <v>6623</v>
      </c>
      <c r="R1100">
        <v>302184</v>
      </c>
      <c r="S1100">
        <v>0</v>
      </c>
      <c r="T1100">
        <v>302184</v>
      </c>
      <c r="U1100" t="s">
        <v>35</v>
      </c>
      <c r="V1100" t="s">
        <v>2813</v>
      </c>
      <c r="W1100" t="s">
        <v>6624</v>
      </c>
      <c r="X1100" s="4">
        <v>1</v>
      </c>
      <c r="Y1100" s="4"/>
      <c r="Z1100">
        <f t="shared" si="68"/>
        <v>7</v>
      </c>
      <c r="AA1100">
        <f t="shared" si="69"/>
        <v>17</v>
      </c>
      <c r="AB1100" s="5">
        <f t="shared" si="70"/>
        <v>0.30837962962687016</v>
      </c>
      <c r="AC1100" s="3">
        <f t="shared" si="71"/>
        <v>0.11777777777751908</v>
      </c>
      <c r="AD1100" t="str" cm="1">
        <f t="array" ref="AD1100">IFERROR(_xlfn.IFS(
    AC1100="", "",
    AC1100*86400 &lt; 30, "1. 0s - &lt;30s",
    AC1100*86400 &lt; 60, "2. 30s - &lt;1m",
    AC1100*86400 &lt; 300, "3. 1m - &lt;5m",
    AC1100*86400 &lt; 1800, "4. 5m - &lt;30m",
    TRUE, "5. &gt;= 30m"
),"6. Invalid (Order rejected)")</f>
        <v>5. &gt;= 30m</v>
      </c>
    </row>
    <row r="1101" spans="1:30" x14ac:dyDescent="0.3">
      <c r="A1101" t="s">
        <v>6625</v>
      </c>
      <c r="B1101" t="s">
        <v>1819</v>
      </c>
      <c r="C1101">
        <v>42814075</v>
      </c>
      <c r="D1101">
        <v>4221159</v>
      </c>
      <c r="E1101" t="s">
        <v>25</v>
      </c>
      <c r="F1101" t="s">
        <v>75</v>
      </c>
      <c r="G1101" t="s">
        <v>360</v>
      </c>
      <c r="H1101" t="s">
        <v>6626</v>
      </c>
      <c r="I1101" t="s">
        <v>6627</v>
      </c>
      <c r="J1101" t="s">
        <v>6628</v>
      </c>
      <c r="K1101" t="s">
        <v>26</v>
      </c>
      <c r="L1101" t="s">
        <v>25</v>
      </c>
      <c r="M1101" t="s">
        <v>25</v>
      </c>
      <c r="N1101" t="s">
        <v>2811</v>
      </c>
      <c r="O1101" t="s">
        <v>2812</v>
      </c>
      <c r="P1101" t="s">
        <v>6629</v>
      </c>
      <c r="Q1101" t="s">
        <v>6630</v>
      </c>
      <c r="R1101">
        <v>296460</v>
      </c>
      <c r="S1101">
        <v>229825</v>
      </c>
      <c r="T1101">
        <v>66635</v>
      </c>
      <c r="U1101" t="s">
        <v>35</v>
      </c>
      <c r="V1101" t="s">
        <v>2813</v>
      </c>
      <c r="W1101" t="s">
        <v>6631</v>
      </c>
      <c r="X1101" s="4">
        <v>1</v>
      </c>
      <c r="Y1101" s="4"/>
      <c r="Z1101">
        <f t="shared" si="68"/>
        <v>7</v>
      </c>
      <c r="AA1101">
        <f t="shared" si="69"/>
        <v>17</v>
      </c>
      <c r="AB1101" s="5">
        <f t="shared" si="70"/>
        <v>0.30892361111182254</v>
      </c>
      <c r="AC1101" s="3" t="str">
        <f t="shared" si="71"/>
        <v>Order rejected, no time available</v>
      </c>
      <c r="AD1101" t="str" cm="1">
        <f t="array" ref="AD1101">IFERROR(_xlfn.IFS(
    AC1101="", "",
    AC1101*86400 &lt; 30, "1. 0s - &lt;30s",
    AC1101*86400 &lt; 60, "2. 30s - &lt;1m",
    AC1101*86400 &lt; 300, "3. 1m - &lt;5m",
    AC1101*86400 &lt; 1800, "4. 5m - &lt;30m",
    TRUE, "5. &gt;= 30m"
),"6. Invalid (Order rejected)")</f>
        <v>6. Invalid (Order rejected)</v>
      </c>
    </row>
    <row r="1102" spans="1:30" hidden="1" x14ac:dyDescent="0.3">
      <c r="A1102" t="s">
        <v>6632</v>
      </c>
      <c r="B1102" t="s">
        <v>1819</v>
      </c>
      <c r="C1102">
        <v>42814075</v>
      </c>
      <c r="D1102">
        <v>4729280</v>
      </c>
      <c r="E1102" t="s">
        <v>25</v>
      </c>
      <c r="F1102" t="s">
        <v>75</v>
      </c>
      <c r="G1102" t="s">
        <v>76</v>
      </c>
      <c r="H1102" t="s">
        <v>6633</v>
      </c>
      <c r="I1102" t="s">
        <v>6634</v>
      </c>
      <c r="J1102" t="s">
        <v>6635</v>
      </c>
      <c r="K1102" t="s">
        <v>26</v>
      </c>
      <c r="L1102" t="s">
        <v>6636</v>
      </c>
      <c r="M1102" t="s">
        <v>25</v>
      </c>
      <c r="N1102" t="s">
        <v>1900</v>
      </c>
      <c r="O1102" t="s">
        <v>1901</v>
      </c>
      <c r="P1102" t="s">
        <v>1728</v>
      </c>
      <c r="Q1102" t="s">
        <v>1729</v>
      </c>
      <c r="R1102">
        <v>286092</v>
      </c>
      <c r="S1102">
        <v>221788</v>
      </c>
      <c r="T1102">
        <v>64304</v>
      </c>
      <c r="U1102" t="s">
        <v>35</v>
      </c>
      <c r="V1102" t="s">
        <v>1904</v>
      </c>
      <c r="W1102" t="s">
        <v>1731</v>
      </c>
      <c r="X1102" s="4">
        <v>1</v>
      </c>
      <c r="Y1102" s="4"/>
      <c r="Z1102">
        <f t="shared" si="68"/>
        <v>7</v>
      </c>
      <c r="AA1102">
        <f t="shared" si="69"/>
        <v>17</v>
      </c>
      <c r="AB1102" s="5">
        <f t="shared" si="70"/>
        <v>0.31071759259066312</v>
      </c>
      <c r="AC1102" s="3">
        <f t="shared" si="71"/>
        <v>1.7592592630535364E-3</v>
      </c>
      <c r="AD1102" t="str" cm="1">
        <f t="array" ref="AD1102">IFERROR(_xlfn.IFS(
    AC1102="", "",
    AC1102*86400 &lt; 30, "1. 0s - &lt;30s",
    AC1102*86400 &lt; 60, "2. 30s - &lt;1m",
    AC1102*86400 &lt; 300, "3. 1m - &lt;5m",
    AC1102*86400 &lt; 1800, "4. 5m - &lt;30m",
    TRUE, "5. &gt;= 30m"
),"6. Invalid (Order rejected)")</f>
        <v>3. 1m - &lt;5m</v>
      </c>
    </row>
    <row r="1103" spans="1:30" hidden="1" x14ac:dyDescent="0.3">
      <c r="A1103" t="s">
        <v>6637</v>
      </c>
      <c r="B1103" t="s">
        <v>1819</v>
      </c>
      <c r="C1103">
        <v>42814075</v>
      </c>
      <c r="D1103">
        <v>2852976</v>
      </c>
      <c r="E1103" t="s">
        <v>25</v>
      </c>
      <c r="F1103" t="s">
        <v>75</v>
      </c>
      <c r="G1103" t="s">
        <v>76</v>
      </c>
      <c r="H1103" t="s">
        <v>6638</v>
      </c>
      <c r="I1103" t="s">
        <v>6639</v>
      </c>
      <c r="J1103" t="s">
        <v>6640</v>
      </c>
      <c r="K1103" t="s">
        <v>26</v>
      </c>
      <c r="L1103" t="s">
        <v>6641</v>
      </c>
      <c r="M1103" t="s">
        <v>25</v>
      </c>
      <c r="N1103" t="s">
        <v>1890</v>
      </c>
      <c r="O1103" t="s">
        <v>1891</v>
      </c>
      <c r="P1103" t="s">
        <v>6642</v>
      </c>
      <c r="Q1103" t="s">
        <v>6643</v>
      </c>
      <c r="R1103">
        <v>274536</v>
      </c>
      <c r="S1103">
        <v>225348</v>
      </c>
      <c r="T1103">
        <v>49188</v>
      </c>
      <c r="U1103" t="s">
        <v>35</v>
      </c>
      <c r="V1103" t="s">
        <v>1894</v>
      </c>
      <c r="W1103" t="s">
        <v>6644</v>
      </c>
      <c r="X1103" s="4">
        <v>1</v>
      </c>
      <c r="Y1103" s="4"/>
      <c r="Z1103">
        <f t="shared" si="68"/>
        <v>7</v>
      </c>
      <c r="AA1103">
        <f t="shared" si="69"/>
        <v>17</v>
      </c>
      <c r="AB1103" s="5">
        <f t="shared" si="70"/>
        <v>0.31268518518481869</v>
      </c>
      <c r="AC1103" s="3">
        <f t="shared" si="71"/>
        <v>5.0092592595319729E-2</v>
      </c>
      <c r="AD1103" t="str" cm="1">
        <f t="array" ref="AD1103">IFERROR(_xlfn.IFS(
    AC1103="", "",
    AC1103*86400 &lt; 30, "1. 0s - &lt;30s",
    AC1103*86400 &lt; 60, "2. 30s - &lt;1m",
    AC1103*86400 &lt; 300, "3. 1m - &lt;5m",
    AC1103*86400 &lt; 1800, "4. 5m - &lt;30m",
    TRUE, "5. &gt;= 30m"
),"6. Invalid (Order rejected)")</f>
        <v>5. &gt;= 30m</v>
      </c>
    </row>
    <row r="1104" spans="1:30" hidden="1" x14ac:dyDescent="0.3">
      <c r="A1104" t="s">
        <v>6645</v>
      </c>
      <c r="B1104" t="s">
        <v>1819</v>
      </c>
      <c r="C1104">
        <v>42814075</v>
      </c>
      <c r="D1104">
        <v>0</v>
      </c>
      <c r="E1104" t="s">
        <v>25</v>
      </c>
      <c r="F1104" t="s">
        <v>26</v>
      </c>
      <c r="G1104" t="s">
        <v>27</v>
      </c>
      <c r="H1104" t="s">
        <v>6646</v>
      </c>
      <c r="I1104" t="s">
        <v>1908</v>
      </c>
      <c r="J1104" t="s">
        <v>26</v>
      </c>
      <c r="K1104" t="s">
        <v>26</v>
      </c>
      <c r="L1104" t="s">
        <v>6647</v>
      </c>
      <c r="M1104" t="s">
        <v>25</v>
      </c>
      <c r="N1104" t="s">
        <v>1911</v>
      </c>
      <c r="O1104" t="s">
        <v>1912</v>
      </c>
      <c r="P1104" t="s">
        <v>6648</v>
      </c>
      <c r="Q1104" t="s">
        <v>6649</v>
      </c>
      <c r="R1104">
        <v>166536</v>
      </c>
      <c r="S1104">
        <v>0</v>
      </c>
      <c r="T1104">
        <v>166536</v>
      </c>
      <c r="U1104" t="s">
        <v>35</v>
      </c>
      <c r="V1104" t="s">
        <v>1915</v>
      </c>
      <c r="W1104" t="s">
        <v>6650</v>
      </c>
      <c r="X1104" s="4">
        <v>1</v>
      </c>
      <c r="Y1104" s="4"/>
      <c r="Z1104">
        <f t="shared" si="68"/>
        <v>7</v>
      </c>
      <c r="AA1104">
        <f t="shared" si="69"/>
        <v>17</v>
      </c>
      <c r="AB1104" s="5">
        <f t="shared" si="70"/>
        <v>0.31593750000320142</v>
      </c>
      <c r="AC1104" s="3">
        <f t="shared" si="71"/>
        <v>0.14586805555154569</v>
      </c>
      <c r="AD1104" t="str" cm="1">
        <f t="array" ref="AD1104">IFERROR(_xlfn.IFS(
    AC1104="", "",
    AC1104*86400 &lt; 30, "1. 0s - &lt;30s",
    AC1104*86400 &lt; 60, "2. 30s - &lt;1m",
    AC1104*86400 &lt; 300, "3. 1m - &lt;5m",
    AC1104*86400 &lt; 1800, "4. 5m - &lt;30m",
    TRUE, "5. &gt;= 30m"
),"6. Invalid (Order rejected)")</f>
        <v>5. &gt;= 30m</v>
      </c>
    </row>
    <row r="1105" spans="1:30" hidden="1" x14ac:dyDescent="0.3">
      <c r="A1105" t="s">
        <v>6651</v>
      </c>
      <c r="B1105" t="s">
        <v>1819</v>
      </c>
      <c r="C1105">
        <v>42814075</v>
      </c>
      <c r="D1105">
        <v>0</v>
      </c>
      <c r="E1105" t="s">
        <v>25</v>
      </c>
      <c r="F1105" t="s">
        <v>26</v>
      </c>
      <c r="G1105" t="s">
        <v>27</v>
      </c>
      <c r="H1105" t="s">
        <v>6652</v>
      </c>
      <c r="I1105" t="s">
        <v>6653</v>
      </c>
      <c r="J1105" t="s">
        <v>26</v>
      </c>
      <c r="K1105" t="s">
        <v>26</v>
      </c>
      <c r="L1105" t="s">
        <v>6654</v>
      </c>
      <c r="M1105" t="s">
        <v>25</v>
      </c>
      <c r="N1105" t="s">
        <v>1948</v>
      </c>
      <c r="O1105" t="s">
        <v>1949</v>
      </c>
      <c r="P1105" t="s">
        <v>463</v>
      </c>
      <c r="Q1105" t="s">
        <v>464</v>
      </c>
      <c r="R1105">
        <v>225720</v>
      </c>
      <c r="S1105">
        <v>0</v>
      </c>
      <c r="T1105">
        <v>225720</v>
      </c>
      <c r="U1105" t="s">
        <v>35</v>
      </c>
      <c r="V1105" t="s">
        <v>1952</v>
      </c>
      <c r="W1105" t="s">
        <v>465</v>
      </c>
      <c r="X1105" s="4">
        <v>1</v>
      </c>
      <c r="Y1105" s="4"/>
      <c r="Z1105">
        <f t="shared" si="68"/>
        <v>7</v>
      </c>
      <c r="AA1105">
        <f t="shared" si="69"/>
        <v>17</v>
      </c>
      <c r="AB1105" s="5">
        <f t="shared" si="70"/>
        <v>0.31789351852057735</v>
      </c>
      <c r="AC1105" s="3">
        <f t="shared" si="71"/>
        <v>9.0266203704231884E-2</v>
      </c>
      <c r="AD1105" t="str" cm="1">
        <f t="array" ref="AD1105">IFERROR(_xlfn.IFS(
    AC1105="", "",
    AC1105*86400 &lt; 30, "1. 0s - &lt;30s",
    AC1105*86400 &lt; 60, "2. 30s - &lt;1m",
    AC1105*86400 &lt; 300, "3. 1m - &lt;5m",
    AC1105*86400 &lt; 1800, "4. 5m - &lt;30m",
    TRUE, "5. &gt;= 30m"
),"6. Invalid (Order rejected)")</f>
        <v>5. &gt;= 30m</v>
      </c>
    </row>
    <row r="1106" spans="1:30" hidden="1" x14ac:dyDescent="0.3">
      <c r="A1106" t="s">
        <v>6655</v>
      </c>
      <c r="B1106" t="s">
        <v>1819</v>
      </c>
      <c r="C1106">
        <v>42814075</v>
      </c>
      <c r="D1106">
        <v>0</v>
      </c>
      <c r="E1106" t="s">
        <v>25</v>
      </c>
      <c r="F1106" t="s">
        <v>26</v>
      </c>
      <c r="G1106" t="s">
        <v>27</v>
      </c>
      <c r="H1106" t="s">
        <v>6656</v>
      </c>
      <c r="I1106" t="s">
        <v>6657</v>
      </c>
      <c r="J1106" t="s">
        <v>26</v>
      </c>
      <c r="K1106" t="s">
        <v>26</v>
      </c>
      <c r="L1106" t="s">
        <v>6658</v>
      </c>
      <c r="M1106" t="s">
        <v>25</v>
      </c>
      <c r="N1106" t="s">
        <v>2811</v>
      </c>
      <c r="O1106" t="s">
        <v>2812</v>
      </c>
      <c r="P1106" t="s">
        <v>6659</v>
      </c>
      <c r="Q1106" t="s">
        <v>6660</v>
      </c>
      <c r="R1106">
        <v>233712</v>
      </c>
      <c r="S1106">
        <v>0</v>
      </c>
      <c r="T1106">
        <v>233712</v>
      </c>
      <c r="U1106" t="s">
        <v>35</v>
      </c>
      <c r="V1106" t="s">
        <v>2813</v>
      </c>
      <c r="W1106" t="s">
        <v>6661</v>
      </c>
      <c r="X1106" s="4">
        <v>1</v>
      </c>
      <c r="Y1106" s="4"/>
      <c r="Z1106">
        <f t="shared" si="68"/>
        <v>7</v>
      </c>
      <c r="AA1106">
        <f t="shared" si="69"/>
        <v>17</v>
      </c>
      <c r="AB1106" s="5">
        <f t="shared" si="70"/>
        <v>0.30818287037254777</v>
      </c>
      <c r="AC1106" s="3">
        <f t="shared" si="71"/>
        <v>9.0277777773735579E-2</v>
      </c>
      <c r="AD1106" t="str" cm="1">
        <f t="array" ref="AD1106">IFERROR(_xlfn.IFS(
    AC1106="", "",
    AC1106*86400 &lt; 30, "1. 0s - &lt;30s",
    AC1106*86400 &lt; 60, "2. 30s - &lt;1m",
    AC1106*86400 &lt; 300, "3. 1m - &lt;5m",
    AC1106*86400 &lt; 1800, "4. 5m - &lt;30m",
    TRUE, "5. &gt;= 30m"
),"6. Invalid (Order rejected)")</f>
        <v>5. &gt;= 30m</v>
      </c>
    </row>
    <row r="1107" spans="1:30" x14ac:dyDescent="0.3">
      <c r="A1107" t="s">
        <v>6662</v>
      </c>
      <c r="B1107" t="s">
        <v>1819</v>
      </c>
      <c r="C1107">
        <v>42814075</v>
      </c>
      <c r="D1107">
        <v>2920483</v>
      </c>
      <c r="E1107" t="s">
        <v>25</v>
      </c>
      <c r="F1107" t="s">
        <v>75</v>
      </c>
      <c r="G1107" t="s">
        <v>360</v>
      </c>
      <c r="H1107" t="s">
        <v>6663</v>
      </c>
      <c r="I1107" t="s">
        <v>6664</v>
      </c>
      <c r="J1107" t="s">
        <v>6665</v>
      </c>
      <c r="K1107" t="s">
        <v>26</v>
      </c>
      <c r="L1107" t="s">
        <v>25</v>
      </c>
      <c r="M1107" t="s">
        <v>25</v>
      </c>
      <c r="N1107" t="s">
        <v>2811</v>
      </c>
      <c r="O1107" t="s">
        <v>2812</v>
      </c>
      <c r="P1107" t="s">
        <v>6629</v>
      </c>
      <c r="Q1107" t="s">
        <v>6630</v>
      </c>
      <c r="R1107">
        <v>211788</v>
      </c>
      <c r="S1107">
        <v>164185</v>
      </c>
      <c r="T1107">
        <v>47603</v>
      </c>
      <c r="U1107" t="s">
        <v>35</v>
      </c>
      <c r="V1107" t="s">
        <v>2813</v>
      </c>
      <c r="W1107" t="s">
        <v>6631</v>
      </c>
      <c r="X1107" s="4">
        <v>1</v>
      </c>
      <c r="Y1107" s="4"/>
      <c r="Z1107">
        <f t="shared" si="68"/>
        <v>7</v>
      </c>
      <c r="AA1107">
        <f t="shared" si="69"/>
        <v>17</v>
      </c>
      <c r="AB1107" s="5">
        <f t="shared" si="70"/>
        <v>0.30872685185022419</v>
      </c>
      <c r="AC1107" s="3" t="str">
        <f t="shared" si="71"/>
        <v>Order rejected, no time available</v>
      </c>
      <c r="AD1107" t="str" cm="1">
        <f t="array" ref="AD1107">IFERROR(_xlfn.IFS(
    AC1107="", "",
    AC1107*86400 &lt; 30, "1. 0s - &lt;30s",
    AC1107*86400 &lt; 60, "2. 30s - &lt;1m",
    AC1107*86400 &lt; 300, "3. 1m - &lt;5m",
    AC1107*86400 &lt; 1800, "4. 5m - &lt;30m",
    TRUE, "5. &gt;= 30m"
),"6. Invalid (Order rejected)")</f>
        <v>6. Invalid (Order rejected)</v>
      </c>
    </row>
    <row r="1108" spans="1:30" hidden="1" x14ac:dyDescent="0.3">
      <c r="A1108" t="s">
        <v>6666</v>
      </c>
      <c r="B1108" t="s">
        <v>1819</v>
      </c>
      <c r="C1108">
        <v>42814075</v>
      </c>
      <c r="D1108">
        <v>0</v>
      </c>
      <c r="E1108" t="s">
        <v>25</v>
      </c>
      <c r="F1108" t="s">
        <v>26</v>
      </c>
      <c r="G1108" t="s">
        <v>27</v>
      </c>
      <c r="H1108" t="s">
        <v>6667</v>
      </c>
      <c r="I1108" t="s">
        <v>6668</v>
      </c>
      <c r="J1108" t="s">
        <v>26</v>
      </c>
      <c r="K1108" t="s">
        <v>26</v>
      </c>
      <c r="L1108" t="s">
        <v>6669</v>
      </c>
      <c r="M1108" t="s">
        <v>25</v>
      </c>
      <c r="N1108" t="s">
        <v>1948</v>
      </c>
      <c r="O1108" t="s">
        <v>1949</v>
      </c>
      <c r="P1108" t="s">
        <v>342</v>
      </c>
      <c r="Q1108" t="s">
        <v>343</v>
      </c>
      <c r="R1108">
        <v>130032</v>
      </c>
      <c r="S1108">
        <v>0</v>
      </c>
      <c r="T1108">
        <v>130032</v>
      </c>
      <c r="U1108" t="s">
        <v>35</v>
      </c>
      <c r="V1108" t="s">
        <v>1952</v>
      </c>
      <c r="W1108" t="s">
        <v>344</v>
      </c>
      <c r="X1108" s="4">
        <v>1</v>
      </c>
      <c r="Y1108" s="4"/>
      <c r="Z1108">
        <f t="shared" si="68"/>
        <v>7</v>
      </c>
      <c r="AA1108">
        <f t="shared" si="69"/>
        <v>17</v>
      </c>
      <c r="AB1108" s="5">
        <f t="shared" si="70"/>
        <v>0.31712962962774327</v>
      </c>
      <c r="AC1108" s="3">
        <f t="shared" si="71"/>
        <v>9.0277777781011537E-2</v>
      </c>
      <c r="AD1108" t="str" cm="1">
        <f t="array" ref="AD1108">IFERROR(_xlfn.IFS(
    AC1108="", "",
    AC1108*86400 &lt; 30, "1. 0s - &lt;30s",
    AC1108*86400 &lt; 60, "2. 30s - &lt;1m",
    AC1108*86400 &lt; 300, "3. 1m - &lt;5m",
    AC1108*86400 &lt; 1800, "4. 5m - &lt;30m",
    TRUE, "5. &gt;= 30m"
),"6. Invalid (Order rejected)")</f>
        <v>5. &gt;= 30m</v>
      </c>
    </row>
    <row r="1109" spans="1:30" hidden="1" x14ac:dyDescent="0.3">
      <c r="A1109" t="s">
        <v>6670</v>
      </c>
      <c r="B1109" t="s">
        <v>1819</v>
      </c>
      <c r="C1109">
        <v>42814075</v>
      </c>
      <c r="D1109">
        <v>0</v>
      </c>
      <c r="E1109" t="s">
        <v>25</v>
      </c>
      <c r="F1109" t="s">
        <v>26</v>
      </c>
      <c r="G1109" t="s">
        <v>27</v>
      </c>
      <c r="H1109" t="s">
        <v>6671</v>
      </c>
      <c r="I1109" t="s">
        <v>6672</v>
      </c>
      <c r="J1109" t="s">
        <v>26</v>
      </c>
      <c r="K1109" t="s">
        <v>26</v>
      </c>
      <c r="L1109" t="s">
        <v>6673</v>
      </c>
      <c r="M1109" t="s">
        <v>25</v>
      </c>
      <c r="N1109" t="s">
        <v>1911</v>
      </c>
      <c r="O1109" t="s">
        <v>1912</v>
      </c>
      <c r="P1109" t="s">
        <v>169</v>
      </c>
      <c r="Q1109" t="s">
        <v>170</v>
      </c>
      <c r="R1109">
        <v>156060</v>
      </c>
      <c r="S1109">
        <v>0</v>
      </c>
      <c r="T1109">
        <v>156060</v>
      </c>
      <c r="U1109" t="s">
        <v>35</v>
      </c>
      <c r="V1109" t="s">
        <v>1915</v>
      </c>
      <c r="W1109" t="s">
        <v>171</v>
      </c>
      <c r="X1109" s="4">
        <v>1</v>
      </c>
      <c r="Y1109" s="4"/>
      <c r="Z1109">
        <f t="shared" si="68"/>
        <v>7</v>
      </c>
      <c r="AA1109">
        <f t="shared" si="69"/>
        <v>17</v>
      </c>
      <c r="AB1109" s="5">
        <f t="shared" si="70"/>
        <v>0.31431712963239988</v>
      </c>
      <c r="AC1109" s="3">
        <f t="shared" si="71"/>
        <v>9.0266203704231884E-2</v>
      </c>
      <c r="AD1109" t="str" cm="1">
        <f t="array" ref="AD1109">IFERROR(_xlfn.IFS(
    AC1109="", "",
    AC1109*86400 &lt; 30, "1. 0s - &lt;30s",
    AC1109*86400 &lt; 60, "2. 30s - &lt;1m",
    AC1109*86400 &lt; 300, "3. 1m - &lt;5m",
    AC1109*86400 &lt; 1800, "4. 5m - &lt;30m",
    TRUE, "5. &gt;= 30m"
),"6. Invalid (Order rejected)")</f>
        <v>5. &gt;= 30m</v>
      </c>
    </row>
    <row r="1110" spans="1:30" hidden="1" x14ac:dyDescent="0.3">
      <c r="A1110" t="s">
        <v>6674</v>
      </c>
      <c r="B1110" t="s">
        <v>1819</v>
      </c>
      <c r="C1110">
        <v>42814075</v>
      </c>
      <c r="D1110">
        <v>0</v>
      </c>
      <c r="E1110" t="s">
        <v>25</v>
      </c>
      <c r="F1110" t="s">
        <v>26</v>
      </c>
      <c r="G1110" t="s">
        <v>27</v>
      </c>
      <c r="H1110" t="s">
        <v>6675</v>
      </c>
      <c r="I1110" t="s">
        <v>6676</v>
      </c>
      <c r="J1110" t="s">
        <v>26</v>
      </c>
      <c r="K1110" t="s">
        <v>26</v>
      </c>
      <c r="L1110" t="s">
        <v>6677</v>
      </c>
      <c r="M1110" t="s">
        <v>25</v>
      </c>
      <c r="N1110" t="s">
        <v>1911</v>
      </c>
      <c r="O1110" t="s">
        <v>1912</v>
      </c>
      <c r="P1110" t="s">
        <v>1025</v>
      </c>
      <c r="Q1110" t="s">
        <v>1026</v>
      </c>
      <c r="R1110">
        <v>244512</v>
      </c>
      <c r="S1110">
        <v>0</v>
      </c>
      <c r="T1110">
        <v>244512</v>
      </c>
      <c r="U1110" t="s">
        <v>35</v>
      </c>
      <c r="V1110" t="s">
        <v>1915</v>
      </c>
      <c r="W1110" t="s">
        <v>1027</v>
      </c>
      <c r="X1110" s="4">
        <v>1</v>
      </c>
      <c r="Y1110" s="4"/>
      <c r="Z1110">
        <f t="shared" si="68"/>
        <v>7</v>
      </c>
      <c r="AA1110">
        <f t="shared" si="69"/>
        <v>17</v>
      </c>
      <c r="AB1110" s="5">
        <f t="shared" si="70"/>
        <v>0.31575231481838273</v>
      </c>
      <c r="AC1110" s="3">
        <f t="shared" si="71"/>
        <v>0.15825231480994262</v>
      </c>
      <c r="AD1110" t="str" cm="1">
        <f t="array" ref="AD1110">IFERROR(_xlfn.IFS(
    AC1110="", "",
    AC1110*86400 &lt; 30, "1. 0s - &lt;30s",
    AC1110*86400 &lt; 60, "2. 30s - &lt;1m",
    AC1110*86400 &lt; 300, "3. 1m - &lt;5m",
    AC1110*86400 &lt; 1800, "4. 5m - &lt;30m",
    TRUE, "5. &gt;= 30m"
),"6. Invalid (Order rejected)")</f>
        <v>5. &gt;= 30m</v>
      </c>
    </row>
    <row r="1111" spans="1:30" x14ac:dyDescent="0.3">
      <c r="A1111" t="s">
        <v>6678</v>
      </c>
      <c r="B1111" t="s">
        <v>1819</v>
      </c>
      <c r="C1111">
        <v>42814075</v>
      </c>
      <c r="D1111">
        <v>4391348</v>
      </c>
      <c r="E1111" t="s">
        <v>25</v>
      </c>
      <c r="F1111" t="s">
        <v>75</v>
      </c>
      <c r="G1111" t="s">
        <v>360</v>
      </c>
      <c r="H1111" t="s">
        <v>6679</v>
      </c>
      <c r="I1111" t="s">
        <v>6680</v>
      </c>
      <c r="J1111" t="s">
        <v>6681</v>
      </c>
      <c r="K1111" t="s">
        <v>26</v>
      </c>
      <c r="L1111" t="s">
        <v>25</v>
      </c>
      <c r="M1111" t="s">
        <v>25</v>
      </c>
      <c r="N1111" t="s">
        <v>1911</v>
      </c>
      <c r="O1111" t="s">
        <v>1912</v>
      </c>
      <c r="P1111" t="s">
        <v>6682</v>
      </c>
      <c r="Q1111" t="s">
        <v>6683</v>
      </c>
      <c r="R1111">
        <v>232092</v>
      </c>
      <c r="S1111">
        <v>179925</v>
      </c>
      <c r="T1111">
        <v>52167</v>
      </c>
      <c r="U1111" t="s">
        <v>35</v>
      </c>
      <c r="V1111" t="s">
        <v>1915</v>
      </c>
      <c r="W1111" t="s">
        <v>6684</v>
      </c>
      <c r="X1111" s="4">
        <v>1</v>
      </c>
      <c r="Y1111" s="4"/>
      <c r="Z1111">
        <f t="shared" si="68"/>
        <v>7</v>
      </c>
      <c r="AA1111">
        <f t="shared" si="69"/>
        <v>17</v>
      </c>
      <c r="AB1111" s="5">
        <f t="shared" si="70"/>
        <v>0.31611111111124046</v>
      </c>
      <c r="AC1111" s="3" t="str">
        <f t="shared" si="71"/>
        <v>Order rejected, no time available</v>
      </c>
      <c r="AD1111" t="str" cm="1">
        <f t="array" ref="AD1111">IFERROR(_xlfn.IFS(
    AC1111="", "",
    AC1111*86400 &lt; 30, "1. 0s - &lt;30s",
    AC1111*86400 &lt; 60, "2. 30s - &lt;1m",
    AC1111*86400 &lt; 300, "3. 1m - &lt;5m",
    AC1111*86400 &lt; 1800, "4. 5m - &lt;30m",
    TRUE, "5. &gt;= 30m"
),"6. Invalid (Order rejected)")</f>
        <v>6. Invalid (Order rejected)</v>
      </c>
    </row>
    <row r="1112" spans="1:30" x14ac:dyDescent="0.3">
      <c r="A1112" t="s">
        <v>6685</v>
      </c>
      <c r="B1112" t="s">
        <v>1819</v>
      </c>
      <c r="C1112">
        <v>42814075</v>
      </c>
      <c r="D1112">
        <v>4318845</v>
      </c>
      <c r="E1112" t="s">
        <v>25</v>
      </c>
      <c r="F1112" t="s">
        <v>75</v>
      </c>
      <c r="G1112" t="s">
        <v>360</v>
      </c>
      <c r="H1112" t="s">
        <v>6686</v>
      </c>
      <c r="I1112" t="s">
        <v>1946</v>
      </c>
      <c r="J1112" t="s">
        <v>6687</v>
      </c>
      <c r="K1112" t="s">
        <v>26</v>
      </c>
      <c r="L1112" t="s">
        <v>25</v>
      </c>
      <c r="M1112" t="s">
        <v>25</v>
      </c>
      <c r="N1112" t="s">
        <v>1948</v>
      </c>
      <c r="O1112" t="s">
        <v>1949</v>
      </c>
      <c r="P1112" t="s">
        <v>6688</v>
      </c>
      <c r="Q1112" t="s">
        <v>6689</v>
      </c>
      <c r="R1112">
        <v>204444</v>
      </c>
      <c r="S1112">
        <v>158491</v>
      </c>
      <c r="T1112">
        <v>45953</v>
      </c>
      <c r="U1112" t="s">
        <v>35</v>
      </c>
      <c r="V1112" t="s">
        <v>1952</v>
      </c>
      <c r="W1112" t="s">
        <v>6690</v>
      </c>
      <c r="X1112" s="4">
        <v>1</v>
      </c>
      <c r="Y1112" s="4"/>
      <c r="Z1112">
        <f t="shared" si="68"/>
        <v>7</v>
      </c>
      <c r="AA1112">
        <f t="shared" si="69"/>
        <v>17</v>
      </c>
      <c r="AB1112" s="5">
        <f t="shared" si="70"/>
        <v>0.31700231481227092</v>
      </c>
      <c r="AC1112" s="3" t="str">
        <f t="shared" si="71"/>
        <v>Order rejected, no time available</v>
      </c>
      <c r="AD1112" t="str" cm="1">
        <f t="array" ref="AD1112">IFERROR(_xlfn.IFS(
    AC1112="", "",
    AC1112*86400 &lt; 30, "1. 0s - &lt;30s",
    AC1112*86400 &lt; 60, "2. 30s - &lt;1m",
    AC1112*86400 &lt; 300, "3. 1m - &lt;5m",
    AC1112*86400 &lt; 1800, "4. 5m - &lt;30m",
    TRUE, "5. &gt;= 30m"
),"6. Invalid (Order rejected)")</f>
        <v>6. Invalid (Order rejected)</v>
      </c>
    </row>
    <row r="1113" spans="1:30" hidden="1" x14ac:dyDescent="0.3">
      <c r="A1113" t="s">
        <v>6691</v>
      </c>
      <c r="B1113" t="s">
        <v>1819</v>
      </c>
      <c r="C1113">
        <v>42814075</v>
      </c>
      <c r="D1113">
        <v>0</v>
      </c>
      <c r="E1113" t="s">
        <v>25</v>
      </c>
      <c r="F1113" t="s">
        <v>26</v>
      </c>
      <c r="G1113" t="s">
        <v>27</v>
      </c>
      <c r="H1113" t="s">
        <v>6692</v>
      </c>
      <c r="I1113" t="s">
        <v>6693</v>
      </c>
      <c r="J1113" t="s">
        <v>26</v>
      </c>
      <c r="K1113" t="s">
        <v>26</v>
      </c>
      <c r="L1113" t="s">
        <v>6694</v>
      </c>
      <c r="M1113" t="s">
        <v>25</v>
      </c>
      <c r="N1113" t="s">
        <v>1948</v>
      </c>
      <c r="O1113" t="s">
        <v>1949</v>
      </c>
      <c r="P1113" t="s">
        <v>6695</v>
      </c>
      <c r="Q1113" t="s">
        <v>6696</v>
      </c>
      <c r="R1113">
        <v>178740</v>
      </c>
      <c r="S1113">
        <v>0</v>
      </c>
      <c r="T1113">
        <v>178740</v>
      </c>
      <c r="U1113" t="s">
        <v>35</v>
      </c>
      <c r="V1113" t="s">
        <v>1952</v>
      </c>
      <c r="W1113" t="s">
        <v>6617</v>
      </c>
      <c r="X1113" s="4">
        <v>1</v>
      </c>
      <c r="Y1113" s="4"/>
      <c r="Z1113">
        <f t="shared" si="68"/>
        <v>7</v>
      </c>
      <c r="AA1113">
        <f t="shared" si="69"/>
        <v>17</v>
      </c>
      <c r="AB1113" s="5">
        <f t="shared" si="70"/>
        <v>0.31730324074305827</v>
      </c>
      <c r="AC1113" s="3">
        <f t="shared" si="71"/>
        <v>0.11284722221898846</v>
      </c>
      <c r="AD1113" t="str" cm="1">
        <f t="array" ref="AD1113">IFERROR(_xlfn.IFS(
    AC1113="", "",
    AC1113*86400 &lt; 30, "1. 0s - &lt;30s",
    AC1113*86400 &lt; 60, "2. 30s - &lt;1m",
    AC1113*86400 &lt; 300, "3. 1m - &lt;5m",
    AC1113*86400 &lt; 1800, "4. 5m - &lt;30m",
    TRUE, "5. &gt;= 30m"
),"6. Invalid (Order rejected)")</f>
        <v>5. &gt;= 30m</v>
      </c>
    </row>
    <row r="1114" spans="1:30" hidden="1" x14ac:dyDescent="0.3">
      <c r="A1114" t="s">
        <v>6697</v>
      </c>
      <c r="B1114" t="s">
        <v>1819</v>
      </c>
      <c r="C1114">
        <v>42814075</v>
      </c>
      <c r="D1114">
        <v>0</v>
      </c>
      <c r="E1114" t="s">
        <v>25</v>
      </c>
      <c r="F1114" t="s">
        <v>26</v>
      </c>
      <c r="G1114" t="s">
        <v>27</v>
      </c>
      <c r="H1114" t="s">
        <v>6698</v>
      </c>
      <c r="I1114" t="s">
        <v>6699</v>
      </c>
      <c r="J1114" t="s">
        <v>26</v>
      </c>
      <c r="K1114" t="s">
        <v>26</v>
      </c>
      <c r="L1114" t="s">
        <v>6700</v>
      </c>
      <c r="M1114" t="s">
        <v>25</v>
      </c>
      <c r="N1114" t="s">
        <v>1568</v>
      </c>
      <c r="O1114" t="s">
        <v>1569</v>
      </c>
      <c r="P1114" t="s">
        <v>1840</v>
      </c>
      <c r="Q1114" t="s">
        <v>1841</v>
      </c>
      <c r="R1114">
        <v>303372</v>
      </c>
      <c r="S1114">
        <v>0</v>
      </c>
      <c r="T1114">
        <v>303372</v>
      </c>
      <c r="U1114" t="s">
        <v>35</v>
      </c>
      <c r="V1114" t="s">
        <v>1572</v>
      </c>
      <c r="W1114" t="s">
        <v>1843</v>
      </c>
      <c r="X1114" s="4">
        <v>1</v>
      </c>
      <c r="Y1114" s="4"/>
      <c r="Z1114">
        <f t="shared" si="68"/>
        <v>7</v>
      </c>
      <c r="AA1114">
        <f t="shared" si="69"/>
        <v>17</v>
      </c>
      <c r="AB1114" s="5">
        <f t="shared" si="70"/>
        <v>0.32019675926130731</v>
      </c>
      <c r="AC1114" s="3">
        <f t="shared" si="71"/>
        <v>9.0277777773735579E-2</v>
      </c>
      <c r="AD1114" t="str" cm="1">
        <f t="array" ref="AD1114">IFERROR(_xlfn.IFS(
    AC1114="", "",
    AC1114*86400 &lt; 30, "1. 0s - &lt;30s",
    AC1114*86400 &lt; 60, "2. 30s - &lt;1m",
    AC1114*86400 &lt; 300, "3. 1m - &lt;5m",
    AC1114*86400 &lt; 1800, "4. 5m - &lt;30m",
    TRUE, "5. &gt;= 30m"
),"6. Invalid (Order rejected)")</f>
        <v>5. &gt;= 30m</v>
      </c>
    </row>
    <row r="1115" spans="1:30" x14ac:dyDescent="0.3">
      <c r="A1115" t="s">
        <v>6701</v>
      </c>
      <c r="B1115" t="s">
        <v>1819</v>
      </c>
      <c r="C1115">
        <v>42814075</v>
      </c>
      <c r="D1115">
        <v>4143931</v>
      </c>
      <c r="E1115" t="s">
        <v>25</v>
      </c>
      <c r="F1115" t="s">
        <v>75</v>
      </c>
      <c r="G1115" t="s">
        <v>360</v>
      </c>
      <c r="H1115" t="s">
        <v>6702</v>
      </c>
      <c r="I1115" t="s">
        <v>6703</v>
      </c>
      <c r="J1115" t="s">
        <v>6704</v>
      </c>
      <c r="K1115" t="s">
        <v>26</v>
      </c>
      <c r="L1115" t="s">
        <v>25</v>
      </c>
      <c r="M1115" t="s">
        <v>25</v>
      </c>
      <c r="N1115" t="s">
        <v>1890</v>
      </c>
      <c r="O1115" t="s">
        <v>1891</v>
      </c>
      <c r="P1115" t="s">
        <v>1892</v>
      </c>
      <c r="Q1115" t="s">
        <v>1893</v>
      </c>
      <c r="R1115">
        <v>194940</v>
      </c>
      <c r="S1115">
        <v>151124</v>
      </c>
      <c r="T1115">
        <v>43816</v>
      </c>
      <c r="U1115" t="s">
        <v>35</v>
      </c>
      <c r="V1115" t="s">
        <v>1894</v>
      </c>
      <c r="W1115" t="s">
        <v>1895</v>
      </c>
      <c r="X1115" s="4">
        <v>1</v>
      </c>
      <c r="Y1115" s="4"/>
      <c r="Z1115">
        <f t="shared" si="68"/>
        <v>7</v>
      </c>
      <c r="AA1115">
        <f t="shared" si="69"/>
        <v>17</v>
      </c>
      <c r="AB1115" s="5">
        <f t="shared" si="70"/>
        <v>0.3125</v>
      </c>
      <c r="AC1115" s="3" t="str">
        <f t="shared" si="71"/>
        <v>Order rejected, no time available</v>
      </c>
      <c r="AD1115" t="str" cm="1">
        <f t="array" ref="AD1115">IFERROR(_xlfn.IFS(
    AC1115="", "",
    AC1115*86400 &lt; 30, "1. 0s - &lt;30s",
    AC1115*86400 &lt; 60, "2. 30s - &lt;1m",
    AC1115*86400 &lt; 300, "3. 1m - &lt;5m",
    AC1115*86400 &lt; 1800, "4. 5m - &lt;30m",
    TRUE, "5. &gt;= 30m"
),"6. Invalid (Order rejected)")</f>
        <v>6. Invalid (Order rejected)</v>
      </c>
    </row>
    <row r="1116" spans="1:30" x14ac:dyDescent="0.3">
      <c r="A1116" t="s">
        <v>6705</v>
      </c>
      <c r="B1116" t="s">
        <v>1819</v>
      </c>
      <c r="C1116">
        <v>42814075</v>
      </c>
      <c r="D1116">
        <v>4710974</v>
      </c>
      <c r="E1116" t="s">
        <v>25</v>
      </c>
      <c r="F1116" t="s">
        <v>75</v>
      </c>
      <c r="G1116" t="s">
        <v>360</v>
      </c>
      <c r="H1116" t="s">
        <v>6706</v>
      </c>
      <c r="I1116" t="s">
        <v>6707</v>
      </c>
      <c r="J1116" t="s">
        <v>6708</v>
      </c>
      <c r="K1116" t="s">
        <v>26</v>
      </c>
      <c r="L1116" t="s">
        <v>25</v>
      </c>
      <c r="M1116" t="s">
        <v>25</v>
      </c>
      <c r="N1116" t="s">
        <v>1974</v>
      </c>
      <c r="O1116" t="s">
        <v>1975</v>
      </c>
      <c r="P1116" t="s">
        <v>6709</v>
      </c>
      <c r="Q1116" t="s">
        <v>6710</v>
      </c>
      <c r="R1116">
        <v>205308</v>
      </c>
      <c r="S1116">
        <v>159161</v>
      </c>
      <c r="T1116">
        <v>46147</v>
      </c>
      <c r="U1116" t="s">
        <v>35</v>
      </c>
      <c r="V1116" t="s">
        <v>1978</v>
      </c>
      <c r="W1116" t="s">
        <v>6711</v>
      </c>
      <c r="X1116" s="4">
        <v>1</v>
      </c>
      <c r="Y1116" s="4"/>
      <c r="Z1116">
        <f t="shared" si="68"/>
        <v>7</v>
      </c>
      <c r="AA1116">
        <f t="shared" si="69"/>
        <v>17</v>
      </c>
      <c r="AB1116" s="5">
        <f t="shared" si="70"/>
        <v>0.31349537037021946</v>
      </c>
      <c r="AC1116" s="3" t="str">
        <f t="shared" si="71"/>
        <v>Order rejected, no time available</v>
      </c>
      <c r="AD1116" t="str" cm="1">
        <f t="array" ref="AD1116">IFERROR(_xlfn.IFS(
    AC1116="", "",
    AC1116*86400 &lt; 30, "1. 0s - &lt;30s",
    AC1116*86400 &lt; 60, "2. 30s - &lt;1m",
    AC1116*86400 &lt; 300, "3. 1m - &lt;5m",
    AC1116*86400 &lt; 1800, "4. 5m - &lt;30m",
    TRUE, "5. &gt;= 30m"
),"6. Invalid (Order rejected)")</f>
        <v>6. Invalid (Order rejected)</v>
      </c>
    </row>
    <row r="1117" spans="1:30" hidden="1" x14ac:dyDescent="0.3">
      <c r="A1117" t="s">
        <v>6712</v>
      </c>
      <c r="B1117" t="s">
        <v>1819</v>
      </c>
      <c r="C1117">
        <v>42814075</v>
      </c>
      <c r="D1117">
        <v>0</v>
      </c>
      <c r="E1117" t="s">
        <v>25</v>
      </c>
      <c r="F1117" t="s">
        <v>26</v>
      </c>
      <c r="G1117" t="s">
        <v>27</v>
      </c>
      <c r="H1117" t="s">
        <v>6713</v>
      </c>
      <c r="I1117" t="s">
        <v>6714</v>
      </c>
      <c r="J1117" t="s">
        <v>26</v>
      </c>
      <c r="K1117" t="s">
        <v>26</v>
      </c>
      <c r="L1117" t="s">
        <v>6715</v>
      </c>
      <c r="M1117" t="s">
        <v>25</v>
      </c>
      <c r="N1117" t="s">
        <v>1911</v>
      </c>
      <c r="O1117" t="s">
        <v>1912</v>
      </c>
      <c r="P1117" t="s">
        <v>6716</v>
      </c>
      <c r="Q1117" t="s">
        <v>6717</v>
      </c>
      <c r="R1117">
        <v>157896</v>
      </c>
      <c r="S1117">
        <v>0</v>
      </c>
      <c r="T1117">
        <v>157896</v>
      </c>
      <c r="U1117" t="s">
        <v>35</v>
      </c>
      <c r="V1117" t="s">
        <v>1915</v>
      </c>
      <c r="W1117" t="s">
        <v>1923</v>
      </c>
      <c r="X1117" s="4">
        <v>1</v>
      </c>
      <c r="Y1117" s="4"/>
      <c r="Z1117">
        <f t="shared" si="68"/>
        <v>7</v>
      </c>
      <c r="AA1117">
        <f t="shared" si="69"/>
        <v>17</v>
      </c>
      <c r="AB1117" s="5">
        <f t="shared" si="70"/>
        <v>0.31464120370219462</v>
      </c>
      <c r="AC1117" s="3">
        <f t="shared" si="71"/>
        <v>0.14577546296641231</v>
      </c>
      <c r="AD1117" t="str" cm="1">
        <f t="array" ref="AD1117">IFERROR(_xlfn.IFS(
    AC1117="", "",
    AC1117*86400 &lt; 30, "1. 0s - &lt;30s",
    AC1117*86400 &lt; 60, "2. 30s - &lt;1m",
    AC1117*86400 &lt; 300, "3. 1m - &lt;5m",
    AC1117*86400 &lt; 1800, "4. 5m - &lt;30m",
    TRUE, "5. &gt;= 30m"
),"6. Invalid (Order rejected)")</f>
        <v>5. &gt;= 30m</v>
      </c>
    </row>
    <row r="1118" spans="1:30" x14ac:dyDescent="0.3">
      <c r="A1118" t="s">
        <v>6718</v>
      </c>
      <c r="B1118" t="s">
        <v>1819</v>
      </c>
      <c r="C1118">
        <v>42814075</v>
      </c>
      <c r="D1118">
        <v>879993</v>
      </c>
      <c r="E1118" t="s">
        <v>25</v>
      </c>
      <c r="F1118" t="s">
        <v>75</v>
      </c>
      <c r="G1118" t="s">
        <v>360</v>
      </c>
      <c r="H1118" t="s">
        <v>6719</v>
      </c>
      <c r="I1118" t="s">
        <v>1940</v>
      </c>
      <c r="J1118" t="s">
        <v>6720</v>
      </c>
      <c r="K1118" t="s">
        <v>26</v>
      </c>
      <c r="L1118" t="s">
        <v>25</v>
      </c>
      <c r="M1118" t="s">
        <v>25</v>
      </c>
      <c r="N1118" t="s">
        <v>1911</v>
      </c>
      <c r="O1118" t="s">
        <v>1912</v>
      </c>
      <c r="P1118" t="s">
        <v>6716</v>
      </c>
      <c r="Q1118" t="s">
        <v>6717</v>
      </c>
      <c r="R1118">
        <v>221076</v>
      </c>
      <c r="S1118">
        <v>171385</v>
      </c>
      <c r="T1118">
        <v>49691</v>
      </c>
      <c r="U1118" t="s">
        <v>35</v>
      </c>
      <c r="V1118" t="s">
        <v>1915</v>
      </c>
      <c r="W1118" t="s">
        <v>1923</v>
      </c>
      <c r="X1118" s="4">
        <v>1</v>
      </c>
      <c r="Y1118" s="4"/>
      <c r="Z1118">
        <f t="shared" si="68"/>
        <v>7</v>
      </c>
      <c r="AA1118">
        <f t="shared" si="69"/>
        <v>17</v>
      </c>
      <c r="AB1118" s="5">
        <f t="shared" si="70"/>
        <v>0.31481481481750961</v>
      </c>
      <c r="AC1118" s="3" t="str">
        <f t="shared" si="71"/>
        <v>Order rejected, no time available</v>
      </c>
      <c r="AD1118" t="str" cm="1">
        <f t="array" ref="AD1118">IFERROR(_xlfn.IFS(
    AC1118="", "",
    AC1118*86400 &lt; 30, "1. 0s - &lt;30s",
    AC1118*86400 &lt; 60, "2. 30s - &lt;1m",
    AC1118*86400 &lt; 300, "3. 1m - &lt;5m",
    AC1118*86400 &lt; 1800, "4. 5m - &lt;30m",
    TRUE, "5. &gt;= 30m"
),"6. Invalid (Order rejected)")</f>
        <v>6. Invalid (Order rejected)</v>
      </c>
    </row>
    <row r="1119" spans="1:30" hidden="1" x14ac:dyDescent="0.3">
      <c r="A1119" t="s">
        <v>6721</v>
      </c>
      <c r="B1119" t="s">
        <v>1819</v>
      </c>
      <c r="C1119">
        <v>42814075</v>
      </c>
      <c r="D1119">
        <v>0</v>
      </c>
      <c r="E1119" t="s">
        <v>25</v>
      </c>
      <c r="F1119" t="s">
        <v>26</v>
      </c>
      <c r="G1119" t="s">
        <v>27</v>
      </c>
      <c r="H1119" t="s">
        <v>6722</v>
      </c>
      <c r="I1119" t="s">
        <v>6723</v>
      </c>
      <c r="J1119" t="s">
        <v>26</v>
      </c>
      <c r="K1119" t="s">
        <v>26</v>
      </c>
      <c r="L1119" t="s">
        <v>6724</v>
      </c>
      <c r="M1119" t="s">
        <v>25</v>
      </c>
      <c r="N1119" t="s">
        <v>1948</v>
      </c>
      <c r="O1119" t="s">
        <v>1949</v>
      </c>
      <c r="P1119" t="s">
        <v>246</v>
      </c>
      <c r="Q1119" t="s">
        <v>247</v>
      </c>
      <c r="R1119">
        <v>156492</v>
      </c>
      <c r="S1119">
        <v>0</v>
      </c>
      <c r="T1119">
        <v>156492</v>
      </c>
      <c r="U1119" t="s">
        <v>35</v>
      </c>
      <c r="V1119" t="s">
        <v>1952</v>
      </c>
      <c r="W1119" t="s">
        <v>249</v>
      </c>
      <c r="X1119" s="4">
        <v>1</v>
      </c>
      <c r="Y1119" s="4"/>
      <c r="Z1119">
        <f t="shared" si="68"/>
        <v>7</v>
      </c>
      <c r="AA1119">
        <f t="shared" si="69"/>
        <v>17</v>
      </c>
      <c r="AB1119" s="5">
        <f t="shared" si="70"/>
        <v>0.31651620370394085</v>
      </c>
      <c r="AC1119" s="3">
        <f t="shared" si="71"/>
        <v>9.0266203704231884E-2</v>
      </c>
      <c r="AD1119" t="str" cm="1">
        <f t="array" ref="AD1119">IFERROR(_xlfn.IFS(
    AC1119="", "",
    AC1119*86400 &lt; 30, "1. 0s - &lt;30s",
    AC1119*86400 &lt; 60, "2. 30s - &lt;1m",
    AC1119*86400 &lt; 300, "3. 1m - &lt;5m",
    AC1119*86400 &lt; 1800, "4. 5m - &lt;30m",
    TRUE, "5. &gt;= 30m"
),"6. Invalid (Order rejected)")</f>
        <v>5. &gt;= 30m</v>
      </c>
    </row>
    <row r="1120" spans="1:30" hidden="1" x14ac:dyDescent="0.3">
      <c r="A1120" t="s">
        <v>6725</v>
      </c>
      <c r="B1120" t="s">
        <v>1819</v>
      </c>
      <c r="C1120">
        <v>42814075</v>
      </c>
      <c r="D1120">
        <v>0</v>
      </c>
      <c r="E1120" t="s">
        <v>25</v>
      </c>
      <c r="F1120" t="s">
        <v>26</v>
      </c>
      <c r="G1120" t="s">
        <v>27</v>
      </c>
      <c r="H1120" t="s">
        <v>6726</v>
      </c>
      <c r="I1120" t="s">
        <v>2094</v>
      </c>
      <c r="J1120" t="s">
        <v>26</v>
      </c>
      <c r="K1120" t="s">
        <v>26</v>
      </c>
      <c r="L1120" t="s">
        <v>6727</v>
      </c>
      <c r="M1120" t="s">
        <v>25</v>
      </c>
      <c r="N1120" t="s">
        <v>1948</v>
      </c>
      <c r="O1120" t="s">
        <v>1949</v>
      </c>
      <c r="P1120" t="s">
        <v>6728</v>
      </c>
      <c r="Q1120" t="s">
        <v>6729</v>
      </c>
      <c r="R1120">
        <v>214920</v>
      </c>
      <c r="S1120">
        <v>0</v>
      </c>
      <c r="T1120">
        <v>214920</v>
      </c>
      <c r="U1120" t="s">
        <v>35</v>
      </c>
      <c r="V1120" t="s">
        <v>1952</v>
      </c>
      <c r="W1120" t="s">
        <v>6730</v>
      </c>
      <c r="X1120" s="4">
        <v>1</v>
      </c>
      <c r="Y1120" s="4"/>
      <c r="Z1120">
        <f t="shared" si="68"/>
        <v>7</v>
      </c>
      <c r="AA1120">
        <f t="shared" si="69"/>
        <v>17</v>
      </c>
      <c r="AB1120" s="5">
        <f t="shared" si="70"/>
        <v>0.31803240740555339</v>
      </c>
      <c r="AC1120" s="3">
        <f t="shared" si="71"/>
        <v>0.17685185185109731</v>
      </c>
      <c r="AD1120" t="str" cm="1">
        <f t="array" ref="AD1120">IFERROR(_xlfn.IFS(
    AC1120="", "",
    AC1120*86400 &lt; 30, "1. 0s - &lt;30s",
    AC1120*86400 &lt; 60, "2. 30s - &lt;1m",
    AC1120*86400 &lt; 300, "3. 1m - &lt;5m",
    AC1120*86400 &lt; 1800, "4. 5m - &lt;30m",
    TRUE, "5. &gt;= 30m"
),"6. Invalid (Order rejected)")</f>
        <v>5. &gt;= 30m</v>
      </c>
    </row>
    <row r="1121" spans="1:30" hidden="1" x14ac:dyDescent="0.3">
      <c r="A1121" t="s">
        <v>6731</v>
      </c>
      <c r="B1121" t="s">
        <v>1819</v>
      </c>
      <c r="C1121">
        <v>42814075</v>
      </c>
      <c r="D1121">
        <v>0</v>
      </c>
      <c r="E1121" t="s">
        <v>25</v>
      </c>
      <c r="F1121" t="s">
        <v>26</v>
      </c>
      <c r="G1121" t="s">
        <v>27</v>
      </c>
      <c r="H1121" t="s">
        <v>6732</v>
      </c>
      <c r="I1121" t="s">
        <v>6733</v>
      </c>
      <c r="J1121" t="s">
        <v>26</v>
      </c>
      <c r="K1121" t="s">
        <v>26</v>
      </c>
      <c r="L1121" t="s">
        <v>6734</v>
      </c>
      <c r="M1121" t="s">
        <v>25</v>
      </c>
      <c r="N1121" t="s">
        <v>1568</v>
      </c>
      <c r="O1121" t="s">
        <v>1569</v>
      </c>
      <c r="P1121" t="s">
        <v>1624</v>
      </c>
      <c r="Q1121" t="s">
        <v>1625</v>
      </c>
      <c r="R1121">
        <v>213300</v>
      </c>
      <c r="S1121">
        <v>0</v>
      </c>
      <c r="T1121">
        <v>213300</v>
      </c>
      <c r="U1121" t="s">
        <v>35</v>
      </c>
      <c r="V1121" t="s">
        <v>1572</v>
      </c>
      <c r="W1121" t="s">
        <v>1626</v>
      </c>
      <c r="X1121" s="4">
        <v>1</v>
      </c>
      <c r="Y1121" s="4"/>
      <c r="Z1121">
        <f t="shared" si="68"/>
        <v>7</v>
      </c>
      <c r="AA1121">
        <f t="shared" si="69"/>
        <v>17</v>
      </c>
      <c r="AB1121" s="5">
        <f t="shared" si="70"/>
        <v>0.32105324073927477</v>
      </c>
      <c r="AC1121" s="3">
        <f t="shared" si="71"/>
        <v>9.0277777781011537E-2</v>
      </c>
      <c r="AD1121" t="str" cm="1">
        <f t="array" ref="AD1121">IFERROR(_xlfn.IFS(
    AC1121="", "",
    AC1121*86400 &lt; 30, "1. 0s - &lt;30s",
    AC1121*86400 &lt; 60, "2. 30s - &lt;1m",
    AC1121*86400 &lt; 300, "3. 1m - &lt;5m",
    AC1121*86400 &lt; 1800, "4. 5m - &lt;30m",
    TRUE, "5. &gt;= 30m"
),"6. Invalid (Order rejected)")</f>
        <v>5. &gt;= 30m</v>
      </c>
    </row>
    <row r="1122" spans="1:30" hidden="1" x14ac:dyDescent="0.3">
      <c r="A1122" t="s">
        <v>6735</v>
      </c>
      <c r="B1122" t="s">
        <v>1819</v>
      </c>
      <c r="C1122">
        <v>42814075</v>
      </c>
      <c r="D1122">
        <v>0</v>
      </c>
      <c r="E1122" t="s">
        <v>25</v>
      </c>
      <c r="F1122" t="s">
        <v>26</v>
      </c>
      <c r="G1122" t="s">
        <v>27</v>
      </c>
      <c r="H1122" t="s">
        <v>6736</v>
      </c>
      <c r="I1122" t="s">
        <v>6737</v>
      </c>
      <c r="J1122" t="s">
        <v>26</v>
      </c>
      <c r="K1122" t="s">
        <v>26</v>
      </c>
      <c r="L1122" t="s">
        <v>6738</v>
      </c>
      <c r="M1122" t="s">
        <v>25</v>
      </c>
      <c r="N1122" t="s">
        <v>1578</v>
      </c>
      <c r="O1122" t="s">
        <v>1579</v>
      </c>
      <c r="P1122" t="s">
        <v>1961</v>
      </c>
      <c r="Q1122" t="s">
        <v>1962</v>
      </c>
      <c r="R1122">
        <v>235332</v>
      </c>
      <c r="S1122">
        <v>0</v>
      </c>
      <c r="T1122">
        <v>235332</v>
      </c>
      <c r="U1122" t="s">
        <v>35</v>
      </c>
      <c r="V1122" t="s">
        <v>1580</v>
      </c>
      <c r="W1122" t="s">
        <v>1963</v>
      </c>
      <c r="X1122" s="4">
        <v>1</v>
      </c>
      <c r="Y1122" s="4"/>
      <c r="Z1122">
        <f t="shared" si="68"/>
        <v>7</v>
      </c>
      <c r="AA1122">
        <f t="shared" si="69"/>
        <v>17</v>
      </c>
      <c r="AB1122" s="5">
        <f t="shared" si="70"/>
        <v>0.32222222222480923</v>
      </c>
      <c r="AC1122" s="3">
        <f t="shared" si="71"/>
        <v>0.1732175925935735</v>
      </c>
      <c r="AD1122" t="str" cm="1">
        <f t="array" ref="AD1122">IFERROR(_xlfn.IFS(
    AC1122="", "",
    AC1122*86400 &lt; 30, "1. 0s - &lt;30s",
    AC1122*86400 &lt; 60, "2. 30s - &lt;1m",
    AC1122*86400 &lt; 300, "3. 1m - &lt;5m",
    AC1122*86400 &lt; 1800, "4. 5m - &lt;30m",
    TRUE, "5. &gt;= 30m"
),"6. Invalid (Order rejected)")</f>
        <v>5. &gt;= 30m</v>
      </c>
    </row>
    <row r="1123" spans="1:30" x14ac:dyDescent="0.3">
      <c r="A1123" t="s">
        <v>6739</v>
      </c>
      <c r="B1123" t="s">
        <v>1819</v>
      </c>
      <c r="C1123">
        <v>42814075</v>
      </c>
      <c r="D1123">
        <v>3395236</v>
      </c>
      <c r="E1123" t="s">
        <v>25</v>
      </c>
      <c r="F1123" t="s">
        <v>75</v>
      </c>
      <c r="G1123" t="s">
        <v>360</v>
      </c>
      <c r="H1123" t="s">
        <v>6740</v>
      </c>
      <c r="I1123" t="s">
        <v>2024</v>
      </c>
      <c r="J1123" t="s">
        <v>6741</v>
      </c>
      <c r="K1123" t="s">
        <v>26</v>
      </c>
      <c r="L1123" t="s">
        <v>25</v>
      </c>
      <c r="M1123" t="s">
        <v>25</v>
      </c>
      <c r="N1123" t="s">
        <v>1578</v>
      </c>
      <c r="O1123" t="s">
        <v>1579</v>
      </c>
      <c r="P1123" t="s">
        <v>6742</v>
      </c>
      <c r="Q1123" t="s">
        <v>6743</v>
      </c>
      <c r="R1123">
        <v>314928</v>
      </c>
      <c r="S1123">
        <v>244142</v>
      </c>
      <c r="T1123">
        <v>70786</v>
      </c>
      <c r="U1123" t="s">
        <v>35</v>
      </c>
      <c r="V1123" t="s">
        <v>1580</v>
      </c>
      <c r="W1123" t="s">
        <v>6744</v>
      </c>
      <c r="X1123" s="4">
        <v>1</v>
      </c>
      <c r="Y1123" s="4"/>
      <c r="Z1123">
        <f t="shared" si="68"/>
        <v>7</v>
      </c>
      <c r="AA1123">
        <f t="shared" si="69"/>
        <v>17</v>
      </c>
      <c r="AB1123" s="5">
        <f t="shared" si="70"/>
        <v>0.32288194444117835</v>
      </c>
      <c r="AC1123" s="3" t="str">
        <f t="shared" si="71"/>
        <v>Order rejected, no time available</v>
      </c>
      <c r="AD1123" t="str" cm="1">
        <f t="array" ref="AD1123">IFERROR(_xlfn.IFS(
    AC1123="", "",
    AC1123*86400 &lt; 30, "1. 0s - &lt;30s",
    AC1123*86400 &lt; 60, "2. 30s - &lt;1m",
    AC1123*86400 &lt; 300, "3. 1m - &lt;5m",
    AC1123*86400 &lt; 1800, "4. 5m - &lt;30m",
    TRUE, "5. &gt;= 30m"
),"6. Invalid (Order rejected)")</f>
        <v>6. Invalid (Order rejected)</v>
      </c>
    </row>
    <row r="1124" spans="1:30" x14ac:dyDescent="0.3">
      <c r="A1124" t="s">
        <v>6745</v>
      </c>
      <c r="B1124" t="s">
        <v>1819</v>
      </c>
      <c r="C1124">
        <v>42814075</v>
      </c>
      <c r="D1124">
        <v>2821597</v>
      </c>
      <c r="E1124" t="s">
        <v>25</v>
      </c>
      <c r="F1124" t="s">
        <v>75</v>
      </c>
      <c r="G1124" t="s">
        <v>360</v>
      </c>
      <c r="H1124" t="s">
        <v>6746</v>
      </c>
      <c r="I1124" t="s">
        <v>6707</v>
      </c>
      <c r="J1124" t="s">
        <v>6747</v>
      </c>
      <c r="K1124" t="s">
        <v>6748</v>
      </c>
      <c r="L1124" t="s">
        <v>25</v>
      </c>
      <c r="M1124" t="s">
        <v>25</v>
      </c>
      <c r="N1124" t="s">
        <v>1974</v>
      </c>
      <c r="O1124" t="s">
        <v>1975</v>
      </c>
      <c r="P1124" t="s">
        <v>6749</v>
      </c>
      <c r="Q1124" t="s">
        <v>6750</v>
      </c>
      <c r="R1124">
        <v>217296</v>
      </c>
      <c r="S1124">
        <v>168455</v>
      </c>
      <c r="T1124">
        <v>48841</v>
      </c>
      <c r="U1124" t="s">
        <v>35</v>
      </c>
      <c r="V1124" t="s">
        <v>1978</v>
      </c>
      <c r="W1124" t="s">
        <v>6751</v>
      </c>
      <c r="X1124" s="4">
        <v>1</v>
      </c>
      <c r="Y1124" s="4"/>
      <c r="Z1124">
        <f t="shared" si="68"/>
        <v>7</v>
      </c>
      <c r="AA1124">
        <f t="shared" si="69"/>
        <v>17</v>
      </c>
      <c r="AB1124" s="5">
        <f t="shared" si="70"/>
        <v>0.31369212963181781</v>
      </c>
      <c r="AC1124" s="3" t="str">
        <f t="shared" si="71"/>
        <v>Order rejected, no time available</v>
      </c>
      <c r="AD1124" t="str" cm="1">
        <f t="array" ref="AD1124">IFERROR(_xlfn.IFS(
    AC1124="", "",
    AC1124*86400 &lt; 30, "1. 0s - &lt;30s",
    AC1124*86400 &lt; 60, "2. 30s - &lt;1m",
    AC1124*86400 &lt; 300, "3. 1m - &lt;5m",
    AC1124*86400 &lt; 1800, "4. 5m - &lt;30m",
    TRUE, "5. &gt;= 30m"
),"6. Invalid (Order rejected)")</f>
        <v>6. Invalid (Order rejected)</v>
      </c>
    </row>
    <row r="1125" spans="1:30" hidden="1" x14ac:dyDescent="0.3">
      <c r="A1125" t="s">
        <v>6752</v>
      </c>
      <c r="B1125" t="s">
        <v>1819</v>
      </c>
      <c r="C1125">
        <v>42814075</v>
      </c>
      <c r="D1125">
        <v>0</v>
      </c>
      <c r="E1125" t="s">
        <v>25</v>
      </c>
      <c r="F1125" t="s">
        <v>26</v>
      </c>
      <c r="G1125" t="s">
        <v>27</v>
      </c>
      <c r="H1125" t="s">
        <v>6753</v>
      </c>
      <c r="I1125" t="s">
        <v>6754</v>
      </c>
      <c r="J1125" t="s">
        <v>26</v>
      </c>
      <c r="K1125" t="s">
        <v>26</v>
      </c>
      <c r="L1125" t="s">
        <v>6755</v>
      </c>
      <c r="M1125" t="s">
        <v>25</v>
      </c>
      <c r="N1125" t="s">
        <v>1568</v>
      </c>
      <c r="O1125" t="s">
        <v>1569</v>
      </c>
      <c r="P1125" t="s">
        <v>1370</v>
      </c>
      <c r="Q1125" t="s">
        <v>1371</v>
      </c>
      <c r="R1125">
        <v>308448</v>
      </c>
      <c r="S1125">
        <v>0</v>
      </c>
      <c r="T1125">
        <v>308448</v>
      </c>
      <c r="U1125" t="s">
        <v>35</v>
      </c>
      <c r="V1125" t="s">
        <v>1572</v>
      </c>
      <c r="W1125" t="s">
        <v>1372</v>
      </c>
      <c r="X1125" s="4">
        <v>1</v>
      </c>
      <c r="Y1125" s="4"/>
      <c r="Z1125">
        <f t="shared" si="68"/>
        <v>7</v>
      </c>
      <c r="AA1125">
        <f t="shared" si="69"/>
        <v>17</v>
      </c>
      <c r="AB1125" s="5">
        <f t="shared" si="70"/>
        <v>0.31888888889079681</v>
      </c>
      <c r="AC1125" s="3">
        <f t="shared" si="71"/>
        <v>0.10842592592234723</v>
      </c>
      <c r="AD1125" t="str" cm="1">
        <f t="array" ref="AD1125">IFERROR(_xlfn.IFS(
    AC1125="", "",
    AC1125*86400 &lt; 30, "1. 0s - &lt;30s",
    AC1125*86400 &lt; 60, "2. 30s - &lt;1m",
    AC1125*86400 &lt; 300, "3. 1m - &lt;5m",
    AC1125*86400 &lt; 1800, "4. 5m - &lt;30m",
    TRUE, "5. &gt;= 30m"
),"6. Invalid (Order rejected)")</f>
        <v>5. &gt;= 30m</v>
      </c>
    </row>
    <row r="1126" spans="1:30" hidden="1" x14ac:dyDescent="0.3">
      <c r="A1126" t="s">
        <v>6756</v>
      </c>
      <c r="B1126" t="s">
        <v>1819</v>
      </c>
      <c r="C1126">
        <v>42814075</v>
      </c>
      <c r="D1126">
        <v>0</v>
      </c>
      <c r="E1126" t="s">
        <v>25</v>
      </c>
      <c r="F1126" t="s">
        <v>26</v>
      </c>
      <c r="G1126" t="s">
        <v>27</v>
      </c>
      <c r="H1126" t="s">
        <v>6757</v>
      </c>
      <c r="I1126" t="s">
        <v>6758</v>
      </c>
      <c r="J1126" t="s">
        <v>26</v>
      </c>
      <c r="K1126" t="s">
        <v>26</v>
      </c>
      <c r="L1126" t="s">
        <v>6759</v>
      </c>
      <c r="M1126" t="s">
        <v>25</v>
      </c>
      <c r="N1126" t="s">
        <v>1716</v>
      </c>
      <c r="O1126" t="s">
        <v>1717</v>
      </c>
      <c r="P1126" t="s">
        <v>208</v>
      </c>
      <c r="Q1126" t="s">
        <v>209</v>
      </c>
      <c r="R1126">
        <v>354132</v>
      </c>
      <c r="S1126">
        <v>0</v>
      </c>
      <c r="T1126">
        <v>354132</v>
      </c>
      <c r="U1126" t="s">
        <v>35</v>
      </c>
      <c r="V1126" t="s">
        <v>1720</v>
      </c>
      <c r="W1126" t="s">
        <v>210</v>
      </c>
      <c r="X1126" s="4">
        <v>1</v>
      </c>
      <c r="Y1126" s="4"/>
      <c r="Z1126">
        <f t="shared" si="68"/>
        <v>7</v>
      </c>
      <c r="AA1126">
        <f t="shared" si="69"/>
        <v>17</v>
      </c>
      <c r="AB1126" s="5">
        <f t="shared" si="70"/>
        <v>0.32788194444583496</v>
      </c>
      <c r="AC1126" s="3">
        <f t="shared" si="71"/>
        <v>0.17310185184760485</v>
      </c>
      <c r="AD1126" t="str" cm="1">
        <f t="array" ref="AD1126">IFERROR(_xlfn.IFS(
    AC1126="", "",
    AC1126*86400 &lt; 30, "1. 0s - &lt;30s",
    AC1126*86400 &lt; 60, "2. 30s - &lt;1m",
    AC1126*86400 &lt; 300, "3. 1m - &lt;5m",
    AC1126*86400 &lt; 1800, "4. 5m - &lt;30m",
    TRUE, "5. &gt;= 30m"
),"6. Invalid (Order rejected)")</f>
        <v>5. &gt;= 30m</v>
      </c>
    </row>
    <row r="1127" spans="1:30" x14ac:dyDescent="0.3">
      <c r="A1127" t="s">
        <v>6760</v>
      </c>
      <c r="B1127" t="s">
        <v>1819</v>
      </c>
      <c r="C1127">
        <v>42814075</v>
      </c>
      <c r="D1127">
        <v>2625118</v>
      </c>
      <c r="E1127" t="s">
        <v>25</v>
      </c>
      <c r="F1127" t="s">
        <v>75</v>
      </c>
      <c r="G1127" t="s">
        <v>360</v>
      </c>
      <c r="H1127" t="s">
        <v>6761</v>
      </c>
      <c r="I1127" t="s">
        <v>6762</v>
      </c>
      <c r="J1127" t="s">
        <v>1940</v>
      </c>
      <c r="K1127" t="s">
        <v>26</v>
      </c>
      <c r="L1127" t="s">
        <v>25</v>
      </c>
      <c r="M1127" t="s">
        <v>25</v>
      </c>
      <c r="N1127" t="s">
        <v>2046</v>
      </c>
      <c r="O1127" t="s">
        <v>2047</v>
      </c>
      <c r="P1127" t="s">
        <v>518</v>
      </c>
      <c r="Q1127" t="s">
        <v>519</v>
      </c>
      <c r="R1127">
        <v>290088</v>
      </c>
      <c r="S1127">
        <v>224885</v>
      </c>
      <c r="T1127">
        <v>65203</v>
      </c>
      <c r="U1127" t="s">
        <v>35</v>
      </c>
      <c r="V1127" t="s">
        <v>2050</v>
      </c>
      <c r="W1127" t="s">
        <v>520</v>
      </c>
      <c r="X1127" s="4">
        <v>1</v>
      </c>
      <c r="Y1127" s="4"/>
      <c r="Z1127">
        <f t="shared" si="68"/>
        <v>7</v>
      </c>
      <c r="AA1127">
        <f t="shared" si="69"/>
        <v>17</v>
      </c>
      <c r="AB1127" s="5">
        <f t="shared" si="70"/>
        <v>0.32645833333663177</v>
      </c>
      <c r="AC1127" s="3" t="str">
        <f t="shared" si="71"/>
        <v>Order rejected, no time available</v>
      </c>
      <c r="AD1127" t="str" cm="1">
        <f t="array" ref="AD1127">IFERROR(_xlfn.IFS(
    AC1127="", "",
    AC1127*86400 &lt; 30, "1. 0s - &lt;30s",
    AC1127*86400 &lt; 60, "2. 30s - &lt;1m",
    AC1127*86400 &lt; 300, "3. 1m - &lt;5m",
    AC1127*86400 &lt; 1800, "4. 5m - &lt;30m",
    TRUE, "5. &gt;= 30m"
),"6. Invalid (Order rejected)")</f>
        <v>6. Invalid (Order rejected)</v>
      </c>
    </row>
    <row r="1128" spans="1:30" x14ac:dyDescent="0.3">
      <c r="A1128" t="s">
        <v>6763</v>
      </c>
      <c r="B1128" t="s">
        <v>1819</v>
      </c>
      <c r="C1128">
        <v>42814075</v>
      </c>
      <c r="D1128">
        <v>3746922</v>
      </c>
      <c r="E1128" t="s">
        <v>25</v>
      </c>
      <c r="F1128" t="s">
        <v>75</v>
      </c>
      <c r="G1128" t="s">
        <v>360</v>
      </c>
      <c r="H1128" t="s">
        <v>1919</v>
      </c>
      <c r="I1128" t="s">
        <v>6764</v>
      </c>
      <c r="J1128" t="s">
        <v>6765</v>
      </c>
      <c r="K1128" t="s">
        <v>6766</v>
      </c>
      <c r="L1128" t="s">
        <v>25</v>
      </c>
      <c r="M1128" t="s">
        <v>25</v>
      </c>
      <c r="N1128" t="s">
        <v>1568</v>
      </c>
      <c r="O1128" t="s">
        <v>1569</v>
      </c>
      <c r="P1128" t="s">
        <v>6767</v>
      </c>
      <c r="Q1128" t="s">
        <v>6768</v>
      </c>
      <c r="R1128">
        <v>202500</v>
      </c>
      <c r="S1128">
        <v>156984</v>
      </c>
      <c r="T1128">
        <v>45516</v>
      </c>
      <c r="U1128" t="s">
        <v>35</v>
      </c>
      <c r="V1128" t="s">
        <v>1572</v>
      </c>
      <c r="W1128" t="s">
        <v>6769</v>
      </c>
      <c r="X1128" s="4">
        <v>1</v>
      </c>
      <c r="Y1128" s="4"/>
      <c r="Z1128">
        <f t="shared" si="68"/>
        <v>7</v>
      </c>
      <c r="AA1128">
        <f t="shared" si="69"/>
        <v>17</v>
      </c>
      <c r="AB1128" s="5">
        <f t="shared" si="70"/>
        <v>0.32143518518569181</v>
      </c>
      <c r="AC1128" s="3" t="str">
        <f t="shared" si="71"/>
        <v>Order rejected, no time available</v>
      </c>
      <c r="AD1128" t="str" cm="1">
        <f t="array" ref="AD1128">IFERROR(_xlfn.IFS(
    AC1128="", "",
    AC1128*86400 &lt; 30, "1. 0s - &lt;30s",
    AC1128*86400 &lt; 60, "2. 30s - &lt;1m",
    AC1128*86400 &lt; 300, "3. 1m - &lt;5m",
    AC1128*86400 &lt; 1800, "4. 5m - &lt;30m",
    TRUE, "5. &gt;= 30m"
),"6. Invalid (Order rejected)")</f>
        <v>6. Invalid (Order rejected)</v>
      </c>
    </row>
    <row r="1129" spans="1:30" x14ac:dyDescent="0.3">
      <c r="A1129" t="s">
        <v>6770</v>
      </c>
      <c r="B1129" t="s">
        <v>1819</v>
      </c>
      <c r="C1129">
        <v>42814075</v>
      </c>
      <c r="D1129">
        <v>3337945</v>
      </c>
      <c r="E1129" t="s">
        <v>25</v>
      </c>
      <c r="F1129" t="s">
        <v>75</v>
      </c>
      <c r="G1129" t="s">
        <v>360</v>
      </c>
      <c r="H1129" t="s">
        <v>6771</v>
      </c>
      <c r="I1129" t="s">
        <v>2095</v>
      </c>
      <c r="J1129" t="s">
        <v>6772</v>
      </c>
      <c r="K1129" t="s">
        <v>26</v>
      </c>
      <c r="L1129" t="s">
        <v>25</v>
      </c>
      <c r="M1129" t="s">
        <v>25</v>
      </c>
      <c r="N1129" t="s">
        <v>2046</v>
      </c>
      <c r="O1129" t="s">
        <v>2047</v>
      </c>
      <c r="P1129" t="s">
        <v>6773</v>
      </c>
      <c r="Q1129" t="s">
        <v>6774</v>
      </c>
      <c r="R1129">
        <v>176580</v>
      </c>
      <c r="S1129">
        <v>136890</v>
      </c>
      <c r="T1129">
        <v>39690</v>
      </c>
      <c r="U1129" t="s">
        <v>35</v>
      </c>
      <c r="V1129" t="s">
        <v>2050</v>
      </c>
      <c r="W1129" t="s">
        <v>2099</v>
      </c>
      <c r="X1129" s="4">
        <v>1</v>
      </c>
      <c r="Y1129" s="4"/>
      <c r="Z1129">
        <f t="shared" si="68"/>
        <v>7</v>
      </c>
      <c r="AA1129">
        <f t="shared" si="69"/>
        <v>17</v>
      </c>
      <c r="AB1129" s="5">
        <f t="shared" si="70"/>
        <v>0.32478009258920792</v>
      </c>
      <c r="AC1129" s="3" t="str">
        <f t="shared" si="71"/>
        <v>Order rejected, no time available</v>
      </c>
      <c r="AD1129" t="str" cm="1">
        <f t="array" ref="AD1129">IFERROR(_xlfn.IFS(
    AC1129="", "",
    AC1129*86400 &lt; 30, "1. 0s - &lt;30s",
    AC1129*86400 &lt; 60, "2. 30s - &lt;1m",
    AC1129*86400 &lt; 300, "3. 1m - &lt;5m",
    AC1129*86400 &lt; 1800, "4. 5m - &lt;30m",
    TRUE, "5. &gt;= 30m"
),"6. Invalid (Order rejected)")</f>
        <v>6. Invalid (Order rejected)</v>
      </c>
    </row>
    <row r="1130" spans="1:30" hidden="1" x14ac:dyDescent="0.3">
      <c r="A1130" t="s">
        <v>6775</v>
      </c>
      <c r="B1130" t="s">
        <v>1819</v>
      </c>
      <c r="C1130">
        <v>42814075</v>
      </c>
      <c r="D1130">
        <v>0</v>
      </c>
      <c r="E1130" t="s">
        <v>25</v>
      </c>
      <c r="F1130" t="s">
        <v>26</v>
      </c>
      <c r="G1130" t="s">
        <v>27</v>
      </c>
      <c r="H1130" t="s">
        <v>6776</v>
      </c>
      <c r="I1130" t="s">
        <v>6777</v>
      </c>
      <c r="J1130" t="s">
        <v>26</v>
      </c>
      <c r="K1130" t="s">
        <v>26</v>
      </c>
      <c r="L1130" t="s">
        <v>6778</v>
      </c>
      <c r="M1130" t="s">
        <v>25</v>
      </c>
      <c r="N1130" t="s">
        <v>2046</v>
      </c>
      <c r="O1130" t="s">
        <v>2047</v>
      </c>
      <c r="P1130" t="s">
        <v>6779</v>
      </c>
      <c r="Q1130" t="s">
        <v>6780</v>
      </c>
      <c r="R1130">
        <v>144288</v>
      </c>
      <c r="S1130">
        <v>0</v>
      </c>
      <c r="T1130">
        <v>144288</v>
      </c>
      <c r="U1130" t="s">
        <v>35</v>
      </c>
      <c r="V1130" t="s">
        <v>2050</v>
      </c>
      <c r="W1130" t="s">
        <v>6781</v>
      </c>
      <c r="X1130" s="4">
        <v>1</v>
      </c>
      <c r="Y1130" s="4"/>
      <c r="Z1130">
        <f t="shared" si="68"/>
        <v>7</v>
      </c>
      <c r="AA1130">
        <f t="shared" si="69"/>
        <v>17</v>
      </c>
      <c r="AB1130" s="5">
        <f t="shared" si="70"/>
        <v>0.32521990740497131</v>
      </c>
      <c r="AC1130" s="3">
        <f t="shared" si="71"/>
        <v>9.0277777781011537E-2</v>
      </c>
      <c r="AD1130" t="str" cm="1">
        <f t="array" ref="AD1130">IFERROR(_xlfn.IFS(
    AC1130="", "",
    AC1130*86400 &lt; 30, "1. 0s - &lt;30s",
    AC1130*86400 &lt; 60, "2. 30s - &lt;1m",
    AC1130*86400 &lt; 300, "3. 1m - &lt;5m",
    AC1130*86400 &lt; 1800, "4. 5m - &lt;30m",
    TRUE, "5. &gt;= 30m"
),"6. Invalid (Order rejected)")</f>
        <v>5. &gt;= 30m</v>
      </c>
    </row>
    <row r="1131" spans="1:30" x14ac:dyDescent="0.3">
      <c r="A1131" t="s">
        <v>6782</v>
      </c>
      <c r="B1131" t="s">
        <v>1819</v>
      </c>
      <c r="C1131">
        <v>42814075</v>
      </c>
      <c r="D1131">
        <v>3543660</v>
      </c>
      <c r="E1131" t="s">
        <v>25</v>
      </c>
      <c r="F1131" t="s">
        <v>75</v>
      </c>
      <c r="G1131" t="s">
        <v>360</v>
      </c>
      <c r="H1131" t="s">
        <v>6783</v>
      </c>
      <c r="I1131" t="s">
        <v>6784</v>
      </c>
      <c r="J1131" t="s">
        <v>6785</v>
      </c>
      <c r="K1131" t="s">
        <v>26</v>
      </c>
      <c r="L1131" t="s">
        <v>25</v>
      </c>
      <c r="M1131" t="s">
        <v>25</v>
      </c>
      <c r="N1131" t="s">
        <v>1716</v>
      </c>
      <c r="O1131" t="s">
        <v>1717</v>
      </c>
      <c r="P1131" t="s">
        <v>1741</v>
      </c>
      <c r="Q1131" t="s">
        <v>1742</v>
      </c>
      <c r="R1131">
        <v>329724</v>
      </c>
      <c r="S1131">
        <v>255612</v>
      </c>
      <c r="T1131">
        <v>74112</v>
      </c>
      <c r="U1131" t="s">
        <v>35</v>
      </c>
      <c r="V1131" t="s">
        <v>1720</v>
      </c>
      <c r="W1131" t="s">
        <v>1743</v>
      </c>
      <c r="X1131" s="4">
        <v>1</v>
      </c>
      <c r="Y1131" s="4"/>
      <c r="Z1131">
        <f t="shared" si="68"/>
        <v>7</v>
      </c>
      <c r="AA1131">
        <f t="shared" si="69"/>
        <v>17</v>
      </c>
      <c r="AB1131" s="5">
        <f t="shared" si="70"/>
        <v>0.32734953703766223</v>
      </c>
      <c r="AC1131" s="3" t="str">
        <f t="shared" si="71"/>
        <v>Order rejected, no time available</v>
      </c>
      <c r="AD1131" t="str" cm="1">
        <f t="array" ref="AD1131">IFERROR(_xlfn.IFS(
    AC1131="", "",
    AC1131*86400 &lt; 30, "1. 0s - &lt;30s",
    AC1131*86400 &lt; 60, "2. 30s - &lt;1m",
    AC1131*86400 &lt; 300, "3. 1m - &lt;5m",
    AC1131*86400 &lt; 1800, "4. 5m - &lt;30m",
    TRUE, "5. &gt;= 30m"
),"6. Invalid (Order rejected)")</f>
        <v>6. Invalid (Order rejected)</v>
      </c>
    </row>
    <row r="1132" spans="1:30" hidden="1" x14ac:dyDescent="0.3">
      <c r="A1132" t="s">
        <v>6786</v>
      </c>
      <c r="B1132" t="s">
        <v>1819</v>
      </c>
      <c r="C1132">
        <v>42814075</v>
      </c>
      <c r="D1132">
        <v>0</v>
      </c>
      <c r="E1132" t="s">
        <v>25</v>
      </c>
      <c r="F1132" t="s">
        <v>26</v>
      </c>
      <c r="G1132" t="s">
        <v>27</v>
      </c>
      <c r="H1132" t="s">
        <v>6787</v>
      </c>
      <c r="I1132" t="s">
        <v>6788</v>
      </c>
      <c r="J1132" t="s">
        <v>26</v>
      </c>
      <c r="K1132" t="s">
        <v>26</v>
      </c>
      <c r="L1132" t="s">
        <v>6789</v>
      </c>
      <c r="M1132" t="s">
        <v>25</v>
      </c>
      <c r="N1132" t="s">
        <v>1578</v>
      </c>
      <c r="O1132" t="s">
        <v>1579</v>
      </c>
      <c r="P1132" t="s">
        <v>2083</v>
      </c>
      <c r="Q1132" t="s">
        <v>2084</v>
      </c>
      <c r="R1132">
        <v>271296</v>
      </c>
      <c r="S1132">
        <v>0</v>
      </c>
      <c r="T1132">
        <v>271296</v>
      </c>
      <c r="U1132" t="s">
        <v>35</v>
      </c>
      <c r="V1132" t="s">
        <v>1580</v>
      </c>
      <c r="W1132" t="s">
        <v>2085</v>
      </c>
      <c r="X1132" s="4">
        <v>1</v>
      </c>
      <c r="Y1132" s="4"/>
      <c r="Z1132">
        <f t="shared" si="68"/>
        <v>7</v>
      </c>
      <c r="AA1132">
        <f t="shared" si="69"/>
        <v>17</v>
      </c>
      <c r="AB1132" s="5">
        <f t="shared" si="70"/>
        <v>0.32318287037196569</v>
      </c>
      <c r="AC1132" s="3">
        <f t="shared" si="71"/>
        <v>9.0277777773735579E-2</v>
      </c>
      <c r="AD1132" t="str" cm="1">
        <f t="array" ref="AD1132">IFERROR(_xlfn.IFS(
    AC1132="", "",
    AC1132*86400 &lt; 30, "1. 0s - &lt;30s",
    AC1132*86400 &lt; 60, "2. 30s - &lt;1m",
    AC1132*86400 &lt; 300, "3. 1m - &lt;5m",
    AC1132*86400 &lt; 1800, "4. 5m - &lt;30m",
    TRUE, "5. &gt;= 30m"
),"6. Invalid (Order rejected)")</f>
        <v>5. &gt;= 30m</v>
      </c>
    </row>
    <row r="1133" spans="1:30" hidden="1" x14ac:dyDescent="0.3">
      <c r="A1133" t="s">
        <v>6790</v>
      </c>
      <c r="B1133" t="s">
        <v>1819</v>
      </c>
      <c r="C1133">
        <v>42814075</v>
      </c>
      <c r="D1133">
        <v>4153228</v>
      </c>
      <c r="E1133" t="s">
        <v>25</v>
      </c>
      <c r="F1133" t="s">
        <v>75</v>
      </c>
      <c r="G1133" t="s">
        <v>76</v>
      </c>
      <c r="H1133" t="s">
        <v>6791</v>
      </c>
      <c r="I1133" t="s">
        <v>6792</v>
      </c>
      <c r="J1133" t="s">
        <v>6793</v>
      </c>
      <c r="K1133" t="s">
        <v>26</v>
      </c>
      <c r="L1133" t="s">
        <v>6794</v>
      </c>
      <c r="M1133" t="s">
        <v>25</v>
      </c>
      <c r="N1133" t="s">
        <v>1674</v>
      </c>
      <c r="O1133" t="s">
        <v>1675</v>
      </c>
      <c r="P1133" t="s">
        <v>6795</v>
      </c>
      <c r="Q1133" t="s">
        <v>6796</v>
      </c>
      <c r="R1133">
        <v>183816</v>
      </c>
      <c r="S1133">
        <v>142500</v>
      </c>
      <c r="T1133">
        <v>41316</v>
      </c>
      <c r="U1133" t="s">
        <v>35</v>
      </c>
      <c r="V1133" t="s">
        <v>1678</v>
      </c>
      <c r="W1133" t="s">
        <v>6797</v>
      </c>
      <c r="X1133" s="4">
        <v>1</v>
      </c>
      <c r="Y1133" s="4"/>
      <c r="Z1133">
        <f t="shared" si="68"/>
        <v>7</v>
      </c>
      <c r="AA1133">
        <f t="shared" si="69"/>
        <v>17</v>
      </c>
      <c r="AB1133" s="5">
        <f t="shared" si="70"/>
        <v>0.33019675925606862</v>
      </c>
      <c r="AC1133" s="3">
        <f t="shared" si="71"/>
        <v>6.5243055556493346E-2</v>
      </c>
      <c r="AD1133" t="str" cm="1">
        <f t="array" ref="AD1133">IFERROR(_xlfn.IFS(
    AC1133="", "",
    AC1133*86400 &lt; 30, "1. 0s - &lt;30s",
    AC1133*86400 &lt; 60, "2. 30s - &lt;1m",
    AC1133*86400 &lt; 300, "3. 1m - &lt;5m",
    AC1133*86400 &lt; 1800, "4. 5m - &lt;30m",
    TRUE, "5. &gt;= 30m"
),"6. Invalid (Order rejected)")</f>
        <v>5. &gt;= 30m</v>
      </c>
    </row>
    <row r="1134" spans="1:30" hidden="1" x14ac:dyDescent="0.3">
      <c r="A1134" t="s">
        <v>6798</v>
      </c>
      <c r="B1134" t="s">
        <v>1819</v>
      </c>
      <c r="C1134">
        <v>42814075</v>
      </c>
      <c r="D1134">
        <v>0</v>
      </c>
      <c r="E1134" t="s">
        <v>25</v>
      </c>
      <c r="F1134" t="s">
        <v>26</v>
      </c>
      <c r="G1134" t="s">
        <v>27</v>
      </c>
      <c r="H1134" t="s">
        <v>6799</v>
      </c>
      <c r="I1134" t="s">
        <v>6800</v>
      </c>
      <c r="J1134" t="s">
        <v>26</v>
      </c>
      <c r="K1134" t="s">
        <v>26</v>
      </c>
      <c r="L1134" t="s">
        <v>6801</v>
      </c>
      <c r="M1134" t="s">
        <v>25</v>
      </c>
      <c r="N1134" t="s">
        <v>2046</v>
      </c>
      <c r="O1134" t="s">
        <v>2047</v>
      </c>
      <c r="P1134" t="s">
        <v>289</v>
      </c>
      <c r="Q1134" t="s">
        <v>290</v>
      </c>
      <c r="R1134">
        <v>197640</v>
      </c>
      <c r="S1134">
        <v>0</v>
      </c>
      <c r="T1134">
        <v>197640</v>
      </c>
      <c r="U1134" t="s">
        <v>35</v>
      </c>
      <c r="V1134" t="s">
        <v>2050</v>
      </c>
      <c r="W1134" t="s">
        <v>6781</v>
      </c>
      <c r="X1134" s="4">
        <v>1</v>
      </c>
      <c r="Y1134" s="4"/>
      <c r="Z1134">
        <f t="shared" si="68"/>
        <v>7</v>
      </c>
      <c r="AA1134">
        <f t="shared" si="69"/>
        <v>17</v>
      </c>
      <c r="AB1134" s="5">
        <f t="shared" si="70"/>
        <v>0.32539351852028631</v>
      </c>
      <c r="AC1134" s="3">
        <f t="shared" si="71"/>
        <v>9.0266203704231884E-2</v>
      </c>
      <c r="AD1134" t="str" cm="1">
        <f t="array" ref="AD1134">IFERROR(_xlfn.IFS(
    AC1134="", "",
    AC1134*86400 &lt; 30, "1. 0s - &lt;30s",
    AC1134*86400 &lt; 60, "2. 30s - &lt;1m",
    AC1134*86400 &lt; 300, "3. 1m - &lt;5m",
    AC1134*86400 &lt; 1800, "4. 5m - &lt;30m",
    TRUE, "5. &gt;= 30m"
),"6. Invalid (Order rejected)")</f>
        <v>5. &gt;= 30m</v>
      </c>
    </row>
    <row r="1135" spans="1:30" hidden="1" x14ac:dyDescent="0.3">
      <c r="A1135" t="s">
        <v>6802</v>
      </c>
      <c r="B1135" t="s">
        <v>1819</v>
      </c>
      <c r="C1135">
        <v>42814075</v>
      </c>
      <c r="D1135">
        <v>0</v>
      </c>
      <c r="E1135" t="s">
        <v>25</v>
      </c>
      <c r="F1135" t="s">
        <v>26</v>
      </c>
      <c r="G1135" t="s">
        <v>27</v>
      </c>
      <c r="H1135" t="s">
        <v>6803</v>
      </c>
      <c r="I1135" t="s">
        <v>6804</v>
      </c>
      <c r="J1135" t="s">
        <v>26</v>
      </c>
      <c r="K1135" t="s">
        <v>26</v>
      </c>
      <c r="L1135" t="s">
        <v>6805</v>
      </c>
      <c r="M1135" t="s">
        <v>25</v>
      </c>
      <c r="N1135" t="s">
        <v>2046</v>
      </c>
      <c r="O1135" t="s">
        <v>2047</v>
      </c>
      <c r="P1135" t="s">
        <v>169</v>
      </c>
      <c r="Q1135" t="s">
        <v>170</v>
      </c>
      <c r="R1135">
        <v>142452</v>
      </c>
      <c r="S1135">
        <v>0</v>
      </c>
      <c r="T1135">
        <v>142452</v>
      </c>
      <c r="U1135" t="s">
        <v>35</v>
      </c>
      <c r="V1135" t="s">
        <v>2050</v>
      </c>
      <c r="W1135" t="s">
        <v>171</v>
      </c>
      <c r="X1135" s="4">
        <v>1</v>
      </c>
      <c r="Y1135" s="4"/>
      <c r="Z1135">
        <f t="shared" si="68"/>
        <v>7</v>
      </c>
      <c r="AA1135">
        <f t="shared" si="69"/>
        <v>17</v>
      </c>
      <c r="AB1135" s="5">
        <f t="shared" si="70"/>
        <v>0.32563657407445135</v>
      </c>
      <c r="AC1135" s="3">
        <f t="shared" si="71"/>
        <v>9.0277777781011537E-2</v>
      </c>
      <c r="AD1135" t="str" cm="1">
        <f t="array" ref="AD1135">IFERROR(_xlfn.IFS(
    AC1135="", "",
    AC1135*86400 &lt; 30, "1. 0s - &lt;30s",
    AC1135*86400 &lt; 60, "2. 30s - &lt;1m",
    AC1135*86400 &lt; 300, "3. 1m - &lt;5m",
    AC1135*86400 &lt; 1800, "4. 5m - &lt;30m",
    TRUE, "5. &gt;= 30m"
),"6. Invalid (Order rejected)")</f>
        <v>5. &gt;= 30m</v>
      </c>
    </row>
    <row r="1136" spans="1:30" hidden="1" x14ac:dyDescent="0.3">
      <c r="A1136" t="s">
        <v>6806</v>
      </c>
      <c r="B1136" t="s">
        <v>1819</v>
      </c>
      <c r="C1136">
        <v>42814075</v>
      </c>
      <c r="D1136">
        <v>0</v>
      </c>
      <c r="E1136" t="s">
        <v>25</v>
      </c>
      <c r="F1136" t="s">
        <v>26</v>
      </c>
      <c r="G1136" t="s">
        <v>27</v>
      </c>
      <c r="H1136" t="s">
        <v>6807</v>
      </c>
      <c r="I1136" t="s">
        <v>6808</v>
      </c>
      <c r="J1136" t="s">
        <v>26</v>
      </c>
      <c r="K1136" t="s">
        <v>26</v>
      </c>
      <c r="L1136" t="s">
        <v>6809</v>
      </c>
      <c r="M1136" t="s">
        <v>25</v>
      </c>
      <c r="N1136" t="s">
        <v>2046</v>
      </c>
      <c r="O1136" t="s">
        <v>2047</v>
      </c>
      <c r="P1136" t="s">
        <v>6514</v>
      </c>
      <c r="Q1136" t="s">
        <v>6515</v>
      </c>
      <c r="R1136">
        <v>193104</v>
      </c>
      <c r="S1136">
        <v>0</v>
      </c>
      <c r="T1136">
        <v>193104</v>
      </c>
      <c r="U1136" t="s">
        <v>35</v>
      </c>
      <c r="V1136" t="s">
        <v>2050</v>
      </c>
      <c r="W1136" t="s">
        <v>6516</v>
      </c>
      <c r="X1136" s="4">
        <v>1</v>
      </c>
      <c r="Y1136" s="4"/>
      <c r="Z1136">
        <f t="shared" si="68"/>
        <v>7</v>
      </c>
      <c r="AA1136">
        <f t="shared" si="69"/>
        <v>17</v>
      </c>
      <c r="AB1136" s="5">
        <f t="shared" si="70"/>
        <v>0.32604166666715173</v>
      </c>
      <c r="AC1136" s="3">
        <f t="shared" si="71"/>
        <v>9.0266203704231884E-2</v>
      </c>
      <c r="AD1136" t="str" cm="1">
        <f t="array" ref="AD1136">IFERROR(_xlfn.IFS(
    AC1136="", "",
    AC1136*86400 &lt; 30, "1. 0s - &lt;30s",
    AC1136*86400 &lt; 60, "2. 30s - &lt;1m",
    AC1136*86400 &lt; 300, "3. 1m - &lt;5m",
    AC1136*86400 &lt; 1800, "4. 5m - &lt;30m",
    TRUE, "5. &gt;= 30m"
),"6. Invalid (Order rejected)")</f>
        <v>5. &gt;= 30m</v>
      </c>
    </row>
    <row r="1137" spans="1:30" hidden="1" x14ac:dyDescent="0.3">
      <c r="A1137" t="s">
        <v>6810</v>
      </c>
      <c r="B1137" t="s">
        <v>1819</v>
      </c>
      <c r="C1137">
        <v>42814075</v>
      </c>
      <c r="D1137">
        <v>0</v>
      </c>
      <c r="E1137" t="s">
        <v>25</v>
      </c>
      <c r="F1137" t="s">
        <v>26</v>
      </c>
      <c r="G1137" t="s">
        <v>27</v>
      </c>
      <c r="H1137" t="s">
        <v>6811</v>
      </c>
      <c r="I1137" t="s">
        <v>6812</v>
      </c>
      <c r="J1137" t="s">
        <v>26</v>
      </c>
      <c r="K1137" t="s">
        <v>26</v>
      </c>
      <c r="L1137" t="s">
        <v>6813</v>
      </c>
      <c r="M1137" t="s">
        <v>25</v>
      </c>
      <c r="N1137" t="s">
        <v>1674</v>
      </c>
      <c r="O1137" t="s">
        <v>1675</v>
      </c>
      <c r="P1137" t="s">
        <v>518</v>
      </c>
      <c r="Q1137" t="s">
        <v>519</v>
      </c>
      <c r="R1137">
        <v>357264</v>
      </c>
      <c r="S1137">
        <v>0</v>
      </c>
      <c r="T1137">
        <v>357264</v>
      </c>
      <c r="U1137" t="s">
        <v>35</v>
      </c>
      <c r="V1137" t="s">
        <v>1678</v>
      </c>
      <c r="W1137" t="s">
        <v>520</v>
      </c>
      <c r="X1137" s="4">
        <v>1</v>
      </c>
      <c r="Y1137" s="4"/>
      <c r="Z1137">
        <f t="shared" si="68"/>
        <v>7</v>
      </c>
      <c r="AA1137">
        <f t="shared" si="69"/>
        <v>17</v>
      </c>
      <c r="AB1137" s="5">
        <f t="shared" si="70"/>
        <v>0.33114583333372138</v>
      </c>
      <c r="AC1137" s="3">
        <f t="shared" si="71"/>
        <v>9.0277777781011537E-2</v>
      </c>
      <c r="AD1137" t="str" cm="1">
        <f t="array" ref="AD1137">IFERROR(_xlfn.IFS(
    AC1137="", "",
    AC1137*86400 &lt; 30, "1. 0s - &lt;30s",
    AC1137*86400 &lt; 60, "2. 30s - &lt;1m",
    AC1137*86400 &lt; 300, "3. 1m - &lt;5m",
    AC1137*86400 &lt; 1800, "4. 5m - &lt;30m",
    TRUE, "5. &gt;= 30m"
),"6. Invalid (Order rejected)")</f>
        <v>5. &gt;= 30m</v>
      </c>
    </row>
    <row r="1138" spans="1:30" hidden="1" x14ac:dyDescent="0.3">
      <c r="A1138" t="s">
        <v>6814</v>
      </c>
      <c r="B1138" t="s">
        <v>1819</v>
      </c>
      <c r="C1138">
        <v>42814075</v>
      </c>
      <c r="D1138">
        <v>0</v>
      </c>
      <c r="E1138" t="s">
        <v>25</v>
      </c>
      <c r="F1138" t="s">
        <v>26</v>
      </c>
      <c r="G1138" t="s">
        <v>27</v>
      </c>
      <c r="H1138" t="s">
        <v>6815</v>
      </c>
      <c r="I1138" t="s">
        <v>6816</v>
      </c>
      <c r="J1138" t="s">
        <v>26</v>
      </c>
      <c r="K1138" t="s">
        <v>26</v>
      </c>
      <c r="L1138" t="s">
        <v>6817</v>
      </c>
      <c r="M1138" t="s">
        <v>25</v>
      </c>
      <c r="N1138" t="s">
        <v>1642</v>
      </c>
      <c r="O1138" t="s">
        <v>1643</v>
      </c>
      <c r="P1138" t="s">
        <v>6818</v>
      </c>
      <c r="Q1138" t="s">
        <v>6819</v>
      </c>
      <c r="R1138">
        <v>331344</v>
      </c>
      <c r="S1138">
        <v>0</v>
      </c>
      <c r="T1138">
        <v>331344</v>
      </c>
      <c r="U1138" t="s">
        <v>35</v>
      </c>
      <c r="V1138" t="s">
        <v>1646</v>
      </c>
      <c r="W1138" t="s">
        <v>6820</v>
      </c>
      <c r="X1138" s="4">
        <v>1</v>
      </c>
      <c r="Y1138" s="4"/>
      <c r="Z1138">
        <f t="shared" si="68"/>
        <v>7</v>
      </c>
      <c r="AA1138">
        <f t="shared" si="69"/>
        <v>17</v>
      </c>
      <c r="AB1138" s="5">
        <f t="shared" si="70"/>
        <v>0.33188657407299615</v>
      </c>
      <c r="AC1138" s="3">
        <f t="shared" si="71"/>
        <v>9.0266203704231884E-2</v>
      </c>
      <c r="AD1138" t="str" cm="1">
        <f t="array" ref="AD1138">IFERROR(_xlfn.IFS(
    AC1138="", "",
    AC1138*86400 &lt; 30, "1. 0s - &lt;30s",
    AC1138*86400 &lt; 60, "2. 30s - &lt;1m",
    AC1138*86400 &lt; 300, "3. 1m - &lt;5m",
    AC1138*86400 &lt; 1800, "4. 5m - &lt;30m",
    TRUE, "5. &gt;= 30m"
),"6. Invalid (Order rejected)")</f>
        <v>5. &gt;= 30m</v>
      </c>
    </row>
    <row r="1139" spans="1:30" x14ac:dyDescent="0.3">
      <c r="A1139" t="s">
        <v>6821</v>
      </c>
      <c r="B1139" t="s">
        <v>1819</v>
      </c>
      <c r="C1139">
        <v>42814075</v>
      </c>
      <c r="D1139">
        <v>4412847</v>
      </c>
      <c r="E1139" t="s">
        <v>25</v>
      </c>
      <c r="F1139" t="s">
        <v>75</v>
      </c>
      <c r="G1139" t="s">
        <v>360</v>
      </c>
      <c r="H1139" t="s">
        <v>6822</v>
      </c>
      <c r="I1139" t="s">
        <v>6823</v>
      </c>
      <c r="J1139" t="s">
        <v>6824</v>
      </c>
      <c r="K1139" t="s">
        <v>6825</v>
      </c>
      <c r="L1139" t="s">
        <v>25</v>
      </c>
      <c r="M1139" t="s">
        <v>25</v>
      </c>
      <c r="N1139" t="s">
        <v>1642</v>
      </c>
      <c r="O1139" t="s">
        <v>1643</v>
      </c>
      <c r="P1139" t="s">
        <v>6826</v>
      </c>
      <c r="Q1139" t="s">
        <v>6827</v>
      </c>
      <c r="R1139">
        <v>419904</v>
      </c>
      <c r="S1139">
        <v>325523</v>
      </c>
      <c r="T1139">
        <v>94381</v>
      </c>
      <c r="U1139" t="s">
        <v>35</v>
      </c>
      <c r="V1139" t="s">
        <v>1646</v>
      </c>
      <c r="W1139" t="s">
        <v>6828</v>
      </c>
      <c r="X1139" s="4">
        <v>1</v>
      </c>
      <c r="Y1139" s="4"/>
      <c r="Z1139">
        <f t="shared" si="68"/>
        <v>7</v>
      </c>
      <c r="AA1139">
        <f t="shared" si="69"/>
        <v>17</v>
      </c>
      <c r="AB1139" s="5">
        <f t="shared" si="70"/>
        <v>0.33217592592700385</v>
      </c>
      <c r="AC1139" s="3" t="str">
        <f t="shared" si="71"/>
        <v>Order rejected, no time available</v>
      </c>
      <c r="AD1139" t="str" cm="1">
        <f t="array" ref="AD1139">IFERROR(_xlfn.IFS(
    AC1139="", "",
    AC1139*86400 &lt; 30, "1. 0s - &lt;30s",
    AC1139*86400 &lt; 60, "2. 30s - &lt;1m",
    AC1139*86400 &lt; 300, "3. 1m - &lt;5m",
    AC1139*86400 &lt; 1800, "4. 5m - &lt;30m",
    TRUE, "5. &gt;= 30m"
),"6. Invalid (Order rejected)")</f>
        <v>6. Invalid (Order rejected)</v>
      </c>
    </row>
    <row r="1140" spans="1:30" x14ac:dyDescent="0.3">
      <c r="A1140" t="s">
        <v>6829</v>
      </c>
      <c r="B1140" t="s">
        <v>1819</v>
      </c>
      <c r="C1140">
        <v>42814075</v>
      </c>
      <c r="D1140">
        <v>3696492</v>
      </c>
      <c r="E1140" t="s">
        <v>25</v>
      </c>
      <c r="F1140" t="s">
        <v>75</v>
      </c>
      <c r="G1140" t="s">
        <v>360</v>
      </c>
      <c r="H1140" t="s">
        <v>6830</v>
      </c>
      <c r="I1140" t="s">
        <v>6831</v>
      </c>
      <c r="J1140" t="s">
        <v>6832</v>
      </c>
      <c r="K1140" t="s">
        <v>26</v>
      </c>
      <c r="L1140" t="s">
        <v>25</v>
      </c>
      <c r="M1140" t="s">
        <v>25</v>
      </c>
      <c r="N1140" t="s">
        <v>1716</v>
      </c>
      <c r="O1140" t="s">
        <v>1717</v>
      </c>
      <c r="P1140" t="s">
        <v>1840</v>
      </c>
      <c r="Q1140" t="s">
        <v>1841</v>
      </c>
      <c r="R1140">
        <v>265356</v>
      </c>
      <c r="S1140">
        <v>205712</v>
      </c>
      <c r="T1140">
        <v>59644</v>
      </c>
      <c r="U1140" t="s">
        <v>35</v>
      </c>
      <c r="V1140" t="s">
        <v>1720</v>
      </c>
      <c r="W1140" t="s">
        <v>1843</v>
      </c>
      <c r="X1140" s="4">
        <v>1</v>
      </c>
      <c r="Y1140" s="4"/>
      <c r="Z1140">
        <f t="shared" si="68"/>
        <v>7</v>
      </c>
      <c r="AA1140">
        <f t="shared" si="69"/>
        <v>17</v>
      </c>
      <c r="AB1140" s="5">
        <f t="shared" si="70"/>
        <v>0.32771990740729962</v>
      </c>
      <c r="AC1140" s="3" t="str">
        <f t="shared" si="71"/>
        <v>Order rejected, no time available</v>
      </c>
      <c r="AD1140" t="str" cm="1">
        <f t="array" ref="AD1140">IFERROR(_xlfn.IFS(
    AC1140="", "",
    AC1140*86400 &lt; 30, "1. 0s - &lt;30s",
    AC1140*86400 &lt; 60, "2. 30s - &lt;1m",
    AC1140*86400 &lt; 300, "3. 1m - &lt;5m",
    AC1140*86400 &lt; 1800, "4. 5m - &lt;30m",
    TRUE, "5. &gt;= 30m"
),"6. Invalid (Order rejected)")</f>
        <v>6. Invalid (Order rejected)</v>
      </c>
    </row>
    <row r="1141" spans="1:30" hidden="1" x14ac:dyDescent="0.3">
      <c r="A1141" t="s">
        <v>6833</v>
      </c>
      <c r="B1141" t="s">
        <v>1819</v>
      </c>
      <c r="C1141">
        <v>42814075</v>
      </c>
      <c r="D1141">
        <v>0</v>
      </c>
      <c r="E1141" t="s">
        <v>25</v>
      </c>
      <c r="F1141" t="s">
        <v>26</v>
      </c>
      <c r="G1141" t="s">
        <v>27</v>
      </c>
      <c r="H1141" t="s">
        <v>6834</v>
      </c>
      <c r="I1141" t="s">
        <v>6835</v>
      </c>
      <c r="J1141" t="s">
        <v>26</v>
      </c>
      <c r="K1141" t="s">
        <v>26</v>
      </c>
      <c r="L1141" t="s">
        <v>6836</v>
      </c>
      <c r="M1141" t="s">
        <v>25</v>
      </c>
      <c r="N1141" t="s">
        <v>1716</v>
      </c>
      <c r="O1141" t="s">
        <v>1717</v>
      </c>
      <c r="P1141" t="s">
        <v>1624</v>
      </c>
      <c r="Q1141" t="s">
        <v>1625</v>
      </c>
      <c r="R1141">
        <v>258984</v>
      </c>
      <c r="S1141">
        <v>0</v>
      </c>
      <c r="T1141">
        <v>258984</v>
      </c>
      <c r="U1141" t="s">
        <v>35</v>
      </c>
      <c r="V1141" t="s">
        <v>1720</v>
      </c>
      <c r="W1141" t="s">
        <v>1626</v>
      </c>
      <c r="X1141" s="4">
        <v>1</v>
      </c>
      <c r="Y1141" s="4"/>
      <c r="Z1141">
        <f t="shared" si="68"/>
        <v>7</v>
      </c>
      <c r="AA1141">
        <f t="shared" si="69"/>
        <v>17</v>
      </c>
      <c r="AB1141" s="5">
        <f t="shared" si="70"/>
        <v>0.32890046296233777</v>
      </c>
      <c r="AC1141" s="3">
        <f t="shared" si="71"/>
        <v>9.0277777781011537E-2</v>
      </c>
      <c r="AD1141" t="str" cm="1">
        <f t="array" ref="AD1141">IFERROR(_xlfn.IFS(
    AC1141="", "",
    AC1141*86400 &lt; 30, "1. 0s - &lt;30s",
    AC1141*86400 &lt; 60, "2. 30s - &lt;1m",
    AC1141*86400 &lt; 300, "3. 1m - &lt;5m",
    AC1141*86400 &lt; 1800, "4. 5m - &lt;30m",
    TRUE, "5. &gt;= 30m"
),"6. Invalid (Order rejected)")</f>
        <v>5. &gt;= 30m</v>
      </c>
    </row>
    <row r="1142" spans="1:30" hidden="1" x14ac:dyDescent="0.3">
      <c r="A1142" t="s">
        <v>6837</v>
      </c>
      <c r="B1142" t="s">
        <v>1819</v>
      </c>
      <c r="C1142">
        <v>42814075</v>
      </c>
      <c r="D1142">
        <v>4707876</v>
      </c>
      <c r="E1142" t="s">
        <v>25</v>
      </c>
      <c r="F1142" t="s">
        <v>75</v>
      </c>
      <c r="G1142" t="s">
        <v>76</v>
      </c>
      <c r="H1142" t="s">
        <v>6838</v>
      </c>
      <c r="I1142" t="s">
        <v>6839</v>
      </c>
      <c r="J1142" t="s">
        <v>6840</v>
      </c>
      <c r="K1142" t="s">
        <v>6841</v>
      </c>
      <c r="L1142" t="s">
        <v>6842</v>
      </c>
      <c r="M1142" t="s">
        <v>25</v>
      </c>
      <c r="N1142" t="s">
        <v>1674</v>
      </c>
      <c r="O1142" t="s">
        <v>1675</v>
      </c>
      <c r="P1142" t="s">
        <v>6843</v>
      </c>
      <c r="Q1142" t="s">
        <v>6844</v>
      </c>
      <c r="R1142">
        <v>197208</v>
      </c>
      <c r="S1142">
        <v>152882</v>
      </c>
      <c r="T1142">
        <v>44326</v>
      </c>
      <c r="U1142" t="s">
        <v>35</v>
      </c>
      <c r="V1142" t="s">
        <v>1678</v>
      </c>
      <c r="W1142" t="s">
        <v>6845</v>
      </c>
      <c r="X1142" s="4">
        <v>1</v>
      </c>
      <c r="Y1142" s="4"/>
      <c r="Z1142">
        <f t="shared" si="68"/>
        <v>7</v>
      </c>
      <c r="AA1142">
        <f t="shared" si="69"/>
        <v>17</v>
      </c>
      <c r="AB1142" s="5">
        <f t="shared" si="70"/>
        <v>0.33093750000261934</v>
      </c>
      <c r="AC1142" s="3">
        <f t="shared" si="71"/>
        <v>9.579861110978527E-2</v>
      </c>
      <c r="AD1142" t="str" cm="1">
        <f t="array" ref="AD1142">IFERROR(_xlfn.IFS(
    AC1142="", "",
    AC1142*86400 &lt; 30, "1. 0s - &lt;30s",
    AC1142*86400 &lt; 60, "2. 30s - &lt;1m",
    AC1142*86400 &lt; 300, "3. 1m - &lt;5m",
    AC1142*86400 &lt; 1800, "4. 5m - &lt;30m",
    TRUE, "5. &gt;= 30m"
),"6. Invalid (Order rejected)")</f>
        <v>5. &gt;= 30m</v>
      </c>
    </row>
    <row r="1143" spans="1:30" hidden="1" x14ac:dyDescent="0.3">
      <c r="A1143" t="s">
        <v>6846</v>
      </c>
      <c r="B1143" t="s">
        <v>1819</v>
      </c>
      <c r="C1143">
        <v>42814075</v>
      </c>
      <c r="D1143">
        <v>0</v>
      </c>
      <c r="E1143" t="s">
        <v>25</v>
      </c>
      <c r="F1143" t="s">
        <v>26</v>
      </c>
      <c r="G1143" t="s">
        <v>27</v>
      </c>
      <c r="H1143" t="s">
        <v>6847</v>
      </c>
      <c r="I1143" t="s">
        <v>6848</v>
      </c>
      <c r="J1143" t="s">
        <v>26</v>
      </c>
      <c r="K1143" t="s">
        <v>26</v>
      </c>
      <c r="L1143" t="s">
        <v>6849</v>
      </c>
      <c r="M1143" t="s">
        <v>25</v>
      </c>
      <c r="N1143" t="s">
        <v>1642</v>
      </c>
      <c r="O1143" t="s">
        <v>1643</v>
      </c>
      <c r="P1143" t="s">
        <v>6818</v>
      </c>
      <c r="Q1143" t="s">
        <v>6819</v>
      </c>
      <c r="R1143">
        <v>342144</v>
      </c>
      <c r="S1143">
        <v>0</v>
      </c>
      <c r="T1143">
        <v>342144</v>
      </c>
      <c r="U1143" t="s">
        <v>35</v>
      </c>
      <c r="V1143" t="s">
        <v>1646</v>
      </c>
      <c r="W1143" t="s">
        <v>6820</v>
      </c>
      <c r="X1143" s="4">
        <v>1</v>
      </c>
      <c r="Y1143" s="4"/>
      <c r="Z1143">
        <f t="shared" si="68"/>
        <v>7</v>
      </c>
      <c r="AA1143">
        <f t="shared" si="69"/>
        <v>17</v>
      </c>
      <c r="AB1143" s="5">
        <f t="shared" si="70"/>
        <v>0.33173611111124046</v>
      </c>
      <c r="AC1143" s="3">
        <f t="shared" si="71"/>
        <v>9.0277777781011537E-2</v>
      </c>
      <c r="AD1143" t="str" cm="1">
        <f t="array" ref="AD1143">IFERROR(_xlfn.IFS(
    AC1143="", "",
    AC1143*86400 &lt; 30, "1. 0s - &lt;30s",
    AC1143*86400 &lt; 60, "2. 30s - &lt;1m",
    AC1143*86400 &lt; 300, "3. 1m - &lt;5m",
    AC1143*86400 &lt; 1800, "4. 5m - &lt;30m",
    TRUE, "5. &gt;= 30m"
),"6. Invalid (Order rejected)")</f>
        <v>5. &gt;= 30m</v>
      </c>
    </row>
    <row r="1144" spans="1:30" hidden="1" x14ac:dyDescent="0.3">
      <c r="A1144" t="s">
        <v>6850</v>
      </c>
      <c r="B1144" t="s">
        <v>1819</v>
      </c>
      <c r="C1144">
        <v>42814075</v>
      </c>
      <c r="D1144">
        <v>0</v>
      </c>
      <c r="E1144" t="s">
        <v>25</v>
      </c>
      <c r="F1144" t="s">
        <v>26</v>
      </c>
      <c r="G1144" t="s">
        <v>27</v>
      </c>
      <c r="H1144" t="s">
        <v>6851</v>
      </c>
      <c r="I1144" t="s">
        <v>6852</v>
      </c>
      <c r="J1144" t="s">
        <v>26</v>
      </c>
      <c r="K1144" t="s">
        <v>26</v>
      </c>
      <c r="L1144" t="s">
        <v>6853</v>
      </c>
      <c r="M1144" t="s">
        <v>25</v>
      </c>
      <c r="N1144" t="s">
        <v>1674</v>
      </c>
      <c r="O1144" t="s">
        <v>1675</v>
      </c>
      <c r="P1144" t="s">
        <v>6854</v>
      </c>
      <c r="Q1144" t="s">
        <v>6855</v>
      </c>
      <c r="R1144">
        <v>162108</v>
      </c>
      <c r="S1144">
        <v>0</v>
      </c>
      <c r="T1144">
        <v>162108</v>
      </c>
      <c r="U1144" t="s">
        <v>35</v>
      </c>
      <c r="V1144" t="s">
        <v>1678</v>
      </c>
      <c r="W1144" t="s">
        <v>6856</v>
      </c>
      <c r="X1144" s="4">
        <v>1</v>
      </c>
      <c r="Y1144" s="4"/>
      <c r="Z1144">
        <f t="shared" si="68"/>
        <v>7</v>
      </c>
      <c r="AA1144">
        <f t="shared" si="69"/>
        <v>17</v>
      </c>
      <c r="AB1144" s="5">
        <f t="shared" si="70"/>
        <v>0.33075231481780065</v>
      </c>
      <c r="AC1144" s="3">
        <f t="shared" si="71"/>
        <v>5.1672800925880438</v>
      </c>
      <c r="AD1144" t="str" cm="1">
        <f t="array" ref="AD1144">IFERROR(_xlfn.IFS(
    AC1144="", "",
    AC1144*86400 &lt; 30, "1. 0s - &lt;30s",
    AC1144*86400 &lt; 60, "2. 30s - &lt;1m",
    AC1144*86400 &lt; 300, "3. 1m - &lt;5m",
    AC1144*86400 &lt; 1800, "4. 5m - &lt;30m",
    TRUE, "5. &gt;= 30m"
),"6. Invalid (Order rejected)")</f>
        <v>5. &gt;= 30m</v>
      </c>
    </row>
    <row r="1145" spans="1:30" hidden="1" x14ac:dyDescent="0.3">
      <c r="A1145" t="s">
        <v>6857</v>
      </c>
      <c r="B1145" t="s">
        <v>1819</v>
      </c>
      <c r="C1145">
        <v>42814075</v>
      </c>
      <c r="D1145">
        <v>3711577</v>
      </c>
      <c r="E1145" t="s">
        <v>25</v>
      </c>
      <c r="F1145" t="s">
        <v>75</v>
      </c>
      <c r="G1145" t="s">
        <v>76</v>
      </c>
      <c r="H1145" t="s">
        <v>6858</v>
      </c>
      <c r="I1145" t="s">
        <v>6859</v>
      </c>
      <c r="J1145" t="s">
        <v>6860</v>
      </c>
      <c r="K1145" t="s">
        <v>26</v>
      </c>
      <c r="L1145" t="s">
        <v>6861</v>
      </c>
      <c r="M1145" t="s">
        <v>25</v>
      </c>
      <c r="N1145" t="s">
        <v>1674</v>
      </c>
      <c r="O1145" t="s">
        <v>1675</v>
      </c>
      <c r="P1145" t="s">
        <v>518</v>
      </c>
      <c r="Q1145" t="s">
        <v>519</v>
      </c>
      <c r="R1145">
        <v>462132</v>
      </c>
      <c r="S1145">
        <v>379333</v>
      </c>
      <c r="T1145">
        <v>82799</v>
      </c>
      <c r="U1145" t="s">
        <v>35</v>
      </c>
      <c r="V1145" t="s">
        <v>1678</v>
      </c>
      <c r="W1145" t="s">
        <v>520</v>
      </c>
      <c r="X1145" s="4">
        <v>1</v>
      </c>
      <c r="Y1145" s="4"/>
      <c r="Z1145">
        <f t="shared" si="68"/>
        <v>7</v>
      </c>
      <c r="AA1145">
        <f t="shared" si="69"/>
        <v>17</v>
      </c>
      <c r="AB1145" s="5">
        <f t="shared" si="70"/>
        <v>0.33128472221869742</v>
      </c>
      <c r="AC1145" s="3">
        <f t="shared" si="71"/>
        <v>2.9282407413120382E-3</v>
      </c>
      <c r="AD1145" t="str" cm="1">
        <f t="array" ref="AD1145">IFERROR(_xlfn.IFS(
    AC1145="", "",
    AC1145*86400 &lt; 30, "1. 0s - &lt;30s",
    AC1145*86400 &lt; 60, "2. 30s - &lt;1m",
    AC1145*86400 &lt; 300, "3. 1m - &lt;5m",
    AC1145*86400 &lt; 1800, "4. 5m - &lt;30m",
    TRUE, "5. &gt;= 30m"
),"6. Invalid (Order rejected)")</f>
        <v>3. 1m - &lt;5m</v>
      </c>
    </row>
    <row r="1146" spans="1:30" hidden="1" x14ac:dyDescent="0.3">
      <c r="A1146" t="s">
        <v>6862</v>
      </c>
      <c r="B1146" t="s">
        <v>1819</v>
      </c>
      <c r="C1146">
        <v>42814075</v>
      </c>
      <c r="D1146">
        <v>4608004</v>
      </c>
      <c r="E1146" t="s">
        <v>25</v>
      </c>
      <c r="F1146" t="s">
        <v>75</v>
      </c>
      <c r="G1146" t="s">
        <v>409</v>
      </c>
      <c r="H1146" t="s">
        <v>6863</v>
      </c>
      <c r="I1146" t="s">
        <v>6864</v>
      </c>
      <c r="J1146" t="s">
        <v>6865</v>
      </c>
      <c r="K1146" t="s">
        <v>26</v>
      </c>
      <c r="L1146" t="s">
        <v>25</v>
      </c>
      <c r="M1146" t="s">
        <v>6866</v>
      </c>
      <c r="N1146" t="s">
        <v>1642</v>
      </c>
      <c r="O1146" t="s">
        <v>1643</v>
      </c>
      <c r="P1146" t="s">
        <v>6826</v>
      </c>
      <c r="Q1146" t="s">
        <v>6827</v>
      </c>
      <c r="R1146">
        <v>351864</v>
      </c>
      <c r="S1146">
        <v>272776</v>
      </c>
      <c r="T1146">
        <v>79088</v>
      </c>
      <c r="U1146" t="s">
        <v>35</v>
      </c>
      <c r="V1146" t="s">
        <v>1646</v>
      </c>
      <c r="W1146" t="s">
        <v>6828</v>
      </c>
      <c r="X1146" s="4">
        <v>1</v>
      </c>
      <c r="Y1146" s="4"/>
      <c r="Z1146">
        <f t="shared" si="68"/>
        <v>7</v>
      </c>
      <c r="AA1146">
        <f t="shared" si="69"/>
        <v>17</v>
      </c>
      <c r="AB1146" s="5">
        <f t="shared" si="70"/>
        <v>0.33236111111182254</v>
      </c>
      <c r="AC1146" s="3">
        <f t="shared" si="71"/>
        <v>0.11060185184760485</v>
      </c>
      <c r="AD1146" t="str" cm="1">
        <f t="array" ref="AD1146">IFERROR(_xlfn.IFS(
    AC1146="", "",
    AC1146*86400 &lt; 30, "1. 0s - &lt;30s",
    AC1146*86400 &lt; 60, "2. 30s - &lt;1m",
    AC1146*86400 &lt; 300, "3. 1m - &lt;5m",
    AC1146*86400 &lt; 1800, "4. 5m - &lt;30m",
    TRUE, "5. &gt;= 30m"
),"6. Invalid (Order rejected)")</f>
        <v>5. &gt;= 30m</v>
      </c>
    </row>
    <row r="1147" spans="1:30" x14ac:dyDescent="0.3">
      <c r="A1147" t="s">
        <v>6867</v>
      </c>
      <c r="B1147" t="s">
        <v>1819</v>
      </c>
      <c r="C1147">
        <v>42814075</v>
      </c>
      <c r="D1147">
        <v>3170348</v>
      </c>
      <c r="E1147" t="s">
        <v>25</v>
      </c>
      <c r="F1147" t="s">
        <v>75</v>
      </c>
      <c r="G1147" t="s">
        <v>360</v>
      </c>
      <c r="H1147" t="s">
        <v>6868</v>
      </c>
      <c r="I1147" t="s">
        <v>6687</v>
      </c>
      <c r="J1147" t="s">
        <v>2017</v>
      </c>
      <c r="K1147" t="s">
        <v>26</v>
      </c>
      <c r="L1147" t="s">
        <v>25</v>
      </c>
      <c r="M1147" t="s">
        <v>25</v>
      </c>
      <c r="N1147" t="s">
        <v>1642</v>
      </c>
      <c r="O1147" t="s">
        <v>1643</v>
      </c>
      <c r="P1147" t="s">
        <v>6869</v>
      </c>
      <c r="Q1147" t="s">
        <v>6870</v>
      </c>
      <c r="R1147">
        <v>359748</v>
      </c>
      <c r="S1147">
        <v>278888</v>
      </c>
      <c r="T1147">
        <v>80860</v>
      </c>
      <c r="U1147" t="s">
        <v>35</v>
      </c>
      <c r="V1147" t="s">
        <v>1646</v>
      </c>
      <c r="W1147" t="s">
        <v>6871</v>
      </c>
      <c r="X1147" s="4">
        <v>1</v>
      </c>
      <c r="Y1147" s="4"/>
      <c r="Z1147">
        <f t="shared" si="68"/>
        <v>7</v>
      </c>
      <c r="AA1147">
        <f t="shared" si="69"/>
        <v>17</v>
      </c>
      <c r="AB1147" s="5">
        <f t="shared" si="70"/>
        <v>0.33318287037400296</v>
      </c>
      <c r="AC1147" s="3" t="str">
        <f t="shared" si="71"/>
        <v>Order rejected, no time available</v>
      </c>
      <c r="AD1147" t="str" cm="1">
        <f t="array" ref="AD1147">IFERROR(_xlfn.IFS(
    AC1147="", "",
    AC1147*86400 &lt; 30, "1. 0s - &lt;30s",
    AC1147*86400 &lt; 60, "2. 30s - &lt;1m",
    AC1147*86400 &lt; 300, "3. 1m - &lt;5m",
    AC1147*86400 &lt; 1800, "4. 5m - &lt;30m",
    TRUE, "5. &gt;= 30m"
),"6. Invalid (Order rejected)")</f>
        <v>6. Invalid (Order rejected)</v>
      </c>
    </row>
    <row r="1148" spans="1:30" x14ac:dyDescent="0.3">
      <c r="A1148" t="s">
        <v>6872</v>
      </c>
      <c r="B1148" t="s">
        <v>1819</v>
      </c>
      <c r="C1148">
        <v>42814075</v>
      </c>
      <c r="D1148">
        <v>4601101</v>
      </c>
      <c r="E1148" t="s">
        <v>25</v>
      </c>
      <c r="F1148" t="s">
        <v>75</v>
      </c>
      <c r="G1148" t="s">
        <v>360</v>
      </c>
      <c r="H1148" t="s">
        <v>6808</v>
      </c>
      <c r="I1148" t="s">
        <v>6687</v>
      </c>
      <c r="J1148" t="s">
        <v>6873</v>
      </c>
      <c r="K1148" t="s">
        <v>26</v>
      </c>
      <c r="L1148" t="s">
        <v>25</v>
      </c>
      <c r="M1148" t="s">
        <v>25</v>
      </c>
      <c r="N1148" t="s">
        <v>1642</v>
      </c>
      <c r="O1148" t="s">
        <v>1643</v>
      </c>
      <c r="P1148" t="s">
        <v>1728</v>
      </c>
      <c r="Q1148" t="s">
        <v>1729</v>
      </c>
      <c r="R1148">
        <v>256500</v>
      </c>
      <c r="S1148">
        <v>198847</v>
      </c>
      <c r="T1148">
        <v>57653</v>
      </c>
      <c r="U1148" t="s">
        <v>35</v>
      </c>
      <c r="V1148" t="s">
        <v>1646</v>
      </c>
      <c r="W1148" t="s">
        <v>1731</v>
      </c>
      <c r="X1148" s="4">
        <v>1</v>
      </c>
      <c r="Y1148" s="4"/>
      <c r="Z1148">
        <f t="shared" si="68"/>
        <v>7</v>
      </c>
      <c r="AA1148">
        <f t="shared" si="69"/>
        <v>17</v>
      </c>
      <c r="AB1148" s="5">
        <f t="shared" si="70"/>
        <v>0.33297453703562496</v>
      </c>
      <c r="AC1148" s="3" t="str">
        <f t="shared" si="71"/>
        <v>Order rejected, no time available</v>
      </c>
      <c r="AD1148" t="str" cm="1">
        <f t="array" ref="AD1148">IFERROR(_xlfn.IFS(
    AC1148="", "",
    AC1148*86400 &lt; 30, "1. 0s - &lt;30s",
    AC1148*86400 &lt; 60, "2. 30s - &lt;1m",
    AC1148*86400 &lt; 300, "3. 1m - &lt;5m",
    AC1148*86400 &lt; 1800, "4. 5m - &lt;30m",
    TRUE, "5. &gt;= 30m"
),"6. Invalid (Order rejected)")</f>
        <v>6. Invalid (Order rejected)</v>
      </c>
    </row>
    <row r="1149" spans="1:30" x14ac:dyDescent="0.3">
      <c r="A1149" t="s">
        <v>6874</v>
      </c>
      <c r="B1149" t="s">
        <v>25</v>
      </c>
      <c r="C1149">
        <v>43376946</v>
      </c>
      <c r="D1149">
        <v>4600219</v>
      </c>
      <c r="E1149" t="s">
        <v>25</v>
      </c>
      <c r="F1149" t="s">
        <v>75</v>
      </c>
      <c r="G1149" t="s">
        <v>360</v>
      </c>
      <c r="H1149" t="s">
        <v>6875</v>
      </c>
      <c r="I1149" t="s">
        <v>6876</v>
      </c>
      <c r="J1149" t="s">
        <v>6877</v>
      </c>
      <c r="K1149" t="s">
        <v>26</v>
      </c>
      <c r="L1149" t="s">
        <v>25</v>
      </c>
      <c r="M1149" t="s">
        <v>25</v>
      </c>
      <c r="N1149" t="s">
        <v>6878</v>
      </c>
      <c r="O1149" t="s">
        <v>6879</v>
      </c>
      <c r="P1149" t="s">
        <v>6880</v>
      </c>
      <c r="Q1149" t="s">
        <v>6881</v>
      </c>
      <c r="R1149">
        <v>306396</v>
      </c>
      <c r="S1149">
        <v>237528</v>
      </c>
      <c r="T1149">
        <v>68868</v>
      </c>
      <c r="U1149" t="s">
        <v>35</v>
      </c>
      <c r="V1149" t="s">
        <v>6882</v>
      </c>
      <c r="W1149" t="s">
        <v>6883</v>
      </c>
      <c r="X1149" s="4">
        <v>1</v>
      </c>
      <c r="Y1149" s="4"/>
      <c r="Z1149">
        <f t="shared" si="68"/>
        <v>8</v>
      </c>
      <c r="AA1149">
        <f t="shared" si="69"/>
        <v>6</v>
      </c>
      <c r="AB1149" s="5">
        <f t="shared" si="70"/>
        <v>0.37760416666424135</v>
      </c>
      <c r="AC1149" s="3" t="str">
        <f t="shared" si="71"/>
        <v>Order rejected, no time available</v>
      </c>
      <c r="AD1149" t="str" cm="1">
        <f t="array" ref="AD1149">IFERROR(_xlfn.IFS(
    AC1149="", "",
    AC1149*86400 &lt; 30, "1. 0s - &lt;30s",
    AC1149*86400 &lt; 60, "2. 30s - &lt;1m",
    AC1149*86400 &lt; 300, "3. 1m - &lt;5m",
    AC1149*86400 &lt; 1800, "4. 5m - &lt;30m",
    TRUE, "5. &gt;= 30m"
),"6. Invalid (Order rejected)")</f>
        <v>6. Invalid (Order rejected)</v>
      </c>
    </row>
    <row r="1150" spans="1:30" x14ac:dyDescent="0.3">
      <c r="A1150" t="s">
        <v>6884</v>
      </c>
      <c r="B1150" t="s">
        <v>25</v>
      </c>
      <c r="C1150">
        <v>43376946</v>
      </c>
      <c r="D1150">
        <v>4812588</v>
      </c>
      <c r="E1150" t="s">
        <v>25</v>
      </c>
      <c r="F1150" t="s">
        <v>75</v>
      </c>
      <c r="G1150" t="s">
        <v>360</v>
      </c>
      <c r="H1150" t="s">
        <v>6885</v>
      </c>
      <c r="I1150" t="s">
        <v>6886</v>
      </c>
      <c r="J1150" t="s">
        <v>6887</v>
      </c>
      <c r="K1150" t="s">
        <v>26</v>
      </c>
      <c r="L1150" t="s">
        <v>25</v>
      </c>
      <c r="M1150" t="s">
        <v>25</v>
      </c>
      <c r="N1150" t="s">
        <v>6888</v>
      </c>
      <c r="O1150" t="s">
        <v>6889</v>
      </c>
      <c r="P1150" t="s">
        <v>2771</v>
      </c>
      <c r="Q1150" t="s">
        <v>2772</v>
      </c>
      <c r="R1150">
        <v>378432</v>
      </c>
      <c r="S1150">
        <v>293372</v>
      </c>
      <c r="T1150">
        <v>85060</v>
      </c>
      <c r="U1150" t="s">
        <v>35</v>
      </c>
      <c r="V1150" t="s">
        <v>6890</v>
      </c>
      <c r="W1150" t="s">
        <v>2774</v>
      </c>
      <c r="X1150" s="4">
        <v>1</v>
      </c>
      <c r="Y1150" s="4"/>
      <c r="Z1150">
        <f t="shared" si="68"/>
        <v>8</v>
      </c>
      <c r="AA1150">
        <f t="shared" si="69"/>
        <v>6</v>
      </c>
      <c r="AB1150" s="5">
        <f t="shared" si="70"/>
        <v>0.37649305555532919</v>
      </c>
      <c r="AC1150" s="3" t="str">
        <f t="shared" si="71"/>
        <v>Order rejected, no time available</v>
      </c>
      <c r="AD1150" t="str" cm="1">
        <f t="array" ref="AD1150">IFERROR(_xlfn.IFS(
    AC1150="", "",
    AC1150*86400 &lt; 30, "1. 0s - &lt;30s",
    AC1150*86400 &lt; 60, "2. 30s - &lt;1m",
    AC1150*86400 &lt; 300, "3. 1m - &lt;5m",
    AC1150*86400 &lt; 1800, "4. 5m - &lt;30m",
    TRUE, "5. &gt;= 30m"
),"6. Invalid (Order rejected)")</f>
        <v>6. Invalid (Order rejected)</v>
      </c>
    </row>
    <row r="1151" spans="1:30" x14ac:dyDescent="0.3">
      <c r="A1151" t="s">
        <v>6891</v>
      </c>
      <c r="B1151" t="s">
        <v>25</v>
      </c>
      <c r="C1151">
        <v>43376946</v>
      </c>
      <c r="D1151">
        <v>468517</v>
      </c>
      <c r="E1151" t="s">
        <v>6892</v>
      </c>
      <c r="F1151" t="s">
        <v>75</v>
      </c>
      <c r="G1151" t="s">
        <v>360</v>
      </c>
      <c r="H1151" t="s">
        <v>6893</v>
      </c>
      <c r="I1151" t="s">
        <v>6894</v>
      </c>
      <c r="J1151" t="s">
        <v>6895</v>
      </c>
      <c r="K1151" t="s">
        <v>26</v>
      </c>
      <c r="L1151" t="s">
        <v>25</v>
      </c>
      <c r="M1151" t="s">
        <v>25</v>
      </c>
      <c r="N1151" t="s">
        <v>2185</v>
      </c>
      <c r="O1151" t="s">
        <v>2186</v>
      </c>
      <c r="P1151" t="s">
        <v>6896</v>
      </c>
      <c r="Q1151" t="s">
        <v>6897</v>
      </c>
      <c r="R1151">
        <v>217296</v>
      </c>
      <c r="S1151">
        <v>168455</v>
      </c>
      <c r="T1151">
        <v>48841</v>
      </c>
      <c r="U1151" t="s">
        <v>35</v>
      </c>
      <c r="V1151" t="s">
        <v>2189</v>
      </c>
      <c r="W1151" t="s">
        <v>6898</v>
      </c>
      <c r="X1151" s="4">
        <v>1</v>
      </c>
      <c r="Y1151" s="4"/>
      <c r="Z1151">
        <f t="shared" si="68"/>
        <v>8</v>
      </c>
      <c r="AA1151">
        <f t="shared" si="69"/>
        <v>6</v>
      </c>
      <c r="AB1151" s="5">
        <f t="shared" si="70"/>
        <v>0.38163194444496185</v>
      </c>
      <c r="AC1151" s="3" t="str">
        <f t="shared" si="71"/>
        <v>Order rejected, no time available</v>
      </c>
      <c r="AD1151" t="str" cm="1">
        <f t="array" ref="AD1151">IFERROR(_xlfn.IFS(
    AC1151="", "",
    AC1151*86400 &lt; 30, "1. 0s - &lt;30s",
    AC1151*86400 &lt; 60, "2. 30s - &lt;1m",
    AC1151*86400 &lt; 300, "3. 1m - &lt;5m",
    AC1151*86400 &lt; 1800, "4. 5m - &lt;30m",
    TRUE, "5. &gt;= 30m"
),"6. Invalid (Order rejected)")</f>
        <v>6. Invalid (Order rejected)</v>
      </c>
    </row>
    <row r="1152" spans="1:30" x14ac:dyDescent="0.3">
      <c r="A1152" t="s">
        <v>6899</v>
      </c>
      <c r="B1152" t="s">
        <v>25</v>
      </c>
      <c r="C1152">
        <v>43376946</v>
      </c>
      <c r="D1152">
        <v>1528635</v>
      </c>
      <c r="E1152" t="s">
        <v>25</v>
      </c>
      <c r="F1152" t="s">
        <v>75</v>
      </c>
      <c r="G1152" t="s">
        <v>360</v>
      </c>
      <c r="H1152" t="s">
        <v>6900</v>
      </c>
      <c r="I1152" t="s">
        <v>6901</v>
      </c>
      <c r="J1152" t="s">
        <v>6902</v>
      </c>
      <c r="K1152" t="s">
        <v>6903</v>
      </c>
      <c r="L1152" t="s">
        <v>25</v>
      </c>
      <c r="M1152" t="s">
        <v>25</v>
      </c>
      <c r="N1152" t="s">
        <v>6904</v>
      </c>
      <c r="O1152" t="s">
        <v>6905</v>
      </c>
      <c r="P1152" t="s">
        <v>6906</v>
      </c>
      <c r="Q1152" t="s">
        <v>6907</v>
      </c>
      <c r="R1152">
        <v>300456</v>
      </c>
      <c r="S1152">
        <v>232923</v>
      </c>
      <c r="T1152">
        <v>67533</v>
      </c>
      <c r="U1152" t="s">
        <v>35</v>
      </c>
      <c r="V1152" t="s">
        <v>6908</v>
      </c>
      <c r="W1152" t="s">
        <v>6909</v>
      </c>
      <c r="X1152" s="4">
        <v>1</v>
      </c>
      <c r="Y1152" s="4"/>
      <c r="Z1152">
        <f t="shared" si="68"/>
        <v>8</v>
      </c>
      <c r="AA1152">
        <f t="shared" si="69"/>
        <v>6</v>
      </c>
      <c r="AB1152" s="5">
        <f t="shared" si="70"/>
        <v>0.38204861111444188</v>
      </c>
      <c r="AC1152" s="3" t="str">
        <f t="shared" si="71"/>
        <v>Order rejected, no time available</v>
      </c>
      <c r="AD1152" t="str" cm="1">
        <f t="array" ref="AD1152">IFERROR(_xlfn.IFS(
    AC1152="", "",
    AC1152*86400 &lt; 30, "1. 0s - &lt;30s",
    AC1152*86400 &lt; 60, "2. 30s - &lt;1m",
    AC1152*86400 &lt; 300, "3. 1m - &lt;5m",
    AC1152*86400 &lt; 1800, "4. 5m - &lt;30m",
    TRUE, "5. &gt;= 30m"
),"6. Invalid (Order rejected)")</f>
        <v>6. Invalid (Order rejected)</v>
      </c>
    </row>
    <row r="1153" spans="1:30" x14ac:dyDescent="0.3">
      <c r="A1153" t="s">
        <v>6910</v>
      </c>
      <c r="B1153" t="s">
        <v>25</v>
      </c>
      <c r="C1153">
        <v>43376946</v>
      </c>
      <c r="D1153">
        <v>4734895</v>
      </c>
      <c r="E1153" t="s">
        <v>25</v>
      </c>
      <c r="F1153" t="s">
        <v>75</v>
      </c>
      <c r="G1153" t="s">
        <v>360</v>
      </c>
      <c r="H1153" t="s">
        <v>6911</v>
      </c>
      <c r="I1153" t="s">
        <v>6912</v>
      </c>
      <c r="J1153" t="s">
        <v>6913</v>
      </c>
      <c r="K1153" t="s">
        <v>26</v>
      </c>
      <c r="L1153" t="s">
        <v>25</v>
      </c>
      <c r="M1153" t="s">
        <v>25</v>
      </c>
      <c r="N1153" t="s">
        <v>6914</v>
      </c>
      <c r="O1153" t="s">
        <v>6915</v>
      </c>
      <c r="P1153" t="s">
        <v>6916</v>
      </c>
      <c r="Q1153" t="s">
        <v>6917</v>
      </c>
      <c r="R1153">
        <v>333612</v>
      </c>
      <c r="S1153">
        <v>258627</v>
      </c>
      <c r="T1153">
        <v>74985</v>
      </c>
      <c r="U1153" t="s">
        <v>35</v>
      </c>
      <c r="V1153" t="s">
        <v>6918</v>
      </c>
      <c r="W1153" t="s">
        <v>6919</v>
      </c>
      <c r="X1153" s="4">
        <v>1</v>
      </c>
      <c r="Y1153" s="4"/>
      <c r="Z1153">
        <f t="shared" si="68"/>
        <v>8</v>
      </c>
      <c r="AA1153">
        <f t="shared" si="69"/>
        <v>6</v>
      </c>
      <c r="AB1153" s="5">
        <f t="shared" si="70"/>
        <v>0.38406250000116415</v>
      </c>
      <c r="AC1153" s="3" t="str">
        <f t="shared" si="71"/>
        <v>Order rejected, no time available</v>
      </c>
      <c r="AD1153" t="str" cm="1">
        <f t="array" ref="AD1153">IFERROR(_xlfn.IFS(
    AC1153="", "",
    AC1153*86400 &lt; 30, "1. 0s - &lt;30s",
    AC1153*86400 &lt; 60, "2. 30s - &lt;1m",
    AC1153*86400 &lt; 300, "3. 1m - &lt;5m",
    AC1153*86400 &lt; 1800, "4. 5m - &lt;30m",
    TRUE, "5. &gt;= 30m"
),"6. Invalid (Order rejected)")</f>
        <v>6. Invalid (Order rejected)</v>
      </c>
    </row>
    <row r="1154" spans="1:30" hidden="1" x14ac:dyDescent="0.3">
      <c r="A1154" t="s">
        <v>6920</v>
      </c>
      <c r="B1154" t="s">
        <v>25</v>
      </c>
      <c r="C1154">
        <v>43376946</v>
      </c>
      <c r="D1154">
        <v>2073712</v>
      </c>
      <c r="E1154" t="s">
        <v>25</v>
      </c>
      <c r="F1154" t="s">
        <v>75</v>
      </c>
      <c r="G1154" t="s">
        <v>76</v>
      </c>
      <c r="H1154" t="s">
        <v>6921</v>
      </c>
      <c r="I1154" t="s">
        <v>6922</v>
      </c>
      <c r="J1154" t="s">
        <v>6923</v>
      </c>
      <c r="K1154" t="s">
        <v>26</v>
      </c>
      <c r="L1154" t="s">
        <v>6924</v>
      </c>
      <c r="M1154" t="s">
        <v>25</v>
      </c>
      <c r="N1154" t="s">
        <v>6925</v>
      </c>
      <c r="O1154" t="s">
        <v>6926</v>
      </c>
      <c r="P1154" t="s">
        <v>6927</v>
      </c>
      <c r="Q1154" t="s">
        <v>6928</v>
      </c>
      <c r="R1154">
        <v>149148</v>
      </c>
      <c r="S1154">
        <v>115624</v>
      </c>
      <c r="T1154">
        <v>33524</v>
      </c>
      <c r="U1154" t="s">
        <v>35</v>
      </c>
      <c r="V1154" t="s">
        <v>2189</v>
      </c>
      <c r="W1154" t="s">
        <v>6929</v>
      </c>
      <c r="X1154" s="4">
        <v>1</v>
      </c>
      <c r="Y1154" s="4"/>
      <c r="Z1154">
        <f t="shared" si="68"/>
        <v>8</v>
      </c>
      <c r="AA1154">
        <f t="shared" si="69"/>
        <v>6</v>
      </c>
      <c r="AB1154" s="5">
        <f t="shared" si="70"/>
        <v>0.38569444444146939</v>
      </c>
      <c r="AC1154" s="3">
        <f t="shared" si="71"/>
        <v>9.304398148378823E-2</v>
      </c>
      <c r="AD1154" t="str" cm="1">
        <f t="array" ref="AD1154">IFERROR(_xlfn.IFS(
    AC1154="", "",
    AC1154*86400 &lt; 30, "1. 0s - &lt;30s",
    AC1154*86400 &lt; 60, "2. 30s - &lt;1m",
    AC1154*86400 &lt; 300, "3. 1m - &lt;5m",
    AC1154*86400 &lt; 1800, "4. 5m - &lt;30m",
    TRUE, "5. &gt;= 30m"
),"6. Invalid (Order rejected)")</f>
        <v>5. &gt;= 30m</v>
      </c>
    </row>
    <row r="1155" spans="1:30" x14ac:dyDescent="0.3">
      <c r="A1155" t="s">
        <v>6930</v>
      </c>
      <c r="B1155" t="s">
        <v>25</v>
      </c>
      <c r="C1155">
        <v>43376946</v>
      </c>
      <c r="D1155">
        <v>2738333</v>
      </c>
      <c r="E1155" t="s">
        <v>25</v>
      </c>
      <c r="F1155" t="s">
        <v>75</v>
      </c>
      <c r="G1155" t="s">
        <v>360</v>
      </c>
      <c r="H1155" t="s">
        <v>6931</v>
      </c>
      <c r="I1155" t="s">
        <v>2193</v>
      </c>
      <c r="J1155" t="s">
        <v>6932</v>
      </c>
      <c r="K1155" t="s">
        <v>26</v>
      </c>
      <c r="L1155" t="s">
        <v>25</v>
      </c>
      <c r="M1155" t="s">
        <v>25</v>
      </c>
      <c r="N1155" t="s">
        <v>6925</v>
      </c>
      <c r="O1155" t="s">
        <v>6926</v>
      </c>
      <c r="P1155" t="s">
        <v>6933</v>
      </c>
      <c r="Q1155" t="s">
        <v>6934</v>
      </c>
      <c r="R1155">
        <v>550260</v>
      </c>
      <c r="S1155">
        <v>426579</v>
      </c>
      <c r="T1155">
        <v>123681</v>
      </c>
      <c r="U1155" t="s">
        <v>35</v>
      </c>
      <c r="V1155" t="s">
        <v>2189</v>
      </c>
      <c r="W1155" t="s">
        <v>6935</v>
      </c>
      <c r="X1155" s="4">
        <v>1</v>
      </c>
      <c r="Y1155" s="4"/>
      <c r="Z1155">
        <f t="shared" ref="Z1155:Z1218" si="72">MONTH(H1155)</f>
        <v>8</v>
      </c>
      <c r="AA1155">
        <f t="shared" ref="AA1155:AA1218" si="73">DAY(H1155)</f>
        <v>6</v>
      </c>
      <c r="AB1155" s="5">
        <f t="shared" ref="AB1155:AB1218" si="74">MOD(H1155, 1)</f>
        <v>0.38618055555707542</v>
      </c>
      <c r="AC1155" s="3" t="str">
        <f t="shared" ref="AC1155:AC1218" si="75">IFERROR(IF(M1155="",L1155-H1155,M1155-H1155),"Order rejected, no time available")</f>
        <v>Order rejected, no time available</v>
      </c>
      <c r="AD1155" t="str" cm="1">
        <f t="array" ref="AD1155">IFERROR(_xlfn.IFS(
    AC1155="", "",
    AC1155*86400 &lt; 30, "1. 0s - &lt;30s",
    AC1155*86400 &lt; 60, "2. 30s - &lt;1m",
    AC1155*86400 &lt; 300, "3. 1m - &lt;5m",
    AC1155*86400 &lt; 1800, "4. 5m - &lt;30m",
    TRUE, "5. &gt;= 30m"
),"6. Invalid (Order rejected)")</f>
        <v>6. Invalid (Order rejected)</v>
      </c>
    </row>
    <row r="1156" spans="1:30" x14ac:dyDescent="0.3">
      <c r="A1156" t="s">
        <v>6936</v>
      </c>
      <c r="B1156" t="s">
        <v>25</v>
      </c>
      <c r="C1156">
        <v>43376946</v>
      </c>
      <c r="D1156">
        <v>3235334</v>
      </c>
      <c r="E1156" t="s">
        <v>25</v>
      </c>
      <c r="F1156" t="s">
        <v>75</v>
      </c>
      <c r="G1156" t="s">
        <v>360</v>
      </c>
      <c r="H1156" t="s">
        <v>2193</v>
      </c>
      <c r="I1156" t="s">
        <v>6937</v>
      </c>
      <c r="J1156" t="s">
        <v>6938</v>
      </c>
      <c r="K1156" t="s">
        <v>26</v>
      </c>
      <c r="L1156" t="s">
        <v>25</v>
      </c>
      <c r="M1156" t="s">
        <v>25</v>
      </c>
      <c r="N1156" t="s">
        <v>6939</v>
      </c>
      <c r="O1156" t="s">
        <v>6940</v>
      </c>
      <c r="P1156" t="s">
        <v>6941</v>
      </c>
      <c r="Q1156" t="s">
        <v>6942</v>
      </c>
      <c r="R1156">
        <v>391932</v>
      </c>
      <c r="S1156">
        <v>303838</v>
      </c>
      <c r="T1156">
        <v>88094</v>
      </c>
      <c r="U1156" t="s">
        <v>35</v>
      </c>
      <c r="V1156" t="s">
        <v>4626</v>
      </c>
      <c r="W1156" t="s">
        <v>6943</v>
      </c>
      <c r="X1156" s="4">
        <v>1</v>
      </c>
      <c r="Y1156" s="4"/>
      <c r="Z1156">
        <f t="shared" si="72"/>
        <v>8</v>
      </c>
      <c r="AA1156">
        <f t="shared" si="73"/>
        <v>6</v>
      </c>
      <c r="AB1156" s="5">
        <f t="shared" si="74"/>
        <v>0.39305555555620231</v>
      </c>
      <c r="AC1156" s="3" t="str">
        <f t="shared" si="75"/>
        <v>Order rejected, no time available</v>
      </c>
      <c r="AD1156" t="str" cm="1">
        <f t="array" ref="AD1156">IFERROR(_xlfn.IFS(
    AC1156="", "",
    AC1156*86400 &lt; 30, "1. 0s - &lt;30s",
    AC1156*86400 &lt; 60, "2. 30s - &lt;1m",
    AC1156*86400 &lt; 300, "3. 1m - &lt;5m",
    AC1156*86400 &lt; 1800, "4. 5m - &lt;30m",
    TRUE, "5. &gt;= 30m"
),"6. Invalid (Order rejected)")</f>
        <v>6. Invalid (Order rejected)</v>
      </c>
    </row>
    <row r="1157" spans="1:30" hidden="1" x14ac:dyDescent="0.3">
      <c r="A1157" t="s">
        <v>6944</v>
      </c>
      <c r="B1157" t="s">
        <v>25</v>
      </c>
      <c r="C1157">
        <v>43376946</v>
      </c>
      <c r="D1157">
        <v>0</v>
      </c>
      <c r="E1157" t="s">
        <v>25</v>
      </c>
      <c r="F1157" t="s">
        <v>26</v>
      </c>
      <c r="G1157" t="s">
        <v>76</v>
      </c>
      <c r="H1157" t="s">
        <v>6945</v>
      </c>
      <c r="I1157" t="s">
        <v>6946</v>
      </c>
      <c r="J1157" t="s">
        <v>26</v>
      </c>
      <c r="K1157" t="s">
        <v>26</v>
      </c>
      <c r="L1157" t="s">
        <v>6947</v>
      </c>
      <c r="M1157" t="s">
        <v>25</v>
      </c>
      <c r="N1157" t="s">
        <v>6939</v>
      </c>
      <c r="O1157" t="s">
        <v>6940</v>
      </c>
      <c r="P1157" t="s">
        <v>2771</v>
      </c>
      <c r="Q1157" t="s">
        <v>2772</v>
      </c>
      <c r="R1157">
        <v>327996</v>
      </c>
      <c r="S1157">
        <v>0</v>
      </c>
      <c r="T1157">
        <v>327996</v>
      </c>
      <c r="U1157" t="s">
        <v>35</v>
      </c>
      <c r="V1157" t="s">
        <v>4626</v>
      </c>
      <c r="W1157" t="s">
        <v>2774</v>
      </c>
      <c r="X1157" s="4">
        <v>1</v>
      </c>
      <c r="Y1157" s="4"/>
      <c r="Z1157">
        <f t="shared" si="72"/>
        <v>8</v>
      </c>
      <c r="AA1157">
        <f t="shared" si="73"/>
        <v>6</v>
      </c>
      <c r="AB1157" s="5">
        <f t="shared" si="74"/>
        <v>0.82885416666977108</v>
      </c>
      <c r="AC1157" s="3">
        <f t="shared" si="75"/>
        <v>3.4143518496421166E-3</v>
      </c>
      <c r="AD1157" t="str" cm="1">
        <f t="array" ref="AD1157">IFERROR(_xlfn.IFS(
    AC1157="", "",
    AC1157*86400 &lt; 30, "1. 0s - &lt;30s",
    AC1157*86400 &lt; 60, "2. 30s - &lt;1m",
    AC1157*86400 &lt; 300, "3. 1m - &lt;5m",
    AC1157*86400 &lt; 1800, "4. 5m - &lt;30m",
    TRUE, "5. &gt;= 30m"
),"6. Invalid (Order rejected)")</f>
        <v>3. 1m - &lt;5m</v>
      </c>
    </row>
    <row r="1158" spans="1:30" hidden="1" x14ac:dyDescent="0.3">
      <c r="A1158" t="s">
        <v>6948</v>
      </c>
      <c r="B1158" t="s">
        <v>25</v>
      </c>
      <c r="C1158">
        <v>43376946</v>
      </c>
      <c r="D1158">
        <v>0</v>
      </c>
      <c r="E1158" t="s">
        <v>25</v>
      </c>
      <c r="F1158" t="s">
        <v>26</v>
      </c>
      <c r="G1158" t="s">
        <v>27</v>
      </c>
      <c r="H1158" t="s">
        <v>6949</v>
      </c>
      <c r="I1158" t="s">
        <v>6950</v>
      </c>
      <c r="J1158" t="s">
        <v>26</v>
      </c>
      <c r="K1158" t="s">
        <v>26</v>
      </c>
      <c r="L1158" t="s">
        <v>6951</v>
      </c>
      <c r="M1158" t="s">
        <v>25</v>
      </c>
      <c r="N1158" t="s">
        <v>2266</v>
      </c>
      <c r="O1158" t="s">
        <v>2267</v>
      </c>
      <c r="P1158" t="s">
        <v>6952</v>
      </c>
      <c r="Q1158" t="s">
        <v>6953</v>
      </c>
      <c r="R1158">
        <v>275616</v>
      </c>
      <c r="S1158">
        <v>0</v>
      </c>
      <c r="T1158">
        <v>275616</v>
      </c>
      <c r="U1158" t="s">
        <v>35</v>
      </c>
      <c r="V1158" t="s">
        <v>2270</v>
      </c>
      <c r="W1158" t="s">
        <v>6954</v>
      </c>
      <c r="X1158" s="4">
        <v>1</v>
      </c>
      <c r="Y1158" s="4"/>
      <c r="Z1158">
        <f t="shared" si="72"/>
        <v>8</v>
      </c>
      <c r="AA1158">
        <f t="shared" si="73"/>
        <v>8</v>
      </c>
      <c r="AB1158" s="5">
        <f t="shared" si="74"/>
        <v>0.33479166666802485</v>
      </c>
      <c r="AC1158" s="3">
        <f t="shared" si="75"/>
        <v>1.0192361111112405</v>
      </c>
      <c r="AD1158" t="str" cm="1">
        <f t="array" ref="AD1158">IFERROR(_xlfn.IFS(
    AC1158="", "",
    AC1158*86400 &lt; 30, "1. 0s - &lt;30s",
    AC1158*86400 &lt; 60, "2. 30s - &lt;1m",
    AC1158*86400 &lt; 300, "3. 1m - &lt;5m",
    AC1158*86400 &lt; 1800, "4. 5m - &lt;30m",
    TRUE, "5. &gt;= 30m"
),"6. Invalid (Order rejected)")</f>
        <v>5. &gt;= 30m</v>
      </c>
    </row>
    <row r="1159" spans="1:30" x14ac:dyDescent="0.3">
      <c r="A1159" t="s">
        <v>6955</v>
      </c>
      <c r="B1159" t="s">
        <v>25</v>
      </c>
      <c r="C1159">
        <v>43376946</v>
      </c>
      <c r="D1159">
        <v>4764031</v>
      </c>
      <c r="E1159" t="s">
        <v>25</v>
      </c>
      <c r="F1159" t="s">
        <v>75</v>
      </c>
      <c r="G1159" t="s">
        <v>360</v>
      </c>
      <c r="H1159" t="s">
        <v>6956</v>
      </c>
      <c r="I1159" t="s">
        <v>6957</v>
      </c>
      <c r="J1159" t="s">
        <v>6958</v>
      </c>
      <c r="K1159" t="s">
        <v>26</v>
      </c>
      <c r="L1159" t="s">
        <v>25</v>
      </c>
      <c r="M1159" t="s">
        <v>25</v>
      </c>
      <c r="N1159" t="s">
        <v>6959</v>
      </c>
      <c r="O1159" t="s">
        <v>6960</v>
      </c>
      <c r="P1159" t="s">
        <v>6961</v>
      </c>
      <c r="Q1159" t="s">
        <v>6962</v>
      </c>
      <c r="R1159">
        <v>198504</v>
      </c>
      <c r="S1159">
        <v>153887</v>
      </c>
      <c r="T1159">
        <v>44617</v>
      </c>
      <c r="U1159" t="s">
        <v>35</v>
      </c>
      <c r="V1159" t="s">
        <v>2189</v>
      </c>
      <c r="W1159" t="s">
        <v>6963</v>
      </c>
      <c r="X1159" s="4">
        <v>1</v>
      </c>
      <c r="Y1159" s="4"/>
      <c r="Z1159">
        <f t="shared" si="72"/>
        <v>8</v>
      </c>
      <c r="AA1159">
        <f t="shared" si="73"/>
        <v>8</v>
      </c>
      <c r="AB1159" s="5">
        <f t="shared" si="74"/>
        <v>0.32053240740788169</v>
      </c>
      <c r="AC1159" s="3" t="str">
        <f t="shared" si="75"/>
        <v>Order rejected, no time available</v>
      </c>
      <c r="AD1159" t="str" cm="1">
        <f t="array" ref="AD1159">IFERROR(_xlfn.IFS(
    AC1159="", "",
    AC1159*86400 &lt; 30, "1. 0s - &lt;30s",
    AC1159*86400 &lt; 60, "2. 30s - &lt;1m",
    AC1159*86400 &lt; 300, "3. 1m - &lt;5m",
    AC1159*86400 &lt; 1800, "4. 5m - &lt;30m",
    TRUE, "5. &gt;= 30m"
),"6. Invalid (Order rejected)")</f>
        <v>6. Invalid (Order rejected)</v>
      </c>
    </row>
    <row r="1160" spans="1:30" x14ac:dyDescent="0.3">
      <c r="A1160" t="s">
        <v>6964</v>
      </c>
      <c r="B1160" t="s">
        <v>25</v>
      </c>
      <c r="C1160">
        <v>43376946</v>
      </c>
      <c r="D1160">
        <v>2628447</v>
      </c>
      <c r="E1160" t="s">
        <v>25</v>
      </c>
      <c r="F1160" t="s">
        <v>75</v>
      </c>
      <c r="G1160" t="s">
        <v>360</v>
      </c>
      <c r="H1160" t="s">
        <v>6965</v>
      </c>
      <c r="I1160" t="s">
        <v>6966</v>
      </c>
      <c r="J1160" t="s">
        <v>6967</v>
      </c>
      <c r="K1160" t="s">
        <v>26</v>
      </c>
      <c r="L1160" t="s">
        <v>25</v>
      </c>
      <c r="M1160" t="s">
        <v>25</v>
      </c>
      <c r="N1160" t="s">
        <v>2205</v>
      </c>
      <c r="O1160" t="s">
        <v>2206</v>
      </c>
      <c r="P1160" t="s">
        <v>2158</v>
      </c>
      <c r="Q1160" t="s">
        <v>2159</v>
      </c>
      <c r="R1160">
        <v>267840</v>
      </c>
      <c r="S1160">
        <v>207638</v>
      </c>
      <c r="T1160">
        <v>60202</v>
      </c>
      <c r="U1160" t="s">
        <v>35</v>
      </c>
      <c r="V1160" t="s">
        <v>2209</v>
      </c>
      <c r="W1160" t="s">
        <v>2161</v>
      </c>
      <c r="X1160" s="4">
        <v>1</v>
      </c>
      <c r="Y1160" s="4"/>
      <c r="Z1160">
        <f t="shared" si="72"/>
        <v>8</v>
      </c>
      <c r="AA1160">
        <f t="shared" si="73"/>
        <v>8</v>
      </c>
      <c r="AB1160" s="5">
        <f t="shared" si="74"/>
        <v>0.32097222222364508</v>
      </c>
      <c r="AC1160" s="3" t="str">
        <f t="shared" si="75"/>
        <v>Order rejected, no time available</v>
      </c>
      <c r="AD1160" t="str" cm="1">
        <f t="array" ref="AD1160">IFERROR(_xlfn.IFS(
    AC1160="", "",
    AC1160*86400 &lt; 30, "1. 0s - &lt;30s",
    AC1160*86400 &lt; 60, "2. 30s - &lt;1m",
    AC1160*86400 &lt; 300, "3. 1m - &lt;5m",
    AC1160*86400 &lt; 1800, "4. 5m - &lt;30m",
    TRUE, "5. &gt;= 30m"
),"6. Invalid (Order rejected)")</f>
        <v>6. Invalid (Order rejected)</v>
      </c>
    </row>
    <row r="1161" spans="1:30" hidden="1" x14ac:dyDescent="0.3">
      <c r="A1161" t="s">
        <v>6968</v>
      </c>
      <c r="B1161" t="s">
        <v>25</v>
      </c>
      <c r="C1161">
        <v>43376946</v>
      </c>
      <c r="D1161">
        <v>0</v>
      </c>
      <c r="E1161" t="s">
        <v>25</v>
      </c>
      <c r="F1161" t="s">
        <v>26</v>
      </c>
      <c r="G1161" t="s">
        <v>27</v>
      </c>
      <c r="H1161" t="s">
        <v>6969</v>
      </c>
      <c r="I1161" t="s">
        <v>6970</v>
      </c>
      <c r="J1161" t="s">
        <v>26</v>
      </c>
      <c r="K1161" t="s">
        <v>26</v>
      </c>
      <c r="L1161" t="s">
        <v>6971</v>
      </c>
      <c r="M1161" t="s">
        <v>25</v>
      </c>
      <c r="N1161" t="s">
        <v>6939</v>
      </c>
      <c r="O1161" t="s">
        <v>6940</v>
      </c>
      <c r="P1161" t="s">
        <v>6880</v>
      </c>
      <c r="Q1161" t="s">
        <v>6881</v>
      </c>
      <c r="R1161">
        <v>374112</v>
      </c>
      <c r="S1161">
        <v>0</v>
      </c>
      <c r="T1161">
        <v>374112</v>
      </c>
      <c r="U1161" t="s">
        <v>35</v>
      </c>
      <c r="V1161" t="s">
        <v>4626</v>
      </c>
      <c r="W1161" t="s">
        <v>6883</v>
      </c>
      <c r="X1161" s="4">
        <v>1</v>
      </c>
      <c r="Y1161" s="4"/>
      <c r="Z1161">
        <f t="shared" si="72"/>
        <v>8</v>
      </c>
      <c r="AA1161">
        <f t="shared" si="73"/>
        <v>8</v>
      </c>
      <c r="AB1161" s="5">
        <f t="shared" si="74"/>
        <v>0.31855324074422242</v>
      </c>
      <c r="AC1161" s="3">
        <f t="shared" si="75"/>
        <v>0.15662037036963739</v>
      </c>
      <c r="AD1161" t="str" cm="1">
        <f t="array" ref="AD1161">IFERROR(_xlfn.IFS(
    AC1161="", "",
    AC1161*86400 &lt; 30, "1. 0s - &lt;30s",
    AC1161*86400 &lt; 60, "2. 30s - &lt;1m",
    AC1161*86400 &lt; 300, "3. 1m - &lt;5m",
    AC1161*86400 &lt; 1800, "4. 5m - &lt;30m",
    TRUE, "5. &gt;= 30m"
),"6. Invalid (Order rejected)")</f>
        <v>5. &gt;= 30m</v>
      </c>
    </row>
    <row r="1162" spans="1:30" hidden="1" x14ac:dyDescent="0.3">
      <c r="A1162" t="s">
        <v>6972</v>
      </c>
      <c r="B1162" t="s">
        <v>25</v>
      </c>
      <c r="C1162">
        <v>43376946</v>
      </c>
      <c r="D1162">
        <v>0</v>
      </c>
      <c r="E1162" t="s">
        <v>25</v>
      </c>
      <c r="F1162" t="s">
        <v>26</v>
      </c>
      <c r="G1162" t="s">
        <v>27</v>
      </c>
      <c r="H1162" t="s">
        <v>6973</v>
      </c>
      <c r="I1162" t="s">
        <v>6974</v>
      </c>
      <c r="J1162" t="s">
        <v>26</v>
      </c>
      <c r="K1162" t="s">
        <v>26</v>
      </c>
      <c r="L1162" t="s">
        <v>6975</v>
      </c>
      <c r="M1162" t="s">
        <v>25</v>
      </c>
      <c r="N1162" t="s">
        <v>6976</v>
      </c>
      <c r="O1162" t="s">
        <v>6977</v>
      </c>
      <c r="P1162" t="s">
        <v>2771</v>
      </c>
      <c r="Q1162" t="s">
        <v>2772</v>
      </c>
      <c r="R1162">
        <v>400032</v>
      </c>
      <c r="S1162">
        <v>0</v>
      </c>
      <c r="T1162">
        <v>400032</v>
      </c>
      <c r="U1162" t="s">
        <v>35</v>
      </c>
      <c r="V1162" t="s">
        <v>6978</v>
      </c>
      <c r="W1162" t="s">
        <v>2774</v>
      </c>
      <c r="X1162" s="4">
        <v>1</v>
      </c>
      <c r="Y1162" s="4"/>
      <c r="Z1162">
        <f t="shared" si="72"/>
        <v>8</v>
      </c>
      <c r="AA1162">
        <f t="shared" si="73"/>
        <v>8</v>
      </c>
      <c r="AB1162" s="5">
        <f t="shared" si="74"/>
        <v>0.32239583333284827</v>
      </c>
      <c r="AC1162" s="3">
        <f t="shared" si="75"/>
        <v>9.0104166665696539E-2</v>
      </c>
      <c r="AD1162" t="str" cm="1">
        <f t="array" ref="AD1162">IFERROR(_xlfn.IFS(
    AC1162="", "",
    AC1162*86400 &lt; 30, "1. 0s - &lt;30s",
    AC1162*86400 &lt; 60, "2. 30s - &lt;1m",
    AC1162*86400 &lt; 300, "3. 1m - &lt;5m",
    AC1162*86400 &lt; 1800, "4. 5m - &lt;30m",
    TRUE, "5. &gt;= 30m"
),"6. Invalid (Order rejected)")</f>
        <v>5. &gt;= 30m</v>
      </c>
    </row>
    <row r="1163" spans="1:30" hidden="1" x14ac:dyDescent="0.3">
      <c r="A1163" t="s">
        <v>6979</v>
      </c>
      <c r="B1163" t="s">
        <v>25</v>
      </c>
      <c r="C1163">
        <v>43376946</v>
      </c>
      <c r="D1163">
        <v>0</v>
      </c>
      <c r="E1163" t="s">
        <v>2474</v>
      </c>
      <c r="F1163" t="s">
        <v>26</v>
      </c>
      <c r="G1163" t="s">
        <v>27</v>
      </c>
      <c r="H1163" t="s">
        <v>6980</v>
      </c>
      <c r="I1163" t="s">
        <v>6981</v>
      </c>
      <c r="J1163" t="s">
        <v>26</v>
      </c>
      <c r="K1163" t="s">
        <v>26</v>
      </c>
      <c r="L1163" t="s">
        <v>6982</v>
      </c>
      <c r="M1163" t="s">
        <v>25</v>
      </c>
      <c r="N1163" t="s">
        <v>6983</v>
      </c>
      <c r="O1163" t="s">
        <v>6984</v>
      </c>
      <c r="P1163" t="s">
        <v>2258</v>
      </c>
      <c r="Q1163" t="s">
        <v>2259</v>
      </c>
      <c r="R1163">
        <v>179172</v>
      </c>
      <c r="S1163">
        <v>0</v>
      </c>
      <c r="T1163">
        <v>179172</v>
      </c>
      <c r="U1163" t="s">
        <v>35</v>
      </c>
      <c r="V1163" t="s">
        <v>2189</v>
      </c>
      <c r="W1163" t="s">
        <v>2261</v>
      </c>
      <c r="X1163" s="4">
        <v>1</v>
      </c>
      <c r="Y1163" s="4"/>
      <c r="Z1163">
        <f t="shared" si="72"/>
        <v>8</v>
      </c>
      <c r="AA1163">
        <f t="shared" si="73"/>
        <v>8</v>
      </c>
      <c r="AB1163" s="5">
        <f t="shared" si="74"/>
        <v>0.32612268518278142</v>
      </c>
      <c r="AC1163" s="3">
        <f t="shared" si="75"/>
        <v>0.11278935185691807</v>
      </c>
      <c r="AD1163" t="str" cm="1">
        <f t="array" ref="AD1163">IFERROR(_xlfn.IFS(
    AC1163="", "",
    AC1163*86400 &lt; 30, "1. 0s - &lt;30s",
    AC1163*86400 &lt; 60, "2. 30s - &lt;1m",
    AC1163*86400 &lt; 300, "3. 1m - &lt;5m",
    AC1163*86400 &lt; 1800, "4. 5m - &lt;30m",
    TRUE, "5. &gt;= 30m"
),"6. Invalid (Order rejected)")</f>
        <v>5. &gt;= 30m</v>
      </c>
    </row>
    <row r="1164" spans="1:30" x14ac:dyDescent="0.3">
      <c r="A1164" t="s">
        <v>6985</v>
      </c>
      <c r="B1164" t="s">
        <v>25</v>
      </c>
      <c r="C1164">
        <v>43376946</v>
      </c>
      <c r="D1164">
        <v>4046287</v>
      </c>
      <c r="E1164" t="s">
        <v>25</v>
      </c>
      <c r="F1164" t="s">
        <v>75</v>
      </c>
      <c r="G1164" t="s">
        <v>360</v>
      </c>
      <c r="H1164" t="s">
        <v>6986</v>
      </c>
      <c r="I1164" t="s">
        <v>6987</v>
      </c>
      <c r="J1164" t="s">
        <v>6988</v>
      </c>
      <c r="K1164" t="s">
        <v>26</v>
      </c>
      <c r="L1164" t="s">
        <v>25</v>
      </c>
      <c r="M1164" t="s">
        <v>25</v>
      </c>
      <c r="N1164" t="s">
        <v>6989</v>
      </c>
      <c r="O1164" t="s">
        <v>6990</v>
      </c>
      <c r="P1164" t="s">
        <v>6991</v>
      </c>
      <c r="Q1164" t="s">
        <v>6992</v>
      </c>
      <c r="R1164">
        <v>315252</v>
      </c>
      <c r="S1164">
        <v>244393</v>
      </c>
      <c r="T1164">
        <v>70859</v>
      </c>
      <c r="U1164" t="s">
        <v>35</v>
      </c>
      <c r="V1164" t="s">
        <v>6993</v>
      </c>
      <c r="W1164" t="s">
        <v>6994</v>
      </c>
      <c r="X1164" s="4">
        <v>1</v>
      </c>
      <c r="Y1164" s="4"/>
      <c r="Z1164">
        <f t="shared" si="72"/>
        <v>8</v>
      </c>
      <c r="AA1164">
        <f t="shared" si="73"/>
        <v>8</v>
      </c>
      <c r="AB1164" s="5">
        <f t="shared" si="74"/>
        <v>0.32869212963123573</v>
      </c>
      <c r="AC1164" s="3" t="str">
        <f t="shared" si="75"/>
        <v>Order rejected, no time available</v>
      </c>
      <c r="AD1164" t="str" cm="1">
        <f t="array" ref="AD1164">IFERROR(_xlfn.IFS(
    AC1164="", "",
    AC1164*86400 &lt; 30, "1. 0s - &lt;30s",
    AC1164*86400 &lt; 60, "2. 30s - &lt;1m",
    AC1164*86400 &lt; 300, "3. 1m - &lt;5m",
    AC1164*86400 &lt; 1800, "4. 5m - &lt;30m",
    TRUE, "5. &gt;= 30m"
),"6. Invalid (Order rejected)")</f>
        <v>6. Invalid (Order rejected)</v>
      </c>
    </row>
    <row r="1165" spans="1:30" x14ac:dyDescent="0.3">
      <c r="A1165" t="s">
        <v>6995</v>
      </c>
      <c r="B1165" t="s">
        <v>25</v>
      </c>
      <c r="C1165">
        <v>43376946</v>
      </c>
      <c r="D1165">
        <v>4442770</v>
      </c>
      <c r="E1165" t="s">
        <v>25</v>
      </c>
      <c r="F1165" t="s">
        <v>75</v>
      </c>
      <c r="G1165" t="s">
        <v>360</v>
      </c>
      <c r="H1165" t="s">
        <v>6996</v>
      </c>
      <c r="I1165" t="s">
        <v>6997</v>
      </c>
      <c r="J1165" t="s">
        <v>6998</v>
      </c>
      <c r="K1165" t="s">
        <v>26</v>
      </c>
      <c r="L1165" t="s">
        <v>25</v>
      </c>
      <c r="M1165" t="s">
        <v>25</v>
      </c>
      <c r="N1165" t="s">
        <v>6999</v>
      </c>
      <c r="O1165" t="s">
        <v>7000</v>
      </c>
      <c r="P1165" t="s">
        <v>7001</v>
      </c>
      <c r="Q1165" t="s">
        <v>7002</v>
      </c>
      <c r="R1165">
        <v>282960</v>
      </c>
      <c r="S1165">
        <v>219359</v>
      </c>
      <c r="T1165">
        <v>63601</v>
      </c>
      <c r="U1165" t="s">
        <v>35</v>
      </c>
      <c r="V1165" t="s">
        <v>7003</v>
      </c>
      <c r="W1165" t="s">
        <v>7004</v>
      </c>
      <c r="X1165" s="4">
        <v>1</v>
      </c>
      <c r="Y1165" s="4"/>
      <c r="Z1165">
        <f t="shared" si="72"/>
        <v>8</v>
      </c>
      <c r="AA1165">
        <f t="shared" si="73"/>
        <v>8</v>
      </c>
      <c r="AB1165" s="5">
        <f t="shared" si="74"/>
        <v>0.3294675925935735</v>
      </c>
      <c r="AC1165" s="3" t="str">
        <f t="shared" si="75"/>
        <v>Order rejected, no time available</v>
      </c>
      <c r="AD1165" t="str" cm="1">
        <f t="array" ref="AD1165">IFERROR(_xlfn.IFS(
    AC1165="", "",
    AC1165*86400 &lt; 30, "1. 0s - &lt;30s",
    AC1165*86400 &lt; 60, "2. 30s - &lt;1m",
    AC1165*86400 &lt; 300, "3. 1m - &lt;5m",
    AC1165*86400 &lt; 1800, "4. 5m - &lt;30m",
    TRUE, "5. &gt;= 30m"
),"6. Invalid (Order rejected)")</f>
        <v>6. Invalid (Order rejected)</v>
      </c>
    </row>
    <row r="1166" spans="1:30" x14ac:dyDescent="0.3">
      <c r="A1166" t="s">
        <v>7005</v>
      </c>
      <c r="B1166" t="s">
        <v>25</v>
      </c>
      <c r="C1166">
        <v>43376946</v>
      </c>
      <c r="D1166">
        <v>4380493</v>
      </c>
      <c r="E1166" t="s">
        <v>25</v>
      </c>
      <c r="F1166" t="s">
        <v>75</v>
      </c>
      <c r="G1166" t="s">
        <v>360</v>
      </c>
      <c r="H1166" t="s">
        <v>7006</v>
      </c>
      <c r="I1166" t="s">
        <v>7007</v>
      </c>
      <c r="J1166" t="s">
        <v>7008</v>
      </c>
      <c r="K1166" t="s">
        <v>26</v>
      </c>
      <c r="L1166" t="s">
        <v>25</v>
      </c>
      <c r="M1166" t="s">
        <v>25</v>
      </c>
      <c r="N1166" t="s">
        <v>7009</v>
      </c>
      <c r="O1166" t="s">
        <v>7010</v>
      </c>
      <c r="P1166" t="s">
        <v>7011</v>
      </c>
      <c r="Q1166" t="s">
        <v>7012</v>
      </c>
      <c r="R1166">
        <v>377244</v>
      </c>
      <c r="S1166">
        <v>292451</v>
      </c>
      <c r="T1166">
        <v>84793</v>
      </c>
      <c r="U1166" t="s">
        <v>35</v>
      </c>
      <c r="V1166" t="s">
        <v>7013</v>
      </c>
      <c r="W1166" t="s">
        <v>7014</v>
      </c>
      <c r="X1166" s="4">
        <v>1</v>
      </c>
      <c r="Y1166" s="4"/>
      <c r="Z1166">
        <f t="shared" si="72"/>
        <v>8</v>
      </c>
      <c r="AA1166">
        <f t="shared" si="73"/>
        <v>8</v>
      </c>
      <c r="AB1166" s="5">
        <f t="shared" si="74"/>
        <v>0.33072916666424135</v>
      </c>
      <c r="AC1166" s="3" t="str">
        <f t="shared" si="75"/>
        <v>Order rejected, no time available</v>
      </c>
      <c r="AD1166" t="str" cm="1">
        <f t="array" ref="AD1166">IFERROR(_xlfn.IFS(
    AC1166="", "",
    AC1166*86400 &lt; 30, "1. 0s - &lt;30s",
    AC1166*86400 &lt; 60, "2. 30s - &lt;1m",
    AC1166*86400 &lt; 300, "3. 1m - &lt;5m",
    AC1166*86400 &lt; 1800, "4. 5m - &lt;30m",
    TRUE, "5. &gt;= 30m"
),"6. Invalid (Order rejected)")</f>
        <v>6. Invalid (Order rejected)</v>
      </c>
    </row>
    <row r="1167" spans="1:30" hidden="1" x14ac:dyDescent="0.3">
      <c r="A1167" t="s">
        <v>7015</v>
      </c>
      <c r="B1167" t="s">
        <v>25</v>
      </c>
      <c r="C1167">
        <v>43485077</v>
      </c>
      <c r="D1167">
        <v>0</v>
      </c>
      <c r="E1167" t="s">
        <v>25</v>
      </c>
      <c r="F1167" t="s">
        <v>26</v>
      </c>
      <c r="G1167" t="s">
        <v>27</v>
      </c>
      <c r="H1167" t="s">
        <v>7016</v>
      </c>
      <c r="I1167" t="s">
        <v>7017</v>
      </c>
      <c r="J1167" t="s">
        <v>26</v>
      </c>
      <c r="K1167" t="s">
        <v>26</v>
      </c>
      <c r="L1167" t="s">
        <v>7018</v>
      </c>
      <c r="M1167" t="s">
        <v>25</v>
      </c>
      <c r="N1167" t="s">
        <v>2311</v>
      </c>
      <c r="O1167" t="s">
        <v>2312</v>
      </c>
      <c r="P1167" t="s">
        <v>2409</v>
      </c>
      <c r="Q1167" t="s">
        <v>2410</v>
      </c>
      <c r="R1167">
        <v>216972</v>
      </c>
      <c r="S1167">
        <v>0</v>
      </c>
      <c r="T1167">
        <v>216972</v>
      </c>
      <c r="U1167" t="s">
        <v>35</v>
      </c>
      <c r="V1167" t="s">
        <v>2315</v>
      </c>
      <c r="W1167" t="s">
        <v>2411</v>
      </c>
      <c r="X1167" s="4">
        <v>1</v>
      </c>
      <c r="Y1167" s="4"/>
      <c r="Z1167">
        <f t="shared" si="72"/>
        <v>8</v>
      </c>
      <c r="AA1167">
        <f t="shared" si="73"/>
        <v>10</v>
      </c>
      <c r="AB1167" s="5">
        <f t="shared" si="74"/>
        <v>0.30731481481780065</v>
      </c>
      <c r="AC1167" s="3">
        <f t="shared" si="75"/>
        <v>9.0266203704231884E-2</v>
      </c>
      <c r="AD1167" t="str" cm="1">
        <f t="array" ref="AD1167">IFERROR(_xlfn.IFS(
    AC1167="", "",
    AC1167*86400 &lt; 30, "1. 0s - &lt;30s",
    AC1167*86400 &lt; 60, "2. 30s - &lt;1m",
    AC1167*86400 &lt; 300, "3. 1m - &lt;5m",
    AC1167*86400 &lt; 1800, "4. 5m - &lt;30m",
    TRUE, "5. &gt;= 30m"
),"6. Invalid (Order rejected)")</f>
        <v>5. &gt;= 30m</v>
      </c>
    </row>
    <row r="1168" spans="1:30" hidden="1" x14ac:dyDescent="0.3">
      <c r="A1168" t="s">
        <v>7019</v>
      </c>
      <c r="B1168" t="s">
        <v>25</v>
      </c>
      <c r="C1168">
        <v>43485077</v>
      </c>
      <c r="D1168">
        <v>0</v>
      </c>
      <c r="E1168" t="s">
        <v>25</v>
      </c>
      <c r="F1168" t="s">
        <v>26</v>
      </c>
      <c r="G1168" t="s">
        <v>27</v>
      </c>
      <c r="H1168" t="s">
        <v>7020</v>
      </c>
      <c r="I1168" t="s">
        <v>7021</v>
      </c>
      <c r="J1168" t="s">
        <v>26</v>
      </c>
      <c r="K1168" t="s">
        <v>26</v>
      </c>
      <c r="L1168" t="s">
        <v>7022</v>
      </c>
      <c r="M1168" t="s">
        <v>25</v>
      </c>
      <c r="N1168" t="s">
        <v>2368</v>
      </c>
      <c r="O1168" t="s">
        <v>2369</v>
      </c>
      <c r="P1168" t="s">
        <v>2346</v>
      </c>
      <c r="Q1168" t="s">
        <v>2347</v>
      </c>
      <c r="R1168">
        <v>216648</v>
      </c>
      <c r="S1168">
        <v>0</v>
      </c>
      <c r="T1168">
        <v>216648</v>
      </c>
      <c r="U1168" t="s">
        <v>35</v>
      </c>
      <c r="V1168" t="s">
        <v>2372</v>
      </c>
      <c r="W1168" t="s">
        <v>2348</v>
      </c>
      <c r="X1168" s="4">
        <v>1</v>
      </c>
      <c r="Y1168" s="4"/>
      <c r="Z1168">
        <f t="shared" si="72"/>
        <v>8</v>
      </c>
      <c r="AA1168">
        <f t="shared" si="73"/>
        <v>10</v>
      </c>
      <c r="AB1168" s="5">
        <f t="shared" si="74"/>
        <v>0.312361111107748</v>
      </c>
      <c r="AC1168" s="3">
        <f t="shared" si="75"/>
        <v>9.0266203704231884E-2</v>
      </c>
      <c r="AD1168" t="str" cm="1">
        <f t="array" ref="AD1168">IFERROR(_xlfn.IFS(
    AC1168="", "",
    AC1168*86400 &lt; 30, "1. 0s - &lt;30s",
    AC1168*86400 &lt; 60, "2. 30s - &lt;1m",
    AC1168*86400 &lt; 300, "3. 1m - &lt;5m",
    AC1168*86400 &lt; 1800, "4. 5m - &lt;30m",
    TRUE, "5. &gt;= 30m"
),"6. Invalid (Order rejected)")</f>
        <v>5. &gt;= 30m</v>
      </c>
    </row>
    <row r="1169" spans="1:30" hidden="1" x14ac:dyDescent="0.3">
      <c r="A1169" t="s">
        <v>7023</v>
      </c>
      <c r="B1169" t="s">
        <v>25</v>
      </c>
      <c r="C1169">
        <v>43485077</v>
      </c>
      <c r="D1169">
        <v>2852976</v>
      </c>
      <c r="E1169" t="s">
        <v>25</v>
      </c>
      <c r="F1169" t="s">
        <v>75</v>
      </c>
      <c r="G1169" t="s">
        <v>76</v>
      </c>
      <c r="H1169" t="s">
        <v>2319</v>
      </c>
      <c r="I1169" t="s">
        <v>7024</v>
      </c>
      <c r="J1169" t="s">
        <v>7025</v>
      </c>
      <c r="K1169" t="s">
        <v>26</v>
      </c>
      <c r="L1169" t="s">
        <v>7026</v>
      </c>
      <c r="M1169" t="s">
        <v>25</v>
      </c>
      <c r="N1169" t="s">
        <v>2385</v>
      </c>
      <c r="O1169" t="s">
        <v>2386</v>
      </c>
      <c r="P1169" t="s">
        <v>2297</v>
      </c>
      <c r="Q1169" t="s">
        <v>2298</v>
      </c>
      <c r="R1169">
        <v>204984</v>
      </c>
      <c r="S1169">
        <v>168258</v>
      </c>
      <c r="T1169">
        <v>36726</v>
      </c>
      <c r="U1169" t="s">
        <v>35</v>
      </c>
      <c r="V1169" t="s">
        <v>2387</v>
      </c>
      <c r="W1169" t="s">
        <v>2299</v>
      </c>
      <c r="X1169" s="4">
        <v>1</v>
      </c>
      <c r="Y1169" s="4"/>
      <c r="Z1169">
        <f t="shared" si="72"/>
        <v>8</v>
      </c>
      <c r="AA1169">
        <f t="shared" si="73"/>
        <v>10</v>
      </c>
      <c r="AB1169" s="5">
        <f t="shared" si="74"/>
        <v>0.31318287036992842</v>
      </c>
      <c r="AC1169" s="3">
        <f t="shared" si="75"/>
        <v>2.8680555558821652E-2</v>
      </c>
      <c r="AD1169" t="str" cm="1">
        <f t="array" ref="AD1169">IFERROR(_xlfn.IFS(
    AC1169="", "",
    AC1169*86400 &lt; 30, "1. 0s - &lt;30s",
    AC1169*86400 &lt; 60, "2. 30s - &lt;1m",
    AC1169*86400 &lt; 300, "3. 1m - &lt;5m",
    AC1169*86400 &lt; 1800, "4. 5m - &lt;30m",
    TRUE, "5. &gt;= 30m"
),"6. Invalid (Order rejected)")</f>
        <v>5. &gt;= 30m</v>
      </c>
    </row>
    <row r="1170" spans="1:30" hidden="1" x14ac:dyDescent="0.3">
      <c r="A1170" t="s">
        <v>7027</v>
      </c>
      <c r="B1170" t="s">
        <v>25</v>
      </c>
      <c r="C1170">
        <v>43485077</v>
      </c>
      <c r="D1170">
        <v>0</v>
      </c>
      <c r="E1170" t="s">
        <v>25</v>
      </c>
      <c r="F1170" t="s">
        <v>26</v>
      </c>
      <c r="G1170" t="s">
        <v>27</v>
      </c>
      <c r="H1170" t="s">
        <v>7028</v>
      </c>
      <c r="I1170" t="s">
        <v>7029</v>
      </c>
      <c r="J1170" t="s">
        <v>26</v>
      </c>
      <c r="K1170" t="s">
        <v>26</v>
      </c>
      <c r="L1170" t="s">
        <v>7030</v>
      </c>
      <c r="M1170" t="s">
        <v>25</v>
      </c>
      <c r="N1170" t="s">
        <v>2329</v>
      </c>
      <c r="O1170" t="s">
        <v>2330</v>
      </c>
      <c r="P1170" t="s">
        <v>2451</v>
      </c>
      <c r="Q1170" t="s">
        <v>2452</v>
      </c>
      <c r="R1170">
        <v>197208</v>
      </c>
      <c r="S1170">
        <v>0</v>
      </c>
      <c r="T1170">
        <v>197208</v>
      </c>
      <c r="U1170" t="s">
        <v>35</v>
      </c>
      <c r="V1170" t="s">
        <v>2333</v>
      </c>
      <c r="W1170" t="s">
        <v>2453</v>
      </c>
      <c r="X1170" s="4">
        <v>1</v>
      </c>
      <c r="Y1170" s="4"/>
      <c r="Z1170">
        <f t="shared" si="72"/>
        <v>8</v>
      </c>
      <c r="AA1170">
        <f t="shared" si="73"/>
        <v>10</v>
      </c>
      <c r="AB1170" s="5">
        <f t="shared" si="74"/>
        <v>0.31072916666744277</v>
      </c>
      <c r="AC1170" s="3">
        <f t="shared" si="75"/>
        <v>9.0277777773735579E-2</v>
      </c>
      <c r="AD1170" t="str" cm="1">
        <f t="array" ref="AD1170">IFERROR(_xlfn.IFS(
    AC1170="", "",
    AC1170*86400 &lt; 30, "1. 0s - &lt;30s",
    AC1170*86400 &lt; 60, "2. 30s - &lt;1m",
    AC1170*86400 &lt; 300, "3. 1m - &lt;5m",
    AC1170*86400 &lt; 1800, "4. 5m - &lt;30m",
    TRUE, "5. &gt;= 30m"
),"6. Invalid (Order rejected)")</f>
        <v>5. &gt;= 30m</v>
      </c>
    </row>
    <row r="1171" spans="1:30" hidden="1" x14ac:dyDescent="0.3">
      <c r="A1171" t="s">
        <v>7031</v>
      </c>
      <c r="B1171" t="s">
        <v>25</v>
      </c>
      <c r="C1171">
        <v>43485077</v>
      </c>
      <c r="D1171">
        <v>0</v>
      </c>
      <c r="E1171" t="s">
        <v>25</v>
      </c>
      <c r="F1171" t="s">
        <v>26</v>
      </c>
      <c r="G1171" t="s">
        <v>27</v>
      </c>
      <c r="H1171" t="s">
        <v>7032</v>
      </c>
      <c r="I1171" t="s">
        <v>7033</v>
      </c>
      <c r="J1171" t="s">
        <v>26</v>
      </c>
      <c r="K1171" t="s">
        <v>26</v>
      </c>
      <c r="L1171" t="s">
        <v>7034</v>
      </c>
      <c r="M1171" t="s">
        <v>25</v>
      </c>
      <c r="N1171" t="s">
        <v>2311</v>
      </c>
      <c r="O1171" t="s">
        <v>2312</v>
      </c>
      <c r="P1171" t="s">
        <v>2401</v>
      </c>
      <c r="Q1171" t="s">
        <v>2402</v>
      </c>
      <c r="R1171">
        <v>243756</v>
      </c>
      <c r="S1171">
        <v>0</v>
      </c>
      <c r="T1171">
        <v>243756</v>
      </c>
      <c r="U1171" t="s">
        <v>35</v>
      </c>
      <c r="V1171" t="s">
        <v>2315</v>
      </c>
      <c r="W1171" t="s">
        <v>2404</v>
      </c>
      <c r="X1171" s="4">
        <v>1</v>
      </c>
      <c r="Y1171" s="4"/>
      <c r="Z1171">
        <f t="shared" si="72"/>
        <v>8</v>
      </c>
      <c r="AA1171">
        <f t="shared" si="73"/>
        <v>10</v>
      </c>
      <c r="AB1171" s="5">
        <f t="shared" si="74"/>
        <v>0.30707175925635966</v>
      </c>
      <c r="AC1171" s="3">
        <f t="shared" si="75"/>
        <v>0.1055555555576575</v>
      </c>
      <c r="AD1171" t="str" cm="1">
        <f t="array" ref="AD1171">IFERROR(_xlfn.IFS(
    AC1171="", "",
    AC1171*86400 &lt; 30, "1. 0s - &lt;30s",
    AC1171*86400 &lt; 60, "2. 30s - &lt;1m",
    AC1171*86400 &lt; 300, "3. 1m - &lt;5m",
    AC1171*86400 &lt; 1800, "4. 5m - &lt;30m",
    TRUE, "5. &gt;= 30m"
),"6. Invalid (Order rejected)")</f>
        <v>5. &gt;= 30m</v>
      </c>
    </row>
    <row r="1172" spans="1:30" hidden="1" x14ac:dyDescent="0.3">
      <c r="A1172" t="s">
        <v>7035</v>
      </c>
      <c r="B1172" t="s">
        <v>25</v>
      </c>
      <c r="C1172">
        <v>43485077</v>
      </c>
      <c r="D1172">
        <v>0</v>
      </c>
      <c r="E1172" t="s">
        <v>25</v>
      </c>
      <c r="F1172" t="s">
        <v>26</v>
      </c>
      <c r="G1172" t="s">
        <v>27</v>
      </c>
      <c r="H1172" t="s">
        <v>7036</v>
      </c>
      <c r="I1172" t="s">
        <v>7037</v>
      </c>
      <c r="J1172" t="s">
        <v>26</v>
      </c>
      <c r="K1172" t="s">
        <v>26</v>
      </c>
      <c r="L1172" t="s">
        <v>7038</v>
      </c>
      <c r="M1172" t="s">
        <v>25</v>
      </c>
      <c r="N1172" t="s">
        <v>2354</v>
      </c>
      <c r="O1172" t="s">
        <v>2355</v>
      </c>
      <c r="P1172" t="s">
        <v>2401</v>
      </c>
      <c r="Q1172" t="s">
        <v>2402</v>
      </c>
      <c r="R1172">
        <v>244944</v>
      </c>
      <c r="S1172">
        <v>0</v>
      </c>
      <c r="T1172">
        <v>244944</v>
      </c>
      <c r="U1172" t="s">
        <v>35</v>
      </c>
      <c r="V1172" t="s">
        <v>2358</v>
      </c>
      <c r="W1172" t="s">
        <v>2404</v>
      </c>
      <c r="X1172" s="4">
        <v>1</v>
      </c>
      <c r="Y1172" s="4"/>
      <c r="Z1172">
        <f t="shared" si="72"/>
        <v>8</v>
      </c>
      <c r="AA1172">
        <f t="shared" si="73"/>
        <v>10</v>
      </c>
      <c r="AB1172" s="5">
        <f t="shared" si="74"/>
        <v>0.31163194444525288</v>
      </c>
      <c r="AC1172" s="3">
        <f t="shared" si="75"/>
        <v>0.13046296295942739</v>
      </c>
      <c r="AD1172" t="str" cm="1">
        <f t="array" ref="AD1172">IFERROR(_xlfn.IFS(
    AC1172="", "",
    AC1172*86400 &lt; 30, "1. 0s - &lt;30s",
    AC1172*86400 &lt; 60, "2. 30s - &lt;1m",
    AC1172*86400 &lt; 300, "3. 1m - &lt;5m",
    AC1172*86400 &lt; 1800, "4. 5m - &lt;30m",
    TRUE, "5. &gt;= 30m"
),"6. Invalid (Order rejected)")</f>
        <v>5. &gt;= 30m</v>
      </c>
    </row>
    <row r="1173" spans="1:30" hidden="1" x14ac:dyDescent="0.3">
      <c r="A1173" t="s">
        <v>7039</v>
      </c>
      <c r="B1173" t="s">
        <v>25</v>
      </c>
      <c r="C1173">
        <v>43485077</v>
      </c>
      <c r="D1173">
        <v>0</v>
      </c>
      <c r="E1173" t="s">
        <v>25</v>
      </c>
      <c r="F1173" t="s">
        <v>26</v>
      </c>
      <c r="G1173" t="s">
        <v>27</v>
      </c>
      <c r="H1173" t="s">
        <v>7040</v>
      </c>
      <c r="I1173" t="s">
        <v>7041</v>
      </c>
      <c r="J1173" t="s">
        <v>26</v>
      </c>
      <c r="K1173" t="s">
        <v>26</v>
      </c>
      <c r="L1173" t="s">
        <v>7042</v>
      </c>
      <c r="M1173" t="s">
        <v>25</v>
      </c>
      <c r="N1173" t="s">
        <v>2368</v>
      </c>
      <c r="O1173" t="s">
        <v>2369</v>
      </c>
      <c r="P1173" t="s">
        <v>2409</v>
      </c>
      <c r="Q1173" t="s">
        <v>2410</v>
      </c>
      <c r="R1173">
        <v>292140</v>
      </c>
      <c r="S1173">
        <v>0</v>
      </c>
      <c r="T1173">
        <v>292140</v>
      </c>
      <c r="U1173" t="s">
        <v>35</v>
      </c>
      <c r="V1173" t="s">
        <v>2372</v>
      </c>
      <c r="W1173" t="s">
        <v>2411</v>
      </c>
      <c r="X1173" s="4">
        <v>1</v>
      </c>
      <c r="Y1173" s="4"/>
      <c r="Z1173">
        <f t="shared" si="72"/>
        <v>8</v>
      </c>
      <c r="AA1173">
        <f t="shared" si="73"/>
        <v>10</v>
      </c>
      <c r="AB1173" s="5">
        <f t="shared" si="74"/>
        <v>0.31206018518423662</v>
      </c>
      <c r="AC1173" s="3">
        <f t="shared" si="75"/>
        <v>9.0277777781011537E-2</v>
      </c>
      <c r="AD1173" t="str" cm="1">
        <f t="array" ref="AD1173">IFERROR(_xlfn.IFS(
    AC1173="", "",
    AC1173*86400 &lt; 30, "1. 0s - &lt;30s",
    AC1173*86400 &lt; 60, "2. 30s - &lt;1m",
    AC1173*86400 &lt; 300, "3. 1m - &lt;5m",
    AC1173*86400 &lt; 1800, "4. 5m - &lt;30m",
    TRUE, "5. &gt;= 30m"
),"6. Invalid (Order rejected)")</f>
        <v>5. &gt;= 30m</v>
      </c>
    </row>
    <row r="1174" spans="1:30" hidden="1" x14ac:dyDescent="0.3">
      <c r="A1174" t="s">
        <v>7043</v>
      </c>
      <c r="B1174" t="s">
        <v>25</v>
      </c>
      <c r="C1174">
        <v>43485077</v>
      </c>
      <c r="D1174">
        <v>0</v>
      </c>
      <c r="E1174" t="s">
        <v>25</v>
      </c>
      <c r="F1174" t="s">
        <v>26</v>
      </c>
      <c r="G1174" t="s">
        <v>27</v>
      </c>
      <c r="H1174" t="s">
        <v>7044</v>
      </c>
      <c r="I1174" t="s">
        <v>7045</v>
      </c>
      <c r="J1174" t="s">
        <v>26</v>
      </c>
      <c r="K1174" t="s">
        <v>26</v>
      </c>
      <c r="L1174" t="s">
        <v>7046</v>
      </c>
      <c r="M1174" t="s">
        <v>25</v>
      </c>
      <c r="N1174" t="s">
        <v>2368</v>
      </c>
      <c r="O1174" t="s">
        <v>2369</v>
      </c>
      <c r="P1174" t="s">
        <v>2313</v>
      </c>
      <c r="Q1174" t="s">
        <v>2314</v>
      </c>
      <c r="R1174">
        <v>256068</v>
      </c>
      <c r="S1174">
        <v>0</v>
      </c>
      <c r="T1174">
        <v>256068</v>
      </c>
      <c r="U1174" t="s">
        <v>35</v>
      </c>
      <c r="V1174" t="s">
        <v>2372</v>
      </c>
      <c r="W1174" t="s">
        <v>2316</v>
      </c>
      <c r="X1174" s="4">
        <v>1</v>
      </c>
      <c r="Y1174" s="4"/>
      <c r="Z1174">
        <f t="shared" si="72"/>
        <v>8</v>
      </c>
      <c r="AA1174">
        <f t="shared" si="73"/>
        <v>10</v>
      </c>
      <c r="AB1174" s="5">
        <f t="shared" si="74"/>
        <v>0.31221064814599231</v>
      </c>
      <c r="AC1174" s="3">
        <f t="shared" si="75"/>
        <v>9.0277777781011537E-2</v>
      </c>
      <c r="AD1174" t="str" cm="1">
        <f t="array" ref="AD1174">IFERROR(_xlfn.IFS(
    AC1174="", "",
    AC1174*86400 &lt; 30, "1. 0s - &lt;30s",
    AC1174*86400 &lt; 60, "2. 30s - &lt;1m",
    AC1174*86400 &lt; 300, "3. 1m - &lt;5m",
    AC1174*86400 &lt; 1800, "4. 5m - &lt;30m",
    TRUE, "5. &gt;= 30m"
),"6. Invalid (Order rejected)")</f>
        <v>5. &gt;= 30m</v>
      </c>
    </row>
    <row r="1175" spans="1:30" hidden="1" x14ac:dyDescent="0.3">
      <c r="A1175" t="s">
        <v>7047</v>
      </c>
      <c r="B1175" t="s">
        <v>25</v>
      </c>
      <c r="C1175">
        <v>43485077</v>
      </c>
      <c r="D1175">
        <v>0</v>
      </c>
      <c r="E1175" t="s">
        <v>25</v>
      </c>
      <c r="F1175" t="s">
        <v>26</v>
      </c>
      <c r="G1175" t="s">
        <v>27</v>
      </c>
      <c r="H1175" t="s">
        <v>7048</v>
      </c>
      <c r="I1175" t="s">
        <v>2470</v>
      </c>
      <c r="J1175" t="s">
        <v>26</v>
      </c>
      <c r="K1175" t="s">
        <v>26</v>
      </c>
      <c r="L1175" t="s">
        <v>7049</v>
      </c>
      <c r="M1175" t="s">
        <v>25</v>
      </c>
      <c r="N1175" t="s">
        <v>1911</v>
      </c>
      <c r="O1175" t="s">
        <v>1912</v>
      </c>
      <c r="P1175" t="s">
        <v>2443</v>
      </c>
      <c r="Q1175" t="s">
        <v>2444</v>
      </c>
      <c r="R1175">
        <v>177768</v>
      </c>
      <c r="S1175">
        <v>0</v>
      </c>
      <c r="T1175">
        <v>177768</v>
      </c>
      <c r="U1175" t="s">
        <v>35</v>
      </c>
      <c r="V1175" t="s">
        <v>1915</v>
      </c>
      <c r="W1175" t="s">
        <v>2446</v>
      </c>
      <c r="X1175" s="4">
        <v>1</v>
      </c>
      <c r="Y1175" s="4"/>
      <c r="Z1175">
        <f t="shared" si="72"/>
        <v>8</v>
      </c>
      <c r="AA1175">
        <f t="shared" si="73"/>
        <v>10</v>
      </c>
      <c r="AB1175" s="5">
        <f t="shared" si="74"/>
        <v>0.30951388888934162</v>
      </c>
      <c r="AC1175" s="3">
        <f t="shared" si="75"/>
        <v>0.11248842592613073</v>
      </c>
      <c r="AD1175" t="str" cm="1">
        <f t="array" ref="AD1175">IFERROR(_xlfn.IFS(
    AC1175="", "",
    AC1175*86400 &lt; 30, "1. 0s - &lt;30s",
    AC1175*86400 &lt; 60, "2. 30s - &lt;1m",
    AC1175*86400 &lt; 300, "3. 1m - &lt;5m",
    AC1175*86400 &lt; 1800, "4. 5m - &lt;30m",
    TRUE, "5. &gt;= 30m"
),"6. Invalid (Order rejected)")</f>
        <v>5. &gt;= 30m</v>
      </c>
    </row>
    <row r="1176" spans="1:30" hidden="1" x14ac:dyDescent="0.3">
      <c r="A1176" t="s">
        <v>7050</v>
      </c>
      <c r="B1176" t="s">
        <v>25</v>
      </c>
      <c r="C1176">
        <v>43485077</v>
      </c>
      <c r="D1176">
        <v>0</v>
      </c>
      <c r="E1176" t="s">
        <v>25</v>
      </c>
      <c r="F1176" t="s">
        <v>26</v>
      </c>
      <c r="G1176" t="s">
        <v>27</v>
      </c>
      <c r="H1176" t="s">
        <v>7051</v>
      </c>
      <c r="I1176" t="s">
        <v>7052</v>
      </c>
      <c r="J1176" t="s">
        <v>26</v>
      </c>
      <c r="K1176" t="s">
        <v>26</v>
      </c>
      <c r="L1176" t="s">
        <v>7053</v>
      </c>
      <c r="M1176" t="s">
        <v>25</v>
      </c>
      <c r="N1176" t="s">
        <v>2399</v>
      </c>
      <c r="O1176" t="s">
        <v>2400</v>
      </c>
      <c r="P1176" t="s">
        <v>2339</v>
      </c>
      <c r="Q1176" t="s">
        <v>2340</v>
      </c>
      <c r="R1176">
        <v>222912</v>
      </c>
      <c r="S1176">
        <v>0</v>
      </c>
      <c r="T1176">
        <v>222912</v>
      </c>
      <c r="U1176" t="s">
        <v>35</v>
      </c>
      <c r="V1176" t="s">
        <v>2403</v>
      </c>
      <c r="W1176" t="s">
        <v>2341</v>
      </c>
      <c r="X1176" s="4">
        <v>1</v>
      </c>
      <c r="Y1176" s="4"/>
      <c r="Z1176">
        <f t="shared" si="72"/>
        <v>8</v>
      </c>
      <c r="AA1176">
        <f t="shared" si="73"/>
        <v>10</v>
      </c>
      <c r="AB1176" s="5">
        <f t="shared" si="74"/>
        <v>0.31562500000291038</v>
      </c>
      <c r="AC1176" s="3">
        <f t="shared" si="75"/>
        <v>9.0277777773735579E-2</v>
      </c>
      <c r="AD1176" t="str" cm="1">
        <f t="array" ref="AD1176">IFERROR(_xlfn.IFS(
    AC1176="", "",
    AC1176*86400 &lt; 30, "1. 0s - &lt;30s",
    AC1176*86400 &lt; 60, "2. 30s - &lt;1m",
    AC1176*86400 &lt; 300, "3. 1m - &lt;5m",
    AC1176*86400 &lt; 1800, "4. 5m - &lt;30m",
    TRUE, "5. &gt;= 30m"
),"6. Invalid (Order rejected)")</f>
        <v>5. &gt;= 30m</v>
      </c>
    </row>
    <row r="1177" spans="1:30" hidden="1" x14ac:dyDescent="0.3">
      <c r="A1177" t="s">
        <v>7054</v>
      </c>
      <c r="B1177" t="s">
        <v>25</v>
      </c>
      <c r="C1177">
        <v>43485077</v>
      </c>
      <c r="D1177">
        <v>0</v>
      </c>
      <c r="E1177" t="s">
        <v>25</v>
      </c>
      <c r="F1177" t="s">
        <v>26</v>
      </c>
      <c r="G1177" t="s">
        <v>27</v>
      </c>
      <c r="H1177" t="s">
        <v>7055</v>
      </c>
      <c r="I1177" t="s">
        <v>7056</v>
      </c>
      <c r="J1177" t="s">
        <v>26</v>
      </c>
      <c r="K1177" t="s">
        <v>26</v>
      </c>
      <c r="L1177" t="s">
        <v>7057</v>
      </c>
      <c r="M1177" t="s">
        <v>25</v>
      </c>
      <c r="N1177" t="s">
        <v>760</v>
      </c>
      <c r="O1177" t="s">
        <v>761</v>
      </c>
      <c r="P1177" t="s">
        <v>2356</v>
      </c>
      <c r="Q1177" t="s">
        <v>2357</v>
      </c>
      <c r="R1177">
        <v>314820</v>
      </c>
      <c r="S1177">
        <v>0</v>
      </c>
      <c r="T1177">
        <v>314820</v>
      </c>
      <c r="U1177" t="s">
        <v>35</v>
      </c>
      <c r="V1177" t="s">
        <v>762</v>
      </c>
      <c r="W1177" t="s">
        <v>2359</v>
      </c>
      <c r="X1177" s="4">
        <v>1</v>
      </c>
      <c r="Y1177" s="4"/>
      <c r="Z1177">
        <f t="shared" si="72"/>
        <v>8</v>
      </c>
      <c r="AA1177">
        <f t="shared" si="73"/>
        <v>10</v>
      </c>
      <c r="AB1177" s="5">
        <f t="shared" si="74"/>
        <v>0.30598379629373085</v>
      </c>
      <c r="AC1177" s="3">
        <f t="shared" si="75"/>
        <v>9.0613425927585922E-2</v>
      </c>
      <c r="AD1177" t="str" cm="1">
        <f t="array" ref="AD1177">IFERROR(_xlfn.IFS(
    AC1177="", "",
    AC1177*86400 &lt; 30, "1. 0s - &lt;30s",
    AC1177*86400 &lt; 60, "2. 30s - &lt;1m",
    AC1177*86400 &lt; 300, "3. 1m - &lt;5m",
    AC1177*86400 &lt; 1800, "4. 5m - &lt;30m",
    TRUE, "5. &gt;= 30m"
),"6. Invalid (Order rejected)")</f>
        <v>5. &gt;= 30m</v>
      </c>
    </row>
    <row r="1178" spans="1:30" hidden="1" x14ac:dyDescent="0.3">
      <c r="A1178" t="s">
        <v>7058</v>
      </c>
      <c r="B1178" t="s">
        <v>25</v>
      </c>
      <c r="C1178">
        <v>43485077</v>
      </c>
      <c r="D1178">
        <v>0</v>
      </c>
      <c r="E1178" t="s">
        <v>25</v>
      </c>
      <c r="F1178" t="s">
        <v>26</v>
      </c>
      <c r="G1178" t="s">
        <v>27</v>
      </c>
      <c r="H1178" t="s">
        <v>7059</v>
      </c>
      <c r="I1178" t="s">
        <v>7060</v>
      </c>
      <c r="J1178" t="s">
        <v>26</v>
      </c>
      <c r="K1178" t="s">
        <v>26</v>
      </c>
      <c r="L1178" t="s">
        <v>7061</v>
      </c>
      <c r="M1178" t="s">
        <v>25</v>
      </c>
      <c r="N1178" t="s">
        <v>1911</v>
      </c>
      <c r="O1178" t="s">
        <v>1912</v>
      </c>
      <c r="P1178" t="s">
        <v>2370</v>
      </c>
      <c r="Q1178" t="s">
        <v>2371</v>
      </c>
      <c r="R1178">
        <v>284364</v>
      </c>
      <c r="S1178">
        <v>0</v>
      </c>
      <c r="T1178">
        <v>284364</v>
      </c>
      <c r="U1178" t="s">
        <v>35</v>
      </c>
      <c r="V1178" t="s">
        <v>1915</v>
      </c>
      <c r="W1178" t="s">
        <v>2373</v>
      </c>
      <c r="X1178" s="4">
        <v>1</v>
      </c>
      <c r="Y1178" s="4"/>
      <c r="Z1178">
        <f t="shared" si="72"/>
        <v>8</v>
      </c>
      <c r="AA1178">
        <f t="shared" si="73"/>
        <v>10</v>
      </c>
      <c r="AB1178" s="5">
        <f t="shared" si="74"/>
        <v>0.30892361111182254</v>
      </c>
      <c r="AC1178" s="3">
        <f t="shared" si="75"/>
        <v>9.0277777773735579E-2</v>
      </c>
      <c r="AD1178" t="str" cm="1">
        <f t="array" ref="AD1178">IFERROR(_xlfn.IFS(
    AC1178="", "",
    AC1178*86400 &lt; 30, "1. 0s - &lt;30s",
    AC1178*86400 &lt; 60, "2. 30s - &lt;1m",
    AC1178*86400 &lt; 300, "3. 1m - &lt;5m",
    AC1178*86400 &lt; 1800, "4. 5m - &lt;30m",
    TRUE, "5. &gt;= 30m"
),"6. Invalid (Order rejected)")</f>
        <v>5. &gt;= 30m</v>
      </c>
    </row>
    <row r="1179" spans="1:30" x14ac:dyDescent="0.3">
      <c r="A1179" t="s">
        <v>7062</v>
      </c>
      <c r="B1179" t="s">
        <v>25</v>
      </c>
      <c r="C1179">
        <v>43485077</v>
      </c>
      <c r="D1179">
        <v>1097438</v>
      </c>
      <c r="E1179" t="s">
        <v>25</v>
      </c>
      <c r="F1179" t="s">
        <v>75</v>
      </c>
      <c r="G1179" t="s">
        <v>360</v>
      </c>
      <c r="H1179" t="s">
        <v>7063</v>
      </c>
      <c r="I1179" t="s">
        <v>7064</v>
      </c>
      <c r="J1179" t="s">
        <v>7065</v>
      </c>
      <c r="K1179" t="s">
        <v>26</v>
      </c>
      <c r="L1179" t="s">
        <v>25</v>
      </c>
      <c r="M1179" t="s">
        <v>25</v>
      </c>
      <c r="N1179" t="s">
        <v>2392</v>
      </c>
      <c r="O1179" t="s">
        <v>2393</v>
      </c>
      <c r="P1179" t="s">
        <v>2499</v>
      </c>
      <c r="Q1179" t="s">
        <v>2500</v>
      </c>
      <c r="R1179">
        <v>242892</v>
      </c>
      <c r="S1179">
        <v>188298</v>
      </c>
      <c r="T1179">
        <v>54594</v>
      </c>
      <c r="U1179" t="s">
        <v>35</v>
      </c>
      <c r="V1179" t="s">
        <v>2394</v>
      </c>
      <c r="W1179" t="s">
        <v>2501</v>
      </c>
      <c r="X1179" s="4">
        <v>1</v>
      </c>
      <c r="Y1179" s="4"/>
      <c r="Z1179">
        <f t="shared" si="72"/>
        <v>8</v>
      </c>
      <c r="AA1179">
        <f t="shared" si="73"/>
        <v>10</v>
      </c>
      <c r="AB1179" s="5">
        <f t="shared" si="74"/>
        <v>0.31486111111007631</v>
      </c>
      <c r="AC1179" s="3" t="str">
        <f t="shared" si="75"/>
        <v>Order rejected, no time available</v>
      </c>
      <c r="AD1179" t="str" cm="1">
        <f t="array" ref="AD1179">IFERROR(_xlfn.IFS(
    AC1179="", "",
    AC1179*86400 &lt; 30, "1. 0s - &lt;30s",
    AC1179*86400 &lt; 60, "2. 30s - &lt;1m",
    AC1179*86400 &lt; 300, "3. 1m - &lt;5m",
    AC1179*86400 &lt; 1800, "4. 5m - &lt;30m",
    TRUE, "5. &gt;= 30m"
),"6. Invalid (Order rejected)")</f>
        <v>6. Invalid (Order rejected)</v>
      </c>
    </row>
    <row r="1180" spans="1:30" hidden="1" x14ac:dyDescent="0.3">
      <c r="A1180" t="s">
        <v>7066</v>
      </c>
      <c r="B1180" t="s">
        <v>25</v>
      </c>
      <c r="C1180">
        <v>43485077</v>
      </c>
      <c r="D1180">
        <v>0</v>
      </c>
      <c r="E1180" t="s">
        <v>25</v>
      </c>
      <c r="F1180" t="s">
        <v>26</v>
      </c>
      <c r="G1180" t="s">
        <v>27</v>
      </c>
      <c r="H1180" t="s">
        <v>7067</v>
      </c>
      <c r="I1180" t="s">
        <v>7068</v>
      </c>
      <c r="J1180" t="s">
        <v>26</v>
      </c>
      <c r="K1180" t="s">
        <v>26</v>
      </c>
      <c r="L1180" t="s">
        <v>7069</v>
      </c>
      <c r="M1180" t="s">
        <v>25</v>
      </c>
      <c r="N1180" t="s">
        <v>2329</v>
      </c>
      <c r="O1180" t="s">
        <v>2330</v>
      </c>
      <c r="P1180" t="s">
        <v>2499</v>
      </c>
      <c r="Q1180" t="s">
        <v>2500</v>
      </c>
      <c r="R1180">
        <v>259632</v>
      </c>
      <c r="S1180">
        <v>0</v>
      </c>
      <c r="T1180">
        <v>259632</v>
      </c>
      <c r="U1180" t="s">
        <v>35</v>
      </c>
      <c r="V1180" t="s">
        <v>2333</v>
      </c>
      <c r="W1180" t="s">
        <v>2501</v>
      </c>
      <c r="X1180" s="4">
        <v>1</v>
      </c>
      <c r="Y1180" s="4"/>
      <c r="Z1180">
        <f t="shared" si="72"/>
        <v>8</v>
      </c>
      <c r="AA1180">
        <f t="shared" si="73"/>
        <v>10</v>
      </c>
      <c r="AB1180" s="5">
        <f t="shared" si="74"/>
        <v>0.31049768518278142</v>
      </c>
      <c r="AC1180" s="3">
        <f t="shared" si="75"/>
        <v>9.0277777781011537E-2</v>
      </c>
      <c r="AD1180" t="str" cm="1">
        <f t="array" ref="AD1180">IFERROR(_xlfn.IFS(
    AC1180="", "",
    AC1180*86400 &lt; 30, "1. 0s - &lt;30s",
    AC1180*86400 &lt; 60, "2. 30s - &lt;1m",
    AC1180*86400 &lt; 300, "3. 1m - &lt;5m",
    AC1180*86400 &lt; 1800, "4. 5m - &lt;30m",
    TRUE, "5. &gt;= 30m"
),"6. Invalid (Order rejected)")</f>
        <v>5. &gt;= 30m</v>
      </c>
    </row>
    <row r="1181" spans="1:30" hidden="1" x14ac:dyDescent="0.3">
      <c r="A1181" t="s">
        <v>7070</v>
      </c>
      <c r="B1181" t="s">
        <v>25</v>
      </c>
      <c r="C1181">
        <v>43485077</v>
      </c>
      <c r="D1181">
        <v>0</v>
      </c>
      <c r="E1181" t="s">
        <v>25</v>
      </c>
      <c r="F1181" t="s">
        <v>26</v>
      </c>
      <c r="G1181" t="s">
        <v>27</v>
      </c>
      <c r="H1181" t="s">
        <v>7071</v>
      </c>
      <c r="I1181" t="s">
        <v>7072</v>
      </c>
      <c r="J1181" t="s">
        <v>26</v>
      </c>
      <c r="K1181" t="s">
        <v>26</v>
      </c>
      <c r="L1181" t="s">
        <v>7073</v>
      </c>
      <c r="M1181" t="s">
        <v>25</v>
      </c>
      <c r="N1181" t="s">
        <v>2492</v>
      </c>
      <c r="O1181" t="s">
        <v>2493</v>
      </c>
      <c r="P1181" t="s">
        <v>2297</v>
      </c>
      <c r="Q1181" t="s">
        <v>2298</v>
      </c>
      <c r="R1181">
        <v>192132</v>
      </c>
      <c r="S1181">
        <v>0</v>
      </c>
      <c r="T1181">
        <v>192132</v>
      </c>
      <c r="U1181" t="s">
        <v>35</v>
      </c>
      <c r="V1181" t="s">
        <v>2494</v>
      </c>
      <c r="W1181" t="s">
        <v>2299</v>
      </c>
      <c r="X1181" s="4">
        <v>1</v>
      </c>
      <c r="Y1181" s="4"/>
      <c r="Z1181">
        <f t="shared" si="72"/>
        <v>8</v>
      </c>
      <c r="AA1181">
        <f t="shared" si="73"/>
        <v>10</v>
      </c>
      <c r="AB1181" s="5">
        <f t="shared" si="74"/>
        <v>0.32018518518452765</v>
      </c>
      <c r="AC1181" s="3">
        <f t="shared" si="75"/>
        <v>9.0277777781011537E-2</v>
      </c>
      <c r="AD1181" t="str" cm="1">
        <f t="array" ref="AD1181">IFERROR(_xlfn.IFS(
    AC1181="", "",
    AC1181*86400 &lt; 30, "1. 0s - &lt;30s",
    AC1181*86400 &lt; 60, "2. 30s - &lt;1m",
    AC1181*86400 &lt; 300, "3. 1m - &lt;5m",
    AC1181*86400 &lt; 1800, "4. 5m - &lt;30m",
    TRUE, "5. &gt;= 30m"
),"6. Invalid (Order rejected)")</f>
        <v>5. &gt;= 30m</v>
      </c>
    </row>
    <row r="1182" spans="1:30" hidden="1" x14ac:dyDescent="0.3">
      <c r="A1182" t="s">
        <v>7074</v>
      </c>
      <c r="B1182" t="s">
        <v>25</v>
      </c>
      <c r="C1182">
        <v>43485077</v>
      </c>
      <c r="D1182">
        <v>0</v>
      </c>
      <c r="E1182" t="s">
        <v>25</v>
      </c>
      <c r="F1182" t="s">
        <v>26</v>
      </c>
      <c r="G1182" t="s">
        <v>27</v>
      </c>
      <c r="H1182" t="s">
        <v>7075</v>
      </c>
      <c r="I1182" t="s">
        <v>7076</v>
      </c>
      <c r="J1182" t="s">
        <v>26</v>
      </c>
      <c r="K1182" t="s">
        <v>26</v>
      </c>
      <c r="L1182" t="s">
        <v>7077</v>
      </c>
      <c r="M1182" t="s">
        <v>25</v>
      </c>
      <c r="N1182" t="s">
        <v>2354</v>
      </c>
      <c r="O1182" t="s">
        <v>2355</v>
      </c>
      <c r="P1182" t="s">
        <v>2322</v>
      </c>
      <c r="Q1182" t="s">
        <v>2323</v>
      </c>
      <c r="R1182">
        <v>306828</v>
      </c>
      <c r="S1182">
        <v>0</v>
      </c>
      <c r="T1182">
        <v>306828</v>
      </c>
      <c r="U1182" t="s">
        <v>35</v>
      </c>
      <c r="V1182" t="s">
        <v>2358</v>
      </c>
      <c r="W1182" t="s">
        <v>2324</v>
      </c>
      <c r="X1182" s="4">
        <v>1</v>
      </c>
      <c r="Y1182" s="4"/>
      <c r="Z1182">
        <f t="shared" si="72"/>
        <v>8</v>
      </c>
      <c r="AA1182">
        <f t="shared" si="73"/>
        <v>10</v>
      </c>
      <c r="AB1182" s="5">
        <f t="shared" si="74"/>
        <v>0.31128472222189885</v>
      </c>
      <c r="AC1182" s="3">
        <f t="shared" si="75"/>
        <v>9.0277777781011537E-2</v>
      </c>
      <c r="AD1182" t="str" cm="1">
        <f t="array" ref="AD1182">IFERROR(_xlfn.IFS(
    AC1182="", "",
    AC1182*86400 &lt; 30, "1. 0s - &lt;30s",
    AC1182*86400 &lt; 60, "2. 30s - &lt;1m",
    AC1182*86400 &lt; 300, "3. 1m - &lt;5m",
    AC1182*86400 &lt; 1800, "4. 5m - &lt;30m",
    TRUE, "5. &gt;= 30m"
),"6. Invalid (Order rejected)")</f>
        <v>5. &gt;= 30m</v>
      </c>
    </row>
    <row r="1183" spans="1:30" hidden="1" x14ac:dyDescent="0.3">
      <c r="A1183" t="s">
        <v>7078</v>
      </c>
      <c r="B1183" t="s">
        <v>25</v>
      </c>
      <c r="C1183">
        <v>43485077</v>
      </c>
      <c r="D1183">
        <v>0</v>
      </c>
      <c r="E1183" t="s">
        <v>25</v>
      </c>
      <c r="F1183" t="s">
        <v>26</v>
      </c>
      <c r="G1183" t="s">
        <v>27</v>
      </c>
      <c r="H1183" t="s">
        <v>7079</v>
      </c>
      <c r="I1183" t="s">
        <v>7080</v>
      </c>
      <c r="J1183" t="s">
        <v>26</v>
      </c>
      <c r="K1183" t="s">
        <v>26</v>
      </c>
      <c r="L1183" t="s">
        <v>7081</v>
      </c>
      <c r="M1183" t="s">
        <v>25</v>
      </c>
      <c r="N1183" t="s">
        <v>2354</v>
      </c>
      <c r="O1183" t="s">
        <v>2355</v>
      </c>
      <c r="P1183" t="s">
        <v>2339</v>
      </c>
      <c r="Q1183" t="s">
        <v>2340</v>
      </c>
      <c r="R1183">
        <v>228096</v>
      </c>
      <c r="S1183">
        <v>0</v>
      </c>
      <c r="T1183">
        <v>228096</v>
      </c>
      <c r="U1183" t="s">
        <v>35</v>
      </c>
      <c r="V1183" t="s">
        <v>2358</v>
      </c>
      <c r="W1183" t="s">
        <v>2341</v>
      </c>
      <c r="X1183" s="4">
        <v>1</v>
      </c>
      <c r="Y1183" s="4"/>
      <c r="Z1183">
        <f t="shared" si="72"/>
        <v>8</v>
      </c>
      <c r="AA1183">
        <f t="shared" si="73"/>
        <v>10</v>
      </c>
      <c r="AB1183" s="5">
        <f t="shared" si="74"/>
        <v>0.31146990740671754</v>
      </c>
      <c r="AC1183" s="3">
        <f t="shared" si="75"/>
        <v>0.130231481482042</v>
      </c>
      <c r="AD1183" t="str" cm="1">
        <f t="array" ref="AD1183">IFERROR(_xlfn.IFS(
    AC1183="", "",
    AC1183*86400 &lt; 30, "1. 0s - &lt;30s",
    AC1183*86400 &lt; 60, "2. 30s - &lt;1m",
    AC1183*86400 &lt; 300, "3. 1m - &lt;5m",
    AC1183*86400 &lt; 1800, "4. 5m - &lt;30m",
    TRUE, "5. &gt;= 30m"
),"6. Invalid (Order rejected)")</f>
        <v>5. &gt;= 30m</v>
      </c>
    </row>
    <row r="1184" spans="1:30" hidden="1" x14ac:dyDescent="0.3">
      <c r="A1184" t="s">
        <v>7082</v>
      </c>
      <c r="B1184" t="s">
        <v>25</v>
      </c>
      <c r="C1184">
        <v>43485077</v>
      </c>
      <c r="D1184">
        <v>0</v>
      </c>
      <c r="E1184" t="s">
        <v>25</v>
      </c>
      <c r="F1184" t="s">
        <v>26</v>
      </c>
      <c r="G1184" t="s">
        <v>27</v>
      </c>
      <c r="H1184" t="s">
        <v>7083</v>
      </c>
      <c r="I1184" t="s">
        <v>7084</v>
      </c>
      <c r="J1184" t="s">
        <v>26</v>
      </c>
      <c r="K1184" t="s">
        <v>26</v>
      </c>
      <c r="L1184" t="s">
        <v>7085</v>
      </c>
      <c r="M1184" t="s">
        <v>25</v>
      </c>
      <c r="N1184" t="s">
        <v>2392</v>
      </c>
      <c r="O1184" t="s">
        <v>2393</v>
      </c>
      <c r="P1184" t="s">
        <v>2356</v>
      </c>
      <c r="Q1184" t="s">
        <v>2357</v>
      </c>
      <c r="R1184">
        <v>295272</v>
      </c>
      <c r="S1184">
        <v>0</v>
      </c>
      <c r="T1184">
        <v>295272</v>
      </c>
      <c r="U1184" t="s">
        <v>35</v>
      </c>
      <c r="V1184" t="s">
        <v>2394</v>
      </c>
      <c r="W1184" t="s">
        <v>2359</v>
      </c>
      <c r="X1184" s="4">
        <v>1</v>
      </c>
      <c r="Y1184" s="4"/>
      <c r="Z1184">
        <f t="shared" si="72"/>
        <v>8</v>
      </c>
      <c r="AA1184">
        <f t="shared" si="73"/>
        <v>10</v>
      </c>
      <c r="AB1184" s="5">
        <f t="shared" si="74"/>
        <v>0.315150462964084</v>
      </c>
      <c r="AC1184" s="3">
        <f t="shared" si="75"/>
        <v>9.0277777773735579E-2</v>
      </c>
      <c r="AD1184" t="str" cm="1">
        <f t="array" ref="AD1184">IFERROR(_xlfn.IFS(
    AC1184="", "",
    AC1184*86400 &lt; 30, "1. 0s - &lt;30s",
    AC1184*86400 &lt; 60, "2. 30s - &lt;1m",
    AC1184*86400 &lt; 300, "3. 1m - &lt;5m",
    AC1184*86400 &lt; 1800, "4. 5m - &lt;30m",
    TRUE, "5. &gt;= 30m"
),"6. Invalid (Order rejected)")</f>
        <v>5. &gt;= 30m</v>
      </c>
    </row>
    <row r="1185" spans="1:30" hidden="1" x14ac:dyDescent="0.3">
      <c r="A1185" t="s">
        <v>7086</v>
      </c>
      <c r="B1185" t="s">
        <v>25</v>
      </c>
      <c r="C1185">
        <v>43485077</v>
      </c>
      <c r="D1185">
        <v>0</v>
      </c>
      <c r="E1185" t="s">
        <v>25</v>
      </c>
      <c r="F1185" t="s">
        <v>26</v>
      </c>
      <c r="G1185" t="s">
        <v>27</v>
      </c>
      <c r="H1185" t="s">
        <v>7087</v>
      </c>
      <c r="I1185" t="s">
        <v>7088</v>
      </c>
      <c r="J1185" t="s">
        <v>26</v>
      </c>
      <c r="K1185" t="s">
        <v>26</v>
      </c>
      <c r="L1185" t="s">
        <v>7089</v>
      </c>
      <c r="M1185" t="s">
        <v>25</v>
      </c>
      <c r="N1185" t="s">
        <v>2462</v>
      </c>
      <c r="O1185" t="s">
        <v>2463</v>
      </c>
      <c r="P1185" t="s">
        <v>2370</v>
      </c>
      <c r="Q1185" t="s">
        <v>2371</v>
      </c>
      <c r="R1185">
        <v>192564</v>
      </c>
      <c r="S1185">
        <v>0</v>
      </c>
      <c r="T1185">
        <v>192564</v>
      </c>
      <c r="U1185" t="s">
        <v>35</v>
      </c>
      <c r="V1185" t="s">
        <v>2464</v>
      </c>
      <c r="W1185" t="s">
        <v>2373</v>
      </c>
      <c r="X1185" s="4">
        <v>1</v>
      </c>
      <c r="Y1185" s="4"/>
      <c r="Z1185">
        <f t="shared" si="72"/>
        <v>8</v>
      </c>
      <c r="AA1185">
        <f t="shared" si="73"/>
        <v>10</v>
      </c>
      <c r="AB1185" s="5">
        <f t="shared" si="74"/>
        <v>0.31679398148116888</v>
      </c>
      <c r="AC1185" s="3">
        <f t="shared" si="75"/>
        <v>9.0266203704231884E-2</v>
      </c>
      <c r="AD1185" t="str" cm="1">
        <f t="array" ref="AD1185">IFERROR(_xlfn.IFS(
    AC1185="", "",
    AC1185*86400 &lt; 30, "1. 0s - &lt;30s",
    AC1185*86400 &lt; 60, "2. 30s - &lt;1m",
    AC1185*86400 &lt; 300, "3. 1m - &lt;5m",
    AC1185*86400 &lt; 1800, "4. 5m - &lt;30m",
    TRUE, "5. &gt;= 30m"
),"6. Invalid (Order rejected)")</f>
        <v>5. &gt;= 30m</v>
      </c>
    </row>
    <row r="1186" spans="1:30" hidden="1" x14ac:dyDescent="0.3">
      <c r="A1186" t="s">
        <v>7090</v>
      </c>
      <c r="B1186" t="s">
        <v>25</v>
      </c>
      <c r="C1186">
        <v>43485077</v>
      </c>
      <c r="D1186">
        <v>0</v>
      </c>
      <c r="E1186" t="s">
        <v>25</v>
      </c>
      <c r="F1186" t="s">
        <v>26</v>
      </c>
      <c r="G1186" t="s">
        <v>27</v>
      </c>
      <c r="H1186" t="s">
        <v>7091</v>
      </c>
      <c r="I1186" t="s">
        <v>7092</v>
      </c>
      <c r="J1186" t="s">
        <v>26</v>
      </c>
      <c r="K1186" t="s">
        <v>26</v>
      </c>
      <c r="L1186" t="s">
        <v>7093</v>
      </c>
      <c r="M1186" t="s">
        <v>25</v>
      </c>
      <c r="N1186" t="s">
        <v>2506</v>
      </c>
      <c r="O1186" t="s">
        <v>2507</v>
      </c>
      <c r="P1186" t="s">
        <v>2331</v>
      </c>
      <c r="Q1186" t="s">
        <v>2332</v>
      </c>
      <c r="R1186">
        <v>201312</v>
      </c>
      <c r="S1186">
        <v>0</v>
      </c>
      <c r="T1186">
        <v>201312</v>
      </c>
      <c r="U1186" t="s">
        <v>35</v>
      </c>
      <c r="V1186" t="s">
        <v>2508</v>
      </c>
      <c r="W1186" t="s">
        <v>2334</v>
      </c>
      <c r="X1186" s="4">
        <v>1</v>
      </c>
      <c r="Y1186" s="4"/>
      <c r="Z1186">
        <f t="shared" si="72"/>
        <v>8</v>
      </c>
      <c r="AA1186">
        <f t="shared" si="73"/>
        <v>10</v>
      </c>
      <c r="AB1186" s="5">
        <f t="shared" si="74"/>
        <v>0.31787037036701804</v>
      </c>
      <c r="AC1186" s="3">
        <f t="shared" si="75"/>
        <v>9.0277777781011537E-2</v>
      </c>
      <c r="AD1186" t="str" cm="1">
        <f t="array" ref="AD1186">IFERROR(_xlfn.IFS(
    AC1186="", "",
    AC1186*86400 &lt; 30, "1. 0s - &lt;30s",
    AC1186*86400 &lt; 60, "2. 30s - &lt;1m",
    AC1186*86400 &lt; 300, "3. 1m - &lt;5m",
    AC1186*86400 &lt; 1800, "4. 5m - &lt;30m",
    TRUE, "5. &gt;= 30m"
),"6. Invalid (Order rejected)")</f>
        <v>5. &gt;= 30m</v>
      </c>
    </row>
    <row r="1187" spans="1:30" hidden="1" x14ac:dyDescent="0.3">
      <c r="A1187" t="s">
        <v>7094</v>
      </c>
      <c r="B1187" t="s">
        <v>25</v>
      </c>
      <c r="C1187">
        <v>43485077</v>
      </c>
      <c r="D1187">
        <v>0</v>
      </c>
      <c r="E1187" t="s">
        <v>25</v>
      </c>
      <c r="F1187" t="s">
        <v>26</v>
      </c>
      <c r="G1187" t="s">
        <v>27</v>
      </c>
      <c r="H1187" t="s">
        <v>7095</v>
      </c>
      <c r="I1187" t="s">
        <v>7096</v>
      </c>
      <c r="J1187" t="s">
        <v>26</v>
      </c>
      <c r="K1187" t="s">
        <v>26</v>
      </c>
      <c r="L1187" t="s">
        <v>7097</v>
      </c>
      <c r="M1187" t="s">
        <v>25</v>
      </c>
      <c r="N1187" t="s">
        <v>2385</v>
      </c>
      <c r="O1187" t="s">
        <v>2386</v>
      </c>
      <c r="P1187" t="s">
        <v>2443</v>
      </c>
      <c r="Q1187" t="s">
        <v>2444</v>
      </c>
      <c r="R1187">
        <v>166428</v>
      </c>
      <c r="S1187">
        <v>0</v>
      </c>
      <c r="T1187">
        <v>166428</v>
      </c>
      <c r="U1187" t="s">
        <v>35</v>
      </c>
      <c r="V1187" t="s">
        <v>2387</v>
      </c>
      <c r="W1187" t="s">
        <v>2446</v>
      </c>
      <c r="X1187" s="4">
        <v>1</v>
      </c>
      <c r="Y1187" s="4"/>
      <c r="Z1187">
        <f t="shared" si="72"/>
        <v>8</v>
      </c>
      <c r="AA1187">
        <f t="shared" si="73"/>
        <v>10</v>
      </c>
      <c r="AB1187" s="5">
        <f t="shared" si="74"/>
        <v>0.31336805555474712</v>
      </c>
      <c r="AC1187" s="3">
        <f t="shared" si="75"/>
        <v>9.0277777781011537E-2</v>
      </c>
      <c r="AD1187" t="str" cm="1">
        <f t="array" ref="AD1187">IFERROR(_xlfn.IFS(
    AC1187="", "",
    AC1187*86400 &lt; 30, "1. 0s - &lt;30s",
    AC1187*86400 &lt; 60, "2. 30s - &lt;1m",
    AC1187*86400 &lt; 300, "3. 1m - &lt;5m",
    AC1187*86400 &lt; 1800, "4. 5m - &lt;30m",
    TRUE, "5. &gt;= 30m"
),"6. Invalid (Order rejected)")</f>
        <v>5. &gt;= 30m</v>
      </c>
    </row>
    <row r="1188" spans="1:30" hidden="1" x14ac:dyDescent="0.3">
      <c r="A1188" t="s">
        <v>7098</v>
      </c>
      <c r="B1188" t="s">
        <v>25</v>
      </c>
      <c r="C1188">
        <v>43485077</v>
      </c>
      <c r="D1188">
        <v>0</v>
      </c>
      <c r="E1188" t="s">
        <v>25</v>
      </c>
      <c r="F1188" t="s">
        <v>26</v>
      </c>
      <c r="G1188" t="s">
        <v>27</v>
      </c>
      <c r="H1188" t="s">
        <v>7099</v>
      </c>
      <c r="I1188" t="s">
        <v>7100</v>
      </c>
      <c r="J1188" t="s">
        <v>26</v>
      </c>
      <c r="K1188" t="s">
        <v>26</v>
      </c>
      <c r="L1188" t="s">
        <v>7101</v>
      </c>
      <c r="M1188" t="s">
        <v>25</v>
      </c>
      <c r="N1188" t="s">
        <v>987</v>
      </c>
      <c r="O1188" t="s">
        <v>988</v>
      </c>
      <c r="P1188" t="s">
        <v>2356</v>
      </c>
      <c r="Q1188" t="s">
        <v>2357</v>
      </c>
      <c r="R1188">
        <v>296028</v>
      </c>
      <c r="S1188">
        <v>0</v>
      </c>
      <c r="T1188">
        <v>296028</v>
      </c>
      <c r="U1188" t="s">
        <v>35</v>
      </c>
      <c r="V1188" t="s">
        <v>991</v>
      </c>
      <c r="W1188" t="s">
        <v>2359</v>
      </c>
      <c r="X1188" s="4">
        <v>1</v>
      </c>
      <c r="Y1188" s="4"/>
      <c r="Z1188">
        <f t="shared" si="72"/>
        <v>8</v>
      </c>
      <c r="AA1188">
        <f t="shared" si="73"/>
        <v>10</v>
      </c>
      <c r="AB1188" s="5">
        <f t="shared" si="74"/>
        <v>0.31862268518307246</v>
      </c>
      <c r="AC1188" s="3">
        <f t="shared" si="75"/>
        <v>0.15840277777897427</v>
      </c>
      <c r="AD1188" t="str" cm="1">
        <f t="array" ref="AD1188">IFERROR(_xlfn.IFS(
    AC1188="", "",
    AC1188*86400 &lt; 30, "1. 0s - &lt;30s",
    AC1188*86400 &lt; 60, "2. 30s - &lt;1m",
    AC1188*86400 &lt; 300, "3. 1m - &lt;5m",
    AC1188*86400 &lt; 1800, "4. 5m - &lt;30m",
    TRUE, "5. &gt;= 30m"
),"6. Invalid (Order rejected)")</f>
        <v>5. &gt;= 30m</v>
      </c>
    </row>
    <row r="1189" spans="1:30" hidden="1" x14ac:dyDescent="0.3">
      <c r="A1189" t="s">
        <v>7102</v>
      </c>
      <c r="B1189" t="s">
        <v>25</v>
      </c>
      <c r="C1189">
        <v>43485077</v>
      </c>
      <c r="D1189">
        <v>0</v>
      </c>
      <c r="E1189" t="s">
        <v>25</v>
      </c>
      <c r="F1189" t="s">
        <v>26</v>
      </c>
      <c r="G1189" t="s">
        <v>27</v>
      </c>
      <c r="H1189" t="s">
        <v>7103</v>
      </c>
      <c r="I1189" t="s">
        <v>7104</v>
      </c>
      <c r="J1189" t="s">
        <v>26</v>
      </c>
      <c r="K1189" t="s">
        <v>26</v>
      </c>
      <c r="L1189" t="s">
        <v>7105</v>
      </c>
      <c r="M1189" t="s">
        <v>25</v>
      </c>
      <c r="N1189" t="s">
        <v>987</v>
      </c>
      <c r="O1189" t="s">
        <v>988</v>
      </c>
      <c r="P1189" t="s">
        <v>2322</v>
      </c>
      <c r="Q1189" t="s">
        <v>2323</v>
      </c>
      <c r="R1189">
        <v>300456</v>
      </c>
      <c r="S1189">
        <v>0</v>
      </c>
      <c r="T1189">
        <v>300456</v>
      </c>
      <c r="U1189" t="s">
        <v>35</v>
      </c>
      <c r="V1189" t="s">
        <v>991</v>
      </c>
      <c r="W1189" t="s">
        <v>2324</v>
      </c>
      <c r="X1189" s="4">
        <v>1</v>
      </c>
      <c r="Y1189" s="4"/>
      <c r="Z1189">
        <f t="shared" si="72"/>
        <v>8</v>
      </c>
      <c r="AA1189">
        <f t="shared" si="73"/>
        <v>10</v>
      </c>
      <c r="AB1189" s="5">
        <f t="shared" si="74"/>
        <v>0.31876157407532446</v>
      </c>
      <c r="AC1189" s="3">
        <f t="shared" si="75"/>
        <v>9.0277777773735579E-2</v>
      </c>
      <c r="AD1189" t="str" cm="1">
        <f t="array" ref="AD1189">IFERROR(_xlfn.IFS(
    AC1189="", "",
    AC1189*86400 &lt; 30, "1. 0s - &lt;30s",
    AC1189*86400 &lt; 60, "2. 30s - &lt;1m",
    AC1189*86400 &lt; 300, "3. 1m - &lt;5m",
    AC1189*86400 &lt; 1800, "4. 5m - &lt;30m",
    TRUE, "5. &gt;= 30m"
),"6. Invalid (Order rejected)")</f>
        <v>5. &gt;= 30m</v>
      </c>
    </row>
    <row r="1190" spans="1:30" x14ac:dyDescent="0.3">
      <c r="A1190" t="s">
        <v>7106</v>
      </c>
      <c r="B1190" t="s">
        <v>25</v>
      </c>
      <c r="C1190">
        <v>43485077</v>
      </c>
      <c r="D1190">
        <v>3553523</v>
      </c>
      <c r="E1190" t="s">
        <v>25</v>
      </c>
      <c r="F1190" t="s">
        <v>75</v>
      </c>
      <c r="G1190" t="s">
        <v>360</v>
      </c>
      <c r="H1190" t="s">
        <v>7107</v>
      </c>
      <c r="I1190" t="s">
        <v>7108</v>
      </c>
      <c r="J1190" t="s">
        <v>7109</v>
      </c>
      <c r="K1190" t="s">
        <v>26</v>
      </c>
      <c r="L1190" t="s">
        <v>25</v>
      </c>
      <c r="M1190" t="s">
        <v>25</v>
      </c>
      <c r="N1190" t="s">
        <v>2492</v>
      </c>
      <c r="O1190" t="s">
        <v>2493</v>
      </c>
      <c r="P1190" t="s">
        <v>2304</v>
      </c>
      <c r="Q1190" t="s">
        <v>2305</v>
      </c>
      <c r="R1190">
        <v>157140</v>
      </c>
      <c r="S1190">
        <v>121820</v>
      </c>
      <c r="T1190">
        <v>35320</v>
      </c>
      <c r="U1190" t="s">
        <v>35</v>
      </c>
      <c r="V1190" t="s">
        <v>2494</v>
      </c>
      <c r="W1190" t="s">
        <v>2306</v>
      </c>
      <c r="X1190" s="4">
        <v>1</v>
      </c>
      <c r="Y1190" s="4"/>
      <c r="Z1190">
        <f t="shared" si="72"/>
        <v>8</v>
      </c>
      <c r="AA1190">
        <f t="shared" si="73"/>
        <v>10</v>
      </c>
      <c r="AB1190" s="5">
        <f t="shared" si="74"/>
        <v>0.32050925926159834</v>
      </c>
      <c r="AC1190" s="3" t="str">
        <f t="shared" si="75"/>
        <v>Order rejected, no time available</v>
      </c>
      <c r="AD1190" t="str" cm="1">
        <f t="array" ref="AD1190">IFERROR(_xlfn.IFS(
    AC1190="", "",
    AC1190*86400 &lt; 30, "1. 0s - &lt;30s",
    AC1190*86400 &lt; 60, "2. 30s - &lt;1m",
    AC1190*86400 &lt; 300, "3. 1m - &lt;5m",
    AC1190*86400 &lt; 1800, "4. 5m - &lt;30m",
    TRUE, "5. &gt;= 30m"
),"6. Invalid (Order rejected)")</f>
        <v>6. Invalid (Order rejected)</v>
      </c>
    </row>
    <row r="1191" spans="1:30" hidden="1" x14ac:dyDescent="0.3">
      <c r="A1191" t="s">
        <v>7110</v>
      </c>
      <c r="B1191" t="s">
        <v>25</v>
      </c>
      <c r="C1191">
        <v>43485077</v>
      </c>
      <c r="D1191">
        <v>0</v>
      </c>
      <c r="E1191" t="s">
        <v>25</v>
      </c>
      <c r="F1191" t="s">
        <v>26</v>
      </c>
      <c r="G1191" t="s">
        <v>27</v>
      </c>
      <c r="H1191" t="s">
        <v>7111</v>
      </c>
      <c r="I1191" t="s">
        <v>7112</v>
      </c>
      <c r="J1191" t="s">
        <v>26</v>
      </c>
      <c r="K1191" t="s">
        <v>26</v>
      </c>
      <c r="L1191" t="s">
        <v>7113</v>
      </c>
      <c r="M1191" t="s">
        <v>25</v>
      </c>
      <c r="N1191" t="s">
        <v>2506</v>
      </c>
      <c r="O1191" t="s">
        <v>2507</v>
      </c>
      <c r="P1191" t="s">
        <v>2443</v>
      </c>
      <c r="Q1191" t="s">
        <v>2444</v>
      </c>
      <c r="R1191">
        <v>163836</v>
      </c>
      <c r="S1191">
        <v>0</v>
      </c>
      <c r="T1191">
        <v>163836</v>
      </c>
      <c r="U1191" t="s">
        <v>35</v>
      </c>
      <c r="V1191" t="s">
        <v>2508</v>
      </c>
      <c r="W1191" t="s">
        <v>2446</v>
      </c>
      <c r="X1191" s="4">
        <v>1</v>
      </c>
      <c r="Y1191" s="4"/>
      <c r="Z1191">
        <f t="shared" si="72"/>
        <v>8</v>
      </c>
      <c r="AA1191">
        <f t="shared" si="73"/>
        <v>10</v>
      </c>
      <c r="AB1191" s="5">
        <f t="shared" si="74"/>
        <v>0.31755787037400296</v>
      </c>
      <c r="AC1191" s="3">
        <f t="shared" si="75"/>
        <v>9.0277777773735579E-2</v>
      </c>
      <c r="AD1191" t="str" cm="1">
        <f t="array" ref="AD1191">IFERROR(_xlfn.IFS(
    AC1191="", "",
    AC1191*86400 &lt; 30, "1. 0s - &lt;30s",
    AC1191*86400 &lt; 60, "2. 30s - &lt;1m",
    AC1191*86400 &lt; 300, "3. 1m - &lt;5m",
    AC1191*86400 &lt; 1800, "4. 5m - &lt;30m",
    TRUE, "5. &gt;= 30m"
),"6. Invalid (Order rejected)")</f>
        <v>5. &gt;= 30m</v>
      </c>
    </row>
    <row r="1192" spans="1:30" hidden="1" x14ac:dyDescent="0.3">
      <c r="A1192" t="s">
        <v>7114</v>
      </c>
      <c r="B1192" t="s">
        <v>25</v>
      </c>
      <c r="C1192">
        <v>43485077</v>
      </c>
      <c r="D1192">
        <v>2852976</v>
      </c>
      <c r="E1192" t="s">
        <v>25</v>
      </c>
      <c r="F1192" t="s">
        <v>75</v>
      </c>
      <c r="G1192" t="s">
        <v>76</v>
      </c>
      <c r="H1192" t="s">
        <v>7115</v>
      </c>
      <c r="I1192" t="s">
        <v>7116</v>
      </c>
      <c r="J1192" t="s">
        <v>7117</v>
      </c>
      <c r="K1192" t="s">
        <v>26</v>
      </c>
      <c r="L1192" t="s">
        <v>7118</v>
      </c>
      <c r="M1192" t="s">
        <v>25</v>
      </c>
      <c r="N1192" t="s">
        <v>2530</v>
      </c>
      <c r="O1192" t="s">
        <v>2531</v>
      </c>
      <c r="P1192" t="s">
        <v>2401</v>
      </c>
      <c r="Q1192" t="s">
        <v>2402</v>
      </c>
      <c r="R1192">
        <v>200988</v>
      </c>
      <c r="S1192">
        <v>164978</v>
      </c>
      <c r="T1192">
        <v>36010</v>
      </c>
      <c r="U1192" t="s">
        <v>35</v>
      </c>
      <c r="V1192" t="s">
        <v>2532</v>
      </c>
      <c r="W1192" t="s">
        <v>2404</v>
      </c>
      <c r="X1192" s="4">
        <v>1</v>
      </c>
      <c r="Y1192" s="4"/>
      <c r="Z1192">
        <f t="shared" si="72"/>
        <v>8</v>
      </c>
      <c r="AA1192">
        <f t="shared" si="73"/>
        <v>10</v>
      </c>
      <c r="AB1192" s="5">
        <f t="shared" si="74"/>
        <v>0.32375000000320142</v>
      </c>
      <c r="AC1192" s="3">
        <f t="shared" si="75"/>
        <v>2.7511574073287193E-2</v>
      </c>
      <c r="AD1192" t="str" cm="1">
        <f t="array" ref="AD1192">IFERROR(_xlfn.IFS(
    AC1192="", "",
    AC1192*86400 &lt; 30, "1. 0s - &lt;30s",
    AC1192*86400 &lt; 60, "2. 30s - &lt;1m",
    AC1192*86400 &lt; 300, "3. 1m - &lt;5m",
    AC1192*86400 &lt; 1800, "4. 5m - &lt;30m",
    TRUE, "5. &gt;= 30m"
),"6. Invalid (Order rejected)")</f>
        <v>5. &gt;= 30m</v>
      </c>
    </row>
    <row r="1193" spans="1:30" hidden="1" x14ac:dyDescent="0.3">
      <c r="A1193" t="s">
        <v>7119</v>
      </c>
      <c r="B1193" t="s">
        <v>25</v>
      </c>
      <c r="C1193">
        <v>43376946</v>
      </c>
      <c r="D1193">
        <v>0</v>
      </c>
      <c r="E1193" t="s">
        <v>25</v>
      </c>
      <c r="F1193" t="s">
        <v>26</v>
      </c>
      <c r="G1193" t="s">
        <v>27</v>
      </c>
      <c r="H1193" t="s">
        <v>7120</v>
      </c>
      <c r="I1193" t="s">
        <v>7121</v>
      </c>
      <c r="J1193" t="s">
        <v>26</v>
      </c>
      <c r="K1193" t="s">
        <v>26</v>
      </c>
      <c r="L1193" t="s">
        <v>7122</v>
      </c>
      <c r="M1193" t="s">
        <v>25</v>
      </c>
      <c r="N1193" t="s">
        <v>7123</v>
      </c>
      <c r="O1193" t="s">
        <v>7124</v>
      </c>
      <c r="P1193" t="s">
        <v>2178</v>
      </c>
      <c r="Q1193" t="s">
        <v>2179</v>
      </c>
      <c r="R1193">
        <v>246348</v>
      </c>
      <c r="S1193">
        <v>0</v>
      </c>
      <c r="T1193">
        <v>246348</v>
      </c>
      <c r="U1193" t="s">
        <v>35</v>
      </c>
      <c r="V1193" t="s">
        <v>2160</v>
      </c>
      <c r="W1193" t="s">
        <v>2181</v>
      </c>
      <c r="X1193" s="4">
        <v>1</v>
      </c>
      <c r="Y1193" s="4"/>
      <c r="Z1193">
        <f t="shared" si="72"/>
        <v>8</v>
      </c>
      <c r="AA1193">
        <f t="shared" si="73"/>
        <v>10</v>
      </c>
      <c r="AB1193" s="5">
        <f t="shared" si="74"/>
        <v>0.32438657407328719</v>
      </c>
      <c r="AC1193" s="3">
        <f t="shared" si="75"/>
        <v>9.0196759258105885E-2</v>
      </c>
      <c r="AD1193" t="str" cm="1">
        <f t="array" ref="AD1193">IFERROR(_xlfn.IFS(
    AC1193="", "",
    AC1193*86400 &lt; 30, "1. 0s - &lt;30s",
    AC1193*86400 &lt; 60, "2. 30s - &lt;1m",
    AC1193*86400 &lt; 300, "3. 1m - &lt;5m",
    AC1193*86400 &lt; 1800, "4. 5m - &lt;30m",
    TRUE, "5. &gt;= 30m"
),"6. Invalid (Order rejected)")</f>
        <v>5. &gt;= 30m</v>
      </c>
    </row>
    <row r="1194" spans="1:30" hidden="1" x14ac:dyDescent="0.3">
      <c r="A1194" t="s">
        <v>7125</v>
      </c>
      <c r="B1194" t="s">
        <v>25</v>
      </c>
      <c r="C1194">
        <v>43485077</v>
      </c>
      <c r="D1194">
        <v>3746341</v>
      </c>
      <c r="E1194" t="s">
        <v>25</v>
      </c>
      <c r="F1194" t="s">
        <v>75</v>
      </c>
      <c r="G1194" t="s">
        <v>76</v>
      </c>
      <c r="H1194" t="s">
        <v>7126</v>
      </c>
      <c r="I1194" t="s">
        <v>7127</v>
      </c>
      <c r="J1194" t="s">
        <v>7128</v>
      </c>
      <c r="K1194" t="s">
        <v>26</v>
      </c>
      <c r="L1194" t="s">
        <v>7129</v>
      </c>
      <c r="M1194" t="s">
        <v>25</v>
      </c>
      <c r="N1194" t="s">
        <v>2530</v>
      </c>
      <c r="O1194" t="s">
        <v>2531</v>
      </c>
      <c r="P1194" t="s">
        <v>2322</v>
      </c>
      <c r="Q1194" t="s">
        <v>2323</v>
      </c>
      <c r="R1194">
        <v>270540</v>
      </c>
      <c r="S1194">
        <v>222068</v>
      </c>
      <c r="T1194">
        <v>48472</v>
      </c>
      <c r="U1194" t="s">
        <v>35</v>
      </c>
      <c r="V1194" t="s">
        <v>2532</v>
      </c>
      <c r="W1194" t="s">
        <v>2324</v>
      </c>
      <c r="X1194" s="4">
        <v>1</v>
      </c>
      <c r="Y1194" s="4"/>
      <c r="Z1194">
        <f t="shared" si="72"/>
        <v>8</v>
      </c>
      <c r="AA1194">
        <f t="shared" si="73"/>
        <v>10</v>
      </c>
      <c r="AB1194" s="5">
        <f t="shared" si="74"/>
        <v>0.32344907407241408</v>
      </c>
      <c r="AC1194" s="3">
        <f t="shared" si="75"/>
        <v>1.0173611110076308E-2</v>
      </c>
      <c r="AD1194" t="str" cm="1">
        <f t="array" ref="AD1194">IFERROR(_xlfn.IFS(
    AC1194="", "",
    AC1194*86400 &lt; 30, "1. 0s - &lt;30s",
    AC1194*86400 &lt; 60, "2. 30s - &lt;1m",
    AC1194*86400 &lt; 300, "3. 1m - &lt;5m",
    AC1194*86400 &lt; 1800, "4. 5m - &lt;30m",
    TRUE, "5. &gt;= 30m"
),"6. Invalid (Order rejected)")</f>
        <v>4. 5m - &lt;30m</v>
      </c>
    </row>
    <row r="1195" spans="1:30" hidden="1" x14ac:dyDescent="0.3">
      <c r="A1195" t="s">
        <v>7130</v>
      </c>
      <c r="B1195" t="s">
        <v>25</v>
      </c>
      <c r="C1195">
        <v>43485077</v>
      </c>
      <c r="D1195">
        <v>0</v>
      </c>
      <c r="E1195" t="s">
        <v>25</v>
      </c>
      <c r="F1195" t="s">
        <v>26</v>
      </c>
      <c r="G1195" t="s">
        <v>27</v>
      </c>
      <c r="H1195" t="s">
        <v>7131</v>
      </c>
      <c r="I1195" t="s">
        <v>7132</v>
      </c>
      <c r="J1195" t="s">
        <v>26</v>
      </c>
      <c r="K1195" t="s">
        <v>26</v>
      </c>
      <c r="L1195" t="s">
        <v>7133</v>
      </c>
      <c r="M1195" t="s">
        <v>25</v>
      </c>
      <c r="N1195" t="s">
        <v>2434</v>
      </c>
      <c r="O1195" t="s">
        <v>2435</v>
      </c>
      <c r="P1195" t="s">
        <v>2297</v>
      </c>
      <c r="Q1195" t="s">
        <v>2298</v>
      </c>
      <c r="R1195">
        <v>167940</v>
      </c>
      <c r="S1195">
        <v>0</v>
      </c>
      <c r="T1195">
        <v>167940</v>
      </c>
      <c r="U1195" t="s">
        <v>35</v>
      </c>
      <c r="V1195" t="s">
        <v>2436</v>
      </c>
      <c r="W1195" t="s">
        <v>2299</v>
      </c>
      <c r="X1195" s="4">
        <v>1</v>
      </c>
      <c r="Y1195" s="4"/>
      <c r="Z1195">
        <f t="shared" si="72"/>
        <v>8</v>
      </c>
      <c r="AA1195">
        <f t="shared" si="73"/>
        <v>10</v>
      </c>
      <c r="AB1195" s="5">
        <f t="shared" si="74"/>
        <v>0.32468749999679858</v>
      </c>
      <c r="AC1195" s="3">
        <f t="shared" si="75"/>
        <v>9.0277777781011537E-2</v>
      </c>
      <c r="AD1195" t="str" cm="1">
        <f t="array" ref="AD1195">IFERROR(_xlfn.IFS(
    AC1195="", "",
    AC1195*86400 &lt; 30, "1. 0s - &lt;30s",
    AC1195*86400 &lt; 60, "2. 30s - &lt;1m",
    AC1195*86400 &lt; 300, "3. 1m - &lt;5m",
    AC1195*86400 &lt; 1800, "4. 5m - &lt;30m",
    TRUE, "5. &gt;= 30m"
),"6. Invalid (Order rejected)")</f>
        <v>5. &gt;= 30m</v>
      </c>
    </row>
    <row r="1196" spans="1:30" hidden="1" x14ac:dyDescent="0.3">
      <c r="A1196" t="s">
        <v>7134</v>
      </c>
      <c r="B1196" t="s">
        <v>25</v>
      </c>
      <c r="C1196">
        <v>43376946</v>
      </c>
      <c r="D1196">
        <v>0</v>
      </c>
      <c r="E1196" t="s">
        <v>25</v>
      </c>
      <c r="F1196" t="s">
        <v>26</v>
      </c>
      <c r="G1196" t="s">
        <v>27</v>
      </c>
      <c r="H1196" t="s">
        <v>7135</v>
      </c>
      <c r="I1196" t="s">
        <v>7136</v>
      </c>
      <c r="J1196" t="s">
        <v>26</v>
      </c>
      <c r="K1196" t="s">
        <v>26</v>
      </c>
      <c r="L1196" t="s">
        <v>7137</v>
      </c>
      <c r="M1196" t="s">
        <v>25</v>
      </c>
      <c r="N1196" t="s">
        <v>7138</v>
      </c>
      <c r="O1196" t="s">
        <v>7139</v>
      </c>
      <c r="P1196" t="s">
        <v>7011</v>
      </c>
      <c r="Q1196" t="s">
        <v>7012</v>
      </c>
      <c r="R1196">
        <v>425088</v>
      </c>
      <c r="S1196">
        <v>0</v>
      </c>
      <c r="T1196">
        <v>425088</v>
      </c>
      <c r="U1196" t="s">
        <v>35</v>
      </c>
      <c r="V1196" t="s">
        <v>4372</v>
      </c>
      <c r="W1196" t="s">
        <v>7014</v>
      </c>
      <c r="X1196" s="4">
        <v>1</v>
      </c>
      <c r="Y1196" s="4"/>
      <c r="Z1196">
        <f t="shared" si="72"/>
        <v>8</v>
      </c>
      <c r="AA1196">
        <f t="shared" si="73"/>
        <v>10</v>
      </c>
      <c r="AB1196" s="5">
        <f t="shared" si="74"/>
        <v>0.32228009259415558</v>
      </c>
      <c r="AC1196" s="3">
        <f t="shared" si="75"/>
        <v>9.0219907404389232E-2</v>
      </c>
      <c r="AD1196" t="str" cm="1">
        <f t="array" ref="AD1196">IFERROR(_xlfn.IFS(
    AC1196="", "",
    AC1196*86400 &lt; 30, "1. 0s - &lt;30s",
    AC1196*86400 &lt; 60, "2. 30s - &lt;1m",
    AC1196*86400 &lt; 300, "3. 1m - &lt;5m",
    AC1196*86400 &lt; 1800, "4. 5m - &lt;30m",
    TRUE, "5. &gt;= 30m"
),"6. Invalid (Order rejected)")</f>
        <v>5. &gt;= 30m</v>
      </c>
    </row>
    <row r="1197" spans="1:30" hidden="1" x14ac:dyDescent="0.3">
      <c r="A1197" t="s">
        <v>7140</v>
      </c>
      <c r="B1197" t="s">
        <v>25</v>
      </c>
      <c r="C1197">
        <v>43485077</v>
      </c>
      <c r="D1197">
        <v>0</v>
      </c>
      <c r="E1197" t="s">
        <v>25</v>
      </c>
      <c r="F1197" t="s">
        <v>26</v>
      </c>
      <c r="G1197" t="s">
        <v>27</v>
      </c>
      <c r="H1197" t="s">
        <v>7141</v>
      </c>
      <c r="I1197" t="s">
        <v>7142</v>
      </c>
      <c r="J1197" t="s">
        <v>26</v>
      </c>
      <c r="K1197" t="s">
        <v>26</v>
      </c>
      <c r="L1197" t="s">
        <v>7143</v>
      </c>
      <c r="M1197" t="s">
        <v>25</v>
      </c>
      <c r="N1197" t="s">
        <v>2506</v>
      </c>
      <c r="O1197" t="s">
        <v>2507</v>
      </c>
      <c r="P1197" t="s">
        <v>2297</v>
      </c>
      <c r="Q1197" t="s">
        <v>2298</v>
      </c>
      <c r="R1197">
        <v>191592</v>
      </c>
      <c r="S1197">
        <v>0</v>
      </c>
      <c r="T1197">
        <v>191592</v>
      </c>
      <c r="U1197" t="s">
        <v>35</v>
      </c>
      <c r="V1197" t="s">
        <v>2508</v>
      </c>
      <c r="W1197" t="s">
        <v>2299</v>
      </c>
      <c r="X1197" s="4">
        <v>1</v>
      </c>
      <c r="Y1197" s="4"/>
      <c r="Z1197">
        <f t="shared" si="72"/>
        <v>8</v>
      </c>
      <c r="AA1197">
        <f t="shared" si="73"/>
        <v>10</v>
      </c>
      <c r="AB1197" s="5">
        <f t="shared" si="74"/>
        <v>0.31739583333546761</v>
      </c>
      <c r="AC1197" s="3">
        <f t="shared" si="75"/>
        <v>9.0277777773735579E-2</v>
      </c>
      <c r="AD1197" t="str" cm="1">
        <f t="array" ref="AD1197">IFERROR(_xlfn.IFS(
    AC1197="", "",
    AC1197*86400 &lt; 30, "1. 0s - &lt;30s",
    AC1197*86400 &lt; 60, "2. 30s - &lt;1m",
    AC1197*86400 &lt; 300, "3. 1m - &lt;5m",
    AC1197*86400 &lt; 1800, "4. 5m - &lt;30m",
    TRUE, "5. &gt;= 30m"
),"6. Invalid (Order rejected)")</f>
        <v>5. &gt;= 30m</v>
      </c>
    </row>
    <row r="1198" spans="1:30" hidden="1" x14ac:dyDescent="0.3">
      <c r="A1198" t="s">
        <v>7144</v>
      </c>
      <c r="B1198" t="s">
        <v>25</v>
      </c>
      <c r="C1198">
        <v>43485077</v>
      </c>
      <c r="D1198">
        <v>0</v>
      </c>
      <c r="E1198" t="s">
        <v>25</v>
      </c>
      <c r="F1198" t="s">
        <v>26</v>
      </c>
      <c r="G1198" t="s">
        <v>27</v>
      </c>
      <c r="H1198" t="s">
        <v>7145</v>
      </c>
      <c r="I1198" t="s">
        <v>7146</v>
      </c>
      <c r="J1198" t="s">
        <v>26</v>
      </c>
      <c r="K1198" t="s">
        <v>26</v>
      </c>
      <c r="L1198" t="s">
        <v>7147</v>
      </c>
      <c r="M1198" t="s">
        <v>25</v>
      </c>
      <c r="N1198" t="s">
        <v>2506</v>
      </c>
      <c r="O1198" t="s">
        <v>2507</v>
      </c>
      <c r="P1198" t="s">
        <v>2304</v>
      </c>
      <c r="Q1198" t="s">
        <v>2305</v>
      </c>
      <c r="R1198">
        <v>166860</v>
      </c>
      <c r="S1198">
        <v>0</v>
      </c>
      <c r="T1198">
        <v>166860</v>
      </c>
      <c r="U1198" t="s">
        <v>35</v>
      </c>
      <c r="V1198" t="s">
        <v>2508</v>
      </c>
      <c r="W1198" t="s">
        <v>2306</v>
      </c>
      <c r="X1198" s="4">
        <v>1</v>
      </c>
      <c r="Y1198" s="4"/>
      <c r="Z1198">
        <f t="shared" si="72"/>
        <v>8</v>
      </c>
      <c r="AA1198">
        <f t="shared" si="73"/>
        <v>10</v>
      </c>
      <c r="AB1198" s="5">
        <f t="shared" si="74"/>
        <v>0.31771990740526235</v>
      </c>
      <c r="AC1198" s="3">
        <f t="shared" si="75"/>
        <v>9.0277777781011537E-2</v>
      </c>
      <c r="AD1198" t="str" cm="1">
        <f t="array" ref="AD1198">IFERROR(_xlfn.IFS(
    AC1198="", "",
    AC1198*86400 &lt; 30, "1. 0s - &lt;30s",
    AC1198*86400 &lt; 60, "2. 30s - &lt;1m",
    AC1198*86400 &lt; 300, "3. 1m - &lt;5m",
    AC1198*86400 &lt; 1800, "4. 5m - &lt;30m",
    TRUE, "5. &gt;= 30m"
),"6. Invalid (Order rejected)")</f>
        <v>5. &gt;= 30m</v>
      </c>
    </row>
    <row r="1199" spans="1:30" x14ac:dyDescent="0.3">
      <c r="A1199" t="s">
        <v>7148</v>
      </c>
      <c r="B1199" t="s">
        <v>25</v>
      </c>
      <c r="C1199">
        <v>43485077</v>
      </c>
      <c r="D1199">
        <v>4511101</v>
      </c>
      <c r="E1199" t="s">
        <v>25</v>
      </c>
      <c r="F1199" t="s">
        <v>75</v>
      </c>
      <c r="G1199" t="s">
        <v>360</v>
      </c>
      <c r="H1199" t="s">
        <v>7149</v>
      </c>
      <c r="I1199" t="s">
        <v>7150</v>
      </c>
      <c r="J1199" t="s">
        <v>7151</v>
      </c>
      <c r="K1199" t="s">
        <v>26</v>
      </c>
      <c r="L1199" t="s">
        <v>25</v>
      </c>
      <c r="M1199" t="s">
        <v>25</v>
      </c>
      <c r="N1199" t="s">
        <v>1113</v>
      </c>
      <c r="O1199" t="s">
        <v>1114</v>
      </c>
      <c r="P1199" t="s">
        <v>2401</v>
      </c>
      <c r="Q1199" t="s">
        <v>2402</v>
      </c>
      <c r="R1199">
        <v>217728</v>
      </c>
      <c r="S1199">
        <v>168790</v>
      </c>
      <c r="T1199">
        <v>48938</v>
      </c>
      <c r="U1199" t="s">
        <v>35</v>
      </c>
      <c r="V1199" t="s">
        <v>1115</v>
      </c>
      <c r="W1199" t="s">
        <v>2404</v>
      </c>
      <c r="X1199" s="4">
        <v>1</v>
      </c>
      <c r="Y1199" s="4"/>
      <c r="Z1199">
        <f t="shared" si="72"/>
        <v>8</v>
      </c>
      <c r="AA1199">
        <f t="shared" si="73"/>
        <v>10</v>
      </c>
      <c r="AB1199" s="5">
        <f t="shared" si="74"/>
        <v>0.31921296296059154</v>
      </c>
      <c r="AC1199" s="3" t="str">
        <f t="shared" si="75"/>
        <v>Order rejected, no time available</v>
      </c>
      <c r="AD1199" t="str" cm="1">
        <f t="array" ref="AD1199">IFERROR(_xlfn.IFS(
    AC1199="", "",
    AC1199*86400 &lt; 30, "1. 0s - &lt;30s",
    AC1199*86400 &lt; 60, "2. 30s - &lt;1m",
    AC1199*86400 &lt; 300, "3. 1m - &lt;5m",
    AC1199*86400 &lt; 1800, "4. 5m - &lt;30m",
    TRUE, "5. &gt;= 30m"
),"6. Invalid (Order rejected)")</f>
        <v>6. Invalid (Order rejected)</v>
      </c>
    </row>
    <row r="1200" spans="1:30" hidden="1" x14ac:dyDescent="0.3">
      <c r="A1200" t="s">
        <v>7152</v>
      </c>
      <c r="B1200" t="s">
        <v>25</v>
      </c>
      <c r="C1200">
        <v>43485077</v>
      </c>
      <c r="D1200">
        <v>4767625</v>
      </c>
      <c r="E1200" t="s">
        <v>25</v>
      </c>
      <c r="F1200" t="s">
        <v>75</v>
      </c>
      <c r="G1200" t="s">
        <v>491</v>
      </c>
      <c r="H1200" t="s">
        <v>7153</v>
      </c>
      <c r="I1200" t="s">
        <v>7154</v>
      </c>
      <c r="J1200" t="s">
        <v>7155</v>
      </c>
      <c r="K1200" t="s">
        <v>26</v>
      </c>
      <c r="L1200" t="s">
        <v>7156</v>
      </c>
      <c r="M1200" t="s">
        <v>25</v>
      </c>
      <c r="N1200" t="s">
        <v>2530</v>
      </c>
      <c r="O1200" t="s">
        <v>2531</v>
      </c>
      <c r="P1200" t="s">
        <v>2409</v>
      </c>
      <c r="Q1200" t="s">
        <v>2410</v>
      </c>
      <c r="R1200">
        <v>166752</v>
      </c>
      <c r="S1200">
        <v>129271</v>
      </c>
      <c r="T1200">
        <v>37481</v>
      </c>
      <c r="U1200" t="s">
        <v>35</v>
      </c>
      <c r="V1200" t="s">
        <v>2532</v>
      </c>
      <c r="W1200" t="s">
        <v>2411</v>
      </c>
      <c r="X1200" s="4">
        <v>1</v>
      </c>
      <c r="Y1200" s="4"/>
      <c r="Z1200">
        <f t="shared" si="72"/>
        <v>8</v>
      </c>
      <c r="AA1200">
        <f t="shared" si="73"/>
        <v>10</v>
      </c>
      <c r="AB1200" s="5">
        <f t="shared" si="74"/>
        <v>0.32388888888817746</v>
      </c>
      <c r="AC1200" s="3">
        <f t="shared" si="75"/>
        <v>10.007638888891961</v>
      </c>
      <c r="AD1200" t="str" cm="1">
        <f t="array" ref="AD1200">IFERROR(_xlfn.IFS(
    AC1200="", "",
    AC1200*86400 &lt; 30, "1. 0s - &lt;30s",
    AC1200*86400 &lt; 60, "2. 30s - &lt;1m",
    AC1200*86400 &lt; 300, "3. 1m - &lt;5m",
    AC1200*86400 &lt; 1800, "4. 5m - &lt;30m",
    TRUE, "5. &gt;= 30m"
),"6. Invalid (Order rejected)")</f>
        <v>5. &gt;= 30m</v>
      </c>
    </row>
    <row r="1201" spans="1:30" hidden="1" x14ac:dyDescent="0.3">
      <c r="A1201" t="s">
        <v>7157</v>
      </c>
      <c r="B1201" t="s">
        <v>25</v>
      </c>
      <c r="C1201">
        <v>43485077</v>
      </c>
      <c r="D1201">
        <v>0</v>
      </c>
      <c r="E1201" t="s">
        <v>25</v>
      </c>
      <c r="F1201" t="s">
        <v>26</v>
      </c>
      <c r="G1201" t="s">
        <v>27</v>
      </c>
      <c r="H1201" t="s">
        <v>7158</v>
      </c>
      <c r="I1201" t="s">
        <v>7159</v>
      </c>
      <c r="J1201" t="s">
        <v>26</v>
      </c>
      <c r="K1201" t="s">
        <v>26</v>
      </c>
      <c r="L1201" t="s">
        <v>7160</v>
      </c>
      <c r="M1201" t="s">
        <v>25</v>
      </c>
      <c r="N1201" t="s">
        <v>2378</v>
      </c>
      <c r="O1201" t="s">
        <v>2379</v>
      </c>
      <c r="P1201" t="s">
        <v>2331</v>
      </c>
      <c r="Q1201" t="s">
        <v>2332</v>
      </c>
      <c r="R1201">
        <v>190620</v>
      </c>
      <c r="S1201">
        <v>0</v>
      </c>
      <c r="T1201">
        <v>190620</v>
      </c>
      <c r="U1201" t="s">
        <v>35</v>
      </c>
      <c r="V1201" t="s">
        <v>2380</v>
      </c>
      <c r="W1201" t="s">
        <v>2334</v>
      </c>
      <c r="X1201" s="4">
        <v>1</v>
      </c>
      <c r="Y1201" s="4"/>
      <c r="Z1201">
        <f t="shared" si="72"/>
        <v>8</v>
      </c>
      <c r="AA1201">
        <f t="shared" si="73"/>
        <v>10</v>
      </c>
      <c r="AB1201" s="5">
        <f t="shared" si="74"/>
        <v>0.32083333333139308</v>
      </c>
      <c r="AC1201" s="3">
        <f t="shared" si="75"/>
        <v>9.0266203704231884E-2</v>
      </c>
      <c r="AD1201" t="str" cm="1">
        <f t="array" ref="AD1201">IFERROR(_xlfn.IFS(
    AC1201="", "",
    AC1201*86400 &lt; 30, "1. 0s - &lt;30s",
    AC1201*86400 &lt; 60, "2. 30s - &lt;1m",
    AC1201*86400 &lt; 300, "3. 1m - &lt;5m",
    AC1201*86400 &lt; 1800, "4. 5m - &lt;30m",
    TRUE, "5. &gt;= 30m"
),"6. Invalid (Order rejected)")</f>
        <v>5. &gt;= 30m</v>
      </c>
    </row>
    <row r="1202" spans="1:30" hidden="1" x14ac:dyDescent="0.3">
      <c r="A1202" t="s">
        <v>7161</v>
      </c>
      <c r="B1202" t="s">
        <v>25</v>
      </c>
      <c r="C1202">
        <v>43485077</v>
      </c>
      <c r="D1202">
        <v>0</v>
      </c>
      <c r="E1202" t="s">
        <v>25</v>
      </c>
      <c r="F1202" t="s">
        <v>26</v>
      </c>
      <c r="G1202" t="s">
        <v>27</v>
      </c>
      <c r="H1202" t="s">
        <v>7162</v>
      </c>
      <c r="I1202" t="s">
        <v>7163</v>
      </c>
      <c r="J1202" t="s">
        <v>26</v>
      </c>
      <c r="K1202" t="s">
        <v>26</v>
      </c>
      <c r="L1202" t="s">
        <v>7164</v>
      </c>
      <c r="M1202" t="s">
        <v>25</v>
      </c>
      <c r="N1202" t="s">
        <v>2441</v>
      </c>
      <c r="O1202" t="s">
        <v>2442</v>
      </c>
      <c r="P1202" t="s">
        <v>2304</v>
      </c>
      <c r="Q1202" t="s">
        <v>2305</v>
      </c>
      <c r="R1202">
        <v>132516</v>
      </c>
      <c r="S1202">
        <v>0</v>
      </c>
      <c r="T1202">
        <v>132516</v>
      </c>
      <c r="U1202" t="s">
        <v>35</v>
      </c>
      <c r="V1202" t="s">
        <v>2445</v>
      </c>
      <c r="W1202" t="s">
        <v>2306</v>
      </c>
      <c r="X1202" s="4">
        <v>1</v>
      </c>
      <c r="Y1202" s="4"/>
      <c r="Z1202">
        <f t="shared" si="72"/>
        <v>8</v>
      </c>
      <c r="AA1202">
        <f t="shared" si="73"/>
        <v>10</v>
      </c>
      <c r="AB1202" s="5">
        <f t="shared" si="74"/>
        <v>0.32510416666627862</v>
      </c>
      <c r="AC1202" s="3">
        <f t="shared" si="75"/>
        <v>0.15008101851708489</v>
      </c>
      <c r="AD1202" t="str" cm="1">
        <f t="array" ref="AD1202">IFERROR(_xlfn.IFS(
    AC1202="", "",
    AC1202*86400 &lt; 30, "1. 0s - &lt;30s",
    AC1202*86400 &lt; 60, "2. 30s - &lt;1m",
    AC1202*86400 &lt; 300, "3. 1m - &lt;5m",
    AC1202*86400 &lt; 1800, "4. 5m - &lt;30m",
    TRUE, "5. &gt;= 30m"
),"6. Invalid (Order rejected)")</f>
        <v>5. &gt;= 30m</v>
      </c>
    </row>
    <row r="1203" spans="1:30" x14ac:dyDescent="0.3">
      <c r="A1203" t="s">
        <v>7165</v>
      </c>
      <c r="B1203" t="s">
        <v>25</v>
      </c>
      <c r="C1203">
        <v>43485077</v>
      </c>
      <c r="D1203">
        <v>4020532</v>
      </c>
      <c r="E1203" t="s">
        <v>25</v>
      </c>
      <c r="F1203" t="s">
        <v>75</v>
      </c>
      <c r="G1203" t="s">
        <v>360</v>
      </c>
      <c r="H1203" t="s">
        <v>7166</v>
      </c>
      <c r="I1203" t="s">
        <v>7167</v>
      </c>
      <c r="J1203" t="s">
        <v>7168</v>
      </c>
      <c r="K1203" t="s">
        <v>26</v>
      </c>
      <c r="L1203" t="s">
        <v>25</v>
      </c>
      <c r="M1203" t="s">
        <v>25</v>
      </c>
      <c r="N1203" t="s">
        <v>2576</v>
      </c>
      <c r="O1203" t="s">
        <v>2577</v>
      </c>
      <c r="P1203" t="s">
        <v>3845</v>
      </c>
      <c r="Q1203" t="s">
        <v>3846</v>
      </c>
      <c r="R1203">
        <v>131328</v>
      </c>
      <c r="S1203">
        <v>101810</v>
      </c>
      <c r="T1203">
        <v>29518</v>
      </c>
      <c r="U1203" t="s">
        <v>35</v>
      </c>
      <c r="V1203" t="s">
        <v>2445</v>
      </c>
      <c r="W1203" t="s">
        <v>3848</v>
      </c>
      <c r="X1203" s="4">
        <v>1</v>
      </c>
      <c r="Y1203" s="4"/>
      <c r="Z1203">
        <f t="shared" si="72"/>
        <v>8</v>
      </c>
      <c r="AA1203">
        <f t="shared" si="73"/>
        <v>10</v>
      </c>
      <c r="AB1203" s="5">
        <f t="shared" si="74"/>
        <v>0.32658564814482816</v>
      </c>
      <c r="AC1203" s="3" t="str">
        <f t="shared" si="75"/>
        <v>Order rejected, no time available</v>
      </c>
      <c r="AD1203" t="str" cm="1">
        <f t="array" ref="AD1203">IFERROR(_xlfn.IFS(
    AC1203="", "",
    AC1203*86400 &lt; 30, "1. 0s - &lt;30s",
    AC1203*86400 &lt; 60, "2. 30s - &lt;1m",
    AC1203*86400 &lt; 300, "3. 1m - &lt;5m",
    AC1203*86400 &lt; 1800, "4. 5m - &lt;30m",
    TRUE, "5. &gt;= 30m"
),"6. Invalid (Order rejected)")</f>
        <v>6. Invalid (Order rejected)</v>
      </c>
    </row>
    <row r="1204" spans="1:30" x14ac:dyDescent="0.3">
      <c r="A1204" t="s">
        <v>7169</v>
      </c>
      <c r="B1204" t="s">
        <v>25</v>
      </c>
      <c r="C1204">
        <v>43485077</v>
      </c>
      <c r="D1204">
        <v>4756358</v>
      </c>
      <c r="E1204" t="s">
        <v>25</v>
      </c>
      <c r="F1204" t="s">
        <v>75</v>
      </c>
      <c r="G1204" t="s">
        <v>360</v>
      </c>
      <c r="H1204" t="s">
        <v>7108</v>
      </c>
      <c r="I1204" t="s">
        <v>7170</v>
      </c>
      <c r="J1204" t="s">
        <v>7171</v>
      </c>
      <c r="K1204" t="s">
        <v>26</v>
      </c>
      <c r="L1204" t="s">
        <v>25</v>
      </c>
      <c r="M1204" t="s">
        <v>25</v>
      </c>
      <c r="N1204" t="s">
        <v>2576</v>
      </c>
      <c r="O1204" t="s">
        <v>2577</v>
      </c>
      <c r="P1204" t="s">
        <v>7172</v>
      </c>
      <c r="Q1204" t="s">
        <v>7173</v>
      </c>
      <c r="R1204">
        <v>1603584</v>
      </c>
      <c r="S1204">
        <v>1243149</v>
      </c>
      <c r="T1204">
        <v>360435</v>
      </c>
      <c r="U1204" t="s">
        <v>35</v>
      </c>
      <c r="V1204" t="s">
        <v>2445</v>
      </c>
      <c r="W1204" t="s">
        <v>7174</v>
      </c>
      <c r="X1204" s="4">
        <v>1</v>
      </c>
      <c r="Y1204" s="4"/>
      <c r="Z1204">
        <f t="shared" si="72"/>
        <v>8</v>
      </c>
      <c r="AA1204">
        <f t="shared" si="73"/>
        <v>10</v>
      </c>
      <c r="AB1204" s="5">
        <f t="shared" si="74"/>
        <v>0.32744212963007158</v>
      </c>
      <c r="AC1204" s="3" t="str">
        <f t="shared" si="75"/>
        <v>Order rejected, no time available</v>
      </c>
      <c r="AD1204" t="str" cm="1">
        <f t="array" ref="AD1204">IFERROR(_xlfn.IFS(
    AC1204="", "",
    AC1204*86400 &lt; 30, "1. 0s - &lt;30s",
    AC1204*86400 &lt; 60, "2. 30s - &lt;1m",
    AC1204*86400 &lt; 300, "3. 1m - &lt;5m",
    AC1204*86400 &lt; 1800, "4. 5m - &lt;30m",
    TRUE, "5. &gt;= 30m"
),"6. Invalid (Order rejected)")</f>
        <v>6. Invalid (Order rejected)</v>
      </c>
    </row>
    <row r="1205" spans="1:30" hidden="1" x14ac:dyDescent="0.3">
      <c r="A1205" t="s">
        <v>7175</v>
      </c>
      <c r="B1205" t="s">
        <v>25</v>
      </c>
      <c r="C1205">
        <v>43485077</v>
      </c>
      <c r="D1205">
        <v>0</v>
      </c>
      <c r="E1205" t="s">
        <v>25</v>
      </c>
      <c r="F1205" t="s">
        <v>26</v>
      </c>
      <c r="G1205" t="s">
        <v>27</v>
      </c>
      <c r="H1205" t="s">
        <v>7176</v>
      </c>
      <c r="I1205" t="s">
        <v>7177</v>
      </c>
      <c r="J1205" t="s">
        <v>26</v>
      </c>
      <c r="K1205" t="s">
        <v>26</v>
      </c>
      <c r="L1205" t="s">
        <v>7178</v>
      </c>
      <c r="M1205" t="s">
        <v>25</v>
      </c>
      <c r="N1205" t="s">
        <v>987</v>
      </c>
      <c r="O1205" t="s">
        <v>988</v>
      </c>
      <c r="P1205" t="s">
        <v>2451</v>
      </c>
      <c r="Q1205" t="s">
        <v>2452</v>
      </c>
      <c r="R1205">
        <v>175608</v>
      </c>
      <c r="S1205">
        <v>0</v>
      </c>
      <c r="T1205">
        <v>175608</v>
      </c>
      <c r="U1205" t="s">
        <v>35</v>
      </c>
      <c r="V1205" t="s">
        <v>991</v>
      </c>
      <c r="W1205" t="s">
        <v>2453</v>
      </c>
      <c r="X1205" s="4">
        <v>1</v>
      </c>
      <c r="Y1205" s="4"/>
      <c r="Z1205">
        <f t="shared" si="72"/>
        <v>8</v>
      </c>
      <c r="AA1205">
        <f t="shared" si="73"/>
        <v>10</v>
      </c>
      <c r="AB1205" s="5">
        <f t="shared" si="74"/>
        <v>0.31847222222131677</v>
      </c>
      <c r="AC1205" s="3">
        <f t="shared" si="75"/>
        <v>9.0277777781011537E-2</v>
      </c>
      <c r="AD1205" t="str" cm="1">
        <f t="array" ref="AD1205">IFERROR(_xlfn.IFS(
    AC1205="", "",
    AC1205*86400 &lt; 30, "1. 0s - &lt;30s",
    AC1205*86400 &lt; 60, "2. 30s - &lt;1m",
    AC1205*86400 &lt; 300, "3. 1m - &lt;5m",
    AC1205*86400 &lt; 1800, "4. 5m - &lt;30m",
    TRUE, "5. &gt;= 30m"
),"6. Invalid (Order rejected)")</f>
        <v>5. &gt;= 30m</v>
      </c>
    </row>
    <row r="1206" spans="1:30" hidden="1" x14ac:dyDescent="0.3">
      <c r="A1206" t="s">
        <v>7179</v>
      </c>
      <c r="B1206" t="s">
        <v>25</v>
      </c>
      <c r="C1206">
        <v>43485077</v>
      </c>
      <c r="D1206">
        <v>0</v>
      </c>
      <c r="E1206" t="s">
        <v>25</v>
      </c>
      <c r="F1206" t="s">
        <v>26</v>
      </c>
      <c r="G1206" t="s">
        <v>27</v>
      </c>
      <c r="H1206" t="s">
        <v>7180</v>
      </c>
      <c r="I1206" t="s">
        <v>7181</v>
      </c>
      <c r="J1206" t="s">
        <v>26</v>
      </c>
      <c r="K1206" t="s">
        <v>26</v>
      </c>
      <c r="L1206" t="s">
        <v>7182</v>
      </c>
      <c r="M1206" t="s">
        <v>25</v>
      </c>
      <c r="N1206" t="s">
        <v>987</v>
      </c>
      <c r="O1206" t="s">
        <v>988</v>
      </c>
      <c r="P1206" t="s">
        <v>2339</v>
      </c>
      <c r="Q1206" t="s">
        <v>2340</v>
      </c>
      <c r="R1206">
        <v>224964</v>
      </c>
      <c r="S1206">
        <v>0</v>
      </c>
      <c r="T1206">
        <v>224964</v>
      </c>
      <c r="U1206" t="s">
        <v>35</v>
      </c>
      <c r="V1206" t="s">
        <v>991</v>
      </c>
      <c r="W1206" t="s">
        <v>2341</v>
      </c>
      <c r="X1206" s="4">
        <v>1</v>
      </c>
      <c r="Y1206" s="4"/>
      <c r="Z1206">
        <f t="shared" si="72"/>
        <v>8</v>
      </c>
      <c r="AA1206">
        <f t="shared" si="73"/>
        <v>10</v>
      </c>
      <c r="AB1206" s="5">
        <f t="shared" si="74"/>
        <v>0.31891203703708015</v>
      </c>
      <c r="AC1206" s="3">
        <f t="shared" si="75"/>
        <v>9.0277777781011537E-2</v>
      </c>
      <c r="AD1206" t="str" cm="1">
        <f t="array" ref="AD1206">IFERROR(_xlfn.IFS(
    AC1206="", "",
    AC1206*86400 &lt; 30, "1. 0s - &lt;30s",
    AC1206*86400 &lt; 60, "2. 30s - &lt;1m",
    AC1206*86400 &lt; 300, "3. 1m - &lt;5m",
    AC1206*86400 &lt; 1800, "4. 5m - &lt;30m",
    TRUE, "5. &gt;= 30m"
),"6. Invalid (Order rejected)")</f>
        <v>5. &gt;= 30m</v>
      </c>
    </row>
    <row r="1207" spans="1:30" hidden="1" x14ac:dyDescent="0.3">
      <c r="A1207" t="s">
        <v>7183</v>
      </c>
      <c r="B1207" t="s">
        <v>25</v>
      </c>
      <c r="C1207">
        <v>43485077</v>
      </c>
      <c r="D1207">
        <v>4580625</v>
      </c>
      <c r="E1207" t="s">
        <v>25</v>
      </c>
      <c r="F1207" t="s">
        <v>75</v>
      </c>
      <c r="G1207" t="s">
        <v>409</v>
      </c>
      <c r="H1207" t="s">
        <v>7184</v>
      </c>
      <c r="I1207" t="s">
        <v>7185</v>
      </c>
      <c r="J1207" t="s">
        <v>2768</v>
      </c>
      <c r="K1207" t="s">
        <v>26</v>
      </c>
      <c r="L1207" t="s">
        <v>25</v>
      </c>
      <c r="M1207" t="s">
        <v>7186</v>
      </c>
      <c r="N1207" t="s">
        <v>2601</v>
      </c>
      <c r="O1207" t="s">
        <v>2602</v>
      </c>
      <c r="P1207" t="s">
        <v>2628</v>
      </c>
      <c r="Q1207" t="s">
        <v>2629</v>
      </c>
      <c r="R1207">
        <v>130356</v>
      </c>
      <c r="S1207">
        <v>101056</v>
      </c>
      <c r="T1207">
        <v>29300</v>
      </c>
      <c r="U1207" t="s">
        <v>35</v>
      </c>
      <c r="V1207" t="s">
        <v>2605</v>
      </c>
      <c r="W1207" t="s">
        <v>2630</v>
      </c>
      <c r="X1207" s="4">
        <v>1</v>
      </c>
      <c r="Y1207" s="4"/>
      <c r="Z1207">
        <f t="shared" si="72"/>
        <v>8</v>
      </c>
      <c r="AA1207">
        <f t="shared" si="73"/>
        <v>10</v>
      </c>
      <c r="AB1207" s="5">
        <f t="shared" si="74"/>
        <v>0.32600694444408873</v>
      </c>
      <c r="AC1207" s="3">
        <f t="shared" si="75"/>
        <v>10.007337962961174</v>
      </c>
      <c r="AD1207" t="str" cm="1">
        <f t="array" ref="AD1207">IFERROR(_xlfn.IFS(
    AC1207="", "",
    AC1207*86400 &lt; 30, "1. 0s - &lt;30s",
    AC1207*86400 &lt; 60, "2. 30s - &lt;1m",
    AC1207*86400 &lt; 300, "3. 1m - &lt;5m",
    AC1207*86400 &lt; 1800, "4. 5m - &lt;30m",
    TRUE, "5. &gt;= 30m"
),"6. Invalid (Order rejected)")</f>
        <v>5. &gt;= 30m</v>
      </c>
    </row>
    <row r="1208" spans="1:30" hidden="1" x14ac:dyDescent="0.3">
      <c r="A1208" t="s">
        <v>7187</v>
      </c>
      <c r="B1208" t="s">
        <v>25</v>
      </c>
      <c r="C1208">
        <v>43376946</v>
      </c>
      <c r="D1208">
        <v>4411069</v>
      </c>
      <c r="E1208" t="s">
        <v>25</v>
      </c>
      <c r="F1208" t="s">
        <v>75</v>
      </c>
      <c r="G1208" t="s">
        <v>76</v>
      </c>
      <c r="H1208" t="s">
        <v>7188</v>
      </c>
      <c r="I1208" t="s">
        <v>2616</v>
      </c>
      <c r="J1208" t="s">
        <v>7189</v>
      </c>
      <c r="K1208" t="s">
        <v>26</v>
      </c>
      <c r="L1208" t="s">
        <v>7190</v>
      </c>
      <c r="M1208" t="s">
        <v>25</v>
      </c>
      <c r="N1208" t="s">
        <v>2758</v>
      </c>
      <c r="O1208" t="s">
        <v>2759</v>
      </c>
      <c r="P1208" t="s">
        <v>2760</v>
      </c>
      <c r="Q1208" t="s">
        <v>2761</v>
      </c>
      <c r="R1208">
        <v>379296</v>
      </c>
      <c r="S1208">
        <v>294042</v>
      </c>
      <c r="T1208">
        <v>85254</v>
      </c>
      <c r="U1208" t="s">
        <v>35</v>
      </c>
      <c r="V1208" t="s">
        <v>2762</v>
      </c>
      <c r="W1208" t="s">
        <v>2763</v>
      </c>
      <c r="X1208" s="4">
        <v>1</v>
      </c>
      <c r="Y1208" s="4"/>
      <c r="Z1208">
        <f t="shared" si="72"/>
        <v>8</v>
      </c>
      <c r="AA1208">
        <f t="shared" si="73"/>
        <v>10</v>
      </c>
      <c r="AB1208" s="5">
        <f t="shared" si="74"/>
        <v>0.32781249999970896</v>
      </c>
      <c r="AC1208" s="3">
        <f t="shared" si="75"/>
        <v>1.7986111110076308E-2</v>
      </c>
      <c r="AD1208" t="str" cm="1">
        <f t="array" ref="AD1208">IFERROR(_xlfn.IFS(
    AC1208="", "",
    AC1208*86400 &lt; 30, "1. 0s - &lt;30s",
    AC1208*86400 &lt; 60, "2. 30s - &lt;1m",
    AC1208*86400 &lt; 300, "3. 1m - &lt;5m",
    AC1208*86400 &lt; 1800, "4. 5m - &lt;30m",
    TRUE, "5. &gt;= 30m"
),"6. Invalid (Order rejected)")</f>
        <v>4. 5m - &lt;30m</v>
      </c>
    </row>
    <row r="1209" spans="1:30" x14ac:dyDescent="0.3">
      <c r="A1209" t="s">
        <v>7191</v>
      </c>
      <c r="B1209" t="s">
        <v>25</v>
      </c>
      <c r="C1209">
        <v>43485077</v>
      </c>
      <c r="D1209">
        <v>466809</v>
      </c>
      <c r="E1209" t="s">
        <v>25</v>
      </c>
      <c r="F1209" t="s">
        <v>75</v>
      </c>
      <c r="G1209" t="s">
        <v>360</v>
      </c>
      <c r="H1209" t="s">
        <v>7192</v>
      </c>
      <c r="I1209" t="s">
        <v>7193</v>
      </c>
      <c r="J1209" t="s">
        <v>7194</v>
      </c>
      <c r="K1209" t="s">
        <v>26</v>
      </c>
      <c r="L1209" t="s">
        <v>25</v>
      </c>
      <c r="M1209" t="s">
        <v>25</v>
      </c>
      <c r="N1209" t="s">
        <v>2492</v>
      </c>
      <c r="O1209" t="s">
        <v>2493</v>
      </c>
      <c r="P1209" t="s">
        <v>2711</v>
      </c>
      <c r="Q1209" t="s">
        <v>2712</v>
      </c>
      <c r="R1209">
        <v>196020</v>
      </c>
      <c r="S1209">
        <v>151961</v>
      </c>
      <c r="T1209">
        <v>44059</v>
      </c>
      <c r="U1209" t="s">
        <v>35</v>
      </c>
      <c r="V1209" t="s">
        <v>2494</v>
      </c>
      <c r="W1209" t="s">
        <v>2713</v>
      </c>
      <c r="X1209" s="4">
        <v>1</v>
      </c>
      <c r="Y1209" s="4"/>
      <c r="Z1209">
        <f t="shared" si="72"/>
        <v>8</v>
      </c>
      <c r="AA1209">
        <f t="shared" si="73"/>
        <v>10</v>
      </c>
      <c r="AB1209" s="5">
        <f t="shared" si="74"/>
        <v>0.33287037037371192</v>
      </c>
      <c r="AC1209" s="3" t="str">
        <f t="shared" si="75"/>
        <v>Order rejected, no time available</v>
      </c>
      <c r="AD1209" t="str" cm="1">
        <f t="array" ref="AD1209">IFERROR(_xlfn.IFS(
    AC1209="", "",
    AC1209*86400 &lt; 30, "1. 0s - &lt;30s",
    AC1209*86400 &lt; 60, "2. 30s - &lt;1m",
    AC1209*86400 &lt; 300, "3. 1m - &lt;5m",
    AC1209*86400 &lt; 1800, "4. 5m - &lt;30m",
    TRUE, "5. &gt;= 30m"
),"6. Invalid (Order rejected)")</f>
        <v>6. Invalid (Order rejected)</v>
      </c>
    </row>
    <row r="1210" spans="1:30" hidden="1" x14ac:dyDescent="0.3">
      <c r="A1210" t="s">
        <v>7195</v>
      </c>
      <c r="B1210" t="s">
        <v>25</v>
      </c>
      <c r="C1210">
        <v>43485077</v>
      </c>
      <c r="D1210">
        <v>0</v>
      </c>
      <c r="E1210" t="s">
        <v>25</v>
      </c>
      <c r="F1210" t="s">
        <v>26</v>
      </c>
      <c r="G1210" t="s">
        <v>27</v>
      </c>
      <c r="H1210" t="s">
        <v>7196</v>
      </c>
      <c r="I1210" t="s">
        <v>7197</v>
      </c>
      <c r="J1210" t="s">
        <v>26</v>
      </c>
      <c r="K1210" t="s">
        <v>26</v>
      </c>
      <c r="L1210" t="s">
        <v>7198</v>
      </c>
      <c r="M1210" t="s">
        <v>25</v>
      </c>
      <c r="N1210" t="s">
        <v>2601</v>
      </c>
      <c r="O1210" t="s">
        <v>2602</v>
      </c>
      <c r="P1210" t="s">
        <v>7199</v>
      </c>
      <c r="Q1210" t="s">
        <v>7200</v>
      </c>
      <c r="R1210">
        <v>149472</v>
      </c>
      <c r="S1210">
        <v>0</v>
      </c>
      <c r="T1210">
        <v>149472</v>
      </c>
      <c r="U1210" t="s">
        <v>35</v>
      </c>
      <c r="V1210" t="s">
        <v>2605</v>
      </c>
      <c r="W1210" t="s">
        <v>7201</v>
      </c>
      <c r="X1210" s="4">
        <v>1</v>
      </c>
      <c r="Y1210" s="4"/>
      <c r="Z1210">
        <f t="shared" si="72"/>
        <v>8</v>
      </c>
      <c r="AA1210">
        <f t="shared" si="73"/>
        <v>10</v>
      </c>
      <c r="AB1210" s="5">
        <f t="shared" si="74"/>
        <v>0.32562499999767169</v>
      </c>
      <c r="AC1210" s="3">
        <f t="shared" si="75"/>
        <v>9.0277777781011537E-2</v>
      </c>
      <c r="AD1210" t="str" cm="1">
        <f t="array" ref="AD1210">IFERROR(_xlfn.IFS(
    AC1210="", "",
    AC1210*86400 &lt; 30, "1. 0s - &lt;30s",
    AC1210*86400 &lt; 60, "2. 30s - &lt;1m",
    AC1210*86400 &lt; 300, "3. 1m - &lt;5m",
    AC1210*86400 &lt; 1800, "4. 5m - &lt;30m",
    TRUE, "5. &gt;= 30m"
),"6. Invalid (Order rejected)")</f>
        <v>5. &gt;= 30m</v>
      </c>
    </row>
    <row r="1211" spans="1:30" x14ac:dyDescent="0.3">
      <c r="A1211" t="s">
        <v>7202</v>
      </c>
      <c r="B1211" t="s">
        <v>25</v>
      </c>
      <c r="C1211">
        <v>43376946</v>
      </c>
      <c r="D1211">
        <v>4468555</v>
      </c>
      <c r="E1211" t="s">
        <v>25</v>
      </c>
      <c r="F1211" t="s">
        <v>75</v>
      </c>
      <c r="G1211" t="s">
        <v>360</v>
      </c>
      <c r="H1211" t="s">
        <v>7203</v>
      </c>
      <c r="I1211" t="s">
        <v>7204</v>
      </c>
      <c r="J1211" t="s">
        <v>7205</v>
      </c>
      <c r="K1211" t="s">
        <v>26</v>
      </c>
      <c r="L1211" t="s">
        <v>25</v>
      </c>
      <c r="M1211" t="s">
        <v>25</v>
      </c>
      <c r="N1211" t="s">
        <v>7206</v>
      </c>
      <c r="O1211" t="s">
        <v>7207</v>
      </c>
      <c r="P1211" t="s">
        <v>7208</v>
      </c>
      <c r="Q1211" t="s">
        <v>7209</v>
      </c>
      <c r="R1211">
        <v>351648</v>
      </c>
      <c r="S1211">
        <v>272609</v>
      </c>
      <c r="T1211">
        <v>79039</v>
      </c>
      <c r="U1211" t="s">
        <v>35</v>
      </c>
      <c r="V1211" t="s">
        <v>2170</v>
      </c>
      <c r="W1211" t="s">
        <v>3858</v>
      </c>
      <c r="X1211" s="4">
        <v>1</v>
      </c>
      <c r="Y1211" s="4"/>
      <c r="Z1211">
        <f t="shared" si="72"/>
        <v>8</v>
      </c>
      <c r="AA1211">
        <f t="shared" si="73"/>
        <v>10</v>
      </c>
      <c r="AB1211" s="5">
        <f t="shared" si="74"/>
        <v>0.32738425926072523</v>
      </c>
      <c r="AC1211" s="3" t="str">
        <f t="shared" si="75"/>
        <v>Order rejected, no time available</v>
      </c>
      <c r="AD1211" t="str" cm="1">
        <f t="array" ref="AD1211">IFERROR(_xlfn.IFS(
    AC1211="", "",
    AC1211*86400 &lt; 30, "1. 0s - &lt;30s",
    AC1211*86400 &lt; 60, "2. 30s - &lt;1m",
    AC1211*86400 &lt; 300, "3. 1m - &lt;5m",
    AC1211*86400 &lt; 1800, "4. 5m - &lt;30m",
    TRUE, "5. &gt;= 30m"
),"6. Invalid (Order rejected)")</f>
        <v>6. Invalid (Order rejected)</v>
      </c>
    </row>
    <row r="1212" spans="1:30" x14ac:dyDescent="0.3">
      <c r="A1212" t="s">
        <v>7210</v>
      </c>
      <c r="B1212" t="s">
        <v>25</v>
      </c>
      <c r="C1212">
        <v>43485077</v>
      </c>
      <c r="D1212">
        <v>1153586</v>
      </c>
      <c r="E1212" t="s">
        <v>25</v>
      </c>
      <c r="F1212" t="s">
        <v>75</v>
      </c>
      <c r="G1212" t="s">
        <v>360</v>
      </c>
      <c r="H1212" t="s">
        <v>7211</v>
      </c>
      <c r="I1212" t="s">
        <v>7212</v>
      </c>
      <c r="J1212" t="s">
        <v>7213</v>
      </c>
      <c r="K1212" t="s">
        <v>26</v>
      </c>
      <c r="L1212" t="s">
        <v>25</v>
      </c>
      <c r="M1212" t="s">
        <v>25</v>
      </c>
      <c r="N1212" t="s">
        <v>2576</v>
      </c>
      <c r="O1212" t="s">
        <v>2577</v>
      </c>
      <c r="P1212" t="s">
        <v>2639</v>
      </c>
      <c r="Q1212" t="s">
        <v>2640</v>
      </c>
      <c r="R1212">
        <v>151308</v>
      </c>
      <c r="S1212">
        <v>117299</v>
      </c>
      <c r="T1212">
        <v>34009</v>
      </c>
      <c r="U1212" t="s">
        <v>35</v>
      </c>
      <c r="V1212" t="s">
        <v>2445</v>
      </c>
      <c r="W1212" t="s">
        <v>2641</v>
      </c>
      <c r="X1212" s="4">
        <v>1</v>
      </c>
      <c r="Y1212" s="4"/>
      <c r="Z1212">
        <f t="shared" si="72"/>
        <v>8</v>
      </c>
      <c r="AA1212">
        <f t="shared" si="73"/>
        <v>10</v>
      </c>
      <c r="AB1212" s="5">
        <f t="shared" si="74"/>
        <v>0.32679398148320615</v>
      </c>
      <c r="AC1212" s="3" t="str">
        <f t="shared" si="75"/>
        <v>Order rejected, no time available</v>
      </c>
      <c r="AD1212" t="str" cm="1">
        <f t="array" ref="AD1212">IFERROR(_xlfn.IFS(
    AC1212="", "",
    AC1212*86400 &lt; 30, "1. 0s - &lt;30s",
    AC1212*86400 &lt; 60, "2. 30s - &lt;1m",
    AC1212*86400 &lt; 300, "3. 1m - &lt;5m",
    AC1212*86400 &lt; 1800, "4. 5m - &lt;30m",
    TRUE, "5. &gt;= 30m"
),"6. Invalid (Order rejected)")</f>
        <v>6. Invalid (Order rejected)</v>
      </c>
    </row>
    <row r="1213" spans="1:30" hidden="1" x14ac:dyDescent="0.3">
      <c r="A1213" t="s">
        <v>7214</v>
      </c>
      <c r="B1213" t="s">
        <v>25</v>
      </c>
      <c r="C1213">
        <v>43485077</v>
      </c>
      <c r="D1213">
        <v>0</v>
      </c>
      <c r="E1213" t="s">
        <v>25</v>
      </c>
      <c r="F1213" t="s">
        <v>26</v>
      </c>
      <c r="G1213" t="s">
        <v>27</v>
      </c>
      <c r="H1213" t="s">
        <v>7215</v>
      </c>
      <c r="I1213" t="s">
        <v>7216</v>
      </c>
      <c r="J1213" t="s">
        <v>26</v>
      </c>
      <c r="K1213" t="s">
        <v>26</v>
      </c>
      <c r="L1213" t="s">
        <v>7217</v>
      </c>
      <c r="M1213" t="s">
        <v>25</v>
      </c>
      <c r="N1213" t="s">
        <v>2492</v>
      </c>
      <c r="O1213" t="s">
        <v>2493</v>
      </c>
      <c r="P1213" t="s">
        <v>2704</v>
      </c>
      <c r="Q1213" t="s">
        <v>2705</v>
      </c>
      <c r="R1213">
        <v>162972</v>
      </c>
      <c r="S1213">
        <v>0</v>
      </c>
      <c r="T1213">
        <v>162972</v>
      </c>
      <c r="U1213" t="s">
        <v>35</v>
      </c>
      <c r="V1213" t="s">
        <v>2494</v>
      </c>
      <c r="W1213" t="s">
        <v>2706</v>
      </c>
      <c r="X1213" s="4">
        <v>1</v>
      </c>
      <c r="Y1213" s="4"/>
      <c r="Z1213">
        <f t="shared" si="72"/>
        <v>8</v>
      </c>
      <c r="AA1213">
        <f t="shared" si="73"/>
        <v>10</v>
      </c>
      <c r="AB1213" s="5">
        <f t="shared" si="74"/>
        <v>0.33482638889108784</v>
      </c>
      <c r="AC1213" s="3">
        <f t="shared" si="75"/>
        <v>9.0277777773735579E-2</v>
      </c>
      <c r="AD1213" t="str" cm="1">
        <f t="array" ref="AD1213">IFERROR(_xlfn.IFS(
    AC1213="", "",
    AC1213*86400 &lt; 30, "1. 0s - &lt;30s",
    AC1213*86400 &lt; 60, "2. 30s - &lt;1m",
    AC1213*86400 &lt; 300, "3. 1m - &lt;5m",
    AC1213*86400 &lt; 1800, "4. 5m - &lt;30m",
    TRUE, "5. &gt;= 30m"
),"6. Invalid (Order rejected)")</f>
        <v>5. &gt;= 30m</v>
      </c>
    </row>
    <row r="1214" spans="1:30" hidden="1" x14ac:dyDescent="0.3">
      <c r="A1214" t="s">
        <v>7218</v>
      </c>
      <c r="B1214" t="s">
        <v>25</v>
      </c>
      <c r="C1214">
        <v>43485077</v>
      </c>
      <c r="D1214">
        <v>0</v>
      </c>
      <c r="E1214" t="s">
        <v>25</v>
      </c>
      <c r="F1214" t="s">
        <v>26</v>
      </c>
      <c r="G1214" t="s">
        <v>27</v>
      </c>
      <c r="H1214" t="s">
        <v>7219</v>
      </c>
      <c r="I1214" t="s">
        <v>7220</v>
      </c>
      <c r="J1214" t="s">
        <v>26</v>
      </c>
      <c r="K1214" t="s">
        <v>26</v>
      </c>
      <c r="L1214" t="s">
        <v>7221</v>
      </c>
      <c r="M1214" t="s">
        <v>25</v>
      </c>
      <c r="N1214" t="s">
        <v>2492</v>
      </c>
      <c r="O1214" t="s">
        <v>2493</v>
      </c>
      <c r="P1214" t="s">
        <v>2718</v>
      </c>
      <c r="Q1214" t="s">
        <v>2719</v>
      </c>
      <c r="R1214">
        <v>155628</v>
      </c>
      <c r="S1214">
        <v>0</v>
      </c>
      <c r="T1214">
        <v>155628</v>
      </c>
      <c r="U1214" t="s">
        <v>35</v>
      </c>
      <c r="V1214" t="s">
        <v>2494</v>
      </c>
      <c r="W1214" t="s">
        <v>2720</v>
      </c>
      <c r="X1214" s="4">
        <v>1</v>
      </c>
      <c r="Y1214" s="4"/>
      <c r="Z1214">
        <f t="shared" si="72"/>
        <v>8</v>
      </c>
      <c r="AA1214">
        <f t="shared" si="73"/>
        <v>10</v>
      </c>
      <c r="AB1214" s="5">
        <f t="shared" si="74"/>
        <v>0.33503472222218988</v>
      </c>
      <c r="AC1214" s="3">
        <f t="shared" si="75"/>
        <v>9.0277777781011537E-2</v>
      </c>
      <c r="AD1214" t="str" cm="1">
        <f t="array" ref="AD1214">IFERROR(_xlfn.IFS(
    AC1214="", "",
    AC1214*86400 &lt; 30, "1. 0s - &lt;30s",
    AC1214*86400 &lt; 60, "2. 30s - &lt;1m",
    AC1214*86400 &lt; 300, "3. 1m - &lt;5m",
    AC1214*86400 &lt; 1800, "4. 5m - &lt;30m",
    TRUE, "5. &gt;= 30m"
),"6. Invalid (Order rejected)")</f>
        <v>5. &gt;= 30m</v>
      </c>
    </row>
    <row r="1215" spans="1:30" hidden="1" x14ac:dyDescent="0.3">
      <c r="A1215" t="s">
        <v>7222</v>
      </c>
      <c r="B1215" t="s">
        <v>25</v>
      </c>
      <c r="C1215">
        <v>43485077</v>
      </c>
      <c r="D1215">
        <v>0</v>
      </c>
      <c r="E1215" t="s">
        <v>25</v>
      </c>
      <c r="F1215" t="s">
        <v>26</v>
      </c>
      <c r="G1215" t="s">
        <v>27</v>
      </c>
      <c r="H1215" t="s">
        <v>7223</v>
      </c>
      <c r="I1215" t="s">
        <v>7224</v>
      </c>
      <c r="J1215" t="s">
        <v>26</v>
      </c>
      <c r="K1215" t="s">
        <v>26</v>
      </c>
      <c r="L1215" t="s">
        <v>7225</v>
      </c>
      <c r="M1215" t="s">
        <v>25</v>
      </c>
      <c r="N1215" t="s">
        <v>2492</v>
      </c>
      <c r="O1215" t="s">
        <v>2493</v>
      </c>
      <c r="P1215" t="s">
        <v>3845</v>
      </c>
      <c r="Q1215" t="s">
        <v>3846</v>
      </c>
      <c r="R1215">
        <v>148284</v>
      </c>
      <c r="S1215">
        <v>0</v>
      </c>
      <c r="T1215">
        <v>148284</v>
      </c>
      <c r="U1215" t="s">
        <v>35</v>
      </c>
      <c r="V1215" t="s">
        <v>2494</v>
      </c>
      <c r="W1215" t="s">
        <v>3848</v>
      </c>
      <c r="X1215" s="4">
        <v>1</v>
      </c>
      <c r="Y1215" s="4"/>
      <c r="Z1215">
        <f t="shared" si="72"/>
        <v>8</v>
      </c>
      <c r="AA1215">
        <f t="shared" si="73"/>
        <v>10</v>
      </c>
      <c r="AB1215" s="5">
        <f t="shared" si="74"/>
        <v>0.33384259259037208</v>
      </c>
      <c r="AC1215" s="3">
        <f t="shared" si="75"/>
        <v>9.0277777781011537E-2</v>
      </c>
      <c r="AD1215" t="str" cm="1">
        <f t="array" ref="AD1215">IFERROR(_xlfn.IFS(
    AC1215="", "",
    AC1215*86400 &lt; 30, "1. 0s - &lt;30s",
    AC1215*86400 &lt; 60, "2. 30s - &lt;1m",
    AC1215*86400 &lt; 300, "3. 1m - &lt;5m",
    AC1215*86400 &lt; 1800, "4. 5m - &lt;30m",
    TRUE, "5. &gt;= 30m"
),"6. Invalid (Order rejected)")</f>
        <v>5. &gt;= 30m</v>
      </c>
    </row>
    <row r="1216" spans="1:30" hidden="1" x14ac:dyDescent="0.3">
      <c r="A1216" t="s">
        <v>7226</v>
      </c>
      <c r="B1216" t="s">
        <v>25</v>
      </c>
      <c r="C1216">
        <v>43376946</v>
      </c>
      <c r="D1216">
        <v>4629889</v>
      </c>
      <c r="E1216" t="s">
        <v>7227</v>
      </c>
      <c r="F1216" t="s">
        <v>75</v>
      </c>
      <c r="G1216" t="s">
        <v>76</v>
      </c>
      <c r="H1216" t="s">
        <v>7228</v>
      </c>
      <c r="I1216" t="s">
        <v>7229</v>
      </c>
      <c r="J1216" t="s">
        <v>7230</v>
      </c>
      <c r="K1216" t="s">
        <v>26</v>
      </c>
      <c r="L1216" t="s">
        <v>7231</v>
      </c>
      <c r="M1216" t="s">
        <v>25</v>
      </c>
      <c r="N1216" t="s">
        <v>7232</v>
      </c>
      <c r="O1216" t="s">
        <v>7233</v>
      </c>
      <c r="P1216" t="s">
        <v>7234</v>
      </c>
      <c r="Q1216" t="s">
        <v>7235</v>
      </c>
      <c r="R1216">
        <v>414936</v>
      </c>
      <c r="S1216">
        <v>321671</v>
      </c>
      <c r="T1216">
        <v>93265</v>
      </c>
      <c r="U1216" t="s">
        <v>35</v>
      </c>
      <c r="V1216" t="s">
        <v>7236</v>
      </c>
      <c r="W1216" t="s">
        <v>7237</v>
      </c>
      <c r="X1216" s="4">
        <v>1</v>
      </c>
      <c r="Y1216" s="4"/>
      <c r="Z1216">
        <f t="shared" si="72"/>
        <v>8</v>
      </c>
      <c r="AA1216">
        <f t="shared" si="73"/>
        <v>10</v>
      </c>
      <c r="AB1216" s="5">
        <f t="shared" si="74"/>
        <v>0.33298611111240461</v>
      </c>
      <c r="AC1216" s="3">
        <f t="shared" si="75"/>
        <v>1.8923611110949423E-2</v>
      </c>
      <c r="AD1216" t="str" cm="1">
        <f t="array" ref="AD1216">IFERROR(_xlfn.IFS(
    AC1216="", "",
    AC1216*86400 &lt; 30, "1. 0s - &lt;30s",
    AC1216*86400 &lt; 60, "2. 30s - &lt;1m",
    AC1216*86400 &lt; 300, "3. 1m - &lt;5m",
    AC1216*86400 &lt; 1800, "4. 5m - &lt;30m",
    TRUE, "5. &gt;= 30m"
),"6. Invalid (Order rejected)")</f>
        <v>4. 5m - &lt;30m</v>
      </c>
    </row>
    <row r="1217" spans="1:30" hidden="1" x14ac:dyDescent="0.3">
      <c r="A1217" t="s">
        <v>7238</v>
      </c>
      <c r="B1217" t="s">
        <v>25</v>
      </c>
      <c r="C1217">
        <v>43485077</v>
      </c>
      <c r="D1217">
        <v>0</v>
      </c>
      <c r="E1217" t="s">
        <v>25</v>
      </c>
      <c r="F1217" t="s">
        <v>26</v>
      </c>
      <c r="G1217" t="s">
        <v>27</v>
      </c>
      <c r="H1217" t="s">
        <v>7239</v>
      </c>
      <c r="I1217" t="s">
        <v>7240</v>
      </c>
      <c r="J1217" t="s">
        <v>26</v>
      </c>
      <c r="K1217" t="s">
        <v>26</v>
      </c>
      <c r="L1217" t="s">
        <v>7241</v>
      </c>
      <c r="M1217" t="s">
        <v>25</v>
      </c>
      <c r="N1217" t="s">
        <v>7242</v>
      </c>
      <c r="O1217" t="s">
        <v>7243</v>
      </c>
      <c r="P1217" t="s">
        <v>7244</v>
      </c>
      <c r="Q1217" t="s">
        <v>7245</v>
      </c>
      <c r="R1217">
        <v>2349324</v>
      </c>
      <c r="S1217">
        <v>0</v>
      </c>
      <c r="T1217">
        <v>2349324</v>
      </c>
      <c r="U1217" t="s">
        <v>35</v>
      </c>
      <c r="V1217" t="s">
        <v>7246</v>
      </c>
      <c r="W1217" t="s">
        <v>7247</v>
      </c>
      <c r="X1217" s="4">
        <v>1</v>
      </c>
      <c r="Y1217" s="4"/>
      <c r="Z1217">
        <f t="shared" si="72"/>
        <v>8</v>
      </c>
      <c r="AA1217">
        <f t="shared" si="73"/>
        <v>10</v>
      </c>
      <c r="AB1217" s="5">
        <f t="shared" si="74"/>
        <v>0.32835648148466134</v>
      </c>
      <c r="AC1217" s="3">
        <f t="shared" si="75"/>
        <v>9.0277777773735579E-2</v>
      </c>
      <c r="AD1217" t="str" cm="1">
        <f t="array" ref="AD1217">IFERROR(_xlfn.IFS(
    AC1217="", "",
    AC1217*86400 &lt; 30, "1. 0s - &lt;30s",
    AC1217*86400 &lt; 60, "2. 30s - &lt;1m",
    AC1217*86400 &lt; 300, "3. 1m - &lt;5m",
    AC1217*86400 &lt; 1800, "4. 5m - &lt;30m",
    TRUE, "5. &gt;= 30m"
),"6. Invalid (Order rejected)")</f>
        <v>5. &gt;= 30m</v>
      </c>
    </row>
    <row r="1218" spans="1:30" hidden="1" x14ac:dyDescent="0.3">
      <c r="A1218" t="s">
        <v>7248</v>
      </c>
      <c r="B1218" t="s">
        <v>25</v>
      </c>
      <c r="C1218">
        <v>43485077</v>
      </c>
      <c r="D1218">
        <v>0</v>
      </c>
      <c r="E1218" t="s">
        <v>25</v>
      </c>
      <c r="F1218" t="s">
        <v>26</v>
      </c>
      <c r="G1218" t="s">
        <v>27</v>
      </c>
      <c r="H1218" t="s">
        <v>7249</v>
      </c>
      <c r="I1218" t="s">
        <v>7250</v>
      </c>
      <c r="J1218" t="s">
        <v>26</v>
      </c>
      <c r="K1218" t="s">
        <v>26</v>
      </c>
      <c r="L1218" t="s">
        <v>7251</v>
      </c>
      <c r="M1218" t="s">
        <v>25</v>
      </c>
      <c r="N1218" t="s">
        <v>2694</v>
      </c>
      <c r="O1218" t="s">
        <v>2695</v>
      </c>
      <c r="P1218" t="s">
        <v>2603</v>
      </c>
      <c r="Q1218" t="s">
        <v>2604</v>
      </c>
      <c r="R1218">
        <v>180252</v>
      </c>
      <c r="S1218">
        <v>0</v>
      </c>
      <c r="T1218">
        <v>180252</v>
      </c>
      <c r="U1218" t="s">
        <v>35</v>
      </c>
      <c r="V1218" t="s">
        <v>2656</v>
      </c>
      <c r="W1218" t="s">
        <v>2606</v>
      </c>
      <c r="X1218" s="4">
        <v>1</v>
      </c>
      <c r="Y1218" s="4"/>
      <c r="Z1218">
        <f t="shared" si="72"/>
        <v>8</v>
      </c>
      <c r="AA1218">
        <f t="shared" si="73"/>
        <v>10</v>
      </c>
      <c r="AB1218" s="5">
        <f t="shared" si="74"/>
        <v>0.33702546296262881</v>
      </c>
      <c r="AC1218" s="3">
        <f t="shared" si="75"/>
        <v>9.0277777781011537E-2</v>
      </c>
      <c r="AD1218" t="str" cm="1">
        <f t="array" ref="AD1218">IFERROR(_xlfn.IFS(
    AC1218="", "",
    AC1218*86400 &lt; 30, "1. 0s - &lt;30s",
    AC1218*86400 &lt; 60, "2. 30s - &lt;1m",
    AC1218*86400 &lt; 300, "3. 1m - &lt;5m",
    AC1218*86400 &lt; 1800, "4. 5m - &lt;30m",
    TRUE, "5. &gt;= 30m"
),"6. Invalid (Order rejected)")</f>
        <v>5. &gt;= 30m</v>
      </c>
    </row>
    <row r="1219" spans="1:30" hidden="1" x14ac:dyDescent="0.3">
      <c r="A1219" t="s">
        <v>7252</v>
      </c>
      <c r="B1219" t="s">
        <v>25</v>
      </c>
      <c r="C1219">
        <v>43485077</v>
      </c>
      <c r="D1219">
        <v>0</v>
      </c>
      <c r="E1219" t="s">
        <v>25</v>
      </c>
      <c r="F1219" t="s">
        <v>26</v>
      </c>
      <c r="G1219" t="s">
        <v>27</v>
      </c>
      <c r="H1219" t="s">
        <v>7253</v>
      </c>
      <c r="I1219" t="s">
        <v>7254</v>
      </c>
      <c r="J1219" t="s">
        <v>26</v>
      </c>
      <c r="K1219" t="s">
        <v>26</v>
      </c>
      <c r="L1219" t="s">
        <v>7255</v>
      </c>
      <c r="M1219" t="s">
        <v>25</v>
      </c>
      <c r="N1219" t="s">
        <v>2694</v>
      </c>
      <c r="O1219" t="s">
        <v>2695</v>
      </c>
      <c r="P1219" t="s">
        <v>3845</v>
      </c>
      <c r="Q1219" t="s">
        <v>3846</v>
      </c>
      <c r="R1219">
        <v>166644</v>
      </c>
      <c r="S1219">
        <v>0</v>
      </c>
      <c r="T1219">
        <v>166644</v>
      </c>
      <c r="U1219" t="s">
        <v>35</v>
      </c>
      <c r="V1219" t="s">
        <v>2656</v>
      </c>
      <c r="W1219" t="s">
        <v>3848</v>
      </c>
      <c r="X1219" s="4">
        <v>1</v>
      </c>
      <c r="Y1219" s="4"/>
      <c r="Z1219">
        <f t="shared" ref="Z1219:Z1282" si="76">MONTH(H1219)</f>
        <v>8</v>
      </c>
      <c r="AA1219">
        <f t="shared" ref="AA1219:AA1282" si="77">DAY(H1219)</f>
        <v>10</v>
      </c>
      <c r="AB1219" s="5">
        <f t="shared" ref="AB1219:AB1282" si="78">MOD(H1219, 1)</f>
        <v>0.3372800925935735</v>
      </c>
      <c r="AC1219" s="3">
        <f t="shared" ref="AC1219:AC1282" si="79">IFERROR(IF(M1219="",L1219-H1219,M1219-H1219),"Order rejected, no time available")</f>
        <v>9.0277777773735579E-2</v>
      </c>
      <c r="AD1219" t="str" cm="1">
        <f t="array" ref="AD1219">IFERROR(_xlfn.IFS(
    AC1219="", "",
    AC1219*86400 &lt; 30, "1. 0s - &lt;30s",
    AC1219*86400 &lt; 60, "2. 30s - &lt;1m",
    AC1219*86400 &lt; 300, "3. 1m - &lt;5m",
    AC1219*86400 &lt; 1800, "4. 5m - &lt;30m",
    TRUE, "5. &gt;= 30m"
),"6. Invalid (Order rejected)")</f>
        <v>5. &gt;= 30m</v>
      </c>
    </row>
    <row r="1220" spans="1:30" hidden="1" x14ac:dyDescent="0.3">
      <c r="A1220" t="s">
        <v>7256</v>
      </c>
      <c r="B1220" t="s">
        <v>25</v>
      </c>
      <c r="C1220">
        <v>43485077</v>
      </c>
      <c r="D1220">
        <v>0</v>
      </c>
      <c r="E1220" t="s">
        <v>25</v>
      </c>
      <c r="F1220" t="s">
        <v>26</v>
      </c>
      <c r="G1220" t="s">
        <v>27</v>
      </c>
      <c r="H1220" t="s">
        <v>7257</v>
      </c>
      <c r="I1220" t="s">
        <v>7258</v>
      </c>
      <c r="J1220" t="s">
        <v>26</v>
      </c>
      <c r="K1220" t="s">
        <v>26</v>
      </c>
      <c r="L1220" t="s">
        <v>7259</v>
      </c>
      <c r="M1220" t="s">
        <v>25</v>
      </c>
      <c r="N1220" t="s">
        <v>2694</v>
      </c>
      <c r="O1220" t="s">
        <v>2695</v>
      </c>
      <c r="P1220" t="s">
        <v>2639</v>
      </c>
      <c r="Q1220" t="s">
        <v>2640</v>
      </c>
      <c r="R1220">
        <v>184680</v>
      </c>
      <c r="S1220">
        <v>0</v>
      </c>
      <c r="T1220">
        <v>184680</v>
      </c>
      <c r="U1220" t="s">
        <v>35</v>
      </c>
      <c r="V1220" t="s">
        <v>2656</v>
      </c>
      <c r="W1220" t="s">
        <v>2641</v>
      </c>
      <c r="X1220" s="4">
        <v>1</v>
      </c>
      <c r="Y1220" s="4"/>
      <c r="Z1220">
        <f t="shared" si="76"/>
        <v>8</v>
      </c>
      <c r="AA1220">
        <f t="shared" si="77"/>
        <v>10</v>
      </c>
      <c r="AB1220" s="5">
        <f t="shared" si="78"/>
        <v>0.33754629629402189</v>
      </c>
      <c r="AC1220" s="3">
        <f t="shared" si="79"/>
        <v>9.0277777781011537E-2</v>
      </c>
      <c r="AD1220" t="str" cm="1">
        <f t="array" ref="AD1220">IFERROR(_xlfn.IFS(
    AC1220="", "",
    AC1220*86400 &lt; 30, "1. 0s - &lt;30s",
    AC1220*86400 &lt; 60, "2. 30s - &lt;1m",
    AC1220*86400 &lt; 300, "3. 1m - &lt;5m",
    AC1220*86400 &lt; 1800, "4. 5m - &lt;30m",
    TRUE, "5. &gt;= 30m"
),"6. Invalid (Order rejected)")</f>
        <v>5. &gt;= 30m</v>
      </c>
    </row>
    <row r="1221" spans="1:30" x14ac:dyDescent="0.3">
      <c r="A1221" t="s">
        <v>7260</v>
      </c>
      <c r="B1221" t="s">
        <v>25</v>
      </c>
      <c r="C1221">
        <v>43485077</v>
      </c>
      <c r="D1221">
        <v>4135833</v>
      </c>
      <c r="E1221" t="s">
        <v>25</v>
      </c>
      <c r="F1221" t="s">
        <v>75</v>
      </c>
      <c r="G1221" t="s">
        <v>360</v>
      </c>
      <c r="H1221" t="s">
        <v>7261</v>
      </c>
      <c r="I1221" t="s">
        <v>7262</v>
      </c>
      <c r="J1221" t="s">
        <v>7263</v>
      </c>
      <c r="K1221" t="s">
        <v>26</v>
      </c>
      <c r="L1221" t="s">
        <v>25</v>
      </c>
      <c r="M1221" t="s">
        <v>25</v>
      </c>
      <c r="N1221" t="s">
        <v>2694</v>
      </c>
      <c r="O1221" t="s">
        <v>2695</v>
      </c>
      <c r="P1221" t="s">
        <v>2687</v>
      </c>
      <c r="Q1221" t="s">
        <v>2688</v>
      </c>
      <c r="R1221">
        <v>244620</v>
      </c>
      <c r="S1221">
        <v>189637</v>
      </c>
      <c r="T1221">
        <v>54983</v>
      </c>
      <c r="U1221" t="s">
        <v>35</v>
      </c>
      <c r="V1221" t="s">
        <v>2656</v>
      </c>
      <c r="W1221" t="s">
        <v>2689</v>
      </c>
      <c r="X1221" s="4">
        <v>1</v>
      </c>
      <c r="Y1221" s="4"/>
      <c r="Z1221">
        <f t="shared" si="76"/>
        <v>8</v>
      </c>
      <c r="AA1221">
        <f t="shared" si="77"/>
        <v>10</v>
      </c>
      <c r="AB1221" s="5">
        <f t="shared" si="78"/>
        <v>0.33884259259502869</v>
      </c>
      <c r="AC1221" s="3" t="str">
        <f t="shared" si="79"/>
        <v>Order rejected, no time available</v>
      </c>
      <c r="AD1221" t="str" cm="1">
        <f t="array" ref="AD1221">IFERROR(_xlfn.IFS(
    AC1221="", "",
    AC1221*86400 &lt; 30, "1. 0s - &lt;30s",
    AC1221*86400 &lt; 60, "2. 30s - &lt;1m",
    AC1221*86400 &lt; 300, "3. 1m - &lt;5m",
    AC1221*86400 &lt; 1800, "4. 5m - &lt;30m",
    TRUE, "5. &gt;= 30m"
),"6. Invalid (Order rejected)")</f>
        <v>6. Invalid (Order rejected)</v>
      </c>
    </row>
    <row r="1222" spans="1:30" hidden="1" x14ac:dyDescent="0.3">
      <c r="A1222" t="s">
        <v>7264</v>
      </c>
      <c r="B1222" t="s">
        <v>25</v>
      </c>
      <c r="C1222">
        <v>43485077</v>
      </c>
      <c r="D1222">
        <v>0</v>
      </c>
      <c r="E1222" t="s">
        <v>25</v>
      </c>
      <c r="F1222" t="s">
        <v>26</v>
      </c>
      <c r="G1222" t="s">
        <v>27</v>
      </c>
      <c r="H1222" t="s">
        <v>7265</v>
      </c>
      <c r="I1222" t="s">
        <v>7266</v>
      </c>
      <c r="J1222" t="s">
        <v>26</v>
      </c>
      <c r="K1222" t="s">
        <v>26</v>
      </c>
      <c r="L1222" t="s">
        <v>7267</v>
      </c>
      <c r="M1222" t="s">
        <v>25</v>
      </c>
      <c r="N1222" t="s">
        <v>2725</v>
      </c>
      <c r="O1222" t="s">
        <v>2726</v>
      </c>
      <c r="P1222" t="s">
        <v>3845</v>
      </c>
      <c r="Q1222" t="s">
        <v>3846</v>
      </c>
      <c r="R1222">
        <v>148284</v>
      </c>
      <c r="S1222">
        <v>0</v>
      </c>
      <c r="T1222">
        <v>148284</v>
      </c>
      <c r="U1222" t="s">
        <v>35</v>
      </c>
      <c r="V1222" t="s">
        <v>2622</v>
      </c>
      <c r="W1222" t="s">
        <v>3848</v>
      </c>
      <c r="X1222" s="4">
        <v>1</v>
      </c>
      <c r="Y1222" s="4"/>
      <c r="Z1222">
        <f t="shared" si="76"/>
        <v>8</v>
      </c>
      <c r="AA1222">
        <f t="shared" si="77"/>
        <v>10</v>
      </c>
      <c r="AB1222" s="5">
        <f t="shared" si="78"/>
        <v>0.341203703705105</v>
      </c>
      <c r="AC1222" s="3">
        <f t="shared" si="79"/>
        <v>9.0277777773735579E-2</v>
      </c>
      <c r="AD1222" t="str" cm="1">
        <f t="array" ref="AD1222">IFERROR(_xlfn.IFS(
    AC1222="", "",
    AC1222*86400 &lt; 30, "1. 0s - &lt;30s",
    AC1222*86400 &lt; 60, "2. 30s - &lt;1m",
    AC1222*86400 &lt; 300, "3. 1m - &lt;5m",
    AC1222*86400 &lt; 1800, "4. 5m - &lt;30m",
    TRUE, "5. &gt;= 30m"
),"6. Invalid (Order rejected)")</f>
        <v>5. &gt;= 30m</v>
      </c>
    </row>
    <row r="1223" spans="1:30" hidden="1" x14ac:dyDescent="0.3">
      <c r="A1223" t="s">
        <v>7268</v>
      </c>
      <c r="B1223" t="s">
        <v>25</v>
      </c>
      <c r="C1223">
        <v>43485077</v>
      </c>
      <c r="D1223">
        <v>0</v>
      </c>
      <c r="E1223" t="s">
        <v>25</v>
      </c>
      <c r="F1223" t="s">
        <v>26</v>
      </c>
      <c r="G1223" t="s">
        <v>27</v>
      </c>
      <c r="H1223" t="s">
        <v>7269</v>
      </c>
      <c r="I1223" t="s">
        <v>7270</v>
      </c>
      <c r="J1223" t="s">
        <v>26</v>
      </c>
      <c r="K1223" t="s">
        <v>26</v>
      </c>
      <c r="L1223" t="s">
        <v>7271</v>
      </c>
      <c r="M1223" t="s">
        <v>25</v>
      </c>
      <c r="N1223" t="s">
        <v>2725</v>
      </c>
      <c r="O1223" t="s">
        <v>2726</v>
      </c>
      <c r="P1223" t="s">
        <v>2704</v>
      </c>
      <c r="Q1223" t="s">
        <v>2705</v>
      </c>
      <c r="R1223">
        <v>162972</v>
      </c>
      <c r="S1223">
        <v>0</v>
      </c>
      <c r="T1223">
        <v>162972</v>
      </c>
      <c r="U1223" t="s">
        <v>35</v>
      </c>
      <c r="V1223" t="s">
        <v>2622</v>
      </c>
      <c r="W1223" t="s">
        <v>2706</v>
      </c>
      <c r="X1223" s="4">
        <v>1</v>
      </c>
      <c r="Y1223" s="4"/>
      <c r="Z1223">
        <f t="shared" si="76"/>
        <v>8</v>
      </c>
      <c r="AA1223">
        <f t="shared" si="77"/>
        <v>10</v>
      </c>
      <c r="AB1223" s="5">
        <f t="shared" si="78"/>
        <v>0.34216435185226146</v>
      </c>
      <c r="AC1223" s="3">
        <f t="shared" si="79"/>
        <v>9.0277777773735579E-2</v>
      </c>
      <c r="AD1223" t="str" cm="1">
        <f t="array" ref="AD1223">IFERROR(_xlfn.IFS(
    AC1223="", "",
    AC1223*86400 &lt; 30, "1. 0s - &lt;30s",
    AC1223*86400 &lt; 60, "2. 30s - &lt;1m",
    AC1223*86400 &lt; 300, "3. 1m - &lt;5m",
    AC1223*86400 &lt; 1800, "4. 5m - &lt;30m",
    TRUE, "5. &gt;= 30m"
),"6. Invalid (Order rejected)")</f>
        <v>5. &gt;= 30m</v>
      </c>
    </row>
    <row r="1224" spans="1:30" hidden="1" x14ac:dyDescent="0.3">
      <c r="A1224" t="s">
        <v>7272</v>
      </c>
      <c r="B1224" t="s">
        <v>25</v>
      </c>
      <c r="C1224">
        <v>43485077</v>
      </c>
      <c r="D1224">
        <v>0</v>
      </c>
      <c r="E1224" t="s">
        <v>25</v>
      </c>
      <c r="F1224" t="s">
        <v>26</v>
      </c>
      <c r="G1224" t="s">
        <v>27</v>
      </c>
      <c r="H1224" t="s">
        <v>7273</v>
      </c>
      <c r="I1224" t="s">
        <v>7274</v>
      </c>
      <c r="J1224" t="s">
        <v>26</v>
      </c>
      <c r="K1224" t="s">
        <v>26</v>
      </c>
      <c r="L1224" t="s">
        <v>7275</v>
      </c>
      <c r="M1224" t="s">
        <v>25</v>
      </c>
      <c r="N1224" t="s">
        <v>2725</v>
      </c>
      <c r="O1224" t="s">
        <v>2726</v>
      </c>
      <c r="P1224" t="s">
        <v>2559</v>
      </c>
      <c r="Q1224" t="s">
        <v>2560</v>
      </c>
      <c r="R1224">
        <v>180252</v>
      </c>
      <c r="S1224">
        <v>0</v>
      </c>
      <c r="T1224">
        <v>180252</v>
      </c>
      <c r="U1224" t="s">
        <v>35</v>
      </c>
      <c r="V1224" t="s">
        <v>2622</v>
      </c>
      <c r="W1224" t="s">
        <v>2561</v>
      </c>
      <c r="X1224" s="4">
        <v>1</v>
      </c>
      <c r="Y1224" s="4"/>
      <c r="Z1224">
        <f t="shared" si="76"/>
        <v>8</v>
      </c>
      <c r="AA1224">
        <f t="shared" si="77"/>
        <v>10</v>
      </c>
      <c r="AB1224" s="5">
        <f t="shared" si="78"/>
        <v>0.3397222222192795</v>
      </c>
      <c r="AC1224" s="3">
        <f t="shared" si="79"/>
        <v>9.0277777781011537E-2</v>
      </c>
      <c r="AD1224" t="str" cm="1">
        <f t="array" ref="AD1224">IFERROR(_xlfn.IFS(
    AC1224="", "",
    AC1224*86400 &lt; 30, "1. 0s - &lt;30s",
    AC1224*86400 &lt; 60, "2. 30s - &lt;1m",
    AC1224*86400 &lt; 300, "3. 1m - &lt;5m",
    AC1224*86400 &lt; 1800, "4. 5m - &lt;30m",
    TRUE, "5. &gt;= 30m"
),"6. Invalid (Order rejected)")</f>
        <v>5. &gt;= 30m</v>
      </c>
    </row>
    <row r="1225" spans="1:30" hidden="1" x14ac:dyDescent="0.3">
      <c r="A1225" t="s">
        <v>7276</v>
      </c>
      <c r="B1225" t="s">
        <v>25</v>
      </c>
      <c r="C1225">
        <v>43485077</v>
      </c>
      <c r="D1225">
        <v>3673691</v>
      </c>
      <c r="E1225" t="s">
        <v>25</v>
      </c>
      <c r="F1225" t="s">
        <v>75</v>
      </c>
      <c r="G1225" t="s">
        <v>76</v>
      </c>
      <c r="H1225" t="s">
        <v>7277</v>
      </c>
      <c r="I1225" t="s">
        <v>7278</v>
      </c>
      <c r="J1225" t="s">
        <v>7279</v>
      </c>
      <c r="K1225" t="s">
        <v>26</v>
      </c>
      <c r="L1225" t="s">
        <v>7280</v>
      </c>
      <c r="M1225" t="s">
        <v>25</v>
      </c>
      <c r="N1225" t="s">
        <v>2694</v>
      </c>
      <c r="O1225" t="s">
        <v>2695</v>
      </c>
      <c r="P1225" t="s">
        <v>2628</v>
      </c>
      <c r="Q1225" t="s">
        <v>2629</v>
      </c>
      <c r="R1225">
        <v>193860</v>
      </c>
      <c r="S1225">
        <v>150286</v>
      </c>
      <c r="T1225">
        <v>43574</v>
      </c>
      <c r="U1225" t="s">
        <v>35</v>
      </c>
      <c r="V1225" t="s">
        <v>2656</v>
      </c>
      <c r="W1225" t="s">
        <v>2630</v>
      </c>
      <c r="X1225" s="4">
        <v>1</v>
      </c>
      <c r="Y1225" s="4"/>
      <c r="Z1225">
        <f t="shared" si="76"/>
        <v>8</v>
      </c>
      <c r="AA1225">
        <f t="shared" si="77"/>
        <v>10</v>
      </c>
      <c r="AB1225" s="5">
        <f t="shared" si="78"/>
        <v>0.33636574073898373</v>
      </c>
      <c r="AC1225" s="3">
        <f t="shared" si="79"/>
        <v>0.13130787037516711</v>
      </c>
      <c r="AD1225" t="str" cm="1">
        <f t="array" ref="AD1225">IFERROR(_xlfn.IFS(
    AC1225="", "",
    AC1225*86400 &lt; 30, "1. 0s - &lt;30s",
    AC1225*86400 &lt; 60, "2. 30s - &lt;1m",
    AC1225*86400 &lt; 300, "3. 1m - &lt;5m",
    AC1225*86400 &lt; 1800, "4. 5m - &lt;30m",
    TRUE, "5. &gt;= 30m"
),"6. Invalid (Order rejected)")</f>
        <v>5. &gt;= 30m</v>
      </c>
    </row>
    <row r="1226" spans="1:30" hidden="1" x14ac:dyDescent="0.3">
      <c r="A1226" t="s">
        <v>7281</v>
      </c>
      <c r="B1226" t="s">
        <v>25</v>
      </c>
      <c r="C1226">
        <v>43485077</v>
      </c>
      <c r="D1226">
        <v>0</v>
      </c>
      <c r="E1226" t="s">
        <v>25</v>
      </c>
      <c r="F1226" t="s">
        <v>26</v>
      </c>
      <c r="G1226" t="s">
        <v>27</v>
      </c>
      <c r="H1226" t="s">
        <v>2660</v>
      </c>
      <c r="I1226" t="s">
        <v>7282</v>
      </c>
      <c r="J1226" t="s">
        <v>26</v>
      </c>
      <c r="K1226" t="s">
        <v>26</v>
      </c>
      <c r="L1226" t="s">
        <v>7283</v>
      </c>
      <c r="M1226" t="s">
        <v>25</v>
      </c>
      <c r="N1226" t="s">
        <v>2725</v>
      </c>
      <c r="O1226" t="s">
        <v>2726</v>
      </c>
      <c r="P1226" t="s">
        <v>2611</v>
      </c>
      <c r="Q1226" t="s">
        <v>2612</v>
      </c>
      <c r="R1226">
        <v>156816</v>
      </c>
      <c r="S1226">
        <v>0</v>
      </c>
      <c r="T1226">
        <v>156816</v>
      </c>
      <c r="U1226" t="s">
        <v>35</v>
      </c>
      <c r="V1226" t="s">
        <v>2622</v>
      </c>
      <c r="W1226" t="s">
        <v>2613</v>
      </c>
      <c r="X1226" s="4">
        <v>1</v>
      </c>
      <c r="Y1226" s="4"/>
      <c r="Z1226">
        <f t="shared" si="76"/>
        <v>8</v>
      </c>
      <c r="AA1226">
        <f t="shared" si="77"/>
        <v>10</v>
      </c>
      <c r="AB1226" s="5">
        <f t="shared" si="78"/>
        <v>0.34166666666715173</v>
      </c>
      <c r="AC1226" s="3">
        <f t="shared" si="79"/>
        <v>9.0289351850515231E-2</v>
      </c>
      <c r="AD1226" t="str" cm="1">
        <f t="array" ref="AD1226">IFERROR(_xlfn.IFS(
    AC1226="", "",
    AC1226*86400 &lt; 30, "1. 0s - &lt;30s",
    AC1226*86400 &lt; 60, "2. 30s - &lt;1m",
    AC1226*86400 &lt; 300, "3. 1m - &lt;5m",
    AC1226*86400 &lt; 1800, "4. 5m - &lt;30m",
    TRUE, "5. &gt;= 30m"
),"6. Invalid (Order rejected)")</f>
        <v>5. &gt;= 30m</v>
      </c>
    </row>
    <row r="1227" spans="1:30" x14ac:dyDescent="0.3">
      <c r="A1227" t="s">
        <v>7284</v>
      </c>
      <c r="B1227" t="s">
        <v>25</v>
      </c>
      <c r="C1227">
        <v>43376946</v>
      </c>
      <c r="D1227">
        <v>4611580</v>
      </c>
      <c r="E1227" t="s">
        <v>25</v>
      </c>
      <c r="F1227" t="s">
        <v>75</v>
      </c>
      <c r="G1227" t="s">
        <v>360</v>
      </c>
      <c r="H1227" t="s">
        <v>7285</v>
      </c>
      <c r="I1227" t="s">
        <v>7286</v>
      </c>
      <c r="J1227" t="s">
        <v>7287</v>
      </c>
      <c r="K1227" t="s">
        <v>26</v>
      </c>
      <c r="L1227" t="s">
        <v>25</v>
      </c>
      <c r="M1227" t="s">
        <v>25</v>
      </c>
      <c r="N1227" t="s">
        <v>2424</v>
      </c>
      <c r="O1227" t="s">
        <v>2425</v>
      </c>
      <c r="P1227" t="s">
        <v>2426</v>
      </c>
      <c r="Q1227" t="s">
        <v>2427</v>
      </c>
      <c r="R1227">
        <v>340416</v>
      </c>
      <c r="S1227">
        <v>263901</v>
      </c>
      <c r="T1227">
        <v>76515</v>
      </c>
      <c r="U1227" t="s">
        <v>35</v>
      </c>
      <c r="V1227" t="s">
        <v>2428</v>
      </c>
      <c r="W1227" t="s">
        <v>2429</v>
      </c>
      <c r="X1227" s="4">
        <v>1</v>
      </c>
      <c r="Y1227" s="4"/>
      <c r="Z1227">
        <f t="shared" si="76"/>
        <v>8</v>
      </c>
      <c r="AA1227">
        <f t="shared" si="77"/>
        <v>10</v>
      </c>
      <c r="AB1227" s="5">
        <f t="shared" si="78"/>
        <v>0.34071759258949896</v>
      </c>
      <c r="AC1227" s="3" t="str">
        <f t="shared" si="79"/>
        <v>Order rejected, no time available</v>
      </c>
      <c r="AD1227" t="str" cm="1">
        <f t="array" ref="AD1227">IFERROR(_xlfn.IFS(
    AC1227="", "",
    AC1227*86400 &lt; 30, "1. 0s - &lt;30s",
    AC1227*86400 &lt; 60, "2. 30s - &lt;1m",
    AC1227*86400 &lt; 300, "3. 1m - &lt;5m",
    AC1227*86400 &lt; 1800, "4. 5m - &lt;30m",
    TRUE, "5. &gt;= 30m"
),"6. Invalid (Order rejected)")</f>
        <v>6. Invalid (Order rejected)</v>
      </c>
    </row>
    <row r="1228" spans="1:30" hidden="1" x14ac:dyDescent="0.3">
      <c r="A1228" t="s">
        <v>7288</v>
      </c>
      <c r="B1228" t="s">
        <v>25</v>
      </c>
      <c r="C1228">
        <v>43485077</v>
      </c>
      <c r="D1228">
        <v>0</v>
      </c>
      <c r="E1228" t="s">
        <v>25</v>
      </c>
      <c r="F1228" t="s">
        <v>26</v>
      </c>
      <c r="G1228" t="s">
        <v>27</v>
      </c>
      <c r="H1228" t="s">
        <v>7289</v>
      </c>
      <c r="I1228" t="s">
        <v>7290</v>
      </c>
      <c r="J1228" t="s">
        <v>26</v>
      </c>
      <c r="K1228" t="s">
        <v>26</v>
      </c>
      <c r="L1228" t="s">
        <v>7291</v>
      </c>
      <c r="M1228" t="s">
        <v>25</v>
      </c>
      <c r="N1228" t="s">
        <v>2725</v>
      </c>
      <c r="O1228" t="s">
        <v>2726</v>
      </c>
      <c r="P1228" t="s">
        <v>2639</v>
      </c>
      <c r="Q1228" t="s">
        <v>2640</v>
      </c>
      <c r="R1228">
        <v>165240</v>
      </c>
      <c r="S1228">
        <v>0</v>
      </c>
      <c r="T1228">
        <v>165240</v>
      </c>
      <c r="U1228" t="s">
        <v>35</v>
      </c>
      <c r="V1228" t="s">
        <v>2622</v>
      </c>
      <c r="W1228" t="s">
        <v>2641</v>
      </c>
      <c r="X1228" s="4">
        <v>1</v>
      </c>
      <c r="Y1228" s="4"/>
      <c r="Z1228">
        <f t="shared" si="76"/>
        <v>8</v>
      </c>
      <c r="AA1228">
        <f t="shared" si="77"/>
        <v>10</v>
      </c>
      <c r="AB1228" s="5">
        <f t="shared" si="78"/>
        <v>0.34141203703620704</v>
      </c>
      <c r="AC1228" s="3">
        <f t="shared" si="79"/>
        <v>9.0277777781011537E-2</v>
      </c>
      <c r="AD1228" t="str" cm="1">
        <f t="array" ref="AD1228">IFERROR(_xlfn.IFS(
    AC1228="", "",
    AC1228*86400 &lt; 30, "1. 0s - &lt;30s",
    AC1228*86400 &lt; 60, "2. 30s - &lt;1m",
    AC1228*86400 &lt; 300, "3. 1m - &lt;5m",
    AC1228*86400 &lt; 1800, "4. 5m - &lt;30m",
    TRUE, "5. &gt;= 30m"
),"6. Invalid (Order rejected)")</f>
        <v>5. &gt;= 30m</v>
      </c>
    </row>
    <row r="1229" spans="1:30" hidden="1" x14ac:dyDescent="0.3">
      <c r="A1229" t="s">
        <v>7292</v>
      </c>
      <c r="B1229" t="s">
        <v>25</v>
      </c>
      <c r="C1229">
        <v>43485077</v>
      </c>
      <c r="D1229">
        <v>0</v>
      </c>
      <c r="E1229" t="s">
        <v>25</v>
      </c>
      <c r="F1229" t="s">
        <v>26</v>
      </c>
      <c r="G1229" t="s">
        <v>27</v>
      </c>
      <c r="H1229" t="s">
        <v>7293</v>
      </c>
      <c r="I1229" t="s">
        <v>7294</v>
      </c>
      <c r="J1229" t="s">
        <v>26</v>
      </c>
      <c r="K1229" t="s">
        <v>26</v>
      </c>
      <c r="L1229" t="s">
        <v>7295</v>
      </c>
      <c r="M1229" t="s">
        <v>25</v>
      </c>
      <c r="N1229" t="s">
        <v>2694</v>
      </c>
      <c r="O1229" t="s">
        <v>2695</v>
      </c>
      <c r="P1229" t="s">
        <v>2611</v>
      </c>
      <c r="Q1229" t="s">
        <v>2612</v>
      </c>
      <c r="R1229">
        <v>175824</v>
      </c>
      <c r="S1229">
        <v>0</v>
      </c>
      <c r="T1229">
        <v>175824</v>
      </c>
      <c r="U1229" t="s">
        <v>35</v>
      </c>
      <c r="V1229" t="s">
        <v>2656</v>
      </c>
      <c r="W1229" t="s">
        <v>2613</v>
      </c>
      <c r="X1229" s="4">
        <v>1</v>
      </c>
      <c r="Y1229" s="4"/>
      <c r="Z1229">
        <f t="shared" si="76"/>
        <v>8</v>
      </c>
      <c r="AA1229">
        <f t="shared" si="77"/>
        <v>10</v>
      </c>
      <c r="AB1229" s="5">
        <f t="shared" si="78"/>
        <v>0.33777777777868323</v>
      </c>
      <c r="AC1229" s="3">
        <f t="shared" si="79"/>
        <v>9.0277777773735579E-2</v>
      </c>
      <c r="AD1229" t="str" cm="1">
        <f t="array" ref="AD1229">IFERROR(_xlfn.IFS(
    AC1229="", "",
    AC1229*86400 &lt; 30, "1. 0s - &lt;30s",
    AC1229*86400 &lt; 60, "2. 30s - &lt;1m",
    AC1229*86400 &lt; 300, "3. 1m - &lt;5m",
    AC1229*86400 &lt; 1800, "4. 5m - &lt;30m",
    TRUE, "5. &gt;= 30m"
),"6. Invalid (Order rejected)")</f>
        <v>5. &gt;= 30m</v>
      </c>
    </row>
    <row r="1230" spans="1:30" x14ac:dyDescent="0.3">
      <c r="A1230" t="s">
        <v>7296</v>
      </c>
      <c r="B1230" t="s">
        <v>25</v>
      </c>
      <c r="C1230">
        <v>43485077</v>
      </c>
      <c r="D1230">
        <v>4114293</v>
      </c>
      <c r="E1230" t="s">
        <v>25</v>
      </c>
      <c r="F1230" t="s">
        <v>75</v>
      </c>
      <c r="G1230" t="s">
        <v>360</v>
      </c>
      <c r="H1230" t="s">
        <v>7297</v>
      </c>
      <c r="I1230" t="s">
        <v>7298</v>
      </c>
      <c r="J1230" t="s">
        <v>7299</v>
      </c>
      <c r="K1230" t="s">
        <v>26</v>
      </c>
      <c r="L1230" t="s">
        <v>25</v>
      </c>
      <c r="M1230" t="s">
        <v>25</v>
      </c>
      <c r="N1230" t="s">
        <v>2694</v>
      </c>
      <c r="O1230" t="s">
        <v>2695</v>
      </c>
      <c r="P1230" t="s">
        <v>2743</v>
      </c>
      <c r="Q1230" t="s">
        <v>2744</v>
      </c>
      <c r="R1230">
        <v>212544</v>
      </c>
      <c r="S1230">
        <v>164771</v>
      </c>
      <c r="T1230">
        <v>47773</v>
      </c>
      <c r="U1230" t="s">
        <v>35</v>
      </c>
      <c r="V1230" t="s">
        <v>2656</v>
      </c>
      <c r="W1230" t="s">
        <v>2745</v>
      </c>
      <c r="X1230" s="4">
        <v>1</v>
      </c>
      <c r="Y1230" s="4"/>
      <c r="Z1230">
        <f t="shared" si="76"/>
        <v>8</v>
      </c>
      <c r="AA1230">
        <f t="shared" si="77"/>
        <v>10</v>
      </c>
      <c r="AB1230" s="5">
        <f t="shared" si="78"/>
        <v>0.33914351851854008</v>
      </c>
      <c r="AC1230" s="3" t="str">
        <f t="shared" si="79"/>
        <v>Order rejected, no time available</v>
      </c>
      <c r="AD1230" t="str" cm="1">
        <f t="array" ref="AD1230">IFERROR(_xlfn.IFS(
    AC1230="", "",
    AC1230*86400 &lt; 30, "1. 0s - &lt;30s",
    AC1230*86400 &lt; 60, "2. 30s - &lt;1m",
    AC1230*86400 &lt; 300, "3. 1m - &lt;5m",
    AC1230*86400 &lt; 1800, "4. 5m - &lt;30m",
    TRUE, "5. &gt;= 30m"
),"6. Invalid (Order rejected)")</f>
        <v>6. Invalid (Order rejected)</v>
      </c>
    </row>
    <row r="1231" spans="1:30" hidden="1" x14ac:dyDescent="0.3">
      <c r="A1231" t="s">
        <v>7300</v>
      </c>
      <c r="B1231" t="s">
        <v>25</v>
      </c>
      <c r="C1231">
        <v>43485077</v>
      </c>
      <c r="D1231">
        <v>0</v>
      </c>
      <c r="E1231" t="s">
        <v>25</v>
      </c>
      <c r="F1231" t="s">
        <v>26</v>
      </c>
      <c r="G1231" t="s">
        <v>27</v>
      </c>
      <c r="H1231" t="s">
        <v>7301</v>
      </c>
      <c r="I1231" t="s">
        <v>7302</v>
      </c>
      <c r="J1231" t="s">
        <v>26</v>
      </c>
      <c r="K1231" t="s">
        <v>26</v>
      </c>
      <c r="L1231" t="s">
        <v>7303</v>
      </c>
      <c r="M1231" t="s">
        <v>25</v>
      </c>
      <c r="N1231" t="s">
        <v>2725</v>
      </c>
      <c r="O1231" t="s">
        <v>2726</v>
      </c>
      <c r="P1231" t="s">
        <v>2628</v>
      </c>
      <c r="Q1231" t="s">
        <v>2629</v>
      </c>
      <c r="R1231">
        <v>174420</v>
      </c>
      <c r="S1231">
        <v>0</v>
      </c>
      <c r="T1231">
        <v>174420</v>
      </c>
      <c r="U1231" t="s">
        <v>35</v>
      </c>
      <c r="V1231" t="s">
        <v>2622</v>
      </c>
      <c r="W1231" t="s">
        <v>2630</v>
      </c>
      <c r="X1231" s="4">
        <v>1</v>
      </c>
      <c r="Y1231" s="4"/>
      <c r="Z1231">
        <f t="shared" si="76"/>
        <v>8</v>
      </c>
      <c r="AA1231">
        <f t="shared" si="77"/>
        <v>10</v>
      </c>
      <c r="AB1231" s="5">
        <f t="shared" si="78"/>
        <v>0.34067129629693227</v>
      </c>
      <c r="AC1231" s="3">
        <f t="shared" si="79"/>
        <v>9.0289351850515231E-2</v>
      </c>
      <c r="AD1231" t="str" cm="1">
        <f t="array" ref="AD1231">IFERROR(_xlfn.IFS(
    AC1231="", "",
    AC1231*86400 &lt; 30, "1. 0s - &lt;30s",
    AC1231*86400 &lt; 60, "2. 30s - &lt;1m",
    AC1231*86400 &lt; 300, "3. 1m - &lt;5m",
    AC1231*86400 &lt; 1800, "4. 5m - &lt;30m",
    TRUE, "5. &gt;= 30m"
),"6. Invalid (Order rejected)")</f>
        <v>5. &gt;= 30m</v>
      </c>
    </row>
    <row r="1232" spans="1:30" x14ac:dyDescent="0.3">
      <c r="A1232" t="s">
        <v>7304</v>
      </c>
      <c r="B1232" t="s">
        <v>25</v>
      </c>
      <c r="C1232">
        <v>43376946</v>
      </c>
      <c r="D1232">
        <v>3008767</v>
      </c>
      <c r="E1232" t="s">
        <v>25</v>
      </c>
      <c r="F1232" t="s">
        <v>75</v>
      </c>
      <c r="G1232" t="s">
        <v>360</v>
      </c>
      <c r="H1232" t="s">
        <v>7305</v>
      </c>
      <c r="I1232" t="s">
        <v>7306</v>
      </c>
      <c r="J1232" t="s">
        <v>7267</v>
      </c>
      <c r="K1232" t="s">
        <v>26</v>
      </c>
      <c r="L1232" t="s">
        <v>25</v>
      </c>
      <c r="M1232" t="s">
        <v>25</v>
      </c>
      <c r="N1232" t="s">
        <v>2780</v>
      </c>
      <c r="O1232" t="s">
        <v>2781</v>
      </c>
      <c r="P1232" t="s">
        <v>2782</v>
      </c>
      <c r="Q1232" t="s">
        <v>2783</v>
      </c>
      <c r="R1232">
        <v>308772</v>
      </c>
      <c r="S1232">
        <v>239370</v>
      </c>
      <c r="T1232">
        <v>69402</v>
      </c>
      <c r="U1232" t="s">
        <v>35</v>
      </c>
      <c r="V1232" t="s">
        <v>2784</v>
      </c>
      <c r="W1232" t="s">
        <v>2785</v>
      </c>
      <c r="X1232" s="4">
        <v>1</v>
      </c>
      <c r="Y1232" s="4"/>
      <c r="Z1232">
        <f t="shared" si="76"/>
        <v>8</v>
      </c>
      <c r="AA1232">
        <f t="shared" si="77"/>
        <v>10</v>
      </c>
      <c r="AB1232" s="5">
        <f t="shared" si="78"/>
        <v>0.36899305555562023</v>
      </c>
      <c r="AC1232" s="3" t="str">
        <f t="shared" si="79"/>
        <v>Order rejected, no time available</v>
      </c>
      <c r="AD1232" t="str" cm="1">
        <f t="array" ref="AD1232">IFERROR(_xlfn.IFS(
    AC1232="", "",
    AC1232*86400 &lt; 30, "1. 0s - &lt;30s",
    AC1232*86400 &lt; 60, "2. 30s - &lt;1m",
    AC1232*86400 &lt; 300, "3. 1m - &lt;5m",
    AC1232*86400 &lt; 1800, "4. 5m - &lt;30m",
    TRUE, "5. &gt;= 30m"
),"6. Invalid (Order rejected)")</f>
        <v>6. Invalid (Order rejected)</v>
      </c>
    </row>
    <row r="1233" spans="1:30" hidden="1" x14ac:dyDescent="0.3">
      <c r="A1233" t="s">
        <v>7307</v>
      </c>
      <c r="B1233" t="s">
        <v>25</v>
      </c>
      <c r="C1233">
        <v>43512432</v>
      </c>
      <c r="D1233">
        <v>0</v>
      </c>
      <c r="E1233" t="s">
        <v>25</v>
      </c>
      <c r="F1233" t="s">
        <v>26</v>
      </c>
      <c r="G1233" t="s">
        <v>27</v>
      </c>
      <c r="H1233" t="s">
        <v>7308</v>
      </c>
      <c r="I1233" t="s">
        <v>7309</v>
      </c>
      <c r="J1233" t="s">
        <v>26</v>
      </c>
      <c r="K1233" t="s">
        <v>26</v>
      </c>
      <c r="L1233" t="s">
        <v>7310</v>
      </c>
      <c r="M1233" t="s">
        <v>25</v>
      </c>
      <c r="N1233" t="s">
        <v>1838</v>
      </c>
      <c r="O1233" t="s">
        <v>1839</v>
      </c>
      <c r="P1233" t="s">
        <v>3001</v>
      </c>
      <c r="Q1233" t="s">
        <v>3002</v>
      </c>
      <c r="R1233">
        <v>226584</v>
      </c>
      <c r="S1233">
        <v>0</v>
      </c>
      <c r="T1233">
        <v>226584</v>
      </c>
      <c r="U1233" t="s">
        <v>35</v>
      </c>
      <c r="V1233" t="s">
        <v>1842</v>
      </c>
      <c r="W1233" t="s">
        <v>3004</v>
      </c>
      <c r="X1233" s="4">
        <v>1</v>
      </c>
      <c r="Y1233" s="4"/>
      <c r="Z1233">
        <f t="shared" si="76"/>
        <v>8</v>
      </c>
      <c r="AA1233">
        <f t="shared" si="77"/>
        <v>11</v>
      </c>
      <c r="AB1233" s="5">
        <f t="shared" si="78"/>
        <v>0.29447916666686069</v>
      </c>
      <c r="AC1233" s="3">
        <f t="shared" si="79"/>
        <v>9.0266203704231884E-2</v>
      </c>
      <c r="AD1233" t="str" cm="1">
        <f t="array" ref="AD1233">IFERROR(_xlfn.IFS(
    AC1233="", "",
    AC1233*86400 &lt; 30, "1. 0s - &lt;30s",
    AC1233*86400 &lt; 60, "2. 30s - &lt;1m",
    AC1233*86400 &lt; 300, "3. 1m - &lt;5m",
    AC1233*86400 &lt; 1800, "4. 5m - &lt;30m",
    TRUE, "5. &gt;= 30m"
),"6. Invalid (Order rejected)")</f>
        <v>5. &gt;= 30m</v>
      </c>
    </row>
    <row r="1234" spans="1:30" hidden="1" x14ac:dyDescent="0.3">
      <c r="A1234" t="s">
        <v>7311</v>
      </c>
      <c r="B1234" t="s">
        <v>25</v>
      </c>
      <c r="C1234">
        <v>43512432</v>
      </c>
      <c r="D1234">
        <v>0</v>
      </c>
      <c r="E1234" t="s">
        <v>25</v>
      </c>
      <c r="F1234" t="s">
        <v>26</v>
      </c>
      <c r="G1234" t="s">
        <v>27</v>
      </c>
      <c r="H1234" t="s">
        <v>7312</v>
      </c>
      <c r="I1234" t="s">
        <v>7313</v>
      </c>
      <c r="J1234" t="s">
        <v>26</v>
      </c>
      <c r="K1234" t="s">
        <v>26</v>
      </c>
      <c r="L1234" t="s">
        <v>7314</v>
      </c>
      <c r="M1234" t="s">
        <v>25</v>
      </c>
      <c r="N1234" t="s">
        <v>2801</v>
      </c>
      <c r="O1234" t="s">
        <v>2802</v>
      </c>
      <c r="P1234" t="s">
        <v>2965</v>
      </c>
      <c r="Q1234" t="s">
        <v>2966</v>
      </c>
      <c r="R1234">
        <v>197748</v>
      </c>
      <c r="S1234">
        <v>0</v>
      </c>
      <c r="T1234">
        <v>197748</v>
      </c>
      <c r="U1234" t="s">
        <v>35</v>
      </c>
      <c r="V1234" t="s">
        <v>2805</v>
      </c>
      <c r="W1234" t="s">
        <v>2967</v>
      </c>
      <c r="X1234" s="4">
        <v>1</v>
      </c>
      <c r="Y1234" s="4"/>
      <c r="Z1234">
        <f t="shared" si="76"/>
        <v>8</v>
      </c>
      <c r="AA1234">
        <f t="shared" si="77"/>
        <v>11</v>
      </c>
      <c r="AB1234" s="5">
        <f t="shared" si="78"/>
        <v>0.29622685185313458</v>
      </c>
      <c r="AC1234" s="3">
        <f t="shared" si="79"/>
        <v>9.0266203704231884E-2</v>
      </c>
      <c r="AD1234" t="str" cm="1">
        <f t="array" ref="AD1234">IFERROR(_xlfn.IFS(
    AC1234="", "",
    AC1234*86400 &lt; 30, "1. 0s - &lt;30s",
    AC1234*86400 &lt; 60, "2. 30s - &lt;1m",
    AC1234*86400 &lt; 300, "3. 1m - &lt;5m",
    AC1234*86400 &lt; 1800, "4. 5m - &lt;30m",
    TRUE, "5. &gt;= 30m"
),"6. Invalid (Order rejected)")</f>
        <v>5. &gt;= 30m</v>
      </c>
    </row>
    <row r="1235" spans="1:30" hidden="1" x14ac:dyDescent="0.3">
      <c r="A1235" t="s">
        <v>7315</v>
      </c>
      <c r="B1235" t="s">
        <v>25</v>
      </c>
      <c r="C1235">
        <v>43512432</v>
      </c>
      <c r="D1235">
        <v>0</v>
      </c>
      <c r="E1235" t="s">
        <v>25</v>
      </c>
      <c r="F1235" t="s">
        <v>26</v>
      </c>
      <c r="G1235" t="s">
        <v>27</v>
      </c>
      <c r="H1235" t="s">
        <v>7316</v>
      </c>
      <c r="I1235" t="s">
        <v>7317</v>
      </c>
      <c r="J1235" t="s">
        <v>26</v>
      </c>
      <c r="K1235" t="s">
        <v>26</v>
      </c>
      <c r="L1235" t="s">
        <v>7318</v>
      </c>
      <c r="M1235" t="s">
        <v>25</v>
      </c>
      <c r="N1235" t="s">
        <v>2831</v>
      </c>
      <c r="O1235" t="s">
        <v>2832</v>
      </c>
      <c r="P1235" t="s">
        <v>2824</v>
      </c>
      <c r="Q1235" t="s">
        <v>2825</v>
      </c>
      <c r="R1235">
        <v>308880</v>
      </c>
      <c r="S1235">
        <v>0</v>
      </c>
      <c r="T1235">
        <v>308880</v>
      </c>
      <c r="U1235" t="s">
        <v>35</v>
      </c>
      <c r="V1235" t="s">
        <v>2835</v>
      </c>
      <c r="W1235" t="s">
        <v>2826</v>
      </c>
      <c r="X1235" s="4">
        <v>1</v>
      </c>
      <c r="Y1235" s="4"/>
      <c r="Z1235">
        <f t="shared" si="76"/>
        <v>8</v>
      </c>
      <c r="AA1235">
        <f t="shared" si="77"/>
        <v>11</v>
      </c>
      <c r="AB1235" s="5">
        <f t="shared" si="78"/>
        <v>0.29991898148000473</v>
      </c>
      <c r="AC1235" s="3">
        <f t="shared" si="79"/>
        <v>9.0266203704231884E-2</v>
      </c>
      <c r="AD1235" t="str" cm="1">
        <f t="array" ref="AD1235">IFERROR(_xlfn.IFS(
    AC1235="", "",
    AC1235*86400 &lt; 30, "1. 0s - &lt;30s",
    AC1235*86400 &lt; 60, "2. 30s - &lt;1m",
    AC1235*86400 &lt; 300, "3. 1m - &lt;5m",
    AC1235*86400 &lt; 1800, "4. 5m - &lt;30m",
    TRUE, "5. &gt;= 30m"
),"6. Invalid (Order rejected)")</f>
        <v>5. &gt;= 30m</v>
      </c>
    </row>
    <row r="1236" spans="1:30" hidden="1" x14ac:dyDescent="0.3">
      <c r="A1236" t="s">
        <v>7319</v>
      </c>
      <c r="B1236" t="s">
        <v>25</v>
      </c>
      <c r="C1236">
        <v>43512432</v>
      </c>
      <c r="D1236">
        <v>0</v>
      </c>
      <c r="E1236" t="s">
        <v>25</v>
      </c>
      <c r="F1236" t="s">
        <v>26</v>
      </c>
      <c r="G1236" t="s">
        <v>27</v>
      </c>
      <c r="H1236" t="s">
        <v>7320</v>
      </c>
      <c r="I1236" t="s">
        <v>7321</v>
      </c>
      <c r="J1236" t="s">
        <v>26</v>
      </c>
      <c r="K1236" t="s">
        <v>26</v>
      </c>
      <c r="L1236" t="s">
        <v>7322</v>
      </c>
      <c r="M1236" t="s">
        <v>25</v>
      </c>
      <c r="N1236" t="s">
        <v>2801</v>
      </c>
      <c r="O1236" t="s">
        <v>2802</v>
      </c>
      <c r="P1236" t="s">
        <v>3017</v>
      </c>
      <c r="Q1236" t="s">
        <v>3018</v>
      </c>
      <c r="R1236">
        <v>220860</v>
      </c>
      <c r="S1236">
        <v>0</v>
      </c>
      <c r="T1236">
        <v>220860</v>
      </c>
      <c r="U1236" t="s">
        <v>35</v>
      </c>
      <c r="V1236" t="s">
        <v>2805</v>
      </c>
      <c r="W1236" t="s">
        <v>3019</v>
      </c>
      <c r="X1236" s="4">
        <v>1</v>
      </c>
      <c r="Y1236" s="4"/>
      <c r="Z1236">
        <f t="shared" si="76"/>
        <v>8</v>
      </c>
      <c r="AA1236">
        <f t="shared" si="77"/>
        <v>11</v>
      </c>
      <c r="AB1236" s="5">
        <f t="shared" si="78"/>
        <v>0.29696759259240935</v>
      </c>
      <c r="AC1236" s="3">
        <f t="shared" si="79"/>
        <v>9.0266203704231884E-2</v>
      </c>
      <c r="AD1236" t="str" cm="1">
        <f t="array" ref="AD1236">IFERROR(_xlfn.IFS(
    AC1236="", "",
    AC1236*86400 &lt; 30, "1. 0s - &lt;30s",
    AC1236*86400 &lt; 60, "2. 30s - &lt;1m",
    AC1236*86400 &lt; 300, "3. 1m - &lt;5m",
    AC1236*86400 &lt; 1800, "4. 5m - &lt;30m",
    TRUE, "5. &gt;= 30m"
),"6. Invalid (Order rejected)")</f>
        <v>5. &gt;= 30m</v>
      </c>
    </row>
    <row r="1237" spans="1:30" hidden="1" x14ac:dyDescent="0.3">
      <c r="A1237" t="s">
        <v>7323</v>
      </c>
      <c r="B1237" t="s">
        <v>25</v>
      </c>
      <c r="C1237">
        <v>43512432</v>
      </c>
      <c r="D1237">
        <v>0</v>
      </c>
      <c r="E1237" t="s">
        <v>25</v>
      </c>
      <c r="F1237" t="s">
        <v>26</v>
      </c>
      <c r="G1237" t="s">
        <v>27</v>
      </c>
      <c r="H1237" t="s">
        <v>7324</v>
      </c>
      <c r="I1237" t="s">
        <v>7325</v>
      </c>
      <c r="J1237" t="s">
        <v>26</v>
      </c>
      <c r="K1237" t="s">
        <v>26</v>
      </c>
      <c r="L1237" t="s">
        <v>7326</v>
      </c>
      <c r="M1237" t="s">
        <v>25</v>
      </c>
      <c r="N1237" t="s">
        <v>441</v>
      </c>
      <c r="O1237" t="s">
        <v>442</v>
      </c>
      <c r="P1237" t="s">
        <v>2794</v>
      </c>
      <c r="Q1237" t="s">
        <v>2795</v>
      </c>
      <c r="R1237">
        <v>236520</v>
      </c>
      <c r="S1237">
        <v>0</v>
      </c>
      <c r="T1237">
        <v>236520</v>
      </c>
      <c r="U1237" t="s">
        <v>35</v>
      </c>
      <c r="V1237" t="s">
        <v>445</v>
      </c>
      <c r="W1237" t="s">
        <v>2796</v>
      </c>
      <c r="X1237" s="4">
        <v>1</v>
      </c>
      <c r="Y1237" s="4"/>
      <c r="Z1237">
        <f t="shared" si="76"/>
        <v>8</v>
      </c>
      <c r="AA1237">
        <f t="shared" si="77"/>
        <v>11</v>
      </c>
      <c r="AB1237" s="5">
        <f t="shared" si="78"/>
        <v>0.30319444444467081</v>
      </c>
      <c r="AC1237" s="3">
        <f t="shared" si="79"/>
        <v>0.14983796296291985</v>
      </c>
      <c r="AD1237" t="str" cm="1">
        <f t="array" ref="AD1237">IFERROR(_xlfn.IFS(
    AC1237="", "",
    AC1237*86400 &lt; 30, "1. 0s - &lt;30s",
    AC1237*86400 &lt; 60, "2. 30s - &lt;1m",
    AC1237*86400 &lt; 300, "3. 1m - &lt;5m",
    AC1237*86400 &lt; 1800, "4. 5m - &lt;30m",
    TRUE, "5. &gt;= 30m"
),"6. Invalid (Order rejected)")</f>
        <v>5. &gt;= 30m</v>
      </c>
    </row>
    <row r="1238" spans="1:30" hidden="1" x14ac:dyDescent="0.3">
      <c r="A1238" t="s">
        <v>7327</v>
      </c>
      <c r="B1238" t="s">
        <v>25</v>
      </c>
      <c r="C1238">
        <v>43512432</v>
      </c>
      <c r="D1238">
        <v>0</v>
      </c>
      <c r="E1238" t="s">
        <v>25</v>
      </c>
      <c r="F1238" t="s">
        <v>26</v>
      </c>
      <c r="G1238" t="s">
        <v>27</v>
      </c>
      <c r="H1238" t="s">
        <v>7328</v>
      </c>
      <c r="I1238" t="s">
        <v>7329</v>
      </c>
      <c r="J1238" t="s">
        <v>26</v>
      </c>
      <c r="K1238" t="s">
        <v>26</v>
      </c>
      <c r="L1238" t="s">
        <v>7330</v>
      </c>
      <c r="M1238" t="s">
        <v>25</v>
      </c>
      <c r="N1238" t="s">
        <v>2801</v>
      </c>
      <c r="O1238" t="s">
        <v>2802</v>
      </c>
      <c r="P1238" t="s">
        <v>2950</v>
      </c>
      <c r="Q1238" t="s">
        <v>2951</v>
      </c>
      <c r="R1238">
        <v>207360</v>
      </c>
      <c r="S1238">
        <v>0</v>
      </c>
      <c r="T1238">
        <v>207360</v>
      </c>
      <c r="U1238" t="s">
        <v>35</v>
      </c>
      <c r="V1238" t="s">
        <v>2805</v>
      </c>
      <c r="W1238" t="s">
        <v>2952</v>
      </c>
      <c r="X1238" s="4">
        <v>1</v>
      </c>
      <c r="Y1238" s="4"/>
      <c r="Z1238">
        <f t="shared" si="76"/>
        <v>8</v>
      </c>
      <c r="AA1238">
        <f t="shared" si="77"/>
        <v>11</v>
      </c>
      <c r="AB1238" s="5">
        <f t="shared" si="78"/>
        <v>0.29659722222277196</v>
      </c>
      <c r="AC1238" s="3">
        <f t="shared" si="79"/>
        <v>9.0266203704231884E-2</v>
      </c>
      <c r="AD1238" t="str" cm="1">
        <f t="array" ref="AD1238">IFERROR(_xlfn.IFS(
    AC1238="", "",
    AC1238*86400 &lt; 30, "1. 0s - &lt;30s",
    AC1238*86400 &lt; 60, "2. 30s - &lt;1m",
    AC1238*86400 &lt; 300, "3. 1m - &lt;5m",
    AC1238*86400 &lt; 1800, "4. 5m - &lt;30m",
    TRUE, "5. &gt;= 30m"
),"6. Invalid (Order rejected)")</f>
        <v>5. &gt;= 30m</v>
      </c>
    </row>
    <row r="1239" spans="1:30" hidden="1" x14ac:dyDescent="0.3">
      <c r="A1239" t="s">
        <v>7331</v>
      </c>
      <c r="B1239" t="s">
        <v>25</v>
      </c>
      <c r="C1239">
        <v>43512432</v>
      </c>
      <c r="D1239">
        <v>0</v>
      </c>
      <c r="E1239" t="s">
        <v>25</v>
      </c>
      <c r="F1239" t="s">
        <v>26</v>
      </c>
      <c r="G1239" t="s">
        <v>27</v>
      </c>
      <c r="H1239" t="s">
        <v>7332</v>
      </c>
      <c r="I1239" t="s">
        <v>7333</v>
      </c>
      <c r="J1239" t="s">
        <v>26</v>
      </c>
      <c r="K1239" t="s">
        <v>26</v>
      </c>
      <c r="L1239" t="s">
        <v>7334</v>
      </c>
      <c r="M1239" t="s">
        <v>25</v>
      </c>
      <c r="N1239" t="s">
        <v>7335</v>
      </c>
      <c r="O1239" t="s">
        <v>7336</v>
      </c>
      <c r="P1239" t="s">
        <v>2863</v>
      </c>
      <c r="Q1239" t="s">
        <v>2864</v>
      </c>
      <c r="R1239">
        <v>200880</v>
      </c>
      <c r="S1239">
        <v>0</v>
      </c>
      <c r="T1239">
        <v>200880</v>
      </c>
      <c r="U1239" t="s">
        <v>35</v>
      </c>
      <c r="V1239" t="s">
        <v>7337</v>
      </c>
      <c r="W1239" t="s">
        <v>2865</v>
      </c>
      <c r="X1239" s="4">
        <v>1</v>
      </c>
      <c r="Y1239" s="4"/>
      <c r="Z1239">
        <f t="shared" si="76"/>
        <v>8</v>
      </c>
      <c r="AA1239">
        <f t="shared" si="77"/>
        <v>11</v>
      </c>
      <c r="AB1239" s="5">
        <f t="shared" si="78"/>
        <v>0.30484953703853535</v>
      </c>
      <c r="AC1239" s="3">
        <f t="shared" si="79"/>
        <v>9.0266203704231884E-2</v>
      </c>
      <c r="AD1239" t="str" cm="1">
        <f t="array" ref="AD1239">IFERROR(_xlfn.IFS(
    AC1239="", "",
    AC1239*86400 &lt; 30, "1. 0s - &lt;30s",
    AC1239*86400 &lt; 60, "2. 30s - &lt;1m",
    AC1239*86400 &lt; 300, "3. 1m - &lt;5m",
    AC1239*86400 &lt; 1800, "4. 5m - &lt;30m",
    TRUE, "5. &gt;= 30m"
),"6. Invalid (Order rejected)")</f>
        <v>5. &gt;= 30m</v>
      </c>
    </row>
    <row r="1240" spans="1:30" hidden="1" x14ac:dyDescent="0.3">
      <c r="A1240" t="s">
        <v>7338</v>
      </c>
      <c r="B1240" t="s">
        <v>25</v>
      </c>
      <c r="C1240">
        <v>43512432</v>
      </c>
      <c r="D1240">
        <v>0</v>
      </c>
      <c r="E1240" t="s">
        <v>25</v>
      </c>
      <c r="F1240" t="s">
        <v>26</v>
      </c>
      <c r="G1240" t="s">
        <v>27</v>
      </c>
      <c r="H1240" t="s">
        <v>7339</v>
      </c>
      <c r="I1240" t="s">
        <v>7340</v>
      </c>
      <c r="J1240" t="s">
        <v>26</v>
      </c>
      <c r="K1240" t="s">
        <v>26</v>
      </c>
      <c r="L1240" t="s">
        <v>7341</v>
      </c>
      <c r="M1240" t="s">
        <v>25</v>
      </c>
      <c r="N1240" t="s">
        <v>2884</v>
      </c>
      <c r="O1240" t="s">
        <v>2885</v>
      </c>
      <c r="P1240" t="s">
        <v>1503</v>
      </c>
      <c r="Q1240" t="s">
        <v>1504</v>
      </c>
      <c r="R1240">
        <v>134028</v>
      </c>
      <c r="S1240">
        <v>0</v>
      </c>
      <c r="T1240">
        <v>134028</v>
      </c>
      <c r="U1240" t="s">
        <v>35</v>
      </c>
      <c r="V1240" t="s">
        <v>2886</v>
      </c>
      <c r="W1240" t="s">
        <v>2814</v>
      </c>
      <c r="X1240" s="4">
        <v>1</v>
      </c>
      <c r="Y1240" s="4"/>
      <c r="Z1240">
        <f t="shared" si="76"/>
        <v>8</v>
      </c>
      <c r="AA1240">
        <f t="shared" si="77"/>
        <v>11</v>
      </c>
      <c r="AB1240" s="5">
        <f t="shared" si="78"/>
        <v>0.30572916667006211</v>
      </c>
      <c r="AC1240" s="3">
        <f t="shared" si="79"/>
        <v>0.11672453703067731</v>
      </c>
      <c r="AD1240" t="str" cm="1">
        <f t="array" ref="AD1240">IFERROR(_xlfn.IFS(
    AC1240="", "",
    AC1240*86400 &lt; 30, "1. 0s - &lt;30s",
    AC1240*86400 &lt; 60, "2. 30s - &lt;1m",
    AC1240*86400 &lt; 300, "3. 1m - &lt;5m",
    AC1240*86400 &lt; 1800, "4. 5m - &lt;30m",
    TRUE, "5. &gt;= 30m"
),"6. Invalid (Order rejected)")</f>
        <v>5. &gt;= 30m</v>
      </c>
    </row>
    <row r="1241" spans="1:30" hidden="1" x14ac:dyDescent="0.3">
      <c r="A1241" t="s">
        <v>7342</v>
      </c>
      <c r="B1241" t="s">
        <v>25</v>
      </c>
      <c r="C1241">
        <v>43512432</v>
      </c>
      <c r="D1241">
        <v>0</v>
      </c>
      <c r="E1241" t="s">
        <v>25</v>
      </c>
      <c r="F1241" t="s">
        <v>26</v>
      </c>
      <c r="G1241" t="s">
        <v>27</v>
      </c>
      <c r="H1241" t="s">
        <v>7343</v>
      </c>
      <c r="I1241" t="s">
        <v>7344</v>
      </c>
      <c r="J1241" t="s">
        <v>26</v>
      </c>
      <c r="K1241" t="s">
        <v>26</v>
      </c>
      <c r="L1241" t="s">
        <v>7345</v>
      </c>
      <c r="M1241" t="s">
        <v>25</v>
      </c>
      <c r="N1241" t="s">
        <v>2999</v>
      </c>
      <c r="O1241" t="s">
        <v>3000</v>
      </c>
      <c r="P1241" t="s">
        <v>2856</v>
      </c>
      <c r="Q1241" t="s">
        <v>2857</v>
      </c>
      <c r="R1241">
        <v>276912</v>
      </c>
      <c r="S1241">
        <v>0</v>
      </c>
      <c r="T1241">
        <v>276912</v>
      </c>
      <c r="U1241" t="s">
        <v>35</v>
      </c>
      <c r="V1241" t="s">
        <v>3003</v>
      </c>
      <c r="W1241" t="s">
        <v>2858</v>
      </c>
      <c r="X1241" s="4">
        <v>1</v>
      </c>
      <c r="Y1241" s="4"/>
      <c r="Z1241">
        <f t="shared" si="76"/>
        <v>8</v>
      </c>
      <c r="AA1241">
        <f t="shared" si="77"/>
        <v>11</v>
      </c>
      <c r="AB1241" s="5">
        <f t="shared" si="78"/>
        <v>0.30089120370394085</v>
      </c>
      <c r="AC1241" s="3">
        <f t="shared" si="79"/>
        <v>9.0266203704231884E-2</v>
      </c>
      <c r="AD1241" t="str" cm="1">
        <f t="array" ref="AD1241">IFERROR(_xlfn.IFS(
    AC1241="", "",
    AC1241*86400 &lt; 30, "1. 0s - &lt;30s",
    AC1241*86400 &lt; 60, "2. 30s - &lt;1m",
    AC1241*86400 &lt; 300, "3. 1m - &lt;5m",
    AC1241*86400 &lt; 1800, "4. 5m - &lt;30m",
    TRUE, "5. &gt;= 30m"
),"6. Invalid (Order rejected)")</f>
        <v>5. &gt;= 30m</v>
      </c>
    </row>
    <row r="1242" spans="1:30" hidden="1" x14ac:dyDescent="0.3">
      <c r="A1242" t="s">
        <v>7346</v>
      </c>
      <c r="B1242" t="s">
        <v>25</v>
      </c>
      <c r="C1242">
        <v>43512432</v>
      </c>
      <c r="D1242">
        <v>0</v>
      </c>
      <c r="E1242" t="s">
        <v>25</v>
      </c>
      <c r="F1242" t="s">
        <v>26</v>
      </c>
      <c r="G1242" t="s">
        <v>27</v>
      </c>
      <c r="H1242" t="s">
        <v>7347</v>
      </c>
      <c r="I1242" t="s">
        <v>7348</v>
      </c>
      <c r="J1242" t="s">
        <v>26</v>
      </c>
      <c r="K1242" t="s">
        <v>26</v>
      </c>
      <c r="L1242" t="s">
        <v>7349</v>
      </c>
      <c r="M1242" t="s">
        <v>25</v>
      </c>
      <c r="N1242" t="s">
        <v>1848</v>
      </c>
      <c r="O1242" t="s">
        <v>1849</v>
      </c>
      <c r="P1242" t="s">
        <v>2965</v>
      </c>
      <c r="Q1242" t="s">
        <v>2966</v>
      </c>
      <c r="R1242">
        <v>193320</v>
      </c>
      <c r="S1242">
        <v>0</v>
      </c>
      <c r="T1242">
        <v>193320</v>
      </c>
      <c r="U1242" t="s">
        <v>35</v>
      </c>
      <c r="V1242" t="s">
        <v>1852</v>
      </c>
      <c r="W1242" t="s">
        <v>2967</v>
      </c>
      <c r="X1242" s="4">
        <v>1</v>
      </c>
      <c r="Y1242" s="4"/>
      <c r="Z1242">
        <f t="shared" si="76"/>
        <v>8</v>
      </c>
      <c r="AA1242">
        <f t="shared" si="77"/>
        <v>11</v>
      </c>
      <c r="AB1242" s="5">
        <f t="shared" si="78"/>
        <v>0.30119212962745223</v>
      </c>
      <c r="AC1242" s="3">
        <f t="shared" si="79"/>
        <v>9.0266203704231884E-2</v>
      </c>
      <c r="AD1242" t="str" cm="1">
        <f t="array" ref="AD1242">IFERROR(_xlfn.IFS(
    AC1242="", "",
    AC1242*86400 &lt; 30, "1. 0s - &lt;30s",
    AC1242*86400 &lt; 60, "2. 30s - &lt;1m",
    AC1242*86400 &lt; 300, "3. 1m - &lt;5m",
    AC1242*86400 &lt; 1800, "4. 5m - &lt;30m",
    TRUE, "5. &gt;= 30m"
),"6. Invalid (Order rejected)")</f>
        <v>5. &gt;= 30m</v>
      </c>
    </row>
    <row r="1243" spans="1:30" hidden="1" x14ac:dyDescent="0.3">
      <c r="A1243" t="s">
        <v>7350</v>
      </c>
      <c r="B1243" t="s">
        <v>25</v>
      </c>
      <c r="C1243">
        <v>43512432</v>
      </c>
      <c r="D1243">
        <v>4803572</v>
      </c>
      <c r="E1243" t="s">
        <v>25</v>
      </c>
      <c r="F1243" t="s">
        <v>75</v>
      </c>
      <c r="G1243" t="s">
        <v>491</v>
      </c>
      <c r="H1243" t="s">
        <v>7351</v>
      </c>
      <c r="I1243" t="s">
        <v>7352</v>
      </c>
      <c r="J1243" t="s">
        <v>7353</v>
      </c>
      <c r="K1243" t="s">
        <v>26</v>
      </c>
      <c r="L1243" t="s">
        <v>7354</v>
      </c>
      <c r="M1243" t="s">
        <v>25</v>
      </c>
      <c r="N1243" t="s">
        <v>1578</v>
      </c>
      <c r="O1243" t="s">
        <v>1579</v>
      </c>
      <c r="P1243" t="s">
        <v>2443</v>
      </c>
      <c r="Q1243" t="s">
        <v>2444</v>
      </c>
      <c r="R1243">
        <v>146340</v>
      </c>
      <c r="S1243">
        <v>113447</v>
      </c>
      <c r="T1243">
        <v>32893</v>
      </c>
      <c r="U1243" t="s">
        <v>35</v>
      </c>
      <c r="V1243" t="s">
        <v>1580</v>
      </c>
      <c r="W1243" t="s">
        <v>2446</v>
      </c>
      <c r="X1243" s="4">
        <v>1</v>
      </c>
      <c r="Y1243" s="4"/>
      <c r="Z1243">
        <f t="shared" si="76"/>
        <v>8</v>
      </c>
      <c r="AA1243">
        <f t="shared" si="77"/>
        <v>11</v>
      </c>
      <c r="AB1243" s="5">
        <f t="shared" si="78"/>
        <v>0.30531250000058208</v>
      </c>
      <c r="AC1243" s="3">
        <f t="shared" si="79"/>
        <v>10.007187499999418</v>
      </c>
      <c r="AD1243" t="str" cm="1">
        <f t="array" ref="AD1243">IFERROR(_xlfn.IFS(
    AC1243="", "",
    AC1243*86400 &lt; 30, "1. 0s - &lt;30s",
    AC1243*86400 &lt; 60, "2. 30s - &lt;1m",
    AC1243*86400 &lt; 300, "3. 1m - &lt;5m",
    AC1243*86400 &lt; 1800, "4. 5m - &lt;30m",
    TRUE, "5. &gt;= 30m"
),"6. Invalid (Order rejected)")</f>
        <v>5. &gt;= 30m</v>
      </c>
    </row>
    <row r="1244" spans="1:30" hidden="1" x14ac:dyDescent="0.3">
      <c r="A1244" t="s">
        <v>7355</v>
      </c>
      <c r="B1244" t="s">
        <v>25</v>
      </c>
      <c r="C1244">
        <v>43512432</v>
      </c>
      <c r="D1244">
        <v>0</v>
      </c>
      <c r="E1244" t="s">
        <v>25</v>
      </c>
      <c r="F1244" t="s">
        <v>26</v>
      </c>
      <c r="G1244" t="s">
        <v>27</v>
      </c>
      <c r="H1244" t="s">
        <v>7356</v>
      </c>
      <c r="I1244" t="s">
        <v>7357</v>
      </c>
      <c r="J1244" t="s">
        <v>26</v>
      </c>
      <c r="K1244" t="s">
        <v>26</v>
      </c>
      <c r="L1244" t="s">
        <v>7358</v>
      </c>
      <c r="M1244" t="s">
        <v>25</v>
      </c>
      <c r="N1244" t="s">
        <v>2943</v>
      </c>
      <c r="O1244" t="s">
        <v>2944</v>
      </c>
      <c r="P1244" t="s">
        <v>2803</v>
      </c>
      <c r="Q1244" t="s">
        <v>2804</v>
      </c>
      <c r="R1244">
        <v>256932</v>
      </c>
      <c r="S1244">
        <v>0</v>
      </c>
      <c r="T1244">
        <v>256932</v>
      </c>
      <c r="U1244" t="s">
        <v>35</v>
      </c>
      <c r="V1244" t="s">
        <v>2945</v>
      </c>
      <c r="W1244" t="s">
        <v>2806</v>
      </c>
      <c r="X1244" s="4">
        <v>1</v>
      </c>
      <c r="Y1244" s="4"/>
      <c r="Z1244">
        <f t="shared" si="76"/>
        <v>8</v>
      </c>
      <c r="AA1244">
        <f t="shared" si="77"/>
        <v>11</v>
      </c>
      <c r="AB1244" s="5">
        <f t="shared" si="78"/>
        <v>0.30677083333284827</v>
      </c>
      <c r="AC1244" s="3">
        <f t="shared" si="79"/>
        <v>9.0277777781011537E-2</v>
      </c>
      <c r="AD1244" t="str" cm="1">
        <f t="array" ref="AD1244">IFERROR(_xlfn.IFS(
    AC1244="", "",
    AC1244*86400 &lt; 30, "1. 0s - &lt;30s",
    AC1244*86400 &lt; 60, "2. 30s - &lt;1m",
    AC1244*86400 &lt; 300, "3. 1m - &lt;5m",
    AC1244*86400 &lt; 1800, "4. 5m - &lt;30m",
    TRUE, "5. &gt;= 30m"
),"6. Invalid (Order rejected)")</f>
        <v>5. &gt;= 30m</v>
      </c>
    </row>
    <row r="1245" spans="1:30" hidden="1" x14ac:dyDescent="0.3">
      <c r="A1245" t="s">
        <v>7359</v>
      </c>
      <c r="B1245" t="s">
        <v>25</v>
      </c>
      <c r="C1245">
        <v>43512432</v>
      </c>
      <c r="D1245">
        <v>0</v>
      </c>
      <c r="E1245" t="s">
        <v>25</v>
      </c>
      <c r="F1245" t="s">
        <v>26</v>
      </c>
      <c r="G1245" t="s">
        <v>27</v>
      </c>
      <c r="H1245" t="s">
        <v>7360</v>
      </c>
      <c r="I1245" t="s">
        <v>7361</v>
      </c>
      <c r="J1245" t="s">
        <v>26</v>
      </c>
      <c r="K1245" t="s">
        <v>26</v>
      </c>
      <c r="L1245" t="s">
        <v>7362</v>
      </c>
      <c r="M1245" t="s">
        <v>25</v>
      </c>
      <c r="N1245" t="s">
        <v>7335</v>
      </c>
      <c r="O1245" t="s">
        <v>7336</v>
      </c>
      <c r="P1245" t="s">
        <v>3017</v>
      </c>
      <c r="Q1245" t="s">
        <v>3018</v>
      </c>
      <c r="R1245">
        <v>185328</v>
      </c>
      <c r="S1245">
        <v>0</v>
      </c>
      <c r="T1245">
        <v>185328</v>
      </c>
      <c r="U1245" t="s">
        <v>35</v>
      </c>
      <c r="V1245" t="s">
        <v>7337</v>
      </c>
      <c r="W1245" t="s">
        <v>3019</v>
      </c>
      <c r="X1245" s="4">
        <v>1</v>
      </c>
      <c r="Y1245" s="4"/>
      <c r="Z1245">
        <f t="shared" si="76"/>
        <v>8</v>
      </c>
      <c r="AA1245">
        <f t="shared" si="77"/>
        <v>11</v>
      </c>
      <c r="AB1245" s="5">
        <f t="shared" si="78"/>
        <v>0.3046875</v>
      </c>
      <c r="AC1245" s="3">
        <f t="shared" si="79"/>
        <v>9.0277777781011537E-2</v>
      </c>
      <c r="AD1245" t="str" cm="1">
        <f t="array" ref="AD1245">IFERROR(_xlfn.IFS(
    AC1245="", "",
    AC1245*86400 &lt; 30, "1. 0s - &lt;30s",
    AC1245*86400 &lt; 60, "2. 30s - &lt;1m",
    AC1245*86400 &lt; 300, "3. 1m - &lt;5m",
    AC1245*86400 &lt; 1800, "4. 5m - &lt;30m",
    TRUE, "5. &gt;= 30m"
),"6. Invalid (Order rejected)")</f>
        <v>5. &gt;= 30m</v>
      </c>
    </row>
    <row r="1246" spans="1:30" hidden="1" x14ac:dyDescent="0.3">
      <c r="A1246" t="s">
        <v>7363</v>
      </c>
      <c r="B1246" t="s">
        <v>25</v>
      </c>
      <c r="C1246">
        <v>43512432</v>
      </c>
      <c r="D1246">
        <v>0</v>
      </c>
      <c r="E1246" t="s">
        <v>25</v>
      </c>
      <c r="F1246" t="s">
        <v>26</v>
      </c>
      <c r="G1246" t="s">
        <v>27</v>
      </c>
      <c r="H1246" t="s">
        <v>7364</v>
      </c>
      <c r="I1246" t="s">
        <v>7365</v>
      </c>
      <c r="J1246" t="s">
        <v>26</v>
      </c>
      <c r="K1246" t="s">
        <v>26</v>
      </c>
      <c r="L1246" t="s">
        <v>7366</v>
      </c>
      <c r="M1246" t="s">
        <v>25</v>
      </c>
      <c r="N1246" t="s">
        <v>441</v>
      </c>
      <c r="O1246" t="s">
        <v>442</v>
      </c>
      <c r="P1246" t="s">
        <v>2841</v>
      </c>
      <c r="Q1246" t="s">
        <v>2842</v>
      </c>
      <c r="R1246">
        <v>300456</v>
      </c>
      <c r="S1246">
        <v>0</v>
      </c>
      <c r="T1246">
        <v>300456</v>
      </c>
      <c r="U1246" t="s">
        <v>35</v>
      </c>
      <c r="V1246" t="s">
        <v>445</v>
      </c>
      <c r="W1246" t="s">
        <v>2843</v>
      </c>
      <c r="X1246" s="4">
        <v>1</v>
      </c>
      <c r="Y1246" s="4"/>
      <c r="Z1246">
        <f t="shared" si="76"/>
        <v>8</v>
      </c>
      <c r="AA1246">
        <f t="shared" si="77"/>
        <v>11</v>
      </c>
      <c r="AB1246" s="5">
        <f t="shared" si="78"/>
        <v>0.30303240740613546</v>
      </c>
      <c r="AC1246" s="3">
        <f t="shared" si="79"/>
        <v>9.0277777781011537E-2</v>
      </c>
      <c r="AD1246" t="str" cm="1">
        <f t="array" ref="AD1246">IFERROR(_xlfn.IFS(
    AC1246="", "",
    AC1246*86400 &lt; 30, "1. 0s - &lt;30s",
    AC1246*86400 &lt; 60, "2. 30s - &lt;1m",
    AC1246*86400 &lt; 300, "3. 1m - &lt;5m",
    AC1246*86400 &lt; 1800, "4. 5m - &lt;30m",
    TRUE, "5. &gt;= 30m"
),"6. Invalid (Order rejected)")</f>
        <v>5. &gt;= 30m</v>
      </c>
    </row>
    <row r="1247" spans="1:30" hidden="1" x14ac:dyDescent="0.3">
      <c r="A1247" t="s">
        <v>7367</v>
      </c>
      <c r="B1247" t="s">
        <v>25</v>
      </c>
      <c r="C1247">
        <v>43512432</v>
      </c>
      <c r="D1247">
        <v>0</v>
      </c>
      <c r="E1247" t="s">
        <v>25</v>
      </c>
      <c r="F1247" t="s">
        <v>26</v>
      </c>
      <c r="G1247" t="s">
        <v>27</v>
      </c>
      <c r="H1247" t="s">
        <v>7368</v>
      </c>
      <c r="I1247" t="s">
        <v>7369</v>
      </c>
      <c r="J1247" t="s">
        <v>26</v>
      </c>
      <c r="K1247" t="s">
        <v>26</v>
      </c>
      <c r="L1247" t="s">
        <v>7370</v>
      </c>
      <c r="M1247" t="s">
        <v>25</v>
      </c>
      <c r="N1247" t="s">
        <v>7335</v>
      </c>
      <c r="O1247" t="s">
        <v>7336</v>
      </c>
      <c r="P1247" t="s">
        <v>2950</v>
      </c>
      <c r="Q1247" t="s">
        <v>2951</v>
      </c>
      <c r="R1247">
        <v>181332</v>
      </c>
      <c r="S1247">
        <v>0</v>
      </c>
      <c r="T1247">
        <v>181332</v>
      </c>
      <c r="U1247" t="s">
        <v>35</v>
      </c>
      <c r="V1247" t="s">
        <v>7337</v>
      </c>
      <c r="W1247" t="s">
        <v>2952</v>
      </c>
      <c r="X1247" s="4">
        <v>1</v>
      </c>
      <c r="Y1247" s="4"/>
      <c r="Z1247">
        <f t="shared" si="76"/>
        <v>8</v>
      </c>
      <c r="AA1247">
        <f t="shared" si="77"/>
        <v>11</v>
      </c>
      <c r="AB1247" s="5">
        <f t="shared" si="78"/>
        <v>0.304548611107748</v>
      </c>
      <c r="AC1247" s="3">
        <f t="shared" si="79"/>
        <v>9.0266203704231884E-2</v>
      </c>
      <c r="AD1247" t="str" cm="1">
        <f t="array" ref="AD1247">IFERROR(_xlfn.IFS(
    AC1247="", "",
    AC1247*86400 &lt; 30, "1. 0s - &lt;30s",
    AC1247*86400 &lt; 60, "2. 30s - &lt;1m",
    AC1247*86400 &lt; 300, "3. 1m - &lt;5m",
    AC1247*86400 &lt; 1800, "4. 5m - &lt;30m",
    TRUE, "5. &gt;= 30m"
),"6. Invalid (Order rejected)")</f>
        <v>5. &gt;= 30m</v>
      </c>
    </row>
    <row r="1248" spans="1:30" hidden="1" x14ac:dyDescent="0.3">
      <c r="A1248" t="s">
        <v>7371</v>
      </c>
      <c r="B1248" t="s">
        <v>25</v>
      </c>
      <c r="C1248">
        <v>43512432</v>
      </c>
      <c r="D1248">
        <v>0</v>
      </c>
      <c r="E1248" t="s">
        <v>25</v>
      </c>
      <c r="F1248" t="s">
        <v>26</v>
      </c>
      <c r="G1248" t="s">
        <v>27</v>
      </c>
      <c r="H1248" t="s">
        <v>7372</v>
      </c>
      <c r="I1248" t="s">
        <v>7373</v>
      </c>
      <c r="J1248" t="s">
        <v>26</v>
      </c>
      <c r="K1248" t="s">
        <v>26</v>
      </c>
      <c r="L1248" t="s">
        <v>7374</v>
      </c>
      <c r="M1248" t="s">
        <v>25</v>
      </c>
      <c r="N1248" t="s">
        <v>2884</v>
      </c>
      <c r="O1248" t="s">
        <v>2885</v>
      </c>
      <c r="P1248" t="s">
        <v>2824</v>
      </c>
      <c r="Q1248" t="s">
        <v>2825</v>
      </c>
      <c r="R1248">
        <v>239976</v>
      </c>
      <c r="S1248">
        <v>0</v>
      </c>
      <c r="T1248">
        <v>239976</v>
      </c>
      <c r="U1248" t="s">
        <v>35</v>
      </c>
      <c r="V1248" t="s">
        <v>2886</v>
      </c>
      <c r="W1248" t="s">
        <v>2826</v>
      </c>
      <c r="X1248" s="4">
        <v>1</v>
      </c>
      <c r="Y1248" s="4"/>
      <c r="Z1248">
        <f t="shared" si="76"/>
        <v>8</v>
      </c>
      <c r="AA1248">
        <f t="shared" si="77"/>
        <v>11</v>
      </c>
      <c r="AB1248" s="5">
        <f t="shared" si="78"/>
        <v>0.3058564814782585</v>
      </c>
      <c r="AC1248" s="3">
        <f t="shared" si="79"/>
        <v>9.0277777781011537E-2</v>
      </c>
      <c r="AD1248" t="str" cm="1">
        <f t="array" ref="AD1248">IFERROR(_xlfn.IFS(
    AC1248="", "",
    AC1248*86400 &lt; 30, "1. 0s - &lt;30s",
    AC1248*86400 &lt; 60, "2. 30s - &lt;1m",
    AC1248*86400 &lt; 300, "3. 1m - &lt;5m",
    AC1248*86400 &lt; 1800, "4. 5m - &lt;30m",
    TRUE, "5. &gt;= 30m"
),"6. Invalid (Order rejected)")</f>
        <v>5. &gt;= 30m</v>
      </c>
    </row>
    <row r="1249" spans="1:30" hidden="1" x14ac:dyDescent="0.3">
      <c r="A1249" t="s">
        <v>7375</v>
      </c>
      <c r="B1249" t="s">
        <v>25</v>
      </c>
      <c r="C1249">
        <v>43512432</v>
      </c>
      <c r="D1249">
        <v>0</v>
      </c>
      <c r="E1249" t="s">
        <v>25</v>
      </c>
      <c r="F1249" t="s">
        <v>26</v>
      </c>
      <c r="G1249" t="s">
        <v>27</v>
      </c>
      <c r="H1249" t="s">
        <v>7376</v>
      </c>
      <c r="I1249" t="s">
        <v>7377</v>
      </c>
      <c r="J1249" t="s">
        <v>26</v>
      </c>
      <c r="K1249" t="s">
        <v>26</v>
      </c>
      <c r="L1249" t="s">
        <v>7378</v>
      </c>
      <c r="M1249" t="s">
        <v>25</v>
      </c>
      <c r="N1249" t="s">
        <v>2943</v>
      </c>
      <c r="O1249" t="s">
        <v>2944</v>
      </c>
      <c r="P1249" t="s">
        <v>3001</v>
      </c>
      <c r="Q1249" t="s">
        <v>3002</v>
      </c>
      <c r="R1249">
        <v>210600</v>
      </c>
      <c r="S1249">
        <v>0</v>
      </c>
      <c r="T1249">
        <v>210600</v>
      </c>
      <c r="U1249" t="s">
        <v>35</v>
      </c>
      <c r="V1249" t="s">
        <v>2945</v>
      </c>
      <c r="W1249" t="s">
        <v>3004</v>
      </c>
      <c r="X1249" s="4">
        <v>1</v>
      </c>
      <c r="Y1249" s="4"/>
      <c r="Z1249">
        <f t="shared" si="76"/>
        <v>8</v>
      </c>
      <c r="AA1249">
        <f t="shared" si="77"/>
        <v>11</v>
      </c>
      <c r="AB1249" s="5">
        <f t="shared" si="78"/>
        <v>0.30660879629431292</v>
      </c>
      <c r="AC1249" s="3">
        <f t="shared" si="79"/>
        <v>9.0266203704231884E-2</v>
      </c>
      <c r="AD1249" t="str" cm="1">
        <f t="array" ref="AD1249">IFERROR(_xlfn.IFS(
    AC1249="", "",
    AC1249*86400 &lt; 30, "1. 0s - &lt;30s",
    AC1249*86400 &lt; 60, "2. 30s - &lt;1m",
    AC1249*86400 &lt; 300, "3. 1m - &lt;5m",
    AC1249*86400 &lt; 1800, "4. 5m - &lt;30m",
    TRUE, "5. &gt;= 30m"
),"6. Invalid (Order rejected)")</f>
        <v>5. &gt;= 30m</v>
      </c>
    </row>
    <row r="1250" spans="1:30" hidden="1" x14ac:dyDescent="0.3">
      <c r="A1250" t="s">
        <v>7379</v>
      </c>
      <c r="B1250" t="s">
        <v>25</v>
      </c>
      <c r="C1250">
        <v>43512432</v>
      </c>
      <c r="D1250">
        <v>0</v>
      </c>
      <c r="E1250" t="s">
        <v>25</v>
      </c>
      <c r="F1250" t="s">
        <v>26</v>
      </c>
      <c r="G1250" t="s">
        <v>27</v>
      </c>
      <c r="H1250" t="s">
        <v>7380</v>
      </c>
      <c r="I1250" t="s">
        <v>7381</v>
      </c>
      <c r="J1250" t="s">
        <v>26</v>
      </c>
      <c r="K1250" t="s">
        <v>26</v>
      </c>
      <c r="L1250" t="s">
        <v>7382</v>
      </c>
      <c r="M1250" t="s">
        <v>25</v>
      </c>
      <c r="N1250" t="s">
        <v>1642</v>
      </c>
      <c r="O1250" t="s">
        <v>1643</v>
      </c>
      <c r="P1250" t="s">
        <v>2870</v>
      </c>
      <c r="Q1250" t="s">
        <v>2871</v>
      </c>
      <c r="R1250">
        <v>192564</v>
      </c>
      <c r="S1250">
        <v>0</v>
      </c>
      <c r="T1250">
        <v>192564</v>
      </c>
      <c r="U1250" t="s">
        <v>35</v>
      </c>
      <c r="V1250" t="s">
        <v>1646</v>
      </c>
      <c r="W1250" t="s">
        <v>2872</v>
      </c>
      <c r="X1250" s="4">
        <v>1</v>
      </c>
      <c r="Y1250" s="4"/>
      <c r="Z1250">
        <f t="shared" si="76"/>
        <v>8</v>
      </c>
      <c r="AA1250">
        <f t="shared" si="77"/>
        <v>11</v>
      </c>
      <c r="AB1250" s="5">
        <f t="shared" si="78"/>
        <v>0.31135416666802485</v>
      </c>
      <c r="AC1250" s="3">
        <f t="shared" si="79"/>
        <v>9.0266203704231884E-2</v>
      </c>
      <c r="AD1250" t="str" cm="1">
        <f t="array" ref="AD1250">IFERROR(_xlfn.IFS(
    AC1250="", "",
    AC1250*86400 &lt; 30, "1. 0s - &lt;30s",
    AC1250*86400 &lt; 60, "2. 30s - &lt;1m",
    AC1250*86400 &lt; 300, "3. 1m - &lt;5m",
    AC1250*86400 &lt; 1800, "4. 5m - &lt;30m",
    TRUE, "5. &gt;= 30m"
),"6. Invalid (Order rejected)")</f>
        <v>5. &gt;= 30m</v>
      </c>
    </row>
    <row r="1251" spans="1:30" hidden="1" x14ac:dyDescent="0.3">
      <c r="A1251" t="s">
        <v>7383</v>
      </c>
      <c r="B1251" t="s">
        <v>25</v>
      </c>
      <c r="C1251">
        <v>43512432</v>
      </c>
      <c r="D1251">
        <v>0</v>
      </c>
      <c r="E1251" t="s">
        <v>25</v>
      </c>
      <c r="F1251" t="s">
        <v>26</v>
      </c>
      <c r="G1251" t="s">
        <v>27</v>
      </c>
      <c r="H1251" t="s">
        <v>7384</v>
      </c>
      <c r="I1251" t="s">
        <v>7385</v>
      </c>
      <c r="J1251" t="s">
        <v>26</v>
      </c>
      <c r="K1251" t="s">
        <v>26</v>
      </c>
      <c r="L1251" t="s">
        <v>7386</v>
      </c>
      <c r="M1251" t="s">
        <v>25</v>
      </c>
      <c r="N1251" t="s">
        <v>1716</v>
      </c>
      <c r="O1251" t="s">
        <v>1717</v>
      </c>
      <c r="P1251" t="s">
        <v>2794</v>
      </c>
      <c r="Q1251" t="s">
        <v>2795</v>
      </c>
      <c r="R1251">
        <v>224100</v>
      </c>
      <c r="S1251">
        <v>0</v>
      </c>
      <c r="T1251">
        <v>224100</v>
      </c>
      <c r="U1251" t="s">
        <v>35</v>
      </c>
      <c r="V1251" t="s">
        <v>1720</v>
      </c>
      <c r="W1251" t="s">
        <v>2796</v>
      </c>
      <c r="X1251" s="4">
        <v>1</v>
      </c>
      <c r="Y1251" s="4"/>
      <c r="Z1251">
        <f t="shared" si="76"/>
        <v>8</v>
      </c>
      <c r="AA1251">
        <f t="shared" si="77"/>
        <v>11</v>
      </c>
      <c r="AB1251" s="5">
        <f t="shared" si="78"/>
        <v>0.31214120370714227</v>
      </c>
      <c r="AC1251" s="3">
        <f t="shared" si="79"/>
        <v>9.0266203696955927E-2</v>
      </c>
      <c r="AD1251" t="str" cm="1">
        <f t="array" ref="AD1251">IFERROR(_xlfn.IFS(
    AC1251="", "",
    AC1251*86400 &lt; 30, "1. 0s - &lt;30s",
    AC1251*86400 &lt; 60, "2. 30s - &lt;1m",
    AC1251*86400 &lt; 300, "3. 1m - &lt;5m",
    AC1251*86400 &lt; 1800, "4. 5m - &lt;30m",
    TRUE, "5. &gt;= 30m"
),"6. Invalid (Order rejected)")</f>
        <v>5. &gt;= 30m</v>
      </c>
    </row>
    <row r="1252" spans="1:30" hidden="1" x14ac:dyDescent="0.3">
      <c r="A1252" t="s">
        <v>7387</v>
      </c>
      <c r="B1252" t="s">
        <v>25</v>
      </c>
      <c r="C1252">
        <v>43512432</v>
      </c>
      <c r="D1252">
        <v>0</v>
      </c>
      <c r="E1252" t="s">
        <v>25</v>
      </c>
      <c r="F1252" t="s">
        <v>26</v>
      </c>
      <c r="G1252" t="s">
        <v>27</v>
      </c>
      <c r="H1252" t="s">
        <v>7388</v>
      </c>
      <c r="I1252" t="s">
        <v>7389</v>
      </c>
      <c r="J1252" t="s">
        <v>26</v>
      </c>
      <c r="K1252" t="s">
        <v>26</v>
      </c>
      <c r="L1252" t="s">
        <v>7390</v>
      </c>
      <c r="M1252" t="s">
        <v>25</v>
      </c>
      <c r="N1252" t="s">
        <v>2921</v>
      </c>
      <c r="O1252" t="s">
        <v>2922</v>
      </c>
      <c r="P1252" t="s">
        <v>3001</v>
      </c>
      <c r="Q1252" t="s">
        <v>3002</v>
      </c>
      <c r="R1252">
        <v>207792</v>
      </c>
      <c r="S1252">
        <v>0</v>
      </c>
      <c r="T1252">
        <v>207792</v>
      </c>
      <c r="U1252" t="s">
        <v>35</v>
      </c>
      <c r="V1252" t="s">
        <v>2923</v>
      </c>
      <c r="W1252" t="s">
        <v>3004</v>
      </c>
      <c r="X1252" s="4">
        <v>1</v>
      </c>
      <c r="Y1252" s="4"/>
      <c r="Z1252">
        <f t="shared" si="76"/>
        <v>8</v>
      </c>
      <c r="AA1252">
        <f t="shared" si="77"/>
        <v>11</v>
      </c>
      <c r="AB1252" s="5">
        <f t="shared" si="78"/>
        <v>0.30377314814541023</v>
      </c>
      <c r="AC1252" s="3">
        <f t="shared" si="79"/>
        <v>9.0266203704231884E-2</v>
      </c>
      <c r="AD1252" t="str" cm="1">
        <f t="array" ref="AD1252">IFERROR(_xlfn.IFS(
    AC1252="", "",
    AC1252*86400 &lt; 30, "1. 0s - &lt;30s",
    AC1252*86400 &lt; 60, "2. 30s - &lt;1m",
    AC1252*86400 &lt; 300, "3. 1m - &lt;5m",
    AC1252*86400 &lt; 1800, "4. 5m - &lt;30m",
    TRUE, "5. &gt;= 30m"
),"6. Invalid (Order rejected)")</f>
        <v>5. &gt;= 30m</v>
      </c>
    </row>
    <row r="1253" spans="1:30" x14ac:dyDescent="0.3">
      <c r="A1253" t="s">
        <v>7391</v>
      </c>
      <c r="B1253" t="s">
        <v>25</v>
      </c>
      <c r="C1253">
        <v>43512432</v>
      </c>
      <c r="D1253">
        <v>3095307</v>
      </c>
      <c r="E1253" t="s">
        <v>25</v>
      </c>
      <c r="F1253" t="s">
        <v>75</v>
      </c>
      <c r="G1253" t="s">
        <v>360</v>
      </c>
      <c r="H1253" t="s">
        <v>7392</v>
      </c>
      <c r="I1253" t="s">
        <v>7393</v>
      </c>
      <c r="J1253" t="s">
        <v>7394</v>
      </c>
      <c r="K1253" t="s">
        <v>26</v>
      </c>
      <c r="L1253" t="s">
        <v>25</v>
      </c>
      <c r="M1253" t="s">
        <v>25</v>
      </c>
      <c r="N1253" t="s">
        <v>3039</v>
      </c>
      <c r="O1253" t="s">
        <v>3040</v>
      </c>
      <c r="P1253" t="s">
        <v>2794</v>
      </c>
      <c r="Q1253" t="s">
        <v>2795</v>
      </c>
      <c r="R1253">
        <v>316224</v>
      </c>
      <c r="S1253">
        <v>245147</v>
      </c>
      <c r="T1253">
        <v>71077</v>
      </c>
      <c r="U1253" t="s">
        <v>35</v>
      </c>
      <c r="V1253" t="s">
        <v>3041</v>
      </c>
      <c r="W1253" t="s">
        <v>2796</v>
      </c>
      <c r="X1253" s="4">
        <v>1</v>
      </c>
      <c r="Y1253" s="4"/>
      <c r="Z1253">
        <f t="shared" si="76"/>
        <v>8</v>
      </c>
      <c r="AA1253">
        <f t="shared" si="77"/>
        <v>11</v>
      </c>
      <c r="AB1253" s="5">
        <f t="shared" si="78"/>
        <v>0.30928240740468027</v>
      </c>
      <c r="AC1253" s="3" t="str">
        <f t="shared" si="79"/>
        <v>Order rejected, no time available</v>
      </c>
      <c r="AD1253" t="str" cm="1">
        <f t="array" ref="AD1253">IFERROR(_xlfn.IFS(
    AC1253="", "",
    AC1253*86400 &lt; 30, "1. 0s - &lt;30s",
    AC1253*86400 &lt; 60, "2. 30s - &lt;1m",
    AC1253*86400 &lt; 300, "3. 1m - &lt;5m",
    AC1253*86400 &lt; 1800, "4. 5m - &lt;30m",
    TRUE, "5. &gt;= 30m"
),"6. Invalid (Order rejected)")</f>
        <v>6. Invalid (Order rejected)</v>
      </c>
    </row>
    <row r="1254" spans="1:30" hidden="1" x14ac:dyDescent="0.3">
      <c r="A1254" t="s">
        <v>7395</v>
      </c>
      <c r="B1254" t="s">
        <v>25</v>
      </c>
      <c r="C1254">
        <v>43512432</v>
      </c>
      <c r="D1254">
        <v>0</v>
      </c>
      <c r="E1254" t="s">
        <v>25</v>
      </c>
      <c r="F1254" t="s">
        <v>26</v>
      </c>
      <c r="G1254" t="s">
        <v>27</v>
      </c>
      <c r="H1254" t="s">
        <v>7396</v>
      </c>
      <c r="I1254" t="s">
        <v>7397</v>
      </c>
      <c r="J1254" t="s">
        <v>26</v>
      </c>
      <c r="K1254" t="s">
        <v>26</v>
      </c>
      <c r="L1254" t="s">
        <v>7398</v>
      </c>
      <c r="M1254" t="s">
        <v>25</v>
      </c>
      <c r="N1254" t="s">
        <v>3046</v>
      </c>
      <c r="O1254" t="s">
        <v>3047</v>
      </c>
      <c r="P1254" t="s">
        <v>2950</v>
      </c>
      <c r="Q1254" t="s">
        <v>2951</v>
      </c>
      <c r="R1254">
        <v>210384</v>
      </c>
      <c r="S1254">
        <v>0</v>
      </c>
      <c r="T1254">
        <v>210384</v>
      </c>
      <c r="U1254" t="s">
        <v>35</v>
      </c>
      <c r="V1254" t="s">
        <v>3048</v>
      </c>
      <c r="W1254" t="s">
        <v>2952</v>
      </c>
      <c r="X1254" s="4">
        <v>1</v>
      </c>
      <c r="Y1254" s="4"/>
      <c r="Z1254">
        <f t="shared" si="76"/>
        <v>8</v>
      </c>
      <c r="AA1254">
        <f t="shared" si="77"/>
        <v>11</v>
      </c>
      <c r="AB1254" s="5">
        <f t="shared" si="78"/>
        <v>0.31332175926218042</v>
      </c>
      <c r="AC1254" s="3">
        <f t="shared" si="79"/>
        <v>9.0277777773735579E-2</v>
      </c>
      <c r="AD1254" t="str" cm="1">
        <f t="array" ref="AD1254">IFERROR(_xlfn.IFS(
    AC1254="", "",
    AC1254*86400 &lt; 30, "1. 0s - &lt;30s",
    AC1254*86400 &lt; 60, "2. 30s - &lt;1m",
    AC1254*86400 &lt; 300, "3. 1m - &lt;5m",
    AC1254*86400 &lt; 1800, "4. 5m - &lt;30m",
    TRUE, "5. &gt;= 30m"
),"6. Invalid (Order rejected)")</f>
        <v>5. &gt;= 30m</v>
      </c>
    </row>
    <row r="1255" spans="1:30" hidden="1" x14ac:dyDescent="0.3">
      <c r="A1255" t="s">
        <v>7399</v>
      </c>
      <c r="B1255" t="s">
        <v>25</v>
      </c>
      <c r="C1255">
        <v>43512432</v>
      </c>
      <c r="D1255">
        <v>0</v>
      </c>
      <c r="E1255" t="s">
        <v>25</v>
      </c>
      <c r="F1255" t="s">
        <v>26</v>
      </c>
      <c r="G1255" t="s">
        <v>27</v>
      </c>
      <c r="H1255" t="s">
        <v>7400</v>
      </c>
      <c r="I1255" t="s">
        <v>7401</v>
      </c>
      <c r="J1255" t="s">
        <v>26</v>
      </c>
      <c r="K1255" t="s">
        <v>26</v>
      </c>
      <c r="L1255" t="s">
        <v>7402</v>
      </c>
      <c r="M1255" t="s">
        <v>25</v>
      </c>
      <c r="N1255" t="s">
        <v>2999</v>
      </c>
      <c r="O1255" t="s">
        <v>3000</v>
      </c>
      <c r="P1255" t="s">
        <v>2803</v>
      </c>
      <c r="Q1255" t="s">
        <v>2804</v>
      </c>
      <c r="R1255">
        <v>266112</v>
      </c>
      <c r="S1255">
        <v>0</v>
      </c>
      <c r="T1255">
        <v>266112</v>
      </c>
      <c r="U1255" t="s">
        <v>35</v>
      </c>
      <c r="V1255" t="s">
        <v>3003</v>
      </c>
      <c r="W1255" t="s">
        <v>2806</v>
      </c>
      <c r="X1255" s="4">
        <v>1</v>
      </c>
      <c r="Y1255" s="4"/>
      <c r="Z1255">
        <f t="shared" si="76"/>
        <v>8</v>
      </c>
      <c r="AA1255">
        <f t="shared" si="77"/>
        <v>11</v>
      </c>
      <c r="AB1255" s="5">
        <f t="shared" si="78"/>
        <v>0.30074074074218515</v>
      </c>
      <c r="AC1255" s="3">
        <f t="shared" si="79"/>
        <v>9.0277777773735579E-2</v>
      </c>
      <c r="AD1255" t="str" cm="1">
        <f t="array" ref="AD1255">IFERROR(_xlfn.IFS(
    AC1255="", "",
    AC1255*86400 &lt; 30, "1. 0s - &lt;30s",
    AC1255*86400 &lt; 60, "2. 30s - &lt;1m",
    AC1255*86400 &lt; 300, "3. 1m - &lt;5m",
    AC1255*86400 &lt; 1800, "4. 5m - &lt;30m",
    TRUE, "5. &gt;= 30m"
),"6. Invalid (Order rejected)")</f>
        <v>5. &gt;= 30m</v>
      </c>
    </row>
    <row r="1256" spans="1:30" hidden="1" x14ac:dyDescent="0.3">
      <c r="A1256" t="s">
        <v>7403</v>
      </c>
      <c r="B1256" t="s">
        <v>25</v>
      </c>
      <c r="C1256">
        <v>43512432</v>
      </c>
      <c r="D1256">
        <v>0</v>
      </c>
      <c r="E1256" t="s">
        <v>25</v>
      </c>
      <c r="F1256" t="s">
        <v>26</v>
      </c>
      <c r="G1256" t="s">
        <v>27</v>
      </c>
      <c r="H1256" t="s">
        <v>7404</v>
      </c>
      <c r="I1256" t="s">
        <v>7405</v>
      </c>
      <c r="J1256" t="s">
        <v>26</v>
      </c>
      <c r="K1256" t="s">
        <v>26</v>
      </c>
      <c r="L1256" t="s">
        <v>7406</v>
      </c>
      <c r="M1256" t="s">
        <v>25</v>
      </c>
      <c r="N1256" t="s">
        <v>1848</v>
      </c>
      <c r="O1256" t="s">
        <v>1849</v>
      </c>
      <c r="P1256" t="s">
        <v>2950</v>
      </c>
      <c r="Q1256" t="s">
        <v>2951</v>
      </c>
      <c r="R1256">
        <v>279828</v>
      </c>
      <c r="S1256">
        <v>0</v>
      </c>
      <c r="T1256">
        <v>279828</v>
      </c>
      <c r="U1256" t="s">
        <v>35</v>
      </c>
      <c r="V1256" t="s">
        <v>1852</v>
      </c>
      <c r="W1256" t="s">
        <v>2952</v>
      </c>
      <c r="X1256" s="4">
        <v>1</v>
      </c>
      <c r="Y1256" s="4"/>
      <c r="Z1256">
        <f t="shared" si="76"/>
        <v>8</v>
      </c>
      <c r="AA1256">
        <f t="shared" si="77"/>
        <v>11</v>
      </c>
      <c r="AB1256" s="5">
        <f t="shared" si="78"/>
        <v>0.30134259258920792</v>
      </c>
      <c r="AC1256" s="3">
        <f t="shared" si="79"/>
        <v>9.0266203704231884E-2</v>
      </c>
      <c r="AD1256" t="str" cm="1">
        <f t="array" ref="AD1256">IFERROR(_xlfn.IFS(
    AC1256="", "",
    AC1256*86400 &lt; 30, "1. 0s - &lt;30s",
    AC1256*86400 &lt; 60, "2. 30s - &lt;1m",
    AC1256*86400 &lt; 300, "3. 1m - &lt;5m",
    AC1256*86400 &lt; 1800, "4. 5m - &lt;30m",
    TRUE, "5. &gt;= 30m"
),"6. Invalid (Order rejected)")</f>
        <v>5. &gt;= 30m</v>
      </c>
    </row>
    <row r="1257" spans="1:30" hidden="1" x14ac:dyDescent="0.3">
      <c r="A1257" t="s">
        <v>7407</v>
      </c>
      <c r="B1257" t="s">
        <v>25</v>
      </c>
      <c r="C1257">
        <v>43512432</v>
      </c>
      <c r="D1257">
        <v>0</v>
      </c>
      <c r="E1257" t="s">
        <v>25</v>
      </c>
      <c r="F1257" t="s">
        <v>26</v>
      </c>
      <c r="G1257" t="s">
        <v>27</v>
      </c>
      <c r="H1257" t="s">
        <v>7408</v>
      </c>
      <c r="I1257" t="s">
        <v>7409</v>
      </c>
      <c r="J1257" t="s">
        <v>26</v>
      </c>
      <c r="K1257" t="s">
        <v>26</v>
      </c>
      <c r="L1257" t="s">
        <v>7410</v>
      </c>
      <c r="M1257" t="s">
        <v>25</v>
      </c>
      <c r="N1257" t="s">
        <v>2877</v>
      </c>
      <c r="O1257" t="s">
        <v>2878</v>
      </c>
      <c r="P1257" t="s">
        <v>2895</v>
      </c>
      <c r="Q1257" t="s">
        <v>2896</v>
      </c>
      <c r="R1257">
        <v>154656</v>
      </c>
      <c r="S1257">
        <v>0</v>
      </c>
      <c r="T1257">
        <v>154656</v>
      </c>
      <c r="U1257" t="s">
        <v>35</v>
      </c>
      <c r="V1257" t="s">
        <v>2879</v>
      </c>
      <c r="W1257" t="s">
        <v>2897</v>
      </c>
      <c r="X1257" s="4">
        <v>1</v>
      </c>
      <c r="Y1257" s="4"/>
      <c r="Z1257">
        <f t="shared" si="76"/>
        <v>8</v>
      </c>
      <c r="AA1257">
        <f t="shared" si="77"/>
        <v>11</v>
      </c>
      <c r="AB1257" s="5">
        <f t="shared" si="78"/>
        <v>0.30188657407416031</v>
      </c>
      <c r="AC1257" s="3">
        <f t="shared" si="79"/>
        <v>9.0266203704231884E-2</v>
      </c>
      <c r="AD1257" t="str" cm="1">
        <f t="array" ref="AD1257">IFERROR(_xlfn.IFS(
    AC1257="", "",
    AC1257*86400 &lt; 30, "1. 0s - &lt;30s",
    AC1257*86400 &lt; 60, "2. 30s - &lt;1m",
    AC1257*86400 &lt; 300, "3. 1m - &lt;5m",
    AC1257*86400 &lt; 1800, "4. 5m - &lt;30m",
    TRUE, "5. &gt;= 30m"
),"6. Invalid (Order rejected)")</f>
        <v>5. &gt;= 30m</v>
      </c>
    </row>
    <row r="1258" spans="1:30" hidden="1" x14ac:dyDescent="0.3">
      <c r="A1258" t="s">
        <v>7411</v>
      </c>
      <c r="B1258" t="s">
        <v>25</v>
      </c>
      <c r="C1258">
        <v>43512432</v>
      </c>
      <c r="D1258">
        <v>0</v>
      </c>
      <c r="E1258" t="s">
        <v>25</v>
      </c>
      <c r="F1258" t="s">
        <v>26</v>
      </c>
      <c r="G1258" t="s">
        <v>27</v>
      </c>
      <c r="H1258" t="s">
        <v>7412</v>
      </c>
      <c r="I1258" t="s">
        <v>7413</v>
      </c>
      <c r="J1258" t="s">
        <v>26</v>
      </c>
      <c r="K1258" t="s">
        <v>26</v>
      </c>
      <c r="L1258" t="s">
        <v>7414</v>
      </c>
      <c r="M1258" t="s">
        <v>25</v>
      </c>
      <c r="N1258" t="s">
        <v>1578</v>
      </c>
      <c r="O1258" t="s">
        <v>1579</v>
      </c>
      <c r="P1258" t="s">
        <v>2870</v>
      </c>
      <c r="Q1258" t="s">
        <v>2871</v>
      </c>
      <c r="R1258">
        <v>195696</v>
      </c>
      <c r="S1258">
        <v>0</v>
      </c>
      <c r="T1258">
        <v>195696</v>
      </c>
      <c r="U1258" t="s">
        <v>35</v>
      </c>
      <c r="V1258" t="s">
        <v>1580</v>
      </c>
      <c r="W1258" t="s">
        <v>2872</v>
      </c>
      <c r="X1258" s="4">
        <v>1</v>
      </c>
      <c r="Y1258" s="4"/>
      <c r="Z1258">
        <f t="shared" si="76"/>
        <v>8</v>
      </c>
      <c r="AA1258">
        <f t="shared" si="77"/>
        <v>11</v>
      </c>
      <c r="AB1258" s="5">
        <f t="shared" si="78"/>
        <v>0.30546296296233777</v>
      </c>
      <c r="AC1258" s="3">
        <f t="shared" si="79"/>
        <v>9.0266203704231884E-2</v>
      </c>
      <c r="AD1258" t="str" cm="1">
        <f t="array" ref="AD1258">IFERROR(_xlfn.IFS(
    AC1258="", "",
    AC1258*86400 &lt; 30, "1. 0s - &lt;30s",
    AC1258*86400 &lt; 60, "2. 30s - &lt;1m",
    AC1258*86400 &lt; 300, "3. 1m - &lt;5m",
    AC1258*86400 &lt; 1800, "4. 5m - &lt;30m",
    TRUE, "5. &gt;= 30m"
),"6. Invalid (Order rejected)")</f>
        <v>5. &gt;= 30m</v>
      </c>
    </row>
    <row r="1259" spans="1:30" x14ac:dyDescent="0.3">
      <c r="A1259" t="s">
        <v>7415</v>
      </c>
      <c r="B1259" t="s">
        <v>25</v>
      </c>
      <c r="C1259">
        <v>43512432</v>
      </c>
      <c r="D1259">
        <v>3163830</v>
      </c>
      <c r="E1259" t="s">
        <v>25</v>
      </c>
      <c r="F1259" t="s">
        <v>75</v>
      </c>
      <c r="G1259" t="s">
        <v>360</v>
      </c>
      <c r="H1259" t="s">
        <v>7416</v>
      </c>
      <c r="I1259" t="s">
        <v>7417</v>
      </c>
      <c r="J1259" t="s">
        <v>7418</v>
      </c>
      <c r="K1259" t="s">
        <v>7419</v>
      </c>
      <c r="L1259" t="s">
        <v>25</v>
      </c>
      <c r="M1259" t="s">
        <v>25</v>
      </c>
      <c r="N1259" t="s">
        <v>496</v>
      </c>
      <c r="O1259" t="s">
        <v>497</v>
      </c>
      <c r="P1259" t="s">
        <v>2863</v>
      </c>
      <c r="Q1259" t="s">
        <v>2864</v>
      </c>
      <c r="R1259">
        <v>180792</v>
      </c>
      <c r="S1259">
        <v>140156</v>
      </c>
      <c r="T1259">
        <v>40636</v>
      </c>
      <c r="U1259" t="s">
        <v>35</v>
      </c>
      <c r="V1259" t="s">
        <v>500</v>
      </c>
      <c r="W1259" t="s">
        <v>2865</v>
      </c>
      <c r="X1259" s="4">
        <v>1</v>
      </c>
      <c r="Y1259" s="4"/>
      <c r="Z1259">
        <f t="shared" si="76"/>
        <v>8</v>
      </c>
      <c r="AA1259">
        <f t="shared" si="77"/>
        <v>11</v>
      </c>
      <c r="AB1259" s="5">
        <f t="shared" si="78"/>
        <v>0.30791666666482342</v>
      </c>
      <c r="AC1259" s="3" t="str">
        <f t="shared" si="79"/>
        <v>Order rejected, no time available</v>
      </c>
      <c r="AD1259" t="str" cm="1">
        <f t="array" ref="AD1259">IFERROR(_xlfn.IFS(
    AC1259="", "",
    AC1259*86400 &lt; 30, "1. 0s - &lt;30s",
    AC1259*86400 &lt; 60, "2. 30s - &lt;1m",
    AC1259*86400 &lt; 300, "3. 1m - &lt;5m",
    AC1259*86400 &lt; 1800, "4. 5m - &lt;30m",
    TRUE, "5. &gt;= 30m"
),"6. Invalid (Order rejected)")</f>
        <v>6. Invalid (Order rejected)</v>
      </c>
    </row>
    <row r="1260" spans="1:30" hidden="1" x14ac:dyDescent="0.3">
      <c r="A1260" t="s">
        <v>7420</v>
      </c>
      <c r="B1260" t="s">
        <v>25</v>
      </c>
      <c r="C1260">
        <v>43512432</v>
      </c>
      <c r="D1260">
        <v>0</v>
      </c>
      <c r="E1260" t="s">
        <v>25</v>
      </c>
      <c r="F1260" t="s">
        <v>26</v>
      </c>
      <c r="G1260" t="s">
        <v>27</v>
      </c>
      <c r="H1260" t="s">
        <v>7421</v>
      </c>
      <c r="I1260" t="s">
        <v>7422</v>
      </c>
      <c r="J1260" t="s">
        <v>26</v>
      </c>
      <c r="K1260" t="s">
        <v>26</v>
      </c>
      <c r="L1260" t="s">
        <v>7423</v>
      </c>
      <c r="M1260" t="s">
        <v>25</v>
      </c>
      <c r="N1260" t="s">
        <v>1674</v>
      </c>
      <c r="O1260" t="s">
        <v>1675</v>
      </c>
      <c r="P1260" t="s">
        <v>2856</v>
      </c>
      <c r="Q1260" t="s">
        <v>2857</v>
      </c>
      <c r="R1260">
        <v>259740</v>
      </c>
      <c r="S1260">
        <v>0</v>
      </c>
      <c r="T1260">
        <v>259740</v>
      </c>
      <c r="U1260" t="s">
        <v>35</v>
      </c>
      <c r="V1260" t="s">
        <v>1678</v>
      </c>
      <c r="W1260" t="s">
        <v>2858</v>
      </c>
      <c r="X1260" s="4">
        <v>1</v>
      </c>
      <c r="Y1260" s="4"/>
      <c r="Z1260">
        <f t="shared" si="76"/>
        <v>8</v>
      </c>
      <c r="AA1260">
        <f t="shared" si="77"/>
        <v>11</v>
      </c>
      <c r="AB1260" s="5">
        <f t="shared" si="78"/>
        <v>0.310023148151231</v>
      </c>
      <c r="AC1260" s="3">
        <f t="shared" si="79"/>
        <v>0.16167824073636439</v>
      </c>
      <c r="AD1260" t="str" cm="1">
        <f t="array" ref="AD1260">IFERROR(_xlfn.IFS(
    AC1260="", "",
    AC1260*86400 &lt; 30, "1. 0s - &lt;30s",
    AC1260*86400 &lt; 60, "2. 30s - &lt;1m",
    AC1260*86400 &lt; 300, "3. 1m - &lt;5m",
    AC1260*86400 &lt; 1800, "4. 5m - &lt;30m",
    TRUE, "5. &gt;= 30m"
),"6. Invalid (Order rejected)")</f>
        <v>5. &gt;= 30m</v>
      </c>
    </row>
    <row r="1261" spans="1:30" hidden="1" x14ac:dyDescent="0.3">
      <c r="A1261" t="s">
        <v>7424</v>
      </c>
      <c r="B1261" t="s">
        <v>25</v>
      </c>
      <c r="C1261">
        <v>43512432</v>
      </c>
      <c r="D1261">
        <v>0</v>
      </c>
      <c r="E1261" t="s">
        <v>25</v>
      </c>
      <c r="F1261" t="s">
        <v>26</v>
      </c>
      <c r="G1261" t="s">
        <v>27</v>
      </c>
      <c r="H1261" t="s">
        <v>7425</v>
      </c>
      <c r="I1261" t="s">
        <v>7426</v>
      </c>
      <c r="J1261" t="s">
        <v>26</v>
      </c>
      <c r="K1261" t="s">
        <v>26</v>
      </c>
      <c r="L1261" t="s">
        <v>7427</v>
      </c>
      <c r="M1261" t="s">
        <v>25</v>
      </c>
      <c r="N1261" t="s">
        <v>1716</v>
      </c>
      <c r="O1261" t="s">
        <v>1717</v>
      </c>
      <c r="P1261" t="s">
        <v>2803</v>
      </c>
      <c r="Q1261" t="s">
        <v>2804</v>
      </c>
      <c r="R1261">
        <v>324108</v>
      </c>
      <c r="S1261">
        <v>0</v>
      </c>
      <c r="T1261">
        <v>324108</v>
      </c>
      <c r="U1261" t="s">
        <v>35</v>
      </c>
      <c r="V1261" t="s">
        <v>1720</v>
      </c>
      <c r="W1261" t="s">
        <v>2806</v>
      </c>
      <c r="X1261" s="4">
        <v>1</v>
      </c>
      <c r="Y1261" s="4"/>
      <c r="Z1261">
        <f t="shared" si="76"/>
        <v>8</v>
      </c>
      <c r="AA1261">
        <f t="shared" si="77"/>
        <v>11</v>
      </c>
      <c r="AB1261" s="5">
        <f t="shared" si="78"/>
        <v>0.312604166669189</v>
      </c>
      <c r="AC1261" s="3">
        <f t="shared" si="79"/>
        <v>9.0277777773735579E-2</v>
      </c>
      <c r="AD1261" t="str" cm="1">
        <f t="array" ref="AD1261">IFERROR(_xlfn.IFS(
    AC1261="", "",
    AC1261*86400 &lt; 30, "1. 0s - &lt;30s",
    AC1261*86400 &lt; 60, "2. 30s - &lt;1m",
    AC1261*86400 &lt; 300, "3. 1m - &lt;5m",
    AC1261*86400 &lt; 1800, "4. 5m - &lt;30m",
    TRUE, "5. &gt;= 30m"
),"6. Invalid (Order rejected)")</f>
        <v>5. &gt;= 30m</v>
      </c>
    </row>
    <row r="1262" spans="1:30" hidden="1" x14ac:dyDescent="0.3">
      <c r="A1262" t="s">
        <v>7428</v>
      </c>
      <c r="B1262" t="s">
        <v>25</v>
      </c>
      <c r="C1262">
        <v>43512432</v>
      </c>
      <c r="D1262">
        <v>0</v>
      </c>
      <c r="E1262" t="s">
        <v>25</v>
      </c>
      <c r="F1262" t="s">
        <v>26</v>
      </c>
      <c r="G1262" t="s">
        <v>27</v>
      </c>
      <c r="H1262" t="s">
        <v>7429</v>
      </c>
      <c r="I1262" t="s">
        <v>7430</v>
      </c>
      <c r="J1262" t="s">
        <v>26</v>
      </c>
      <c r="K1262" t="s">
        <v>26</v>
      </c>
      <c r="L1262" t="s">
        <v>7431</v>
      </c>
      <c r="M1262" t="s">
        <v>25</v>
      </c>
      <c r="N1262" t="s">
        <v>2921</v>
      </c>
      <c r="O1262" t="s">
        <v>2922</v>
      </c>
      <c r="P1262" t="s">
        <v>2856</v>
      </c>
      <c r="Q1262" t="s">
        <v>2857</v>
      </c>
      <c r="R1262">
        <v>265680</v>
      </c>
      <c r="S1262">
        <v>0</v>
      </c>
      <c r="T1262">
        <v>265680</v>
      </c>
      <c r="U1262" t="s">
        <v>35</v>
      </c>
      <c r="V1262" t="s">
        <v>2923</v>
      </c>
      <c r="W1262" t="s">
        <v>2858</v>
      </c>
      <c r="X1262" s="4">
        <v>1</v>
      </c>
      <c r="Y1262" s="4"/>
      <c r="Z1262">
        <f t="shared" si="76"/>
        <v>8</v>
      </c>
      <c r="AA1262">
        <f t="shared" si="77"/>
        <v>11</v>
      </c>
      <c r="AB1262" s="5">
        <f t="shared" si="78"/>
        <v>0.30406249999941792</v>
      </c>
      <c r="AC1262" s="3">
        <f t="shared" si="79"/>
        <v>9.0266203704231884E-2</v>
      </c>
      <c r="AD1262" t="str" cm="1">
        <f t="array" ref="AD1262">IFERROR(_xlfn.IFS(
    AC1262="", "",
    AC1262*86400 &lt; 30, "1. 0s - &lt;30s",
    AC1262*86400 &lt; 60, "2. 30s - &lt;1m",
    AC1262*86400 &lt; 300, "3. 1m - &lt;5m",
    AC1262*86400 &lt; 1800, "4. 5m - &lt;30m",
    TRUE, "5. &gt;= 30m"
),"6. Invalid (Order rejected)")</f>
        <v>5. &gt;= 30m</v>
      </c>
    </row>
    <row r="1263" spans="1:30" hidden="1" x14ac:dyDescent="0.3">
      <c r="A1263" t="s">
        <v>7432</v>
      </c>
      <c r="B1263" t="s">
        <v>25</v>
      </c>
      <c r="C1263">
        <v>43512432</v>
      </c>
      <c r="D1263">
        <v>0</v>
      </c>
      <c r="E1263" t="s">
        <v>25</v>
      </c>
      <c r="F1263" t="s">
        <v>26</v>
      </c>
      <c r="G1263" t="s">
        <v>27</v>
      </c>
      <c r="H1263" t="s">
        <v>7433</v>
      </c>
      <c r="I1263" t="s">
        <v>7434</v>
      </c>
      <c r="J1263" t="s">
        <v>26</v>
      </c>
      <c r="K1263" t="s">
        <v>26</v>
      </c>
      <c r="L1263" t="s">
        <v>7435</v>
      </c>
      <c r="M1263" t="s">
        <v>25</v>
      </c>
      <c r="N1263" t="s">
        <v>1578</v>
      </c>
      <c r="O1263" t="s">
        <v>1579</v>
      </c>
      <c r="P1263" t="s">
        <v>2895</v>
      </c>
      <c r="Q1263" t="s">
        <v>2896</v>
      </c>
      <c r="R1263">
        <v>188568</v>
      </c>
      <c r="S1263">
        <v>0</v>
      </c>
      <c r="T1263">
        <v>188568</v>
      </c>
      <c r="U1263" t="s">
        <v>35</v>
      </c>
      <c r="V1263" t="s">
        <v>1580</v>
      </c>
      <c r="W1263" t="s">
        <v>2897</v>
      </c>
      <c r="X1263" s="4">
        <v>1</v>
      </c>
      <c r="Y1263" s="4"/>
      <c r="Z1263">
        <f t="shared" si="76"/>
        <v>8</v>
      </c>
      <c r="AA1263">
        <f t="shared" si="77"/>
        <v>11</v>
      </c>
      <c r="AB1263" s="5">
        <f t="shared" si="78"/>
        <v>0.30515046296204673</v>
      </c>
      <c r="AC1263" s="3">
        <f t="shared" si="79"/>
        <v>0.150983796294895</v>
      </c>
      <c r="AD1263" t="str" cm="1">
        <f t="array" ref="AD1263">IFERROR(_xlfn.IFS(
    AC1263="", "",
    AC1263*86400 &lt; 30, "1. 0s - &lt;30s",
    AC1263*86400 &lt; 60, "2. 30s - &lt;1m",
    AC1263*86400 &lt; 300, "3. 1m - &lt;5m",
    AC1263*86400 &lt; 1800, "4. 5m - &lt;30m",
    TRUE, "5. &gt;= 30m"
),"6. Invalid (Order rejected)")</f>
        <v>5. &gt;= 30m</v>
      </c>
    </row>
    <row r="1264" spans="1:30" hidden="1" x14ac:dyDescent="0.3">
      <c r="A1264" t="s">
        <v>7436</v>
      </c>
      <c r="B1264" t="s">
        <v>25</v>
      </c>
      <c r="C1264">
        <v>43512432</v>
      </c>
      <c r="D1264">
        <v>0</v>
      </c>
      <c r="E1264" t="s">
        <v>25</v>
      </c>
      <c r="F1264" t="s">
        <v>26</v>
      </c>
      <c r="G1264" t="s">
        <v>27</v>
      </c>
      <c r="H1264" t="s">
        <v>7437</v>
      </c>
      <c r="I1264" t="s">
        <v>7438</v>
      </c>
      <c r="J1264" t="s">
        <v>26</v>
      </c>
      <c r="K1264" t="s">
        <v>26</v>
      </c>
      <c r="L1264" t="s">
        <v>7439</v>
      </c>
      <c r="M1264" t="s">
        <v>25</v>
      </c>
      <c r="N1264" t="s">
        <v>3039</v>
      </c>
      <c r="O1264" t="s">
        <v>3040</v>
      </c>
      <c r="P1264" t="s">
        <v>2833</v>
      </c>
      <c r="Q1264" t="s">
        <v>2834</v>
      </c>
      <c r="R1264">
        <v>221292</v>
      </c>
      <c r="S1264">
        <v>0</v>
      </c>
      <c r="T1264">
        <v>221292</v>
      </c>
      <c r="U1264" t="s">
        <v>35</v>
      </c>
      <c r="V1264" t="s">
        <v>3041</v>
      </c>
      <c r="W1264" t="s">
        <v>2836</v>
      </c>
      <c r="X1264" s="4">
        <v>1</v>
      </c>
      <c r="Y1264" s="4"/>
      <c r="Z1264">
        <f t="shared" si="76"/>
        <v>8</v>
      </c>
      <c r="AA1264">
        <f t="shared" si="77"/>
        <v>11</v>
      </c>
      <c r="AB1264" s="5">
        <f t="shared" si="78"/>
        <v>0.30943287037371192</v>
      </c>
      <c r="AC1264" s="3">
        <f t="shared" si="79"/>
        <v>9.0266203696955927E-2</v>
      </c>
      <c r="AD1264" t="str" cm="1">
        <f t="array" ref="AD1264">IFERROR(_xlfn.IFS(
    AC1264="", "",
    AC1264*86400 &lt; 30, "1. 0s - &lt;30s",
    AC1264*86400 &lt; 60, "2. 30s - &lt;1m",
    AC1264*86400 &lt; 300, "3. 1m - &lt;5m",
    AC1264*86400 &lt; 1800, "4. 5m - &lt;30m",
    TRUE, "5. &gt;= 30m"
),"6. Invalid (Order rejected)")</f>
        <v>5. &gt;= 30m</v>
      </c>
    </row>
    <row r="1265" spans="1:30" hidden="1" x14ac:dyDescent="0.3">
      <c r="A1265" t="s">
        <v>7440</v>
      </c>
      <c r="B1265" t="s">
        <v>25</v>
      </c>
      <c r="C1265">
        <v>43512432</v>
      </c>
      <c r="D1265">
        <v>0</v>
      </c>
      <c r="E1265" t="s">
        <v>25</v>
      </c>
      <c r="F1265" t="s">
        <v>26</v>
      </c>
      <c r="G1265" t="s">
        <v>27</v>
      </c>
      <c r="H1265" t="s">
        <v>7441</v>
      </c>
      <c r="I1265" t="s">
        <v>7442</v>
      </c>
      <c r="J1265" t="s">
        <v>26</v>
      </c>
      <c r="K1265" t="s">
        <v>26</v>
      </c>
      <c r="L1265" t="s">
        <v>7443</v>
      </c>
      <c r="M1265" t="s">
        <v>25</v>
      </c>
      <c r="N1265" t="s">
        <v>1702</v>
      </c>
      <c r="O1265" t="s">
        <v>1703</v>
      </c>
      <c r="P1265" t="s">
        <v>2895</v>
      </c>
      <c r="Q1265" t="s">
        <v>2896</v>
      </c>
      <c r="R1265">
        <v>127656</v>
      </c>
      <c r="S1265">
        <v>0</v>
      </c>
      <c r="T1265">
        <v>127656</v>
      </c>
      <c r="U1265" t="s">
        <v>35</v>
      </c>
      <c r="V1265" t="s">
        <v>1706</v>
      </c>
      <c r="W1265" t="s">
        <v>2897</v>
      </c>
      <c r="X1265" s="4">
        <v>1</v>
      </c>
      <c r="Y1265" s="4"/>
      <c r="Z1265">
        <f t="shared" si="76"/>
        <v>8</v>
      </c>
      <c r="AA1265">
        <f t="shared" si="77"/>
        <v>11</v>
      </c>
      <c r="AB1265" s="5">
        <f t="shared" si="78"/>
        <v>0.31089120370597811</v>
      </c>
      <c r="AC1265" s="3">
        <f t="shared" si="79"/>
        <v>9.0266203704231884E-2</v>
      </c>
      <c r="AD1265" t="str" cm="1">
        <f t="array" ref="AD1265">IFERROR(_xlfn.IFS(
    AC1265="", "",
    AC1265*86400 &lt; 30, "1. 0s - &lt;30s",
    AC1265*86400 &lt; 60, "2. 30s - &lt;1m",
    AC1265*86400 &lt; 300, "3. 1m - &lt;5m",
    AC1265*86400 &lt; 1800, "4. 5m - &lt;30m",
    TRUE, "5. &gt;= 30m"
),"6. Invalid (Order rejected)")</f>
        <v>5. &gt;= 30m</v>
      </c>
    </row>
    <row r="1266" spans="1:30" x14ac:dyDescent="0.3">
      <c r="A1266" t="s">
        <v>7444</v>
      </c>
      <c r="B1266" t="s">
        <v>25</v>
      </c>
      <c r="C1266">
        <v>43512432</v>
      </c>
      <c r="D1266">
        <v>1464821</v>
      </c>
      <c r="E1266" t="s">
        <v>25</v>
      </c>
      <c r="F1266" t="s">
        <v>75</v>
      </c>
      <c r="G1266" t="s">
        <v>360</v>
      </c>
      <c r="H1266" t="s">
        <v>2930</v>
      </c>
      <c r="I1266" t="s">
        <v>7445</v>
      </c>
      <c r="J1266" t="s">
        <v>7446</v>
      </c>
      <c r="K1266" t="s">
        <v>7447</v>
      </c>
      <c r="L1266" t="s">
        <v>25</v>
      </c>
      <c r="M1266" t="s">
        <v>25</v>
      </c>
      <c r="N1266" t="s">
        <v>2992</v>
      </c>
      <c r="O1266" t="s">
        <v>2993</v>
      </c>
      <c r="P1266" t="s">
        <v>2443</v>
      </c>
      <c r="Q1266" t="s">
        <v>2444</v>
      </c>
      <c r="R1266">
        <v>136728</v>
      </c>
      <c r="S1266">
        <v>105996</v>
      </c>
      <c r="T1266">
        <v>30732</v>
      </c>
      <c r="U1266" t="s">
        <v>35</v>
      </c>
      <c r="V1266" t="s">
        <v>2994</v>
      </c>
      <c r="W1266" t="s">
        <v>2446</v>
      </c>
      <c r="X1266" s="4">
        <v>1</v>
      </c>
      <c r="Y1266" s="4"/>
      <c r="Z1266">
        <f t="shared" si="76"/>
        <v>8</v>
      </c>
      <c r="AA1266">
        <f t="shared" si="77"/>
        <v>11</v>
      </c>
      <c r="AB1266" s="5">
        <f t="shared" si="78"/>
        <v>0.31409722222451819</v>
      </c>
      <c r="AC1266" s="3" t="str">
        <f t="shared" si="79"/>
        <v>Order rejected, no time available</v>
      </c>
      <c r="AD1266" t="str" cm="1">
        <f t="array" ref="AD1266">IFERROR(_xlfn.IFS(
    AC1266="", "",
    AC1266*86400 &lt; 30, "1. 0s - &lt;30s",
    AC1266*86400 &lt; 60, "2. 30s - &lt;1m",
    AC1266*86400 &lt; 300, "3. 1m - &lt;5m",
    AC1266*86400 &lt; 1800, "4. 5m - &lt;30m",
    TRUE, "5. &gt;= 30m"
),"6. Invalid (Order rejected)")</f>
        <v>6. Invalid (Order rejected)</v>
      </c>
    </row>
    <row r="1267" spans="1:30" hidden="1" x14ac:dyDescent="0.3">
      <c r="A1267" t="s">
        <v>7448</v>
      </c>
      <c r="B1267" t="s">
        <v>25</v>
      </c>
      <c r="C1267">
        <v>43512432</v>
      </c>
      <c r="D1267">
        <v>0</v>
      </c>
      <c r="E1267" t="s">
        <v>25</v>
      </c>
      <c r="F1267" t="s">
        <v>26</v>
      </c>
      <c r="G1267" t="s">
        <v>27</v>
      </c>
      <c r="H1267" t="s">
        <v>7449</v>
      </c>
      <c r="I1267" t="s">
        <v>7450</v>
      </c>
      <c r="J1267" t="s">
        <v>26</v>
      </c>
      <c r="K1267" t="s">
        <v>26</v>
      </c>
      <c r="L1267" t="s">
        <v>7451</v>
      </c>
      <c r="M1267" t="s">
        <v>25</v>
      </c>
      <c r="N1267" t="s">
        <v>1716</v>
      </c>
      <c r="O1267" t="s">
        <v>1717</v>
      </c>
      <c r="P1267" t="s">
        <v>2833</v>
      </c>
      <c r="Q1267" t="s">
        <v>2834</v>
      </c>
      <c r="R1267">
        <v>227340</v>
      </c>
      <c r="S1267">
        <v>0</v>
      </c>
      <c r="T1267">
        <v>227340</v>
      </c>
      <c r="U1267" t="s">
        <v>35</v>
      </c>
      <c r="V1267" t="s">
        <v>1720</v>
      </c>
      <c r="W1267" t="s">
        <v>2836</v>
      </c>
      <c r="X1267" s="4">
        <v>1</v>
      </c>
      <c r="Y1267" s="4"/>
      <c r="Z1267">
        <f t="shared" si="76"/>
        <v>8</v>
      </c>
      <c r="AA1267">
        <f t="shared" si="77"/>
        <v>11</v>
      </c>
      <c r="AB1267" s="5">
        <f t="shared" si="78"/>
        <v>0.31231481481518131</v>
      </c>
      <c r="AC1267" s="3">
        <f t="shared" si="79"/>
        <v>9.0266203704231884E-2</v>
      </c>
      <c r="AD1267" t="str" cm="1">
        <f t="array" ref="AD1267">IFERROR(_xlfn.IFS(
    AC1267="", "",
    AC1267*86400 &lt; 30, "1. 0s - &lt;30s",
    AC1267*86400 &lt; 60, "2. 30s - &lt;1m",
    AC1267*86400 &lt; 300, "3. 1m - &lt;5m",
    AC1267*86400 &lt; 1800, "4. 5m - &lt;30m",
    TRUE, "5. &gt;= 30m"
),"6. Invalid (Order rejected)")</f>
        <v>5. &gt;= 30m</v>
      </c>
    </row>
    <row r="1268" spans="1:30" hidden="1" x14ac:dyDescent="0.3">
      <c r="A1268" t="s">
        <v>7452</v>
      </c>
      <c r="B1268" t="s">
        <v>25</v>
      </c>
      <c r="C1268">
        <v>43512432</v>
      </c>
      <c r="D1268">
        <v>0</v>
      </c>
      <c r="E1268" t="s">
        <v>25</v>
      </c>
      <c r="F1268" t="s">
        <v>26</v>
      </c>
      <c r="G1268" t="s">
        <v>27</v>
      </c>
      <c r="H1268" t="s">
        <v>7453</v>
      </c>
      <c r="I1268" t="s">
        <v>7454</v>
      </c>
      <c r="J1268" t="s">
        <v>26</v>
      </c>
      <c r="K1268" t="s">
        <v>26</v>
      </c>
      <c r="L1268" t="s">
        <v>7455</v>
      </c>
      <c r="M1268" t="s">
        <v>25</v>
      </c>
      <c r="N1268" t="s">
        <v>1716</v>
      </c>
      <c r="O1268" t="s">
        <v>1717</v>
      </c>
      <c r="P1268" t="s">
        <v>3001</v>
      </c>
      <c r="Q1268" t="s">
        <v>3002</v>
      </c>
      <c r="R1268">
        <v>157896</v>
      </c>
      <c r="S1268">
        <v>0</v>
      </c>
      <c r="T1268">
        <v>157896</v>
      </c>
      <c r="U1268" t="s">
        <v>35</v>
      </c>
      <c r="V1268" t="s">
        <v>1720</v>
      </c>
      <c r="W1268" t="s">
        <v>3004</v>
      </c>
      <c r="X1268" s="4">
        <v>1</v>
      </c>
      <c r="Y1268" s="4"/>
      <c r="Z1268">
        <f t="shared" si="76"/>
        <v>8</v>
      </c>
      <c r="AA1268">
        <f t="shared" si="77"/>
        <v>11</v>
      </c>
      <c r="AB1268" s="5">
        <f t="shared" si="78"/>
        <v>0.312465277776937</v>
      </c>
      <c r="AC1268" s="3">
        <f t="shared" si="79"/>
        <v>9.0277777781011537E-2</v>
      </c>
      <c r="AD1268" t="str" cm="1">
        <f t="array" ref="AD1268">IFERROR(_xlfn.IFS(
    AC1268="", "",
    AC1268*86400 &lt; 30, "1. 0s - &lt;30s",
    AC1268*86400 &lt; 60, "2. 30s - &lt;1m",
    AC1268*86400 &lt; 300, "3. 1m - &lt;5m",
    AC1268*86400 &lt; 1800, "4. 5m - &lt;30m",
    TRUE, "5. &gt;= 30m"
),"6. Invalid (Order rejected)")</f>
        <v>5. &gt;= 30m</v>
      </c>
    </row>
    <row r="1269" spans="1:30" x14ac:dyDescent="0.3">
      <c r="A1269" t="s">
        <v>7456</v>
      </c>
      <c r="B1269" t="s">
        <v>25</v>
      </c>
      <c r="C1269">
        <v>43512432</v>
      </c>
      <c r="D1269">
        <v>4838785</v>
      </c>
      <c r="E1269" t="s">
        <v>25</v>
      </c>
      <c r="F1269" t="s">
        <v>75</v>
      </c>
      <c r="G1269" t="s">
        <v>360</v>
      </c>
      <c r="H1269" t="s">
        <v>7457</v>
      </c>
      <c r="I1269" t="s">
        <v>7458</v>
      </c>
      <c r="J1269" t="s">
        <v>7459</v>
      </c>
      <c r="K1269" t="s">
        <v>26</v>
      </c>
      <c r="L1269" t="s">
        <v>25</v>
      </c>
      <c r="M1269" t="s">
        <v>25</v>
      </c>
      <c r="N1269" t="s">
        <v>3068</v>
      </c>
      <c r="O1269" t="s">
        <v>3069</v>
      </c>
      <c r="P1269" t="s">
        <v>7460</v>
      </c>
      <c r="Q1269" t="s">
        <v>7461</v>
      </c>
      <c r="R1269">
        <v>748116</v>
      </c>
      <c r="S1269">
        <v>579963</v>
      </c>
      <c r="T1269">
        <v>168153</v>
      </c>
      <c r="U1269" t="s">
        <v>35</v>
      </c>
      <c r="V1269" t="s">
        <v>3072</v>
      </c>
      <c r="W1269" t="s">
        <v>7462</v>
      </c>
      <c r="X1269" s="4">
        <v>1</v>
      </c>
      <c r="Y1269" s="4"/>
      <c r="Z1269">
        <f t="shared" si="76"/>
        <v>8</v>
      </c>
      <c r="AA1269">
        <f t="shared" si="77"/>
        <v>11</v>
      </c>
      <c r="AB1269" s="5">
        <f t="shared" si="78"/>
        <v>0.31804398148233304</v>
      </c>
      <c r="AC1269" s="3" t="str">
        <f t="shared" si="79"/>
        <v>Order rejected, no time available</v>
      </c>
      <c r="AD1269" t="str" cm="1">
        <f t="array" ref="AD1269">IFERROR(_xlfn.IFS(
    AC1269="", "",
    AC1269*86400 &lt; 30, "1. 0s - &lt;30s",
    AC1269*86400 &lt; 60, "2. 30s - &lt;1m",
    AC1269*86400 &lt; 300, "3. 1m - &lt;5m",
    AC1269*86400 &lt; 1800, "4. 5m - &lt;30m",
    TRUE, "5. &gt;= 30m"
),"6. Invalid (Order rejected)")</f>
        <v>6. Invalid (Order rejected)</v>
      </c>
    </row>
    <row r="1270" spans="1:30" hidden="1" x14ac:dyDescent="0.3">
      <c r="A1270" t="s">
        <v>7463</v>
      </c>
      <c r="B1270" t="s">
        <v>25</v>
      </c>
      <c r="C1270">
        <v>43512432</v>
      </c>
      <c r="D1270">
        <v>0</v>
      </c>
      <c r="E1270" t="s">
        <v>25</v>
      </c>
      <c r="F1270" t="s">
        <v>26</v>
      </c>
      <c r="G1270" t="s">
        <v>27</v>
      </c>
      <c r="H1270" t="s">
        <v>7464</v>
      </c>
      <c r="I1270" t="s">
        <v>7465</v>
      </c>
      <c r="J1270" t="s">
        <v>26</v>
      </c>
      <c r="K1270" t="s">
        <v>26</v>
      </c>
      <c r="L1270" t="s">
        <v>7466</v>
      </c>
      <c r="M1270" t="s">
        <v>25</v>
      </c>
      <c r="N1270" t="s">
        <v>1642</v>
      </c>
      <c r="O1270" t="s">
        <v>1643</v>
      </c>
      <c r="P1270" t="s">
        <v>2824</v>
      </c>
      <c r="Q1270" t="s">
        <v>2825</v>
      </c>
      <c r="R1270">
        <v>293220</v>
      </c>
      <c r="S1270">
        <v>0</v>
      </c>
      <c r="T1270">
        <v>293220</v>
      </c>
      <c r="U1270" t="s">
        <v>35</v>
      </c>
      <c r="V1270" t="s">
        <v>1646</v>
      </c>
      <c r="W1270" t="s">
        <v>2826</v>
      </c>
      <c r="X1270" s="4">
        <v>1</v>
      </c>
      <c r="Y1270" s="4"/>
      <c r="Z1270">
        <f t="shared" si="76"/>
        <v>8</v>
      </c>
      <c r="AA1270">
        <f t="shared" si="77"/>
        <v>11</v>
      </c>
      <c r="AB1270" s="5">
        <f t="shared" si="78"/>
        <v>0.31166666666831588</v>
      </c>
      <c r="AC1270" s="3">
        <f t="shared" si="79"/>
        <v>9.0254629627452232E-2</v>
      </c>
      <c r="AD1270" t="str" cm="1">
        <f t="array" ref="AD1270">IFERROR(_xlfn.IFS(
    AC1270="", "",
    AC1270*86400 &lt; 30, "1. 0s - &lt;30s",
    AC1270*86400 &lt; 60, "2. 30s - &lt;1m",
    AC1270*86400 &lt; 300, "3. 1m - &lt;5m",
    AC1270*86400 &lt; 1800, "4. 5m - &lt;30m",
    TRUE, "5. &gt;= 30m"
),"6. Invalid (Order rejected)")</f>
        <v>5. &gt;= 30m</v>
      </c>
    </row>
    <row r="1271" spans="1:30" hidden="1" x14ac:dyDescent="0.3">
      <c r="A1271" t="s">
        <v>7467</v>
      </c>
      <c r="B1271" t="s">
        <v>25</v>
      </c>
      <c r="C1271">
        <v>43512432</v>
      </c>
      <c r="D1271">
        <v>0</v>
      </c>
      <c r="E1271" t="s">
        <v>25</v>
      </c>
      <c r="F1271" t="s">
        <v>26</v>
      </c>
      <c r="G1271" t="s">
        <v>27</v>
      </c>
      <c r="H1271" t="s">
        <v>7468</v>
      </c>
      <c r="I1271" t="s">
        <v>7469</v>
      </c>
      <c r="J1271" t="s">
        <v>26</v>
      </c>
      <c r="K1271" t="s">
        <v>26</v>
      </c>
      <c r="L1271" t="s">
        <v>7470</v>
      </c>
      <c r="M1271" t="s">
        <v>25</v>
      </c>
      <c r="N1271" t="s">
        <v>3039</v>
      </c>
      <c r="O1271" t="s">
        <v>3040</v>
      </c>
      <c r="P1271" t="s">
        <v>2803</v>
      </c>
      <c r="Q1271" t="s">
        <v>2804</v>
      </c>
      <c r="R1271">
        <v>248508</v>
      </c>
      <c r="S1271">
        <v>0</v>
      </c>
      <c r="T1271">
        <v>248508</v>
      </c>
      <c r="U1271" t="s">
        <v>35</v>
      </c>
      <c r="V1271" t="s">
        <v>3041</v>
      </c>
      <c r="W1271" t="s">
        <v>2806</v>
      </c>
      <c r="X1271" s="4">
        <v>1</v>
      </c>
      <c r="Y1271" s="4"/>
      <c r="Z1271">
        <f t="shared" si="76"/>
        <v>8</v>
      </c>
      <c r="AA1271">
        <f t="shared" si="77"/>
        <v>11</v>
      </c>
      <c r="AB1271" s="5">
        <f t="shared" si="78"/>
        <v>0.30972222222044365</v>
      </c>
      <c r="AC1271" s="3">
        <f t="shared" si="79"/>
        <v>9.0266203704231884E-2</v>
      </c>
      <c r="AD1271" t="str" cm="1">
        <f t="array" ref="AD1271">IFERROR(_xlfn.IFS(
    AC1271="", "",
    AC1271*86400 &lt; 30, "1. 0s - &lt;30s",
    AC1271*86400 &lt; 60, "2. 30s - &lt;1m",
    AC1271*86400 &lt; 300, "3. 1m - &lt;5m",
    AC1271*86400 &lt; 1800, "4. 5m - &lt;30m",
    TRUE, "5. &gt;= 30m"
),"6. Invalid (Order rejected)")</f>
        <v>5. &gt;= 30m</v>
      </c>
    </row>
    <row r="1272" spans="1:30" hidden="1" x14ac:dyDescent="0.3">
      <c r="A1272" t="s">
        <v>7471</v>
      </c>
      <c r="B1272" t="s">
        <v>25</v>
      </c>
      <c r="C1272">
        <v>43512432</v>
      </c>
      <c r="D1272">
        <v>0</v>
      </c>
      <c r="E1272" t="s">
        <v>25</v>
      </c>
      <c r="F1272" t="s">
        <v>26</v>
      </c>
      <c r="G1272" t="s">
        <v>27</v>
      </c>
      <c r="H1272" t="s">
        <v>7472</v>
      </c>
      <c r="I1272" t="s">
        <v>7473</v>
      </c>
      <c r="J1272" t="s">
        <v>26</v>
      </c>
      <c r="K1272" t="s">
        <v>26</v>
      </c>
      <c r="L1272" t="s">
        <v>7474</v>
      </c>
      <c r="M1272" t="s">
        <v>25</v>
      </c>
      <c r="N1272" t="s">
        <v>1642</v>
      </c>
      <c r="O1272" t="s">
        <v>1643</v>
      </c>
      <c r="P1272" t="s">
        <v>2443</v>
      </c>
      <c r="Q1272" t="s">
        <v>2444</v>
      </c>
      <c r="R1272">
        <v>157140</v>
      </c>
      <c r="S1272">
        <v>0</v>
      </c>
      <c r="T1272">
        <v>157140</v>
      </c>
      <c r="U1272" t="s">
        <v>35</v>
      </c>
      <c r="V1272" t="s">
        <v>1646</v>
      </c>
      <c r="W1272" t="s">
        <v>2446</v>
      </c>
      <c r="X1272" s="4">
        <v>1</v>
      </c>
      <c r="Y1272" s="4"/>
      <c r="Z1272">
        <f t="shared" si="76"/>
        <v>8</v>
      </c>
      <c r="AA1272">
        <f t="shared" si="77"/>
        <v>11</v>
      </c>
      <c r="AB1272" s="5">
        <f t="shared" si="78"/>
        <v>0.31121527777577285</v>
      </c>
      <c r="AC1272" s="3">
        <f t="shared" si="79"/>
        <v>9.0266203704231884E-2</v>
      </c>
      <c r="AD1272" t="str" cm="1">
        <f t="array" ref="AD1272">IFERROR(_xlfn.IFS(
    AC1272="", "",
    AC1272*86400 &lt; 30, "1. 0s - &lt;30s",
    AC1272*86400 &lt; 60, "2. 30s - &lt;1m",
    AC1272*86400 &lt; 300, "3. 1m - &lt;5m",
    AC1272*86400 &lt; 1800, "4. 5m - &lt;30m",
    TRUE, "5. &gt;= 30m"
),"6. Invalid (Order rejected)")</f>
        <v>5. &gt;= 30m</v>
      </c>
    </row>
    <row r="1273" spans="1:30" hidden="1" x14ac:dyDescent="0.3">
      <c r="A1273" t="s">
        <v>7475</v>
      </c>
      <c r="B1273" t="s">
        <v>25</v>
      </c>
      <c r="C1273">
        <v>43512432</v>
      </c>
      <c r="D1273">
        <v>0</v>
      </c>
      <c r="E1273" t="s">
        <v>25</v>
      </c>
      <c r="F1273" t="s">
        <v>26</v>
      </c>
      <c r="G1273" t="s">
        <v>27</v>
      </c>
      <c r="H1273" t="s">
        <v>7476</v>
      </c>
      <c r="I1273" t="s">
        <v>7477</v>
      </c>
      <c r="J1273" t="s">
        <v>26</v>
      </c>
      <c r="K1273" t="s">
        <v>26</v>
      </c>
      <c r="L1273" t="s">
        <v>7478</v>
      </c>
      <c r="M1273" t="s">
        <v>25</v>
      </c>
      <c r="N1273" t="s">
        <v>3068</v>
      </c>
      <c r="O1273" t="s">
        <v>3069</v>
      </c>
      <c r="P1273" t="s">
        <v>7479</v>
      </c>
      <c r="Q1273" t="s">
        <v>7480</v>
      </c>
      <c r="R1273">
        <v>663552</v>
      </c>
      <c r="S1273">
        <v>0</v>
      </c>
      <c r="T1273">
        <v>663552</v>
      </c>
      <c r="U1273" t="s">
        <v>35</v>
      </c>
      <c r="V1273" t="s">
        <v>3072</v>
      </c>
      <c r="W1273" t="s">
        <v>7481</v>
      </c>
      <c r="X1273" s="4">
        <v>1</v>
      </c>
      <c r="Y1273" s="4"/>
      <c r="Z1273">
        <f t="shared" si="76"/>
        <v>8</v>
      </c>
      <c r="AA1273">
        <f t="shared" si="77"/>
        <v>11</v>
      </c>
      <c r="AB1273" s="5">
        <f t="shared" si="78"/>
        <v>0.31824074074393138</v>
      </c>
      <c r="AC1273" s="3">
        <f t="shared" si="79"/>
        <v>9.0266203696955927E-2</v>
      </c>
      <c r="AD1273" t="str" cm="1">
        <f t="array" ref="AD1273">IFERROR(_xlfn.IFS(
    AC1273="", "",
    AC1273*86400 &lt; 30, "1. 0s - &lt;30s",
    AC1273*86400 &lt; 60, "2. 30s - &lt;1m",
    AC1273*86400 &lt; 300, "3. 1m - &lt;5m",
    AC1273*86400 &lt; 1800, "4. 5m - &lt;30m",
    TRUE, "5. &gt;= 30m"
),"6. Invalid (Order rejected)")</f>
        <v>5. &gt;= 30m</v>
      </c>
    </row>
    <row r="1274" spans="1:30" hidden="1" x14ac:dyDescent="0.3">
      <c r="A1274" t="s">
        <v>7482</v>
      </c>
      <c r="B1274" t="s">
        <v>25</v>
      </c>
      <c r="C1274">
        <v>43512432</v>
      </c>
      <c r="D1274">
        <v>0</v>
      </c>
      <c r="E1274" t="s">
        <v>25</v>
      </c>
      <c r="F1274" t="s">
        <v>26</v>
      </c>
      <c r="G1274" t="s">
        <v>27</v>
      </c>
      <c r="H1274" t="s">
        <v>7483</v>
      </c>
      <c r="I1274" t="s">
        <v>7484</v>
      </c>
      <c r="J1274" t="s">
        <v>26</v>
      </c>
      <c r="K1274" t="s">
        <v>26</v>
      </c>
      <c r="L1274" t="s">
        <v>7485</v>
      </c>
      <c r="M1274" t="s">
        <v>25</v>
      </c>
      <c r="N1274" t="s">
        <v>3068</v>
      </c>
      <c r="O1274" t="s">
        <v>3069</v>
      </c>
      <c r="P1274" t="s">
        <v>7486</v>
      </c>
      <c r="Q1274" t="s">
        <v>7487</v>
      </c>
      <c r="R1274">
        <v>3441204</v>
      </c>
      <c r="S1274">
        <v>0</v>
      </c>
      <c r="T1274">
        <v>3441204</v>
      </c>
      <c r="U1274" t="s">
        <v>35</v>
      </c>
      <c r="V1274" t="s">
        <v>3072</v>
      </c>
      <c r="W1274" t="s">
        <v>7488</v>
      </c>
      <c r="X1274" s="4">
        <v>1</v>
      </c>
      <c r="Y1274" s="4"/>
      <c r="Z1274">
        <f t="shared" si="76"/>
        <v>8</v>
      </c>
      <c r="AA1274">
        <f t="shared" si="77"/>
        <v>11</v>
      </c>
      <c r="AB1274" s="5">
        <f t="shared" si="78"/>
        <v>0.31869212962919846</v>
      </c>
      <c r="AC1274" s="3">
        <f t="shared" si="79"/>
        <v>9.0266203704231884E-2</v>
      </c>
      <c r="AD1274" t="str" cm="1">
        <f t="array" ref="AD1274">IFERROR(_xlfn.IFS(
    AC1274="", "",
    AC1274*86400 &lt; 30, "1. 0s - &lt;30s",
    AC1274*86400 &lt; 60, "2. 30s - &lt;1m",
    AC1274*86400 &lt; 300, "3. 1m - &lt;5m",
    AC1274*86400 &lt; 1800, "4. 5m - &lt;30m",
    TRUE, "5. &gt;= 30m"
),"6. Invalid (Order rejected)")</f>
        <v>5. &gt;= 30m</v>
      </c>
    </row>
    <row r="1275" spans="1:30" hidden="1" x14ac:dyDescent="0.3">
      <c r="A1275" t="s">
        <v>7489</v>
      </c>
      <c r="B1275" t="s">
        <v>25</v>
      </c>
      <c r="C1275">
        <v>43512432</v>
      </c>
      <c r="D1275">
        <v>0</v>
      </c>
      <c r="E1275" t="s">
        <v>25</v>
      </c>
      <c r="F1275" t="s">
        <v>26</v>
      </c>
      <c r="G1275" t="s">
        <v>27</v>
      </c>
      <c r="H1275" t="s">
        <v>7369</v>
      </c>
      <c r="I1275" t="s">
        <v>3119</v>
      </c>
      <c r="J1275" t="s">
        <v>26</v>
      </c>
      <c r="K1275" t="s">
        <v>26</v>
      </c>
      <c r="L1275" t="s">
        <v>7490</v>
      </c>
      <c r="M1275" t="s">
        <v>25</v>
      </c>
      <c r="N1275" t="s">
        <v>1642</v>
      </c>
      <c r="O1275" t="s">
        <v>1643</v>
      </c>
      <c r="P1275" t="s">
        <v>1503</v>
      </c>
      <c r="Q1275" t="s">
        <v>1504</v>
      </c>
      <c r="R1275">
        <v>94392</v>
      </c>
      <c r="S1275">
        <v>0</v>
      </c>
      <c r="T1275">
        <v>94392</v>
      </c>
      <c r="U1275" t="s">
        <v>35</v>
      </c>
      <c r="V1275" t="s">
        <v>1646</v>
      </c>
      <c r="W1275" t="s">
        <v>2814</v>
      </c>
      <c r="X1275" s="4">
        <v>1</v>
      </c>
      <c r="Y1275" s="4"/>
      <c r="Z1275">
        <f t="shared" si="76"/>
        <v>8</v>
      </c>
      <c r="AA1275">
        <f t="shared" si="77"/>
        <v>11</v>
      </c>
      <c r="AB1275" s="5">
        <f t="shared" si="78"/>
        <v>0.31148148148349719</v>
      </c>
      <c r="AC1275" s="3">
        <f t="shared" si="79"/>
        <v>9.0277777773735579E-2</v>
      </c>
      <c r="AD1275" t="str" cm="1">
        <f t="array" ref="AD1275">IFERROR(_xlfn.IFS(
    AC1275="", "",
    AC1275*86400 &lt; 30, "1. 0s - &lt;30s",
    AC1275*86400 &lt; 60, "2. 30s - &lt;1m",
    AC1275*86400 &lt; 300, "3. 1m - &lt;5m",
    AC1275*86400 &lt; 1800, "4. 5m - &lt;30m",
    TRUE, "5. &gt;= 30m"
),"6. Invalid (Order rejected)")</f>
        <v>5. &gt;= 30m</v>
      </c>
    </row>
    <row r="1276" spans="1:30" x14ac:dyDescent="0.3">
      <c r="A1276" t="s">
        <v>7491</v>
      </c>
      <c r="B1276" t="s">
        <v>25</v>
      </c>
      <c r="C1276">
        <v>43512432</v>
      </c>
      <c r="D1276">
        <v>4142151</v>
      </c>
      <c r="E1276" t="s">
        <v>25</v>
      </c>
      <c r="F1276" t="s">
        <v>75</v>
      </c>
      <c r="G1276" t="s">
        <v>360</v>
      </c>
      <c r="H1276" t="s">
        <v>7492</v>
      </c>
      <c r="I1276" t="s">
        <v>7493</v>
      </c>
      <c r="J1276" t="s">
        <v>7494</v>
      </c>
      <c r="K1276" t="s">
        <v>26</v>
      </c>
      <c r="L1276" t="s">
        <v>25</v>
      </c>
      <c r="M1276" t="s">
        <v>25</v>
      </c>
      <c r="N1276" t="s">
        <v>3046</v>
      </c>
      <c r="O1276" t="s">
        <v>3047</v>
      </c>
      <c r="P1276" t="s">
        <v>2965</v>
      </c>
      <c r="Q1276" t="s">
        <v>2966</v>
      </c>
      <c r="R1276">
        <v>201528</v>
      </c>
      <c r="S1276">
        <v>156231</v>
      </c>
      <c r="T1276">
        <v>45297</v>
      </c>
      <c r="U1276" t="s">
        <v>35</v>
      </c>
      <c r="V1276" t="s">
        <v>3048</v>
      </c>
      <c r="W1276" t="s">
        <v>2967</v>
      </c>
      <c r="X1276" s="4">
        <v>1</v>
      </c>
      <c r="Y1276" s="4"/>
      <c r="Z1276">
        <f t="shared" si="76"/>
        <v>8</v>
      </c>
      <c r="AA1276">
        <f t="shared" si="77"/>
        <v>11</v>
      </c>
      <c r="AB1276" s="5">
        <f t="shared" si="78"/>
        <v>0.31318287036992842</v>
      </c>
      <c r="AC1276" s="3" t="str">
        <f t="shared" si="79"/>
        <v>Order rejected, no time available</v>
      </c>
      <c r="AD1276" t="str" cm="1">
        <f t="array" ref="AD1276">IFERROR(_xlfn.IFS(
    AC1276="", "",
    AC1276*86400 &lt; 30, "1. 0s - &lt;30s",
    AC1276*86400 &lt; 60, "2. 30s - &lt;1m",
    AC1276*86400 &lt; 300, "3. 1m - &lt;5m",
    AC1276*86400 &lt; 1800, "4. 5m - &lt;30m",
    TRUE, "5. &gt;= 30m"
),"6. Invalid (Order rejected)")</f>
        <v>6. Invalid (Order rejected)</v>
      </c>
    </row>
    <row r="1277" spans="1:30" x14ac:dyDescent="0.3">
      <c r="A1277" t="s">
        <v>7495</v>
      </c>
      <c r="B1277" t="s">
        <v>25</v>
      </c>
      <c r="C1277">
        <v>43512432</v>
      </c>
      <c r="D1277">
        <v>4532958</v>
      </c>
      <c r="E1277" t="s">
        <v>25</v>
      </c>
      <c r="F1277" t="s">
        <v>75</v>
      </c>
      <c r="G1277" t="s">
        <v>360</v>
      </c>
      <c r="H1277" t="s">
        <v>7496</v>
      </c>
      <c r="I1277" t="s">
        <v>7497</v>
      </c>
      <c r="J1277" t="s">
        <v>7498</v>
      </c>
      <c r="K1277" t="s">
        <v>26</v>
      </c>
      <c r="L1277" t="s">
        <v>25</v>
      </c>
      <c r="M1277" t="s">
        <v>25</v>
      </c>
      <c r="N1277" t="s">
        <v>7499</v>
      </c>
      <c r="O1277" t="s">
        <v>7500</v>
      </c>
      <c r="P1277" t="s">
        <v>7501</v>
      </c>
      <c r="Q1277" t="s">
        <v>7502</v>
      </c>
      <c r="R1277">
        <v>1129572</v>
      </c>
      <c r="S1277">
        <v>875680</v>
      </c>
      <c r="T1277">
        <v>253892</v>
      </c>
      <c r="U1277" t="s">
        <v>35</v>
      </c>
      <c r="V1277" t="s">
        <v>7503</v>
      </c>
      <c r="W1277" t="s">
        <v>7504</v>
      </c>
      <c r="X1277" s="4">
        <v>1</v>
      </c>
      <c r="Y1277" s="4"/>
      <c r="Z1277">
        <f t="shared" si="76"/>
        <v>8</v>
      </c>
      <c r="AA1277">
        <f t="shared" si="77"/>
        <v>11</v>
      </c>
      <c r="AB1277" s="5">
        <f t="shared" si="78"/>
        <v>0.31759259258979</v>
      </c>
      <c r="AC1277" s="3" t="str">
        <f t="shared" si="79"/>
        <v>Order rejected, no time available</v>
      </c>
      <c r="AD1277" t="str" cm="1">
        <f t="array" ref="AD1277">IFERROR(_xlfn.IFS(
    AC1277="", "",
    AC1277*86400 &lt; 30, "1. 0s - &lt;30s",
    AC1277*86400 &lt; 60, "2. 30s - &lt;1m",
    AC1277*86400 &lt; 300, "3. 1m - &lt;5m",
    AC1277*86400 &lt; 1800, "4. 5m - &lt;30m",
    TRUE, "5. &gt;= 30m"
),"6. Invalid (Order rejected)")</f>
        <v>6. Invalid (Order rejected)</v>
      </c>
    </row>
    <row r="1278" spans="1:30" x14ac:dyDescent="0.3">
      <c r="A1278" t="s">
        <v>7505</v>
      </c>
      <c r="B1278" t="s">
        <v>25</v>
      </c>
      <c r="C1278">
        <v>43512432</v>
      </c>
      <c r="D1278">
        <v>4803316</v>
      </c>
      <c r="E1278" t="s">
        <v>25</v>
      </c>
      <c r="F1278" t="s">
        <v>75</v>
      </c>
      <c r="G1278" t="s">
        <v>360</v>
      </c>
      <c r="H1278" t="s">
        <v>7506</v>
      </c>
      <c r="I1278" t="s">
        <v>7507</v>
      </c>
      <c r="J1278" t="s">
        <v>7508</v>
      </c>
      <c r="K1278" t="s">
        <v>26</v>
      </c>
      <c r="L1278" t="s">
        <v>25</v>
      </c>
      <c r="M1278" t="s">
        <v>25</v>
      </c>
      <c r="N1278" t="s">
        <v>2992</v>
      </c>
      <c r="O1278" t="s">
        <v>2993</v>
      </c>
      <c r="P1278" t="s">
        <v>2863</v>
      </c>
      <c r="Q1278" t="s">
        <v>2864</v>
      </c>
      <c r="R1278">
        <v>216108</v>
      </c>
      <c r="S1278">
        <v>167534</v>
      </c>
      <c r="T1278">
        <v>48574</v>
      </c>
      <c r="U1278" t="s">
        <v>35</v>
      </c>
      <c r="V1278" t="s">
        <v>2994</v>
      </c>
      <c r="W1278" t="s">
        <v>2865</v>
      </c>
      <c r="X1278" s="4">
        <v>1</v>
      </c>
      <c r="Y1278" s="4"/>
      <c r="Z1278">
        <f t="shared" si="76"/>
        <v>8</v>
      </c>
      <c r="AA1278">
        <f t="shared" si="77"/>
        <v>11</v>
      </c>
      <c r="AB1278" s="5">
        <f t="shared" si="78"/>
        <v>0.3138078703705105</v>
      </c>
      <c r="AC1278" s="3" t="str">
        <f t="shared" si="79"/>
        <v>Order rejected, no time available</v>
      </c>
      <c r="AD1278" t="str" cm="1">
        <f t="array" ref="AD1278">IFERROR(_xlfn.IFS(
    AC1278="", "",
    AC1278*86400 &lt; 30, "1. 0s - &lt;30s",
    AC1278*86400 &lt; 60, "2. 30s - &lt;1m",
    AC1278*86400 &lt; 300, "3. 1m - &lt;5m",
    AC1278*86400 &lt; 1800, "4. 5m - &lt;30m",
    TRUE, "5. &gt;= 30m"
),"6. Invalid (Order rejected)")</f>
        <v>6. Invalid (Order rejected)</v>
      </c>
    </row>
    <row r="1279" spans="1:30" hidden="1" x14ac:dyDescent="0.3">
      <c r="A1279" t="s">
        <v>7509</v>
      </c>
      <c r="B1279" t="s">
        <v>25</v>
      </c>
      <c r="C1279">
        <v>43512432</v>
      </c>
      <c r="D1279">
        <v>0</v>
      </c>
      <c r="E1279" t="s">
        <v>25</v>
      </c>
      <c r="F1279" t="s">
        <v>26</v>
      </c>
      <c r="G1279" t="s">
        <v>27</v>
      </c>
      <c r="H1279" t="s">
        <v>7510</v>
      </c>
      <c r="I1279" t="s">
        <v>7511</v>
      </c>
      <c r="J1279" t="s">
        <v>26</v>
      </c>
      <c r="K1279" t="s">
        <v>26</v>
      </c>
      <c r="L1279" t="s">
        <v>7512</v>
      </c>
      <c r="M1279" t="s">
        <v>25</v>
      </c>
      <c r="N1279" t="s">
        <v>3032</v>
      </c>
      <c r="O1279" t="s">
        <v>3033</v>
      </c>
      <c r="P1279" t="s">
        <v>89</v>
      </c>
      <c r="Q1279" t="s">
        <v>90</v>
      </c>
      <c r="R1279">
        <v>189216</v>
      </c>
      <c r="S1279">
        <v>0</v>
      </c>
      <c r="T1279">
        <v>189216</v>
      </c>
      <c r="U1279" t="s">
        <v>35</v>
      </c>
      <c r="V1279" t="s">
        <v>3034</v>
      </c>
      <c r="W1279" t="s">
        <v>91</v>
      </c>
      <c r="X1279" s="4">
        <v>1</v>
      </c>
      <c r="Y1279" s="4"/>
      <c r="Z1279">
        <f t="shared" si="76"/>
        <v>8</v>
      </c>
      <c r="AA1279">
        <f t="shared" si="77"/>
        <v>11</v>
      </c>
      <c r="AB1279" s="5">
        <f t="shared" si="78"/>
        <v>0.31533564814890269</v>
      </c>
      <c r="AC1279" s="3">
        <f t="shared" si="79"/>
        <v>9.0266203704231884E-2</v>
      </c>
      <c r="AD1279" t="str" cm="1">
        <f t="array" ref="AD1279">IFERROR(_xlfn.IFS(
    AC1279="", "",
    AC1279*86400 &lt; 30, "1. 0s - &lt;30s",
    AC1279*86400 &lt; 60, "2. 30s - &lt;1m",
    AC1279*86400 &lt; 300, "3. 1m - &lt;5m",
    AC1279*86400 &lt; 1800, "4. 5m - &lt;30m",
    TRUE, "5. &gt;= 30m"
),"6. Invalid (Order rejected)")</f>
        <v>5. &gt;= 30m</v>
      </c>
    </row>
    <row r="1280" spans="1:30" hidden="1" x14ac:dyDescent="0.3">
      <c r="A1280" t="s">
        <v>7513</v>
      </c>
      <c r="B1280" t="s">
        <v>25</v>
      </c>
      <c r="C1280">
        <v>43512432</v>
      </c>
      <c r="D1280">
        <v>0</v>
      </c>
      <c r="E1280" t="s">
        <v>25</v>
      </c>
      <c r="F1280" t="s">
        <v>26</v>
      </c>
      <c r="G1280" t="s">
        <v>27</v>
      </c>
      <c r="H1280" t="s">
        <v>7514</v>
      </c>
      <c r="I1280" t="s">
        <v>7515</v>
      </c>
      <c r="J1280" t="s">
        <v>26</v>
      </c>
      <c r="K1280" t="s">
        <v>26</v>
      </c>
      <c r="L1280" t="s">
        <v>7516</v>
      </c>
      <c r="M1280" t="s">
        <v>25</v>
      </c>
      <c r="N1280" t="s">
        <v>7517</v>
      </c>
      <c r="O1280" t="s">
        <v>7518</v>
      </c>
      <c r="P1280" t="s">
        <v>7519</v>
      </c>
      <c r="Q1280" t="s">
        <v>7520</v>
      </c>
      <c r="R1280">
        <v>8728560</v>
      </c>
      <c r="S1280">
        <v>0</v>
      </c>
      <c r="T1280">
        <v>8728560</v>
      </c>
      <c r="U1280" t="s">
        <v>35</v>
      </c>
      <c r="V1280" t="s">
        <v>7521</v>
      </c>
      <c r="W1280" t="s">
        <v>7522</v>
      </c>
      <c r="X1280" s="4">
        <v>1</v>
      </c>
      <c r="Y1280" s="4"/>
      <c r="Z1280">
        <f t="shared" si="76"/>
        <v>8</v>
      </c>
      <c r="AA1280">
        <f t="shared" si="77"/>
        <v>11</v>
      </c>
      <c r="AB1280" s="5">
        <f t="shared" si="78"/>
        <v>0.31728009258949896</v>
      </c>
      <c r="AC1280" s="3">
        <f t="shared" si="79"/>
        <v>0.11737268518481869</v>
      </c>
      <c r="AD1280" t="str" cm="1">
        <f t="array" ref="AD1280">IFERROR(_xlfn.IFS(
    AC1280="", "",
    AC1280*86400 &lt; 30, "1. 0s - &lt;30s",
    AC1280*86400 &lt; 60, "2. 30s - &lt;1m",
    AC1280*86400 &lt; 300, "3. 1m - &lt;5m",
    AC1280*86400 &lt; 1800, "4. 5m - &lt;30m",
    TRUE, "5. &gt;= 30m"
),"6. Invalid (Order rejected)")</f>
        <v>5. &gt;= 30m</v>
      </c>
    </row>
    <row r="1281" spans="1:30" hidden="1" x14ac:dyDescent="0.3">
      <c r="A1281" t="s">
        <v>7523</v>
      </c>
      <c r="B1281" t="s">
        <v>25</v>
      </c>
      <c r="C1281">
        <v>43512432</v>
      </c>
      <c r="D1281">
        <v>0</v>
      </c>
      <c r="E1281" t="s">
        <v>25</v>
      </c>
      <c r="F1281" t="s">
        <v>26</v>
      </c>
      <c r="G1281" t="s">
        <v>27</v>
      </c>
      <c r="H1281" t="s">
        <v>7524</v>
      </c>
      <c r="I1281" t="s">
        <v>7525</v>
      </c>
      <c r="J1281" t="s">
        <v>26</v>
      </c>
      <c r="K1281" t="s">
        <v>26</v>
      </c>
      <c r="L1281" t="s">
        <v>7526</v>
      </c>
      <c r="M1281" t="s">
        <v>25</v>
      </c>
      <c r="N1281" t="s">
        <v>1642</v>
      </c>
      <c r="O1281" t="s">
        <v>1643</v>
      </c>
      <c r="P1281" t="s">
        <v>89</v>
      </c>
      <c r="Q1281" t="s">
        <v>90</v>
      </c>
      <c r="R1281">
        <v>180252</v>
      </c>
      <c r="S1281">
        <v>0</v>
      </c>
      <c r="T1281">
        <v>180252</v>
      </c>
      <c r="U1281" t="s">
        <v>35</v>
      </c>
      <c r="V1281" t="s">
        <v>1646</v>
      </c>
      <c r="W1281" t="s">
        <v>91</v>
      </c>
      <c r="X1281" s="4">
        <v>1</v>
      </c>
      <c r="Y1281" s="4"/>
      <c r="Z1281">
        <f t="shared" si="76"/>
        <v>8</v>
      </c>
      <c r="AA1281">
        <f t="shared" si="77"/>
        <v>11</v>
      </c>
      <c r="AB1281" s="5">
        <f t="shared" si="78"/>
        <v>0.32475694444292458</v>
      </c>
      <c r="AC1281" s="3">
        <f t="shared" si="79"/>
        <v>9.0300925927294884E-2</v>
      </c>
      <c r="AD1281" t="str" cm="1">
        <f t="array" ref="AD1281">IFERROR(_xlfn.IFS(
    AC1281="", "",
    AC1281*86400 &lt; 30, "1. 0s - &lt;30s",
    AC1281*86400 &lt; 60, "2. 30s - &lt;1m",
    AC1281*86400 &lt; 300, "3. 1m - &lt;5m",
    AC1281*86400 &lt; 1800, "4. 5m - &lt;30m",
    TRUE, "5. &gt;= 30m"
),"6. Invalid (Order rejected)")</f>
        <v>5. &gt;= 30m</v>
      </c>
    </row>
    <row r="1282" spans="1:30" hidden="1" x14ac:dyDescent="0.3">
      <c r="A1282" t="s">
        <v>7527</v>
      </c>
      <c r="B1282" t="s">
        <v>25</v>
      </c>
      <c r="C1282">
        <v>43512432</v>
      </c>
      <c r="D1282">
        <v>0</v>
      </c>
      <c r="E1282" t="s">
        <v>25</v>
      </c>
      <c r="F1282" t="s">
        <v>26</v>
      </c>
      <c r="G1282" t="s">
        <v>27</v>
      </c>
      <c r="H1282" t="s">
        <v>7528</v>
      </c>
      <c r="I1282" t="s">
        <v>7529</v>
      </c>
      <c r="J1282" t="s">
        <v>26</v>
      </c>
      <c r="K1282" t="s">
        <v>26</v>
      </c>
      <c r="L1282" t="s">
        <v>7530</v>
      </c>
      <c r="M1282" t="s">
        <v>25</v>
      </c>
      <c r="N1282" t="s">
        <v>3032</v>
      </c>
      <c r="O1282" t="s">
        <v>3033</v>
      </c>
      <c r="P1282" t="s">
        <v>96</v>
      </c>
      <c r="Q1282" t="s">
        <v>97</v>
      </c>
      <c r="R1282">
        <v>176580</v>
      </c>
      <c r="S1282">
        <v>0</v>
      </c>
      <c r="T1282">
        <v>176580</v>
      </c>
      <c r="U1282" t="s">
        <v>35</v>
      </c>
      <c r="V1282" t="s">
        <v>3034</v>
      </c>
      <c r="W1282" t="s">
        <v>98</v>
      </c>
      <c r="X1282" s="4">
        <v>1</v>
      </c>
      <c r="Y1282" s="4"/>
      <c r="Z1282">
        <f t="shared" si="76"/>
        <v>8</v>
      </c>
      <c r="AA1282">
        <f t="shared" si="77"/>
        <v>11</v>
      </c>
      <c r="AB1282" s="5">
        <f t="shared" si="78"/>
        <v>0.31568287037225673</v>
      </c>
      <c r="AC1282" s="3">
        <f t="shared" si="79"/>
        <v>9.0277777773735579E-2</v>
      </c>
      <c r="AD1282" t="str" cm="1">
        <f t="array" ref="AD1282">IFERROR(_xlfn.IFS(
    AC1282="", "",
    AC1282*86400 &lt; 30, "1. 0s - &lt;30s",
    AC1282*86400 &lt; 60, "2. 30s - &lt;1m",
    AC1282*86400 &lt; 300, "3. 1m - &lt;5m",
    AC1282*86400 &lt; 1800, "4. 5m - &lt;30m",
    TRUE, "5. &gt;= 30m"
),"6. Invalid (Order rejected)")</f>
        <v>5. &gt;= 30m</v>
      </c>
    </row>
    <row r="1283" spans="1:30" hidden="1" x14ac:dyDescent="0.3">
      <c r="A1283" t="s">
        <v>7531</v>
      </c>
      <c r="B1283" t="s">
        <v>25</v>
      </c>
      <c r="C1283">
        <v>43512432</v>
      </c>
      <c r="D1283">
        <v>0</v>
      </c>
      <c r="E1283" t="s">
        <v>25</v>
      </c>
      <c r="F1283" t="s">
        <v>26</v>
      </c>
      <c r="G1283" t="s">
        <v>27</v>
      </c>
      <c r="H1283" t="s">
        <v>7422</v>
      </c>
      <c r="I1283" t="s">
        <v>7532</v>
      </c>
      <c r="J1283" t="s">
        <v>26</v>
      </c>
      <c r="K1283" t="s">
        <v>26</v>
      </c>
      <c r="L1283" t="s">
        <v>7533</v>
      </c>
      <c r="M1283" t="s">
        <v>25</v>
      </c>
      <c r="N1283" t="s">
        <v>3061</v>
      </c>
      <c r="O1283" t="s">
        <v>3062</v>
      </c>
      <c r="P1283" t="s">
        <v>131</v>
      </c>
      <c r="Q1283" t="s">
        <v>132</v>
      </c>
      <c r="R1283">
        <v>119664</v>
      </c>
      <c r="S1283">
        <v>0</v>
      </c>
      <c r="T1283">
        <v>119664</v>
      </c>
      <c r="U1283" t="s">
        <v>35</v>
      </c>
      <c r="V1283" t="s">
        <v>3063</v>
      </c>
      <c r="W1283" t="s">
        <v>133</v>
      </c>
      <c r="X1283" s="4">
        <v>1</v>
      </c>
      <c r="Y1283" s="4"/>
      <c r="Z1283">
        <f t="shared" ref="Z1283:Z1346" si="80">MONTH(H1283)</f>
        <v>8</v>
      </c>
      <c r="AA1283">
        <f t="shared" ref="AA1283:AA1346" si="81">DAY(H1283)</f>
        <v>11</v>
      </c>
      <c r="AB1283" s="5">
        <f t="shared" ref="AB1283:AB1346" si="82">MOD(H1283, 1)</f>
        <v>0.31695601851970423</v>
      </c>
      <c r="AC1283" s="3">
        <f t="shared" ref="AC1283:AC1346" si="83">IFERROR(IF(M1283="",L1283-H1283,M1283-H1283),"Order rejected, no time available")</f>
        <v>0.18502314814395504</v>
      </c>
      <c r="AD1283" t="str" cm="1">
        <f t="array" ref="AD1283">IFERROR(_xlfn.IFS(
    AC1283="", "",
    AC1283*86400 &lt; 30, "1. 0s - &lt;30s",
    AC1283*86400 &lt; 60, "2. 30s - &lt;1m",
    AC1283*86400 &lt; 300, "3. 1m - &lt;5m",
    AC1283*86400 &lt; 1800, "4. 5m - &lt;30m",
    TRUE, "5. &gt;= 30m"
),"6. Invalid (Order rejected)")</f>
        <v>5. &gt;= 30m</v>
      </c>
    </row>
    <row r="1284" spans="1:30" hidden="1" x14ac:dyDescent="0.3">
      <c r="A1284" t="s">
        <v>7534</v>
      </c>
      <c r="B1284" t="s">
        <v>25</v>
      </c>
      <c r="C1284">
        <v>43512432</v>
      </c>
      <c r="D1284">
        <v>0</v>
      </c>
      <c r="E1284" t="s">
        <v>25</v>
      </c>
      <c r="F1284" t="s">
        <v>26</v>
      </c>
      <c r="G1284" t="s">
        <v>27</v>
      </c>
      <c r="H1284" t="s">
        <v>7535</v>
      </c>
      <c r="I1284" t="s">
        <v>7536</v>
      </c>
      <c r="J1284" t="s">
        <v>26</v>
      </c>
      <c r="K1284" t="s">
        <v>26</v>
      </c>
      <c r="L1284" t="s">
        <v>7537</v>
      </c>
      <c r="M1284" t="s">
        <v>25</v>
      </c>
      <c r="N1284" t="s">
        <v>1642</v>
      </c>
      <c r="O1284" t="s">
        <v>1643</v>
      </c>
      <c r="P1284" t="s">
        <v>103</v>
      </c>
      <c r="Q1284" t="s">
        <v>104</v>
      </c>
      <c r="R1284">
        <v>159840</v>
      </c>
      <c r="S1284">
        <v>0</v>
      </c>
      <c r="T1284">
        <v>159840</v>
      </c>
      <c r="U1284" t="s">
        <v>35</v>
      </c>
      <c r="V1284" t="s">
        <v>1646</v>
      </c>
      <c r="W1284" t="s">
        <v>105</v>
      </c>
      <c r="X1284" s="4">
        <v>1</v>
      </c>
      <c r="Y1284" s="4"/>
      <c r="Z1284">
        <f t="shared" si="80"/>
        <v>8</v>
      </c>
      <c r="AA1284">
        <f t="shared" si="81"/>
        <v>11</v>
      </c>
      <c r="AB1284" s="5">
        <f t="shared" si="82"/>
        <v>0.32648148148291511</v>
      </c>
      <c r="AC1284" s="3">
        <f t="shared" si="83"/>
        <v>9.0289351850515231E-2</v>
      </c>
      <c r="AD1284" t="str" cm="1">
        <f t="array" ref="AD1284">IFERROR(_xlfn.IFS(
    AC1284="", "",
    AC1284*86400 &lt; 30, "1. 0s - &lt;30s",
    AC1284*86400 &lt; 60, "2. 30s - &lt;1m",
    AC1284*86400 &lt; 300, "3. 1m - &lt;5m",
    AC1284*86400 &lt; 1800, "4. 5m - &lt;30m",
    TRUE, "5. &gt;= 30m"
),"6. Invalid (Order rejected)")</f>
        <v>5. &gt;= 30m</v>
      </c>
    </row>
    <row r="1285" spans="1:30" hidden="1" x14ac:dyDescent="0.3">
      <c r="A1285" t="s">
        <v>7538</v>
      </c>
      <c r="B1285" t="s">
        <v>25</v>
      </c>
      <c r="C1285">
        <v>43512432</v>
      </c>
      <c r="D1285">
        <v>0</v>
      </c>
      <c r="E1285" t="s">
        <v>25</v>
      </c>
      <c r="F1285" t="s">
        <v>26</v>
      </c>
      <c r="G1285" t="s">
        <v>27</v>
      </c>
      <c r="H1285" t="s">
        <v>7539</v>
      </c>
      <c r="I1285" t="s">
        <v>7540</v>
      </c>
      <c r="J1285" t="s">
        <v>26</v>
      </c>
      <c r="K1285" t="s">
        <v>26</v>
      </c>
      <c r="L1285" t="s">
        <v>7541</v>
      </c>
      <c r="M1285" t="s">
        <v>25</v>
      </c>
      <c r="N1285" t="s">
        <v>3039</v>
      </c>
      <c r="O1285" t="s">
        <v>3040</v>
      </c>
      <c r="P1285" t="s">
        <v>3159</v>
      </c>
      <c r="Q1285" t="s">
        <v>3160</v>
      </c>
      <c r="R1285">
        <v>144504</v>
      </c>
      <c r="S1285">
        <v>0</v>
      </c>
      <c r="T1285">
        <v>144504</v>
      </c>
      <c r="U1285" t="s">
        <v>35</v>
      </c>
      <c r="V1285" t="s">
        <v>3041</v>
      </c>
      <c r="W1285" t="s">
        <v>3161</v>
      </c>
      <c r="X1285" s="4">
        <v>1</v>
      </c>
      <c r="Y1285" s="4"/>
      <c r="Z1285">
        <f t="shared" si="80"/>
        <v>8</v>
      </c>
      <c r="AA1285">
        <f t="shared" si="81"/>
        <v>11</v>
      </c>
      <c r="AB1285" s="5">
        <f t="shared" si="82"/>
        <v>0.3295023148166365</v>
      </c>
      <c r="AC1285" s="3">
        <f t="shared" si="83"/>
        <v>9.0289351850515231E-2</v>
      </c>
      <c r="AD1285" t="str" cm="1">
        <f t="array" ref="AD1285">IFERROR(_xlfn.IFS(
    AC1285="", "",
    AC1285*86400 &lt; 30, "1. 0s - &lt;30s",
    AC1285*86400 &lt; 60, "2. 30s - &lt;1m",
    AC1285*86400 &lt; 300, "3. 1m - &lt;5m",
    AC1285*86400 &lt; 1800, "4. 5m - &lt;30m",
    TRUE, "5. &gt;= 30m"
),"6. Invalid (Order rejected)")</f>
        <v>5. &gt;= 30m</v>
      </c>
    </row>
    <row r="1286" spans="1:30" hidden="1" x14ac:dyDescent="0.3">
      <c r="A1286" t="s">
        <v>7542</v>
      </c>
      <c r="B1286" t="s">
        <v>25</v>
      </c>
      <c r="C1286">
        <v>43512432</v>
      </c>
      <c r="D1286">
        <v>0</v>
      </c>
      <c r="E1286" t="s">
        <v>25</v>
      </c>
      <c r="F1286" t="s">
        <v>26</v>
      </c>
      <c r="G1286" t="s">
        <v>27</v>
      </c>
      <c r="H1286" t="s">
        <v>7543</v>
      </c>
      <c r="I1286" t="s">
        <v>7544</v>
      </c>
      <c r="J1286" t="s">
        <v>26</v>
      </c>
      <c r="K1286" t="s">
        <v>26</v>
      </c>
      <c r="L1286" t="s">
        <v>7545</v>
      </c>
      <c r="M1286" t="s">
        <v>25</v>
      </c>
      <c r="N1286" t="s">
        <v>1642</v>
      </c>
      <c r="O1286" t="s">
        <v>1643</v>
      </c>
      <c r="P1286" t="s">
        <v>3221</v>
      </c>
      <c r="Q1286" t="s">
        <v>3222</v>
      </c>
      <c r="R1286">
        <v>154980</v>
      </c>
      <c r="S1286">
        <v>0</v>
      </c>
      <c r="T1286">
        <v>154980</v>
      </c>
      <c r="U1286" t="s">
        <v>35</v>
      </c>
      <c r="V1286" t="s">
        <v>1646</v>
      </c>
      <c r="W1286" t="s">
        <v>3223</v>
      </c>
      <c r="X1286" s="4">
        <v>1</v>
      </c>
      <c r="Y1286" s="4"/>
      <c r="Z1286">
        <f t="shared" si="80"/>
        <v>8</v>
      </c>
      <c r="AA1286">
        <f t="shared" si="81"/>
        <v>11</v>
      </c>
      <c r="AB1286" s="5">
        <f t="shared" si="82"/>
        <v>0.32756944444554392</v>
      </c>
      <c r="AC1286" s="3">
        <f t="shared" si="83"/>
        <v>9.0289351850515231E-2</v>
      </c>
      <c r="AD1286" t="str" cm="1">
        <f t="array" ref="AD1286">IFERROR(_xlfn.IFS(
    AC1286="", "",
    AC1286*86400 &lt; 30, "1. 0s - &lt;30s",
    AC1286*86400 &lt; 60, "2. 30s - &lt;1m",
    AC1286*86400 &lt; 300, "3. 1m - &lt;5m",
    AC1286*86400 &lt; 1800, "4. 5m - &lt;30m",
    TRUE, "5. &gt;= 30m"
),"6. Invalid (Order rejected)")</f>
        <v>5. &gt;= 30m</v>
      </c>
    </row>
    <row r="1287" spans="1:30" hidden="1" x14ac:dyDescent="0.3">
      <c r="A1287" t="s">
        <v>7546</v>
      </c>
      <c r="B1287" t="s">
        <v>25</v>
      </c>
      <c r="C1287">
        <v>43512432</v>
      </c>
      <c r="D1287">
        <v>0</v>
      </c>
      <c r="E1287" t="s">
        <v>25</v>
      </c>
      <c r="F1287" t="s">
        <v>26</v>
      </c>
      <c r="G1287" t="s">
        <v>27</v>
      </c>
      <c r="H1287" t="s">
        <v>7547</v>
      </c>
      <c r="I1287" t="s">
        <v>7548</v>
      </c>
      <c r="J1287" t="s">
        <v>26</v>
      </c>
      <c r="K1287" t="s">
        <v>26</v>
      </c>
      <c r="L1287" t="s">
        <v>7549</v>
      </c>
      <c r="M1287" t="s">
        <v>25</v>
      </c>
      <c r="N1287" t="s">
        <v>3039</v>
      </c>
      <c r="O1287" t="s">
        <v>3040</v>
      </c>
      <c r="P1287" t="s">
        <v>3176</v>
      </c>
      <c r="Q1287" t="s">
        <v>3177</v>
      </c>
      <c r="R1287">
        <v>163728</v>
      </c>
      <c r="S1287">
        <v>0</v>
      </c>
      <c r="T1287">
        <v>163728</v>
      </c>
      <c r="U1287" t="s">
        <v>35</v>
      </c>
      <c r="V1287" t="s">
        <v>3041</v>
      </c>
      <c r="W1287" t="s">
        <v>3178</v>
      </c>
      <c r="X1287" s="4">
        <v>1</v>
      </c>
      <c r="Y1287" s="4"/>
      <c r="Z1287">
        <f t="shared" si="80"/>
        <v>8</v>
      </c>
      <c r="AA1287">
        <f t="shared" si="81"/>
        <v>11</v>
      </c>
      <c r="AB1287" s="5">
        <f t="shared" si="82"/>
        <v>0.32862268518510973</v>
      </c>
      <c r="AC1287" s="3">
        <f t="shared" si="83"/>
        <v>9.0289351850515231E-2</v>
      </c>
      <c r="AD1287" t="str" cm="1">
        <f t="array" ref="AD1287">IFERROR(_xlfn.IFS(
    AC1287="", "",
    AC1287*86400 &lt; 30, "1. 0s - &lt;30s",
    AC1287*86400 &lt; 60, "2. 30s - &lt;1m",
    AC1287*86400 &lt; 300, "3. 1m - &lt;5m",
    AC1287*86400 &lt; 1800, "4. 5m - &lt;30m",
    TRUE, "5. &gt;= 30m"
),"6. Invalid (Order rejected)")</f>
        <v>5. &gt;= 30m</v>
      </c>
    </row>
    <row r="1288" spans="1:30" hidden="1" x14ac:dyDescent="0.3">
      <c r="A1288" t="s">
        <v>7550</v>
      </c>
      <c r="B1288" t="s">
        <v>25</v>
      </c>
      <c r="C1288">
        <v>43512432</v>
      </c>
      <c r="D1288">
        <v>0</v>
      </c>
      <c r="E1288" t="s">
        <v>25</v>
      </c>
      <c r="F1288" t="s">
        <v>26</v>
      </c>
      <c r="G1288" t="s">
        <v>27</v>
      </c>
      <c r="H1288" t="s">
        <v>7551</v>
      </c>
      <c r="I1288" t="s">
        <v>7552</v>
      </c>
      <c r="J1288" t="s">
        <v>26</v>
      </c>
      <c r="K1288" t="s">
        <v>26</v>
      </c>
      <c r="L1288" t="s">
        <v>7553</v>
      </c>
      <c r="M1288" t="s">
        <v>25</v>
      </c>
      <c r="N1288" t="s">
        <v>1642</v>
      </c>
      <c r="O1288" t="s">
        <v>1643</v>
      </c>
      <c r="P1288" t="s">
        <v>124</v>
      </c>
      <c r="Q1288" t="s">
        <v>125</v>
      </c>
      <c r="R1288">
        <v>208872</v>
      </c>
      <c r="S1288">
        <v>0</v>
      </c>
      <c r="T1288">
        <v>208872</v>
      </c>
      <c r="U1288" t="s">
        <v>35</v>
      </c>
      <c r="V1288" t="s">
        <v>1646</v>
      </c>
      <c r="W1288" t="s">
        <v>126</v>
      </c>
      <c r="X1288" s="4">
        <v>1</v>
      </c>
      <c r="Y1288" s="4"/>
      <c r="Z1288">
        <f t="shared" si="80"/>
        <v>8</v>
      </c>
      <c r="AA1288">
        <f t="shared" si="81"/>
        <v>11</v>
      </c>
      <c r="AB1288" s="5">
        <f t="shared" si="82"/>
        <v>0.32781249999970896</v>
      </c>
      <c r="AC1288" s="3">
        <f t="shared" si="83"/>
        <v>9.0289351850515231E-2</v>
      </c>
      <c r="AD1288" t="str" cm="1">
        <f t="array" ref="AD1288">IFERROR(_xlfn.IFS(
    AC1288="", "",
    AC1288*86400 &lt; 30, "1. 0s - &lt;30s",
    AC1288*86400 &lt; 60, "2. 30s - &lt;1m",
    AC1288*86400 &lt; 300, "3. 1m - &lt;5m",
    AC1288*86400 &lt; 1800, "4. 5m - &lt;30m",
    TRUE, "5. &gt;= 30m"
),"6. Invalid (Order rejected)")</f>
        <v>5. &gt;= 30m</v>
      </c>
    </row>
    <row r="1289" spans="1:30" hidden="1" x14ac:dyDescent="0.3">
      <c r="A1289" t="s">
        <v>7554</v>
      </c>
      <c r="B1289" t="s">
        <v>25</v>
      </c>
      <c r="C1289">
        <v>43512432</v>
      </c>
      <c r="D1289">
        <v>0</v>
      </c>
      <c r="E1289" t="s">
        <v>25</v>
      </c>
      <c r="F1289" t="s">
        <v>26</v>
      </c>
      <c r="G1289" t="s">
        <v>27</v>
      </c>
      <c r="H1289" t="s">
        <v>7555</v>
      </c>
      <c r="I1289" t="s">
        <v>7556</v>
      </c>
      <c r="J1289" t="s">
        <v>26</v>
      </c>
      <c r="K1289" t="s">
        <v>26</v>
      </c>
      <c r="L1289" t="s">
        <v>7557</v>
      </c>
      <c r="M1289" t="s">
        <v>25</v>
      </c>
      <c r="N1289" t="s">
        <v>3039</v>
      </c>
      <c r="O1289" t="s">
        <v>3040</v>
      </c>
      <c r="P1289" t="s">
        <v>124</v>
      </c>
      <c r="Q1289" t="s">
        <v>125</v>
      </c>
      <c r="R1289">
        <v>205956</v>
      </c>
      <c r="S1289">
        <v>0</v>
      </c>
      <c r="T1289">
        <v>205956</v>
      </c>
      <c r="U1289" t="s">
        <v>35</v>
      </c>
      <c r="V1289" t="s">
        <v>3041</v>
      </c>
      <c r="W1289" t="s">
        <v>126</v>
      </c>
      <c r="X1289" s="4">
        <v>1</v>
      </c>
      <c r="Y1289" s="4"/>
      <c r="Z1289">
        <f t="shared" si="80"/>
        <v>8</v>
      </c>
      <c r="AA1289">
        <f t="shared" si="81"/>
        <v>11</v>
      </c>
      <c r="AB1289" s="5">
        <f t="shared" si="82"/>
        <v>0.33023148147913162</v>
      </c>
      <c r="AC1289" s="3">
        <f t="shared" si="83"/>
        <v>9.0289351857791189E-2</v>
      </c>
      <c r="AD1289" t="str" cm="1">
        <f t="array" ref="AD1289">IFERROR(_xlfn.IFS(
    AC1289="", "",
    AC1289*86400 &lt; 30, "1. 0s - &lt;30s",
    AC1289*86400 &lt; 60, "2. 30s - &lt;1m",
    AC1289*86400 &lt; 300, "3. 1m - &lt;5m",
    AC1289*86400 &lt; 1800, "4. 5m - &lt;30m",
    TRUE, "5. &gt;= 30m"
),"6. Invalid (Order rejected)")</f>
        <v>5. &gt;= 30m</v>
      </c>
    </row>
    <row r="1290" spans="1:30" hidden="1" x14ac:dyDescent="0.3">
      <c r="A1290" t="s">
        <v>7558</v>
      </c>
      <c r="B1290" t="s">
        <v>25</v>
      </c>
      <c r="C1290">
        <v>43512432</v>
      </c>
      <c r="D1290">
        <v>0</v>
      </c>
      <c r="E1290" t="s">
        <v>25</v>
      </c>
      <c r="F1290" t="s">
        <v>26</v>
      </c>
      <c r="G1290" t="s">
        <v>27</v>
      </c>
      <c r="H1290" t="s">
        <v>7559</v>
      </c>
      <c r="I1290" t="s">
        <v>7560</v>
      </c>
      <c r="J1290" t="s">
        <v>26</v>
      </c>
      <c r="K1290" t="s">
        <v>26</v>
      </c>
      <c r="L1290" t="s">
        <v>7561</v>
      </c>
      <c r="M1290" t="s">
        <v>25</v>
      </c>
      <c r="N1290" t="s">
        <v>3170</v>
      </c>
      <c r="O1290" t="s">
        <v>3171</v>
      </c>
      <c r="P1290" t="s">
        <v>103</v>
      </c>
      <c r="Q1290" t="s">
        <v>104</v>
      </c>
      <c r="R1290">
        <v>168156</v>
      </c>
      <c r="S1290">
        <v>0</v>
      </c>
      <c r="T1290">
        <v>168156</v>
      </c>
      <c r="U1290" t="s">
        <v>35</v>
      </c>
      <c r="V1290" t="s">
        <v>3072</v>
      </c>
      <c r="W1290" t="s">
        <v>105</v>
      </c>
      <c r="X1290" s="4">
        <v>1</v>
      </c>
      <c r="Y1290" s="4"/>
      <c r="Z1290">
        <f t="shared" si="80"/>
        <v>8</v>
      </c>
      <c r="AA1290">
        <f t="shared" si="81"/>
        <v>11</v>
      </c>
      <c r="AB1290" s="5">
        <f t="shared" si="82"/>
        <v>0.33177083333430346</v>
      </c>
      <c r="AC1290" s="3">
        <f t="shared" si="83"/>
        <v>9.0289351850515231E-2</v>
      </c>
      <c r="AD1290" t="str" cm="1">
        <f t="array" ref="AD1290">IFERROR(_xlfn.IFS(
    AC1290="", "",
    AC1290*86400 &lt; 30, "1. 0s - &lt;30s",
    AC1290*86400 &lt; 60, "2. 30s - &lt;1m",
    AC1290*86400 &lt; 300, "3. 1m - &lt;5m",
    AC1290*86400 &lt; 1800, "4. 5m - &lt;30m",
    TRUE, "5. &gt;= 30m"
),"6. Invalid (Order rejected)")</f>
        <v>5. &gt;= 30m</v>
      </c>
    </row>
    <row r="1291" spans="1:30" hidden="1" x14ac:dyDescent="0.3">
      <c r="A1291" t="s">
        <v>7562</v>
      </c>
      <c r="B1291" t="s">
        <v>25</v>
      </c>
      <c r="C1291">
        <v>43512432</v>
      </c>
      <c r="D1291">
        <v>0</v>
      </c>
      <c r="E1291" t="s">
        <v>25</v>
      </c>
      <c r="F1291" t="s">
        <v>26</v>
      </c>
      <c r="G1291" t="s">
        <v>27</v>
      </c>
      <c r="H1291" t="s">
        <v>7563</v>
      </c>
      <c r="I1291" t="s">
        <v>7564</v>
      </c>
      <c r="J1291" t="s">
        <v>26</v>
      </c>
      <c r="K1291" t="s">
        <v>26</v>
      </c>
      <c r="L1291" t="s">
        <v>7565</v>
      </c>
      <c r="M1291" t="s">
        <v>25</v>
      </c>
      <c r="N1291" t="s">
        <v>3039</v>
      </c>
      <c r="O1291" t="s">
        <v>3040</v>
      </c>
      <c r="P1291" t="s">
        <v>3137</v>
      </c>
      <c r="Q1291" t="s">
        <v>3138</v>
      </c>
      <c r="R1291">
        <v>190188</v>
      </c>
      <c r="S1291">
        <v>0</v>
      </c>
      <c r="T1291">
        <v>190188</v>
      </c>
      <c r="U1291" t="s">
        <v>35</v>
      </c>
      <c r="V1291" t="s">
        <v>3041</v>
      </c>
      <c r="W1291" t="s">
        <v>3139</v>
      </c>
      <c r="X1291" s="4">
        <v>1</v>
      </c>
      <c r="Y1291" s="4"/>
      <c r="Z1291">
        <f t="shared" si="80"/>
        <v>8</v>
      </c>
      <c r="AA1291">
        <f t="shared" si="81"/>
        <v>11</v>
      </c>
      <c r="AB1291" s="5">
        <f t="shared" si="82"/>
        <v>0.32844907407707069</v>
      </c>
      <c r="AC1291" s="3">
        <f t="shared" si="83"/>
        <v>9.0289351850515231E-2</v>
      </c>
      <c r="AD1291" t="str" cm="1">
        <f t="array" ref="AD1291">IFERROR(_xlfn.IFS(
    AC1291="", "",
    AC1291*86400 &lt; 30, "1. 0s - &lt;30s",
    AC1291*86400 &lt; 60, "2. 30s - &lt;1m",
    AC1291*86400 &lt; 300, "3. 1m - &lt;5m",
    AC1291*86400 &lt; 1800, "4. 5m - &lt;30m",
    TRUE, "5. &gt;= 30m"
),"6. Invalid (Order rejected)")</f>
        <v>5. &gt;= 30m</v>
      </c>
    </row>
    <row r="1292" spans="1:30" hidden="1" x14ac:dyDescent="0.3">
      <c r="A1292" t="s">
        <v>7566</v>
      </c>
      <c r="B1292" t="s">
        <v>25</v>
      </c>
      <c r="C1292">
        <v>43512432</v>
      </c>
      <c r="D1292">
        <v>0</v>
      </c>
      <c r="E1292" t="s">
        <v>25</v>
      </c>
      <c r="F1292" t="s">
        <v>26</v>
      </c>
      <c r="G1292" t="s">
        <v>27</v>
      </c>
      <c r="H1292" t="s">
        <v>7567</v>
      </c>
      <c r="I1292" t="s">
        <v>7568</v>
      </c>
      <c r="J1292" t="s">
        <v>26</v>
      </c>
      <c r="K1292" t="s">
        <v>26</v>
      </c>
      <c r="L1292" t="s">
        <v>7569</v>
      </c>
      <c r="M1292" t="s">
        <v>25</v>
      </c>
      <c r="N1292" t="s">
        <v>3170</v>
      </c>
      <c r="O1292" t="s">
        <v>3171</v>
      </c>
      <c r="P1292" t="s">
        <v>3159</v>
      </c>
      <c r="Q1292" t="s">
        <v>3160</v>
      </c>
      <c r="R1292">
        <v>157788</v>
      </c>
      <c r="S1292">
        <v>0</v>
      </c>
      <c r="T1292">
        <v>157788</v>
      </c>
      <c r="U1292" t="s">
        <v>35</v>
      </c>
      <c r="V1292" t="s">
        <v>3072</v>
      </c>
      <c r="W1292" t="s">
        <v>3161</v>
      </c>
      <c r="X1292" s="4">
        <v>1</v>
      </c>
      <c r="Y1292" s="4"/>
      <c r="Z1292">
        <f t="shared" si="80"/>
        <v>8</v>
      </c>
      <c r="AA1292">
        <f t="shared" si="81"/>
        <v>11</v>
      </c>
      <c r="AB1292" s="5">
        <f t="shared" si="82"/>
        <v>0.3319444444423425</v>
      </c>
      <c r="AC1292" s="3">
        <f t="shared" si="83"/>
        <v>9.0289351850515231E-2</v>
      </c>
      <c r="AD1292" t="str" cm="1">
        <f t="array" ref="AD1292">IFERROR(_xlfn.IFS(
    AC1292="", "",
    AC1292*86400 &lt; 30, "1. 0s - &lt;30s",
    AC1292*86400 &lt; 60, "2. 30s - &lt;1m",
    AC1292*86400 &lt; 300, "3. 1m - &lt;5m",
    AC1292*86400 &lt; 1800, "4. 5m - &lt;30m",
    TRUE, "5. &gt;= 30m"
),"6. Invalid (Order rejected)")</f>
        <v>5. &gt;= 30m</v>
      </c>
    </row>
    <row r="1293" spans="1:30" hidden="1" x14ac:dyDescent="0.3">
      <c r="A1293" t="s">
        <v>7570</v>
      </c>
      <c r="B1293" t="s">
        <v>25</v>
      </c>
      <c r="C1293">
        <v>43512432</v>
      </c>
      <c r="D1293">
        <v>0</v>
      </c>
      <c r="E1293" t="s">
        <v>25</v>
      </c>
      <c r="F1293" t="s">
        <v>26</v>
      </c>
      <c r="G1293" t="s">
        <v>27</v>
      </c>
      <c r="H1293" t="s">
        <v>7571</v>
      </c>
      <c r="I1293" t="s">
        <v>7572</v>
      </c>
      <c r="J1293" t="s">
        <v>26</v>
      </c>
      <c r="K1293" t="s">
        <v>26</v>
      </c>
      <c r="L1293" t="s">
        <v>7573</v>
      </c>
      <c r="M1293" t="s">
        <v>25</v>
      </c>
      <c r="N1293" t="s">
        <v>1642</v>
      </c>
      <c r="O1293" t="s">
        <v>1643</v>
      </c>
      <c r="P1293" t="s">
        <v>3102</v>
      </c>
      <c r="Q1293" t="s">
        <v>3103</v>
      </c>
      <c r="R1293">
        <v>168156</v>
      </c>
      <c r="S1293">
        <v>0</v>
      </c>
      <c r="T1293">
        <v>168156</v>
      </c>
      <c r="U1293" t="s">
        <v>35</v>
      </c>
      <c r="V1293" t="s">
        <v>1646</v>
      </c>
      <c r="W1293" t="s">
        <v>3104</v>
      </c>
      <c r="X1293" s="4">
        <v>1</v>
      </c>
      <c r="Y1293" s="4"/>
      <c r="Z1293">
        <f t="shared" si="80"/>
        <v>8</v>
      </c>
      <c r="AA1293">
        <f t="shared" si="81"/>
        <v>11</v>
      </c>
      <c r="AB1293" s="5">
        <f t="shared" si="82"/>
        <v>0.32563657407445135</v>
      </c>
      <c r="AC1293" s="3">
        <f t="shared" si="83"/>
        <v>9.3240740738110617E-2</v>
      </c>
      <c r="AD1293" t="str" cm="1">
        <f t="array" ref="AD1293">IFERROR(_xlfn.IFS(
    AC1293="", "",
    AC1293*86400 &lt; 30, "1. 0s - &lt;30s",
    AC1293*86400 &lt; 60, "2. 30s - &lt;1m",
    AC1293*86400 &lt; 300, "3. 1m - &lt;5m",
    AC1293*86400 &lt; 1800, "4. 5m - &lt;30m",
    TRUE, "5. &gt;= 30m"
),"6. Invalid (Order rejected)")</f>
        <v>5. &gt;= 30m</v>
      </c>
    </row>
    <row r="1294" spans="1:30" hidden="1" x14ac:dyDescent="0.3">
      <c r="A1294" t="s">
        <v>7574</v>
      </c>
      <c r="B1294" t="s">
        <v>25</v>
      </c>
      <c r="C1294">
        <v>43512432</v>
      </c>
      <c r="D1294">
        <v>0</v>
      </c>
      <c r="E1294" t="s">
        <v>25</v>
      </c>
      <c r="F1294" t="s">
        <v>26</v>
      </c>
      <c r="G1294" t="s">
        <v>27</v>
      </c>
      <c r="H1294" t="s">
        <v>7575</v>
      </c>
      <c r="I1294" t="s">
        <v>7576</v>
      </c>
      <c r="J1294" t="s">
        <v>26</v>
      </c>
      <c r="K1294" t="s">
        <v>26</v>
      </c>
      <c r="L1294" t="s">
        <v>7577</v>
      </c>
      <c r="M1294" t="s">
        <v>25</v>
      </c>
      <c r="N1294" t="s">
        <v>3170</v>
      </c>
      <c r="O1294" t="s">
        <v>3171</v>
      </c>
      <c r="P1294" t="s">
        <v>3102</v>
      </c>
      <c r="Q1294" t="s">
        <v>3103</v>
      </c>
      <c r="R1294">
        <v>176364</v>
      </c>
      <c r="S1294">
        <v>0</v>
      </c>
      <c r="T1294">
        <v>176364</v>
      </c>
      <c r="U1294" t="s">
        <v>35</v>
      </c>
      <c r="V1294" t="s">
        <v>3072</v>
      </c>
      <c r="W1294" t="s">
        <v>3104</v>
      </c>
      <c r="X1294" s="4">
        <v>1</v>
      </c>
      <c r="Y1294" s="4"/>
      <c r="Z1294">
        <f t="shared" si="80"/>
        <v>8</v>
      </c>
      <c r="AA1294">
        <f t="shared" si="81"/>
        <v>11</v>
      </c>
      <c r="AB1294" s="5">
        <f t="shared" si="82"/>
        <v>0.33116898148000473</v>
      </c>
      <c r="AC1294" s="3">
        <f t="shared" si="83"/>
        <v>9.0289351850515231E-2</v>
      </c>
      <c r="AD1294" t="str" cm="1">
        <f t="array" ref="AD1294">IFERROR(_xlfn.IFS(
    AC1294="", "",
    AC1294*86400 &lt; 30, "1. 0s - &lt;30s",
    AC1294*86400 &lt; 60, "2. 30s - &lt;1m",
    AC1294*86400 &lt; 300, "3. 1m - &lt;5m",
    AC1294*86400 &lt; 1800, "4. 5m - &lt;30m",
    TRUE, "5. &gt;= 30m"
),"6. Invalid (Order rejected)")</f>
        <v>5. &gt;= 30m</v>
      </c>
    </row>
    <row r="1295" spans="1:30" hidden="1" x14ac:dyDescent="0.3">
      <c r="A1295" t="s">
        <v>7578</v>
      </c>
      <c r="B1295" t="s">
        <v>25</v>
      </c>
      <c r="C1295">
        <v>43512432</v>
      </c>
      <c r="D1295">
        <v>0</v>
      </c>
      <c r="E1295" t="s">
        <v>25</v>
      </c>
      <c r="F1295" t="s">
        <v>26</v>
      </c>
      <c r="G1295" t="s">
        <v>27</v>
      </c>
      <c r="H1295" t="s">
        <v>7579</v>
      </c>
      <c r="I1295" t="s">
        <v>7580</v>
      </c>
      <c r="J1295" t="s">
        <v>26</v>
      </c>
      <c r="K1295" t="s">
        <v>26</v>
      </c>
      <c r="L1295" t="s">
        <v>7581</v>
      </c>
      <c r="M1295" t="s">
        <v>25</v>
      </c>
      <c r="N1295" t="s">
        <v>1642</v>
      </c>
      <c r="O1295" t="s">
        <v>1643</v>
      </c>
      <c r="P1295" t="s">
        <v>180</v>
      </c>
      <c r="Q1295" t="s">
        <v>181</v>
      </c>
      <c r="R1295">
        <v>134568</v>
      </c>
      <c r="S1295">
        <v>0</v>
      </c>
      <c r="T1295">
        <v>134568</v>
      </c>
      <c r="U1295" t="s">
        <v>35</v>
      </c>
      <c r="V1295" t="s">
        <v>1646</v>
      </c>
      <c r="W1295" t="s">
        <v>182</v>
      </c>
      <c r="X1295" s="4">
        <v>1</v>
      </c>
      <c r="Y1295" s="4"/>
      <c r="Z1295">
        <f t="shared" si="80"/>
        <v>8</v>
      </c>
      <c r="AA1295">
        <f t="shared" si="81"/>
        <v>11</v>
      </c>
      <c r="AB1295" s="5">
        <f t="shared" si="82"/>
        <v>0.32615740740584442</v>
      </c>
      <c r="AC1295" s="3">
        <f t="shared" si="83"/>
        <v>9.0289351850515231E-2</v>
      </c>
      <c r="AD1295" t="str" cm="1">
        <f t="array" ref="AD1295">IFERROR(_xlfn.IFS(
    AC1295="", "",
    AC1295*86400 &lt; 30, "1. 0s - &lt;30s",
    AC1295*86400 &lt; 60, "2. 30s - &lt;1m",
    AC1295*86400 &lt; 300, "3. 1m - &lt;5m",
    AC1295*86400 &lt; 1800, "4. 5m - &lt;30m",
    TRUE, "5. &gt;= 30m"
),"6. Invalid (Order rejected)")</f>
        <v>5. &gt;= 30m</v>
      </c>
    </row>
    <row r="1296" spans="1:30" hidden="1" x14ac:dyDescent="0.3">
      <c r="A1296" t="s">
        <v>7582</v>
      </c>
      <c r="B1296" t="s">
        <v>25</v>
      </c>
      <c r="C1296">
        <v>43512432</v>
      </c>
      <c r="D1296">
        <v>0</v>
      </c>
      <c r="E1296" t="s">
        <v>25</v>
      </c>
      <c r="F1296" t="s">
        <v>26</v>
      </c>
      <c r="G1296" t="s">
        <v>27</v>
      </c>
      <c r="H1296" t="s">
        <v>7583</v>
      </c>
      <c r="I1296" t="s">
        <v>7584</v>
      </c>
      <c r="J1296" t="s">
        <v>26</v>
      </c>
      <c r="K1296" t="s">
        <v>26</v>
      </c>
      <c r="L1296" t="s">
        <v>7585</v>
      </c>
      <c r="M1296" t="s">
        <v>25</v>
      </c>
      <c r="N1296" t="s">
        <v>3170</v>
      </c>
      <c r="O1296" t="s">
        <v>3171</v>
      </c>
      <c r="P1296" t="s">
        <v>89</v>
      </c>
      <c r="Q1296" t="s">
        <v>90</v>
      </c>
      <c r="R1296">
        <v>186516</v>
      </c>
      <c r="S1296">
        <v>0</v>
      </c>
      <c r="T1296">
        <v>186516</v>
      </c>
      <c r="U1296" t="s">
        <v>35</v>
      </c>
      <c r="V1296" t="s">
        <v>3072</v>
      </c>
      <c r="W1296" t="s">
        <v>91</v>
      </c>
      <c r="X1296" s="4">
        <v>1</v>
      </c>
      <c r="Y1296" s="4"/>
      <c r="Z1296">
        <f t="shared" si="80"/>
        <v>8</v>
      </c>
      <c r="AA1296">
        <f t="shared" si="81"/>
        <v>11</v>
      </c>
      <c r="AB1296" s="5">
        <f t="shared" si="82"/>
        <v>0.330601851848769</v>
      </c>
      <c r="AC1296" s="3">
        <f t="shared" si="83"/>
        <v>9.0300925927294884E-2</v>
      </c>
      <c r="AD1296" t="str" cm="1">
        <f t="array" ref="AD1296">IFERROR(_xlfn.IFS(
    AC1296="", "",
    AC1296*86400 &lt; 30, "1. 0s - &lt;30s",
    AC1296*86400 &lt; 60, "2. 30s - &lt;1m",
    AC1296*86400 &lt; 300, "3. 1m - &lt;5m",
    AC1296*86400 &lt; 1800, "4. 5m - &lt;30m",
    TRUE, "5. &gt;= 30m"
),"6. Invalid (Order rejected)")</f>
        <v>5. &gt;= 30m</v>
      </c>
    </row>
    <row r="1297" spans="1:30" hidden="1" x14ac:dyDescent="0.3">
      <c r="A1297" t="s">
        <v>7586</v>
      </c>
      <c r="B1297" t="s">
        <v>25</v>
      </c>
      <c r="C1297">
        <v>43512432</v>
      </c>
      <c r="D1297">
        <v>0</v>
      </c>
      <c r="E1297" t="s">
        <v>25</v>
      </c>
      <c r="F1297" t="s">
        <v>26</v>
      </c>
      <c r="G1297" t="s">
        <v>27</v>
      </c>
      <c r="H1297" t="s">
        <v>7587</v>
      </c>
      <c r="I1297" t="s">
        <v>7588</v>
      </c>
      <c r="J1297" t="s">
        <v>26</v>
      </c>
      <c r="K1297" t="s">
        <v>26</v>
      </c>
      <c r="L1297" t="s">
        <v>7589</v>
      </c>
      <c r="M1297" t="s">
        <v>25</v>
      </c>
      <c r="N1297" t="s">
        <v>3170</v>
      </c>
      <c r="O1297" t="s">
        <v>3171</v>
      </c>
      <c r="P1297" t="s">
        <v>3183</v>
      </c>
      <c r="Q1297" t="s">
        <v>3184</v>
      </c>
      <c r="R1297">
        <v>165996</v>
      </c>
      <c r="S1297">
        <v>0</v>
      </c>
      <c r="T1297">
        <v>165996</v>
      </c>
      <c r="U1297" t="s">
        <v>35</v>
      </c>
      <c r="V1297" t="s">
        <v>3072</v>
      </c>
      <c r="W1297" t="s">
        <v>3185</v>
      </c>
      <c r="X1297" s="4">
        <v>1</v>
      </c>
      <c r="Y1297" s="4"/>
      <c r="Z1297">
        <f t="shared" si="80"/>
        <v>8</v>
      </c>
      <c r="AA1297">
        <f t="shared" si="81"/>
        <v>11</v>
      </c>
      <c r="AB1297" s="5">
        <f t="shared" si="82"/>
        <v>0.33135416666482342</v>
      </c>
      <c r="AC1297" s="3">
        <f t="shared" si="83"/>
        <v>9.0300925927294884E-2</v>
      </c>
      <c r="AD1297" t="str" cm="1">
        <f t="array" ref="AD1297">IFERROR(_xlfn.IFS(
    AC1297="", "",
    AC1297*86400 &lt; 30, "1. 0s - &lt;30s",
    AC1297*86400 &lt; 60, "2. 30s - &lt;1m",
    AC1297*86400 &lt; 300, "3. 1m - &lt;5m",
    AC1297*86400 &lt; 1800, "4. 5m - &lt;30m",
    TRUE, "5. &gt;= 30m"
),"6. Invalid (Order rejected)")</f>
        <v>5. &gt;= 30m</v>
      </c>
    </row>
    <row r="1298" spans="1:30" hidden="1" x14ac:dyDescent="0.3">
      <c r="A1298" t="s">
        <v>7590</v>
      </c>
      <c r="B1298" t="s">
        <v>25</v>
      </c>
      <c r="C1298">
        <v>43512432</v>
      </c>
      <c r="D1298">
        <v>0</v>
      </c>
      <c r="E1298" t="s">
        <v>25</v>
      </c>
      <c r="F1298" t="s">
        <v>26</v>
      </c>
      <c r="G1298" t="s">
        <v>27</v>
      </c>
      <c r="H1298" t="s">
        <v>7591</v>
      </c>
      <c r="I1298" t="s">
        <v>7592</v>
      </c>
      <c r="J1298" t="s">
        <v>26</v>
      </c>
      <c r="K1298" t="s">
        <v>26</v>
      </c>
      <c r="L1298" t="s">
        <v>7593</v>
      </c>
      <c r="M1298" t="s">
        <v>25</v>
      </c>
      <c r="N1298" t="s">
        <v>3170</v>
      </c>
      <c r="O1298" t="s">
        <v>3171</v>
      </c>
      <c r="P1298" t="s">
        <v>3198</v>
      </c>
      <c r="Q1298" t="s">
        <v>3199</v>
      </c>
      <c r="R1298">
        <v>156600</v>
      </c>
      <c r="S1298">
        <v>0</v>
      </c>
      <c r="T1298">
        <v>156600</v>
      </c>
      <c r="U1298" t="s">
        <v>35</v>
      </c>
      <c r="V1298" t="s">
        <v>3072</v>
      </c>
      <c r="W1298" t="s">
        <v>3200</v>
      </c>
      <c r="X1298" s="4">
        <v>1</v>
      </c>
      <c r="Y1298" s="4"/>
      <c r="Z1298">
        <f t="shared" si="80"/>
        <v>8</v>
      </c>
      <c r="AA1298">
        <f t="shared" si="81"/>
        <v>11</v>
      </c>
      <c r="AB1298" s="5">
        <f t="shared" si="82"/>
        <v>0.33228009259619284</v>
      </c>
      <c r="AC1298" s="3">
        <f t="shared" si="83"/>
        <v>9.0289351850515231E-2</v>
      </c>
      <c r="AD1298" t="str" cm="1">
        <f t="array" ref="AD1298">IFERROR(_xlfn.IFS(
    AC1298="", "",
    AC1298*86400 &lt; 30, "1. 0s - &lt;30s",
    AC1298*86400 &lt; 60, "2. 30s - &lt;1m",
    AC1298*86400 &lt; 300, "3. 1m - &lt;5m",
    AC1298*86400 &lt; 1800, "4. 5m - &lt;30m",
    TRUE, "5. &gt;= 30m"
),"6. Invalid (Order rejected)")</f>
        <v>5. &gt;= 30m</v>
      </c>
    </row>
    <row r="1299" spans="1:30" hidden="1" x14ac:dyDescent="0.3">
      <c r="A1299" t="s">
        <v>7594</v>
      </c>
      <c r="B1299" t="s">
        <v>25</v>
      </c>
      <c r="C1299">
        <v>43512432</v>
      </c>
      <c r="D1299">
        <v>0</v>
      </c>
      <c r="E1299" t="s">
        <v>25</v>
      </c>
      <c r="F1299" t="s">
        <v>26</v>
      </c>
      <c r="G1299" t="s">
        <v>27</v>
      </c>
      <c r="H1299" t="s">
        <v>7595</v>
      </c>
      <c r="I1299" t="s">
        <v>7596</v>
      </c>
      <c r="J1299" t="s">
        <v>26</v>
      </c>
      <c r="K1299" t="s">
        <v>26</v>
      </c>
      <c r="L1299" t="s">
        <v>7597</v>
      </c>
      <c r="M1299" t="s">
        <v>25</v>
      </c>
      <c r="N1299" t="s">
        <v>3039</v>
      </c>
      <c r="O1299" t="s">
        <v>3040</v>
      </c>
      <c r="P1299" t="s">
        <v>3221</v>
      </c>
      <c r="Q1299" t="s">
        <v>3222</v>
      </c>
      <c r="R1299">
        <v>150444</v>
      </c>
      <c r="S1299">
        <v>0</v>
      </c>
      <c r="T1299">
        <v>150444</v>
      </c>
      <c r="U1299" t="s">
        <v>35</v>
      </c>
      <c r="V1299" t="s">
        <v>3041</v>
      </c>
      <c r="W1299" t="s">
        <v>3223</v>
      </c>
      <c r="X1299" s="4">
        <v>1</v>
      </c>
      <c r="Y1299" s="4"/>
      <c r="Z1299">
        <f t="shared" si="80"/>
        <v>8</v>
      </c>
      <c r="AA1299">
        <f t="shared" si="81"/>
        <v>11</v>
      </c>
      <c r="AB1299" s="5">
        <f t="shared" si="82"/>
        <v>0.33001157407124992</v>
      </c>
      <c r="AC1299" s="3">
        <f t="shared" si="83"/>
        <v>9.0289351857791189E-2</v>
      </c>
      <c r="AD1299" t="str" cm="1">
        <f t="array" ref="AD1299">IFERROR(_xlfn.IFS(
    AC1299="", "",
    AC1299*86400 &lt; 30, "1. 0s - &lt;30s",
    AC1299*86400 &lt; 60, "2. 30s - &lt;1m",
    AC1299*86400 &lt; 300, "3. 1m - &lt;5m",
    AC1299*86400 &lt; 1800, "4. 5m - &lt;30m",
    TRUE, "5. &gt;= 30m"
),"6. Invalid (Order rejected)")</f>
        <v>5. &gt;= 30m</v>
      </c>
    </row>
    <row r="1300" spans="1:30" x14ac:dyDescent="0.3">
      <c r="A1300" t="s">
        <v>7598</v>
      </c>
      <c r="B1300" t="s">
        <v>25</v>
      </c>
      <c r="C1300">
        <v>43512432</v>
      </c>
      <c r="D1300">
        <v>3324131</v>
      </c>
      <c r="E1300" t="s">
        <v>25</v>
      </c>
      <c r="F1300" t="s">
        <v>75</v>
      </c>
      <c r="G1300" t="s">
        <v>360</v>
      </c>
      <c r="H1300" t="s">
        <v>7599</v>
      </c>
      <c r="I1300" t="s">
        <v>7600</v>
      </c>
      <c r="J1300" t="s">
        <v>7601</v>
      </c>
      <c r="K1300" t="s">
        <v>7602</v>
      </c>
      <c r="L1300" t="s">
        <v>25</v>
      </c>
      <c r="M1300" t="s">
        <v>25</v>
      </c>
      <c r="N1300" t="s">
        <v>3170</v>
      </c>
      <c r="O1300" t="s">
        <v>3171</v>
      </c>
      <c r="P1300" t="s">
        <v>124</v>
      </c>
      <c r="Q1300" t="s">
        <v>125</v>
      </c>
      <c r="R1300">
        <v>225936</v>
      </c>
      <c r="S1300">
        <v>175153</v>
      </c>
      <c r="T1300">
        <v>50783</v>
      </c>
      <c r="U1300" t="s">
        <v>35</v>
      </c>
      <c r="V1300" t="s">
        <v>3072</v>
      </c>
      <c r="W1300" t="s">
        <v>126</v>
      </c>
      <c r="X1300" s="4">
        <v>1</v>
      </c>
      <c r="Y1300" s="4"/>
      <c r="Z1300">
        <f t="shared" si="80"/>
        <v>8</v>
      </c>
      <c r="AA1300">
        <f t="shared" si="81"/>
        <v>11</v>
      </c>
      <c r="AB1300" s="5">
        <f t="shared" si="82"/>
        <v>0.33271990740468027</v>
      </c>
      <c r="AC1300" s="3" t="str">
        <f t="shared" si="83"/>
        <v>Order rejected, no time available</v>
      </c>
      <c r="AD1300" t="str" cm="1">
        <f t="array" ref="AD1300">IFERROR(_xlfn.IFS(
    AC1300="", "",
    AC1300*86400 &lt; 30, "1. 0s - &lt;30s",
    AC1300*86400 &lt; 60, "2. 30s - &lt;1m",
    AC1300*86400 &lt; 300, "3. 1m - &lt;5m",
    AC1300*86400 &lt; 1800, "4. 5m - &lt;30m",
    TRUE, "5. &gt;= 30m"
),"6. Invalid (Order rejected)")</f>
        <v>6. Invalid (Order rejected)</v>
      </c>
    </row>
    <row r="1301" spans="1:30" hidden="1" x14ac:dyDescent="0.3">
      <c r="A1301" t="s">
        <v>7603</v>
      </c>
      <c r="B1301" t="s">
        <v>3229</v>
      </c>
      <c r="C1301">
        <v>13373294</v>
      </c>
      <c r="D1301">
        <v>0</v>
      </c>
      <c r="E1301" t="s">
        <v>25</v>
      </c>
      <c r="F1301" t="s">
        <v>26</v>
      </c>
      <c r="G1301" t="s">
        <v>27</v>
      </c>
      <c r="H1301" t="s">
        <v>7604</v>
      </c>
      <c r="I1301" t="s">
        <v>7605</v>
      </c>
      <c r="J1301" t="s">
        <v>26</v>
      </c>
      <c r="K1301" t="s">
        <v>26</v>
      </c>
      <c r="L1301" t="s">
        <v>7606</v>
      </c>
      <c r="M1301" t="s">
        <v>25</v>
      </c>
      <c r="N1301" t="s">
        <v>3233</v>
      </c>
      <c r="O1301" t="s">
        <v>3234</v>
      </c>
      <c r="P1301" t="s">
        <v>384</v>
      </c>
      <c r="Q1301" t="s">
        <v>385</v>
      </c>
      <c r="R1301">
        <v>363420</v>
      </c>
      <c r="S1301">
        <v>0</v>
      </c>
      <c r="T1301">
        <v>363420</v>
      </c>
      <c r="U1301" t="s">
        <v>35</v>
      </c>
      <c r="V1301" t="s">
        <v>3237</v>
      </c>
      <c r="W1301" t="s">
        <v>386</v>
      </c>
      <c r="X1301" s="4">
        <v>2</v>
      </c>
      <c r="Y1301" s="4"/>
      <c r="Z1301">
        <f t="shared" si="80"/>
        <v>8</v>
      </c>
      <c r="AA1301">
        <f t="shared" si="81"/>
        <v>14</v>
      </c>
      <c r="AB1301" s="5">
        <f t="shared" si="82"/>
        <v>0.81099537036789116</v>
      </c>
      <c r="AC1301" s="3">
        <f t="shared" si="83"/>
        <v>9.693287037225673E-2</v>
      </c>
      <c r="AD1301" t="str" cm="1">
        <f t="array" ref="AD1301">IFERROR(_xlfn.IFS(
    AC1301="", "",
    AC1301*86400 &lt; 30, "1. 0s - &lt;30s",
    AC1301*86400 &lt; 60, "2. 30s - &lt;1m",
    AC1301*86400 &lt; 300, "3. 1m - &lt;5m",
    AC1301*86400 &lt; 1800, "4. 5m - &lt;30m",
    TRUE, "5. &gt;= 30m"
),"6. Invalid (Order rejected)")</f>
        <v>5. &gt;= 30m</v>
      </c>
    </row>
    <row r="1302" spans="1:30" hidden="1" x14ac:dyDescent="0.3">
      <c r="A1302" t="s">
        <v>7607</v>
      </c>
      <c r="B1302" t="s">
        <v>3229</v>
      </c>
      <c r="C1302">
        <v>13373294</v>
      </c>
      <c r="D1302">
        <v>0</v>
      </c>
      <c r="E1302" t="s">
        <v>25</v>
      </c>
      <c r="F1302" t="s">
        <v>26</v>
      </c>
      <c r="G1302" t="s">
        <v>76</v>
      </c>
      <c r="H1302" t="s">
        <v>7608</v>
      </c>
      <c r="I1302" t="s">
        <v>7609</v>
      </c>
      <c r="J1302" t="s">
        <v>26</v>
      </c>
      <c r="K1302" t="s">
        <v>26</v>
      </c>
      <c r="L1302" t="s">
        <v>7610</v>
      </c>
      <c r="M1302" t="s">
        <v>25</v>
      </c>
      <c r="N1302" t="s">
        <v>3254</v>
      </c>
      <c r="O1302" t="s">
        <v>3255</v>
      </c>
      <c r="P1302" t="s">
        <v>7611</v>
      </c>
      <c r="Q1302" t="s">
        <v>7612</v>
      </c>
      <c r="R1302">
        <v>472284</v>
      </c>
      <c r="S1302">
        <v>0</v>
      </c>
      <c r="T1302">
        <v>472284</v>
      </c>
      <c r="U1302" t="s">
        <v>35</v>
      </c>
      <c r="V1302" t="s">
        <v>3258</v>
      </c>
      <c r="W1302" t="s">
        <v>7613</v>
      </c>
      <c r="X1302" s="4">
        <v>1</v>
      </c>
      <c r="Y1302" s="4"/>
      <c r="Z1302">
        <f t="shared" si="80"/>
        <v>8</v>
      </c>
      <c r="AA1302">
        <f t="shared" si="81"/>
        <v>14</v>
      </c>
      <c r="AB1302" s="5">
        <f t="shared" si="82"/>
        <v>0.82724537036847323</v>
      </c>
      <c r="AC1302" s="3">
        <f t="shared" si="83"/>
        <v>0.11548611111356877</v>
      </c>
      <c r="AD1302" t="str" cm="1">
        <f t="array" ref="AD1302">IFERROR(_xlfn.IFS(
    AC1302="", "",
    AC1302*86400 &lt; 30, "1. 0s - &lt;30s",
    AC1302*86400 &lt; 60, "2. 30s - &lt;1m",
    AC1302*86400 &lt; 300, "3. 1m - &lt;5m",
    AC1302*86400 &lt; 1800, "4. 5m - &lt;30m",
    TRUE, "5. &gt;= 30m"
),"6. Invalid (Order rejected)")</f>
        <v>5. &gt;= 30m</v>
      </c>
    </row>
    <row r="1303" spans="1:30" hidden="1" x14ac:dyDescent="0.3">
      <c r="A1303" t="s">
        <v>7614</v>
      </c>
      <c r="B1303" t="s">
        <v>3229</v>
      </c>
      <c r="C1303">
        <v>13373294</v>
      </c>
      <c r="D1303">
        <v>0</v>
      </c>
      <c r="E1303" t="s">
        <v>25</v>
      </c>
      <c r="F1303" t="s">
        <v>26</v>
      </c>
      <c r="G1303" t="s">
        <v>76</v>
      </c>
      <c r="H1303" t="s">
        <v>7615</v>
      </c>
      <c r="I1303" t="s">
        <v>7616</v>
      </c>
      <c r="J1303" t="s">
        <v>26</v>
      </c>
      <c r="K1303" t="s">
        <v>26</v>
      </c>
      <c r="L1303" t="s">
        <v>7617</v>
      </c>
      <c r="M1303" t="s">
        <v>25</v>
      </c>
      <c r="N1303" t="s">
        <v>7618</v>
      </c>
      <c r="O1303" t="s">
        <v>7619</v>
      </c>
      <c r="P1303" t="s">
        <v>7620</v>
      </c>
      <c r="Q1303" t="s">
        <v>7621</v>
      </c>
      <c r="R1303">
        <v>369900</v>
      </c>
      <c r="S1303">
        <v>0</v>
      </c>
      <c r="T1303">
        <v>369900</v>
      </c>
      <c r="U1303" t="s">
        <v>35</v>
      </c>
      <c r="V1303" t="s">
        <v>7622</v>
      </c>
      <c r="W1303" t="s">
        <v>7623</v>
      </c>
      <c r="X1303" s="4">
        <v>1</v>
      </c>
      <c r="Y1303" s="4"/>
      <c r="Z1303">
        <f t="shared" si="80"/>
        <v>8</v>
      </c>
      <c r="AA1303">
        <f t="shared" si="81"/>
        <v>14</v>
      </c>
      <c r="AB1303" s="5">
        <f t="shared" si="82"/>
        <v>0.82944444444729015</v>
      </c>
      <c r="AC1303" s="3">
        <f t="shared" si="83"/>
        <v>0.11366898148116888</v>
      </c>
      <c r="AD1303" t="str" cm="1">
        <f t="array" ref="AD1303">IFERROR(_xlfn.IFS(
    AC1303="", "",
    AC1303*86400 &lt; 30, "1. 0s - &lt;30s",
    AC1303*86400 &lt; 60, "2. 30s - &lt;1m",
    AC1303*86400 &lt; 300, "3. 1m - &lt;5m",
    AC1303*86400 &lt; 1800, "4. 5m - &lt;30m",
    TRUE, "5. &gt;= 30m"
),"6. Invalid (Order rejected)")</f>
        <v>5. &gt;= 30m</v>
      </c>
    </row>
    <row r="1304" spans="1:30" hidden="1" x14ac:dyDescent="0.3">
      <c r="A1304" t="s">
        <v>7624</v>
      </c>
      <c r="B1304" t="s">
        <v>3229</v>
      </c>
      <c r="C1304">
        <v>13373294</v>
      </c>
      <c r="D1304">
        <v>0</v>
      </c>
      <c r="E1304" t="s">
        <v>25</v>
      </c>
      <c r="F1304" t="s">
        <v>26</v>
      </c>
      <c r="G1304" t="s">
        <v>76</v>
      </c>
      <c r="H1304" t="s">
        <v>7625</v>
      </c>
      <c r="I1304" t="s">
        <v>7626</v>
      </c>
      <c r="J1304" t="s">
        <v>26</v>
      </c>
      <c r="K1304" t="s">
        <v>26</v>
      </c>
      <c r="L1304" t="s">
        <v>7627</v>
      </c>
      <c r="M1304" t="s">
        <v>25</v>
      </c>
      <c r="N1304" t="s">
        <v>7628</v>
      </c>
      <c r="O1304" t="s">
        <v>7629</v>
      </c>
      <c r="P1304" t="s">
        <v>3235</v>
      </c>
      <c r="Q1304" t="s">
        <v>3236</v>
      </c>
      <c r="R1304">
        <v>364544</v>
      </c>
      <c r="S1304">
        <v>0</v>
      </c>
      <c r="T1304">
        <v>364544</v>
      </c>
      <c r="U1304" t="s">
        <v>35</v>
      </c>
      <c r="V1304" t="s">
        <v>7630</v>
      </c>
      <c r="W1304" t="s">
        <v>3238</v>
      </c>
      <c r="X1304" s="4">
        <v>1</v>
      </c>
      <c r="Y1304" s="4"/>
      <c r="Z1304">
        <f t="shared" si="80"/>
        <v>8</v>
      </c>
      <c r="AA1304">
        <f t="shared" si="81"/>
        <v>14</v>
      </c>
      <c r="AB1304" s="5">
        <f t="shared" si="82"/>
        <v>0.83387731481343508</v>
      </c>
      <c r="AC1304" s="3">
        <f t="shared" si="83"/>
        <v>2.1296296326909214E-3</v>
      </c>
      <c r="AD1304" t="str" cm="1">
        <f t="array" ref="AD1304">IFERROR(_xlfn.IFS(
    AC1304="", "",
    AC1304*86400 &lt; 30, "1. 0s - &lt;30s",
    AC1304*86400 &lt; 60, "2. 30s - &lt;1m",
    AC1304*86400 &lt; 300, "3. 1m - &lt;5m",
    AC1304*86400 &lt; 1800, "4. 5m - &lt;30m",
    TRUE, "5. &gt;= 30m"
),"6. Invalid (Order rejected)")</f>
        <v>3. 1m - &lt;5m</v>
      </c>
    </row>
    <row r="1305" spans="1:30" hidden="1" x14ac:dyDescent="0.3">
      <c r="A1305" t="s">
        <v>7631</v>
      </c>
      <c r="B1305" t="s">
        <v>3229</v>
      </c>
      <c r="C1305">
        <v>13373294</v>
      </c>
      <c r="D1305">
        <v>0</v>
      </c>
      <c r="E1305" t="s">
        <v>25</v>
      </c>
      <c r="F1305" t="s">
        <v>26</v>
      </c>
      <c r="G1305" t="s">
        <v>76</v>
      </c>
      <c r="H1305" t="s">
        <v>7632</v>
      </c>
      <c r="I1305" t="s">
        <v>7633</v>
      </c>
      <c r="J1305" t="s">
        <v>26</v>
      </c>
      <c r="K1305" t="s">
        <v>26</v>
      </c>
      <c r="L1305" t="s">
        <v>7634</v>
      </c>
      <c r="M1305" t="s">
        <v>25</v>
      </c>
      <c r="N1305" t="s">
        <v>7635</v>
      </c>
      <c r="O1305" t="s">
        <v>7636</v>
      </c>
      <c r="P1305" t="s">
        <v>3235</v>
      </c>
      <c r="Q1305" t="s">
        <v>3236</v>
      </c>
      <c r="R1305">
        <v>274536</v>
      </c>
      <c r="S1305">
        <v>0</v>
      </c>
      <c r="T1305">
        <v>274536</v>
      </c>
      <c r="U1305" t="s">
        <v>35</v>
      </c>
      <c r="V1305" t="s">
        <v>7637</v>
      </c>
      <c r="W1305" t="s">
        <v>3238</v>
      </c>
      <c r="X1305" s="4">
        <v>1</v>
      </c>
      <c r="Y1305" s="4"/>
      <c r="Z1305">
        <f t="shared" si="80"/>
        <v>8</v>
      </c>
      <c r="AA1305">
        <f t="shared" si="81"/>
        <v>14</v>
      </c>
      <c r="AB1305" s="5">
        <f t="shared" si="82"/>
        <v>0.83650462963123573</v>
      </c>
      <c r="AC1305" s="3">
        <f t="shared" si="83"/>
        <v>2.6041666642413475E-3</v>
      </c>
      <c r="AD1305" t="str" cm="1">
        <f t="array" ref="AD1305">IFERROR(_xlfn.IFS(
    AC1305="", "",
    AC1305*86400 &lt; 30, "1. 0s - &lt;30s",
    AC1305*86400 &lt; 60, "2. 30s - &lt;1m",
    AC1305*86400 &lt; 300, "3. 1m - &lt;5m",
    AC1305*86400 &lt; 1800, "4. 5m - &lt;30m",
    TRUE, "5. &gt;= 30m"
),"6. Invalid (Order rejected)")</f>
        <v>3. 1m - &lt;5m</v>
      </c>
    </row>
    <row r="1306" spans="1:30" hidden="1" x14ac:dyDescent="0.3">
      <c r="A1306" t="s">
        <v>7638</v>
      </c>
      <c r="B1306" t="s">
        <v>3229</v>
      </c>
      <c r="C1306">
        <v>13373294</v>
      </c>
      <c r="D1306">
        <v>0</v>
      </c>
      <c r="E1306" t="s">
        <v>25</v>
      </c>
      <c r="F1306" t="s">
        <v>26</v>
      </c>
      <c r="G1306" t="s">
        <v>76</v>
      </c>
      <c r="H1306" t="s">
        <v>7639</v>
      </c>
      <c r="I1306" t="s">
        <v>7640</v>
      </c>
      <c r="J1306" t="s">
        <v>26</v>
      </c>
      <c r="K1306" t="s">
        <v>26</v>
      </c>
      <c r="L1306" t="s">
        <v>7641</v>
      </c>
      <c r="M1306" t="s">
        <v>25</v>
      </c>
      <c r="N1306" t="s">
        <v>7635</v>
      </c>
      <c r="O1306" t="s">
        <v>7636</v>
      </c>
      <c r="P1306" t="s">
        <v>3256</v>
      </c>
      <c r="Q1306" t="s">
        <v>3257</v>
      </c>
      <c r="R1306">
        <v>219240</v>
      </c>
      <c r="S1306">
        <v>0</v>
      </c>
      <c r="T1306">
        <v>219240</v>
      </c>
      <c r="U1306" t="s">
        <v>35</v>
      </c>
      <c r="V1306" t="s">
        <v>7637</v>
      </c>
      <c r="W1306" t="s">
        <v>3259</v>
      </c>
      <c r="X1306" s="4">
        <v>1</v>
      </c>
      <c r="Y1306" s="4"/>
      <c r="Z1306">
        <f t="shared" si="80"/>
        <v>8</v>
      </c>
      <c r="AA1306">
        <f t="shared" si="81"/>
        <v>14</v>
      </c>
      <c r="AB1306" s="5">
        <f t="shared" si="82"/>
        <v>0.83949074074189411</v>
      </c>
      <c r="AC1306" s="3">
        <f t="shared" si="83"/>
        <v>0.10343750000174623</v>
      </c>
      <c r="AD1306" t="str" cm="1">
        <f t="array" ref="AD1306">IFERROR(_xlfn.IFS(
    AC1306="", "",
    AC1306*86400 &lt; 30, "1. 0s - &lt;30s",
    AC1306*86400 &lt; 60, "2. 30s - &lt;1m",
    AC1306*86400 &lt; 300, "3. 1m - &lt;5m",
    AC1306*86400 &lt; 1800, "4. 5m - &lt;30m",
    TRUE, "5. &gt;= 30m"
),"6. Invalid (Order rejected)")</f>
        <v>5. &gt;= 30m</v>
      </c>
    </row>
    <row r="1307" spans="1:30" x14ac:dyDescent="0.3">
      <c r="A1307" t="s">
        <v>7642</v>
      </c>
      <c r="B1307" t="s">
        <v>3229</v>
      </c>
      <c r="C1307">
        <v>13373294</v>
      </c>
      <c r="D1307">
        <v>2720584</v>
      </c>
      <c r="E1307" t="s">
        <v>25</v>
      </c>
      <c r="F1307" t="s">
        <v>75</v>
      </c>
      <c r="G1307" t="s">
        <v>360</v>
      </c>
      <c r="H1307" t="s">
        <v>7643</v>
      </c>
      <c r="I1307" t="s">
        <v>3269</v>
      </c>
      <c r="J1307" t="s">
        <v>7644</v>
      </c>
      <c r="K1307" t="s">
        <v>26</v>
      </c>
      <c r="L1307" t="s">
        <v>25</v>
      </c>
      <c r="M1307" t="s">
        <v>25</v>
      </c>
      <c r="N1307" t="s">
        <v>3271</v>
      </c>
      <c r="O1307" t="s">
        <v>3272</v>
      </c>
      <c r="P1307" t="s">
        <v>3256</v>
      </c>
      <c r="Q1307" t="s">
        <v>3257</v>
      </c>
      <c r="R1307">
        <v>364392</v>
      </c>
      <c r="S1307">
        <v>282488</v>
      </c>
      <c r="T1307">
        <v>81904</v>
      </c>
      <c r="U1307" t="s">
        <v>35</v>
      </c>
      <c r="V1307" t="s">
        <v>3237</v>
      </c>
      <c r="W1307" t="s">
        <v>3259</v>
      </c>
      <c r="X1307" s="4">
        <v>1</v>
      </c>
      <c r="Y1307" s="4"/>
      <c r="Z1307">
        <f t="shared" si="80"/>
        <v>8</v>
      </c>
      <c r="AA1307">
        <f t="shared" si="81"/>
        <v>15</v>
      </c>
      <c r="AB1307" s="5">
        <f t="shared" si="82"/>
        <v>0.30761574074131204</v>
      </c>
      <c r="AC1307" s="3" t="str">
        <f t="shared" si="83"/>
        <v>Order rejected, no time available</v>
      </c>
      <c r="AD1307" t="str" cm="1">
        <f t="array" ref="AD1307">IFERROR(_xlfn.IFS(
    AC1307="", "",
    AC1307*86400 &lt; 30, "1. 0s - &lt;30s",
    AC1307*86400 &lt; 60, "2. 30s - &lt;1m",
    AC1307*86400 &lt; 300, "3. 1m - &lt;5m",
    AC1307*86400 &lt; 1800, "4. 5m - &lt;30m",
    TRUE, "5. &gt;= 30m"
),"6. Invalid (Order rejected)")</f>
        <v>6. Invalid (Order rejected)</v>
      </c>
    </row>
    <row r="1308" spans="1:30" hidden="1" x14ac:dyDescent="0.3">
      <c r="A1308" t="s">
        <v>7645</v>
      </c>
      <c r="B1308" t="s">
        <v>3229</v>
      </c>
      <c r="C1308">
        <v>13373294</v>
      </c>
      <c r="D1308">
        <v>0</v>
      </c>
      <c r="E1308" t="s">
        <v>7646</v>
      </c>
      <c r="F1308" t="s">
        <v>26</v>
      </c>
      <c r="G1308" t="s">
        <v>27</v>
      </c>
      <c r="H1308" t="s">
        <v>7647</v>
      </c>
      <c r="I1308" t="s">
        <v>7648</v>
      </c>
      <c r="J1308" t="s">
        <v>26</v>
      </c>
      <c r="K1308" t="s">
        <v>26</v>
      </c>
      <c r="L1308" t="s">
        <v>7649</v>
      </c>
      <c r="M1308" t="s">
        <v>25</v>
      </c>
      <c r="N1308" t="s">
        <v>7650</v>
      </c>
      <c r="O1308" t="s">
        <v>7651</v>
      </c>
      <c r="P1308" t="s">
        <v>7652</v>
      </c>
      <c r="Q1308" t="s">
        <v>7653</v>
      </c>
      <c r="R1308">
        <v>234144</v>
      </c>
      <c r="S1308">
        <v>0</v>
      </c>
      <c r="T1308">
        <v>234144</v>
      </c>
      <c r="U1308" t="s">
        <v>35</v>
      </c>
      <c r="V1308" t="s">
        <v>3258</v>
      </c>
      <c r="W1308" t="s">
        <v>7654</v>
      </c>
      <c r="X1308" s="4">
        <v>1</v>
      </c>
      <c r="Y1308" s="4"/>
      <c r="Z1308">
        <f t="shared" si="80"/>
        <v>8</v>
      </c>
      <c r="AA1308">
        <f t="shared" si="81"/>
        <v>15</v>
      </c>
      <c r="AB1308" s="5">
        <f t="shared" si="82"/>
        <v>0.31337962963152677</v>
      </c>
      <c r="AC1308" s="3">
        <f t="shared" si="83"/>
        <v>0.13427083333226619</v>
      </c>
      <c r="AD1308" t="str" cm="1">
        <f t="array" ref="AD1308">IFERROR(_xlfn.IFS(
    AC1308="", "",
    AC1308*86400 &lt; 30, "1. 0s - &lt;30s",
    AC1308*86400 &lt; 60, "2. 30s - &lt;1m",
    AC1308*86400 &lt; 300, "3. 1m - &lt;5m",
    AC1308*86400 &lt; 1800, "4. 5m - &lt;30m",
    TRUE, "5. &gt;= 30m"
),"6. Invalid (Order rejected)")</f>
        <v>5. &gt;= 30m</v>
      </c>
    </row>
    <row r="1309" spans="1:30" hidden="1" x14ac:dyDescent="0.3">
      <c r="A1309" t="s">
        <v>7655</v>
      </c>
      <c r="B1309" t="s">
        <v>3229</v>
      </c>
      <c r="C1309">
        <v>13373294</v>
      </c>
      <c r="D1309">
        <v>4629889</v>
      </c>
      <c r="E1309" t="s">
        <v>25</v>
      </c>
      <c r="F1309" t="s">
        <v>75</v>
      </c>
      <c r="G1309" t="s">
        <v>76</v>
      </c>
      <c r="H1309" t="s">
        <v>7656</v>
      </c>
      <c r="I1309" t="s">
        <v>7657</v>
      </c>
      <c r="J1309" t="s">
        <v>7658</v>
      </c>
      <c r="K1309" t="s">
        <v>26</v>
      </c>
      <c r="L1309" t="s">
        <v>7659</v>
      </c>
      <c r="M1309" t="s">
        <v>25</v>
      </c>
      <c r="N1309" t="s">
        <v>7660</v>
      </c>
      <c r="O1309" t="s">
        <v>7661</v>
      </c>
      <c r="P1309" t="s">
        <v>3235</v>
      </c>
      <c r="Q1309" t="s">
        <v>3236</v>
      </c>
      <c r="R1309">
        <v>108540</v>
      </c>
      <c r="S1309">
        <v>84144</v>
      </c>
      <c r="T1309">
        <v>24396</v>
      </c>
      <c r="U1309" t="s">
        <v>35</v>
      </c>
      <c r="V1309" t="s">
        <v>7662</v>
      </c>
      <c r="W1309" t="s">
        <v>3238</v>
      </c>
      <c r="X1309" s="4">
        <v>1</v>
      </c>
      <c r="Y1309" s="4"/>
      <c r="Z1309">
        <f t="shared" si="80"/>
        <v>8</v>
      </c>
      <c r="AA1309">
        <f t="shared" si="81"/>
        <v>15</v>
      </c>
      <c r="AB1309" s="5">
        <f t="shared" si="82"/>
        <v>0.31197916666860692</v>
      </c>
      <c r="AC1309" s="3">
        <f t="shared" si="83"/>
        <v>1.9594907404098194E-2</v>
      </c>
      <c r="AD1309" t="str" cm="1">
        <f t="array" ref="AD1309">IFERROR(_xlfn.IFS(
    AC1309="", "",
    AC1309*86400 &lt; 30, "1. 0s - &lt;30s",
    AC1309*86400 &lt; 60, "2. 30s - &lt;1m",
    AC1309*86400 &lt; 300, "3. 1m - &lt;5m",
    AC1309*86400 &lt; 1800, "4. 5m - &lt;30m",
    TRUE, "5. &gt;= 30m"
),"6. Invalid (Order rejected)")</f>
        <v>4. 5m - &lt;30m</v>
      </c>
    </row>
    <row r="1310" spans="1:30" x14ac:dyDescent="0.3">
      <c r="A1310" t="s">
        <v>7663</v>
      </c>
      <c r="B1310" t="s">
        <v>3229</v>
      </c>
      <c r="C1310">
        <v>13373294</v>
      </c>
      <c r="D1310">
        <v>3559625</v>
      </c>
      <c r="E1310" t="s">
        <v>25</v>
      </c>
      <c r="F1310" t="s">
        <v>75</v>
      </c>
      <c r="G1310" t="s">
        <v>360</v>
      </c>
      <c r="H1310" t="s">
        <v>7664</v>
      </c>
      <c r="I1310" t="s">
        <v>7665</v>
      </c>
      <c r="J1310" t="s">
        <v>7666</v>
      </c>
      <c r="K1310" t="s">
        <v>26</v>
      </c>
      <c r="L1310" t="s">
        <v>25</v>
      </c>
      <c r="M1310" t="s">
        <v>25</v>
      </c>
      <c r="N1310" t="s">
        <v>7667</v>
      </c>
      <c r="O1310" t="s">
        <v>7668</v>
      </c>
      <c r="P1310" t="s">
        <v>7669</v>
      </c>
      <c r="Q1310" t="s">
        <v>7670</v>
      </c>
      <c r="R1310">
        <v>344520</v>
      </c>
      <c r="S1310">
        <v>282793</v>
      </c>
      <c r="T1310">
        <v>61727</v>
      </c>
      <c r="U1310" t="s">
        <v>35</v>
      </c>
      <c r="V1310" t="s">
        <v>3351</v>
      </c>
      <c r="W1310" t="s">
        <v>7671</v>
      </c>
      <c r="X1310" s="4">
        <v>1</v>
      </c>
      <c r="Y1310" s="4"/>
      <c r="Z1310">
        <f t="shared" si="80"/>
        <v>8</v>
      </c>
      <c r="AA1310">
        <f t="shared" si="81"/>
        <v>15</v>
      </c>
      <c r="AB1310" s="5">
        <f t="shared" si="82"/>
        <v>0.32072916666948004</v>
      </c>
      <c r="AC1310" s="3" t="str">
        <f t="shared" si="83"/>
        <v>Order rejected, no time available</v>
      </c>
      <c r="AD1310" t="str" cm="1">
        <f t="array" ref="AD1310">IFERROR(_xlfn.IFS(
    AC1310="", "",
    AC1310*86400 &lt; 30, "1. 0s - &lt;30s",
    AC1310*86400 &lt; 60, "2. 30s - &lt;1m",
    AC1310*86400 &lt; 300, "3. 1m - &lt;5m",
    AC1310*86400 &lt; 1800, "4. 5m - &lt;30m",
    TRUE, "5. &gt;= 30m"
),"6. Invalid (Order rejected)")</f>
        <v>6. Invalid (Order rejected)</v>
      </c>
    </row>
    <row r="1311" spans="1:30" hidden="1" x14ac:dyDescent="0.3">
      <c r="A1311" t="s">
        <v>7672</v>
      </c>
      <c r="B1311" t="s">
        <v>3229</v>
      </c>
      <c r="C1311">
        <v>13373294</v>
      </c>
      <c r="D1311">
        <v>0</v>
      </c>
      <c r="E1311" t="s">
        <v>25</v>
      </c>
      <c r="F1311" t="s">
        <v>26</v>
      </c>
      <c r="G1311" t="s">
        <v>27</v>
      </c>
      <c r="H1311" t="s">
        <v>7673</v>
      </c>
      <c r="I1311" t="s">
        <v>7674</v>
      </c>
      <c r="J1311" t="s">
        <v>26</v>
      </c>
      <c r="K1311" t="s">
        <v>26</v>
      </c>
      <c r="L1311" t="s">
        <v>7675</v>
      </c>
      <c r="M1311" t="s">
        <v>25</v>
      </c>
      <c r="N1311" t="s">
        <v>7676</v>
      </c>
      <c r="O1311" t="s">
        <v>7677</v>
      </c>
      <c r="P1311" t="s">
        <v>7678</v>
      </c>
      <c r="Q1311" t="s">
        <v>7679</v>
      </c>
      <c r="R1311">
        <v>415260</v>
      </c>
      <c r="S1311">
        <v>0</v>
      </c>
      <c r="T1311">
        <v>415260</v>
      </c>
      <c r="U1311" t="s">
        <v>35</v>
      </c>
      <c r="V1311" t="s">
        <v>7680</v>
      </c>
      <c r="W1311" t="s">
        <v>7681</v>
      </c>
      <c r="X1311" s="4">
        <v>1</v>
      </c>
      <c r="Y1311" s="4"/>
      <c r="Z1311">
        <f t="shared" si="80"/>
        <v>8</v>
      </c>
      <c r="AA1311">
        <f t="shared" si="81"/>
        <v>15</v>
      </c>
      <c r="AB1311" s="5">
        <f t="shared" si="82"/>
        <v>0.31763888888963265</v>
      </c>
      <c r="AC1311" s="3">
        <f t="shared" si="83"/>
        <v>0.18068287037021946</v>
      </c>
      <c r="AD1311" t="str" cm="1">
        <f t="array" ref="AD1311">IFERROR(_xlfn.IFS(
    AC1311="", "",
    AC1311*86400 &lt; 30, "1. 0s - &lt;30s",
    AC1311*86400 &lt; 60, "2. 30s - &lt;1m",
    AC1311*86400 &lt; 300, "3. 1m - &lt;5m",
    AC1311*86400 &lt; 1800, "4. 5m - &lt;30m",
    TRUE, "5. &gt;= 30m"
),"6. Invalid (Order rejected)")</f>
        <v>5. &gt;= 30m</v>
      </c>
    </row>
    <row r="1312" spans="1:30" x14ac:dyDescent="0.3">
      <c r="A1312" t="s">
        <v>7682</v>
      </c>
      <c r="B1312" t="s">
        <v>3229</v>
      </c>
      <c r="C1312">
        <v>13373294</v>
      </c>
      <c r="D1312">
        <v>3094745</v>
      </c>
      <c r="E1312" t="s">
        <v>25</v>
      </c>
      <c r="F1312" t="s">
        <v>75</v>
      </c>
      <c r="G1312" t="s">
        <v>360</v>
      </c>
      <c r="H1312" t="s">
        <v>7683</v>
      </c>
      <c r="I1312" t="s">
        <v>7684</v>
      </c>
      <c r="J1312" t="s">
        <v>7685</v>
      </c>
      <c r="K1312" t="s">
        <v>26</v>
      </c>
      <c r="L1312" t="s">
        <v>25</v>
      </c>
      <c r="M1312" t="s">
        <v>25</v>
      </c>
      <c r="N1312" t="s">
        <v>7686</v>
      </c>
      <c r="O1312" t="s">
        <v>7687</v>
      </c>
      <c r="P1312" t="s">
        <v>7688</v>
      </c>
      <c r="Q1312" t="s">
        <v>7689</v>
      </c>
      <c r="R1312">
        <v>276588</v>
      </c>
      <c r="S1312">
        <v>214420</v>
      </c>
      <c r="T1312">
        <v>62168</v>
      </c>
      <c r="U1312" t="s">
        <v>35</v>
      </c>
      <c r="V1312" t="s">
        <v>7690</v>
      </c>
      <c r="W1312" t="s">
        <v>7691</v>
      </c>
      <c r="X1312" s="4">
        <v>1</v>
      </c>
      <c r="Y1312" s="4"/>
      <c r="Z1312">
        <f t="shared" si="80"/>
        <v>8</v>
      </c>
      <c r="AA1312">
        <f t="shared" si="81"/>
        <v>15</v>
      </c>
      <c r="AB1312" s="5">
        <f t="shared" si="82"/>
        <v>0.3345601851833635</v>
      </c>
      <c r="AC1312" s="3" t="str">
        <f t="shared" si="83"/>
        <v>Order rejected, no time available</v>
      </c>
      <c r="AD1312" t="str" cm="1">
        <f t="array" ref="AD1312">IFERROR(_xlfn.IFS(
    AC1312="", "",
    AC1312*86400 &lt; 30, "1. 0s - &lt;30s",
    AC1312*86400 &lt; 60, "2. 30s - &lt;1m",
    AC1312*86400 &lt; 300, "3. 1m - &lt;5m",
    AC1312*86400 &lt; 1800, "4. 5m - &lt;30m",
    TRUE, "5. &gt;= 30m"
),"6. Invalid (Order rejected)")</f>
        <v>6. Invalid (Order rejected)</v>
      </c>
    </row>
    <row r="1313" spans="1:30" hidden="1" x14ac:dyDescent="0.3">
      <c r="A1313" t="s">
        <v>7692</v>
      </c>
      <c r="B1313" t="s">
        <v>3229</v>
      </c>
      <c r="C1313">
        <v>13373294</v>
      </c>
      <c r="D1313">
        <v>0</v>
      </c>
      <c r="E1313" t="s">
        <v>25</v>
      </c>
      <c r="F1313" t="s">
        <v>26</v>
      </c>
      <c r="G1313" t="s">
        <v>76</v>
      </c>
      <c r="H1313" t="s">
        <v>7693</v>
      </c>
      <c r="I1313" t="s">
        <v>7694</v>
      </c>
      <c r="J1313" t="s">
        <v>26</v>
      </c>
      <c r="K1313" t="s">
        <v>26</v>
      </c>
      <c r="L1313" t="s">
        <v>7695</v>
      </c>
      <c r="M1313" t="s">
        <v>25</v>
      </c>
      <c r="N1313" t="s">
        <v>7696</v>
      </c>
      <c r="O1313" t="s">
        <v>7697</v>
      </c>
      <c r="P1313" t="s">
        <v>7698</v>
      </c>
      <c r="Q1313" t="s">
        <v>7699</v>
      </c>
      <c r="R1313">
        <v>320652</v>
      </c>
      <c r="S1313">
        <v>0</v>
      </c>
      <c r="T1313">
        <v>320652</v>
      </c>
      <c r="U1313" t="s">
        <v>35</v>
      </c>
      <c r="V1313" t="s">
        <v>7700</v>
      </c>
      <c r="W1313" t="s">
        <v>7701</v>
      </c>
      <c r="X1313" s="4">
        <v>1</v>
      </c>
      <c r="Y1313" s="4"/>
      <c r="Z1313">
        <f t="shared" si="80"/>
        <v>8</v>
      </c>
      <c r="AA1313">
        <f t="shared" si="81"/>
        <v>15</v>
      </c>
      <c r="AB1313" s="5">
        <f t="shared" si="82"/>
        <v>0.86975694444117835</v>
      </c>
      <c r="AC1313" s="3">
        <f t="shared" si="83"/>
        <v>8.3969907413120382E-2</v>
      </c>
      <c r="AD1313" t="str" cm="1">
        <f t="array" ref="AD1313">IFERROR(_xlfn.IFS(
    AC1313="", "",
    AC1313*86400 &lt; 30, "1. 0s - &lt;30s",
    AC1313*86400 &lt; 60, "2. 30s - &lt;1m",
    AC1313*86400 &lt; 300, "3. 1m - &lt;5m",
    AC1313*86400 &lt; 1800, "4. 5m - &lt;30m",
    TRUE, "5. &gt;= 30m"
),"6. Invalid (Order rejected)")</f>
        <v>5. &gt;= 30m</v>
      </c>
    </row>
    <row r="1314" spans="1:30" hidden="1" x14ac:dyDescent="0.3">
      <c r="A1314" t="s">
        <v>7702</v>
      </c>
      <c r="B1314" t="s">
        <v>3229</v>
      </c>
      <c r="C1314">
        <v>13373294</v>
      </c>
      <c r="D1314">
        <v>0</v>
      </c>
      <c r="E1314" t="s">
        <v>25</v>
      </c>
      <c r="F1314" t="s">
        <v>26</v>
      </c>
      <c r="G1314" t="s">
        <v>76</v>
      </c>
      <c r="H1314" t="s">
        <v>7703</v>
      </c>
      <c r="I1314" t="s">
        <v>7704</v>
      </c>
      <c r="J1314" t="s">
        <v>26</v>
      </c>
      <c r="K1314" t="s">
        <v>26</v>
      </c>
      <c r="L1314" t="s">
        <v>7705</v>
      </c>
      <c r="M1314" t="s">
        <v>25</v>
      </c>
      <c r="N1314" t="s">
        <v>3323</v>
      </c>
      <c r="O1314" t="s">
        <v>3324</v>
      </c>
      <c r="P1314" t="s">
        <v>3282</v>
      </c>
      <c r="Q1314" t="s">
        <v>3283</v>
      </c>
      <c r="R1314">
        <v>231336</v>
      </c>
      <c r="S1314">
        <v>0</v>
      </c>
      <c r="T1314">
        <v>231336</v>
      </c>
      <c r="U1314" t="s">
        <v>35</v>
      </c>
      <c r="V1314" t="s">
        <v>3325</v>
      </c>
      <c r="W1314" t="s">
        <v>2241</v>
      </c>
      <c r="X1314" s="4">
        <v>1</v>
      </c>
      <c r="Y1314" s="4"/>
      <c r="Z1314">
        <f t="shared" si="80"/>
        <v>8</v>
      </c>
      <c r="AA1314">
        <f t="shared" si="81"/>
        <v>15</v>
      </c>
      <c r="AB1314" s="5">
        <f t="shared" si="82"/>
        <v>0.87578703703911742</v>
      </c>
      <c r="AC1314" s="3">
        <f t="shared" si="83"/>
        <v>7.8310185184818693E-2</v>
      </c>
      <c r="AD1314" t="str" cm="1">
        <f t="array" ref="AD1314">IFERROR(_xlfn.IFS(
    AC1314="", "",
    AC1314*86400 &lt; 30, "1. 0s - &lt;30s",
    AC1314*86400 &lt; 60, "2. 30s - &lt;1m",
    AC1314*86400 &lt; 300, "3. 1m - &lt;5m",
    AC1314*86400 &lt; 1800, "4. 5m - &lt;30m",
    TRUE, "5. &gt;= 30m"
),"6. Invalid (Order rejected)")</f>
        <v>5. &gt;= 30m</v>
      </c>
    </row>
    <row r="1315" spans="1:30" x14ac:dyDescent="0.3">
      <c r="A1315" t="s">
        <v>7706</v>
      </c>
      <c r="B1315" t="s">
        <v>3229</v>
      </c>
      <c r="C1315">
        <v>13373294</v>
      </c>
      <c r="D1315">
        <v>4832498</v>
      </c>
      <c r="E1315" t="s">
        <v>25</v>
      </c>
      <c r="F1315" t="s">
        <v>75</v>
      </c>
      <c r="G1315" t="s">
        <v>360</v>
      </c>
      <c r="H1315" t="s">
        <v>7707</v>
      </c>
      <c r="I1315" t="s">
        <v>7708</v>
      </c>
      <c r="J1315" t="s">
        <v>7709</v>
      </c>
      <c r="K1315" t="s">
        <v>7710</v>
      </c>
      <c r="L1315" t="s">
        <v>25</v>
      </c>
      <c r="M1315" t="s">
        <v>25</v>
      </c>
      <c r="N1315" t="s">
        <v>7711</v>
      </c>
      <c r="O1315" t="s">
        <v>7712</v>
      </c>
      <c r="P1315" t="s">
        <v>7713</v>
      </c>
      <c r="Q1315" t="s">
        <v>7714</v>
      </c>
      <c r="R1315">
        <v>308880</v>
      </c>
      <c r="S1315">
        <v>239453</v>
      </c>
      <c r="T1315">
        <v>69427</v>
      </c>
      <c r="U1315" t="s">
        <v>35</v>
      </c>
      <c r="V1315" t="s">
        <v>7715</v>
      </c>
      <c r="W1315" t="s">
        <v>7716</v>
      </c>
      <c r="X1315" s="4">
        <v>1</v>
      </c>
      <c r="Y1315" s="4"/>
      <c r="Z1315">
        <f t="shared" si="80"/>
        <v>8</v>
      </c>
      <c r="AA1315">
        <f t="shared" si="81"/>
        <v>16</v>
      </c>
      <c r="AB1315" s="5">
        <f t="shared" si="82"/>
        <v>0.33878472222568234</v>
      </c>
      <c r="AC1315" s="3" t="str">
        <f t="shared" si="83"/>
        <v>Order rejected, no time available</v>
      </c>
      <c r="AD1315" t="str" cm="1">
        <f t="array" ref="AD1315">IFERROR(_xlfn.IFS(
    AC1315="", "",
    AC1315*86400 &lt; 30, "1. 0s - &lt;30s",
    AC1315*86400 &lt; 60, "2. 30s - &lt;1m",
    AC1315*86400 &lt; 300, "3. 1m - &lt;5m",
    AC1315*86400 &lt; 1800, "4. 5m - &lt;30m",
    TRUE, "5. &gt;= 30m"
),"6. Invalid (Order rejected)")</f>
        <v>6. Invalid (Order rejected)</v>
      </c>
    </row>
    <row r="1316" spans="1:30" hidden="1" x14ac:dyDescent="0.3">
      <c r="A1316" t="s">
        <v>7717</v>
      </c>
      <c r="B1316" t="s">
        <v>3229</v>
      </c>
      <c r="C1316">
        <v>13373294</v>
      </c>
      <c r="D1316">
        <v>0</v>
      </c>
      <c r="E1316" t="s">
        <v>25</v>
      </c>
      <c r="F1316" t="s">
        <v>26</v>
      </c>
      <c r="G1316" t="s">
        <v>27</v>
      </c>
      <c r="H1316" t="s">
        <v>7718</v>
      </c>
      <c r="I1316" t="s">
        <v>7719</v>
      </c>
      <c r="J1316" t="s">
        <v>26</v>
      </c>
      <c r="K1316" t="s">
        <v>26</v>
      </c>
      <c r="L1316" t="s">
        <v>3355</v>
      </c>
      <c r="M1316" t="s">
        <v>25</v>
      </c>
      <c r="N1316" t="s">
        <v>7720</v>
      </c>
      <c r="O1316" t="s">
        <v>7721</v>
      </c>
      <c r="P1316" t="s">
        <v>7722</v>
      </c>
      <c r="Q1316" t="s">
        <v>7723</v>
      </c>
      <c r="R1316">
        <v>279288</v>
      </c>
      <c r="S1316">
        <v>0</v>
      </c>
      <c r="T1316">
        <v>279288</v>
      </c>
      <c r="U1316" t="s">
        <v>35</v>
      </c>
      <c r="V1316" t="s">
        <v>7724</v>
      </c>
      <c r="W1316" t="s">
        <v>7725</v>
      </c>
      <c r="X1316" s="4">
        <v>1</v>
      </c>
      <c r="Y1316" s="4"/>
      <c r="Z1316">
        <f t="shared" si="80"/>
        <v>8</v>
      </c>
      <c r="AA1316">
        <f t="shared" si="81"/>
        <v>16</v>
      </c>
      <c r="AB1316" s="5">
        <f t="shared" si="82"/>
        <v>0.35289351851679385</v>
      </c>
      <c r="AC1316" s="3">
        <f t="shared" si="83"/>
        <v>9.0162037042318843E-2</v>
      </c>
      <c r="AD1316" t="str" cm="1">
        <f t="array" ref="AD1316">IFERROR(_xlfn.IFS(
    AC1316="", "",
    AC1316*86400 &lt; 30, "1. 0s - &lt;30s",
    AC1316*86400 &lt; 60, "2. 30s - &lt;1m",
    AC1316*86400 &lt; 300, "3. 1m - &lt;5m",
    AC1316*86400 &lt; 1800, "4. 5m - &lt;30m",
    TRUE, "5. &gt;= 30m"
),"6. Invalid (Order rejected)")</f>
        <v>5. &gt;= 30m</v>
      </c>
    </row>
    <row r="1317" spans="1:30" hidden="1" x14ac:dyDescent="0.3">
      <c r="A1317" t="s">
        <v>7726</v>
      </c>
      <c r="B1317" t="s">
        <v>3229</v>
      </c>
      <c r="C1317">
        <v>13373294</v>
      </c>
      <c r="D1317">
        <v>0</v>
      </c>
      <c r="E1317" t="s">
        <v>25</v>
      </c>
      <c r="F1317" t="s">
        <v>26</v>
      </c>
      <c r="G1317" t="s">
        <v>27</v>
      </c>
      <c r="H1317" t="s">
        <v>7727</v>
      </c>
      <c r="I1317" t="s">
        <v>7728</v>
      </c>
      <c r="J1317" t="s">
        <v>26</v>
      </c>
      <c r="K1317" t="s">
        <v>26</v>
      </c>
      <c r="L1317" t="s">
        <v>7729</v>
      </c>
      <c r="M1317" t="s">
        <v>25</v>
      </c>
      <c r="N1317" t="s">
        <v>7730</v>
      </c>
      <c r="O1317" t="s">
        <v>7731</v>
      </c>
      <c r="P1317" t="s">
        <v>3358</v>
      </c>
      <c r="Q1317" t="s">
        <v>3359</v>
      </c>
      <c r="R1317">
        <v>350352</v>
      </c>
      <c r="S1317">
        <v>0</v>
      </c>
      <c r="T1317">
        <v>350352</v>
      </c>
      <c r="U1317" t="s">
        <v>35</v>
      </c>
      <c r="V1317" t="s">
        <v>7732</v>
      </c>
      <c r="W1317" t="s">
        <v>3361</v>
      </c>
      <c r="X1317" s="4">
        <v>1</v>
      </c>
      <c r="Y1317" s="4"/>
      <c r="Z1317">
        <f t="shared" si="80"/>
        <v>8</v>
      </c>
      <c r="AA1317">
        <f t="shared" si="81"/>
        <v>16</v>
      </c>
      <c r="AB1317" s="5">
        <f t="shared" si="82"/>
        <v>0.39545138888934162</v>
      </c>
      <c r="AC1317" s="3">
        <f t="shared" si="83"/>
        <v>9.68240740741021</v>
      </c>
      <c r="AD1317" t="str" cm="1">
        <f t="array" ref="AD1317">IFERROR(_xlfn.IFS(
    AC1317="", "",
    AC1317*86400 &lt; 30, "1. 0s - &lt;30s",
    AC1317*86400 &lt; 60, "2. 30s - &lt;1m",
    AC1317*86400 &lt; 300, "3. 1m - &lt;5m",
    AC1317*86400 &lt; 1800, "4. 5m - &lt;30m",
    TRUE, "5. &gt;= 30m"
),"6. Invalid (Order rejected)")</f>
        <v>5. &gt;= 30m</v>
      </c>
    </row>
    <row r="1318" spans="1:30" x14ac:dyDescent="0.3">
      <c r="A1318" t="s">
        <v>7733</v>
      </c>
      <c r="B1318" t="s">
        <v>3229</v>
      </c>
      <c r="C1318">
        <v>13373294</v>
      </c>
      <c r="D1318">
        <v>4518343</v>
      </c>
      <c r="E1318" t="s">
        <v>25</v>
      </c>
      <c r="F1318" t="s">
        <v>75</v>
      </c>
      <c r="G1318" t="s">
        <v>360</v>
      </c>
      <c r="H1318" t="s">
        <v>7734</v>
      </c>
      <c r="I1318" t="s">
        <v>7735</v>
      </c>
      <c r="J1318" t="s">
        <v>7736</v>
      </c>
      <c r="K1318" t="s">
        <v>26</v>
      </c>
      <c r="L1318" t="s">
        <v>25</v>
      </c>
      <c r="M1318" t="s">
        <v>25</v>
      </c>
      <c r="N1318" t="s">
        <v>7737</v>
      </c>
      <c r="O1318" t="s">
        <v>7738</v>
      </c>
      <c r="P1318" t="s">
        <v>3235</v>
      </c>
      <c r="Q1318" t="s">
        <v>3236</v>
      </c>
      <c r="R1318">
        <v>119016</v>
      </c>
      <c r="S1318">
        <v>92265</v>
      </c>
      <c r="T1318">
        <v>26751</v>
      </c>
      <c r="U1318" t="s">
        <v>35</v>
      </c>
      <c r="V1318" t="s">
        <v>7739</v>
      </c>
      <c r="W1318" t="s">
        <v>3238</v>
      </c>
      <c r="X1318" s="4">
        <v>1</v>
      </c>
      <c r="Y1318" s="4"/>
      <c r="Z1318">
        <f t="shared" si="80"/>
        <v>8</v>
      </c>
      <c r="AA1318">
        <f t="shared" si="81"/>
        <v>16</v>
      </c>
      <c r="AB1318" s="5">
        <f t="shared" si="82"/>
        <v>0.46343750000232831</v>
      </c>
      <c r="AC1318" s="3" t="str">
        <f t="shared" si="83"/>
        <v>Order rejected, no time available</v>
      </c>
      <c r="AD1318" t="str" cm="1">
        <f t="array" ref="AD1318">IFERROR(_xlfn.IFS(
    AC1318="", "",
    AC1318*86400 &lt; 30, "1. 0s - &lt;30s",
    AC1318*86400 &lt; 60, "2. 30s - &lt;1m",
    AC1318*86400 &lt; 300, "3. 1m - &lt;5m",
    AC1318*86400 &lt; 1800, "4. 5m - &lt;30m",
    TRUE, "5. &gt;= 30m"
),"6. Invalid (Order rejected)")</f>
        <v>6. Invalid (Order rejected)</v>
      </c>
    </row>
    <row r="1319" spans="1:30" hidden="1" x14ac:dyDescent="0.3">
      <c r="A1319" t="s">
        <v>7740</v>
      </c>
      <c r="B1319" t="s">
        <v>3229</v>
      </c>
      <c r="C1319">
        <v>13373294</v>
      </c>
      <c r="D1319">
        <v>0</v>
      </c>
      <c r="E1319" t="s">
        <v>25</v>
      </c>
      <c r="F1319" t="s">
        <v>26</v>
      </c>
      <c r="G1319" t="s">
        <v>27</v>
      </c>
      <c r="H1319" t="s">
        <v>7741</v>
      </c>
      <c r="I1319" t="s">
        <v>7742</v>
      </c>
      <c r="J1319" t="s">
        <v>26</v>
      </c>
      <c r="K1319" t="s">
        <v>26</v>
      </c>
      <c r="L1319" t="s">
        <v>7743</v>
      </c>
      <c r="M1319" t="s">
        <v>25</v>
      </c>
      <c r="N1319" t="s">
        <v>3419</v>
      </c>
      <c r="O1319" t="s">
        <v>3420</v>
      </c>
      <c r="P1319" t="s">
        <v>7744</v>
      </c>
      <c r="Q1319" t="s">
        <v>7745</v>
      </c>
      <c r="R1319">
        <v>189000</v>
      </c>
      <c r="S1319">
        <v>0</v>
      </c>
      <c r="T1319">
        <v>189000</v>
      </c>
      <c r="U1319" t="s">
        <v>35</v>
      </c>
      <c r="V1319" t="s">
        <v>3391</v>
      </c>
      <c r="W1319" t="s">
        <v>7746</v>
      </c>
      <c r="X1319" s="4">
        <v>1</v>
      </c>
      <c r="Y1319" s="4"/>
      <c r="Z1319">
        <f t="shared" si="80"/>
        <v>8</v>
      </c>
      <c r="AA1319">
        <f t="shared" si="81"/>
        <v>16</v>
      </c>
      <c r="AB1319" s="5">
        <f t="shared" si="82"/>
        <v>0.46960648147796746</v>
      </c>
      <c r="AC1319" s="3">
        <f t="shared" si="83"/>
        <v>0.22821759259386454</v>
      </c>
      <c r="AD1319" t="str" cm="1">
        <f t="array" ref="AD1319">IFERROR(_xlfn.IFS(
    AC1319="", "",
    AC1319*86400 &lt; 30, "1. 0s - &lt;30s",
    AC1319*86400 &lt; 60, "2. 30s - &lt;1m",
    AC1319*86400 &lt; 300, "3. 1m - &lt;5m",
    AC1319*86400 &lt; 1800, "4. 5m - &lt;30m",
    TRUE, "5. &gt;= 30m"
),"6. Invalid (Order rejected)")</f>
        <v>5. &gt;= 30m</v>
      </c>
    </row>
    <row r="1320" spans="1:30" hidden="1" x14ac:dyDescent="0.3">
      <c r="A1320" t="s">
        <v>7747</v>
      </c>
      <c r="B1320" t="s">
        <v>3229</v>
      </c>
      <c r="C1320">
        <v>13373294</v>
      </c>
      <c r="D1320">
        <v>0</v>
      </c>
      <c r="E1320" t="s">
        <v>25</v>
      </c>
      <c r="F1320" t="s">
        <v>26</v>
      </c>
      <c r="G1320" t="s">
        <v>27</v>
      </c>
      <c r="H1320" t="s">
        <v>7748</v>
      </c>
      <c r="I1320" t="s">
        <v>7749</v>
      </c>
      <c r="J1320" t="s">
        <v>26</v>
      </c>
      <c r="K1320" t="s">
        <v>26</v>
      </c>
      <c r="L1320" t="s">
        <v>7750</v>
      </c>
      <c r="M1320" t="s">
        <v>25</v>
      </c>
      <c r="N1320" t="s">
        <v>3419</v>
      </c>
      <c r="O1320" t="s">
        <v>3420</v>
      </c>
      <c r="P1320" t="s">
        <v>7751</v>
      </c>
      <c r="Q1320" t="s">
        <v>7752</v>
      </c>
      <c r="R1320">
        <v>184140</v>
      </c>
      <c r="S1320">
        <v>0</v>
      </c>
      <c r="T1320">
        <v>184140</v>
      </c>
      <c r="U1320" t="s">
        <v>35</v>
      </c>
      <c r="V1320" t="s">
        <v>3391</v>
      </c>
      <c r="W1320" t="s">
        <v>7753</v>
      </c>
      <c r="X1320" s="4">
        <v>1</v>
      </c>
      <c r="Y1320" s="4"/>
      <c r="Z1320">
        <f t="shared" si="80"/>
        <v>8</v>
      </c>
      <c r="AA1320">
        <f t="shared" si="81"/>
        <v>16</v>
      </c>
      <c r="AB1320" s="5">
        <f t="shared" si="82"/>
        <v>0.471296296294895</v>
      </c>
      <c r="AC1320" s="3">
        <f t="shared" si="83"/>
        <v>0.224120370374294</v>
      </c>
      <c r="AD1320" t="str" cm="1">
        <f t="array" ref="AD1320">IFERROR(_xlfn.IFS(
    AC1320="", "",
    AC1320*86400 &lt; 30, "1. 0s - &lt;30s",
    AC1320*86400 &lt; 60, "2. 30s - &lt;1m",
    AC1320*86400 &lt; 300, "3. 1m - &lt;5m",
    AC1320*86400 &lt; 1800, "4. 5m - &lt;30m",
    TRUE, "5. &gt;= 30m"
),"6. Invalid (Order rejected)")</f>
        <v>5. &gt;= 30m</v>
      </c>
    </row>
    <row r="1321" spans="1:30" x14ac:dyDescent="0.3">
      <c r="A1321" t="s">
        <v>7754</v>
      </c>
      <c r="B1321" t="s">
        <v>3229</v>
      </c>
      <c r="C1321">
        <v>13373294</v>
      </c>
      <c r="D1321">
        <v>2581558</v>
      </c>
      <c r="E1321" t="s">
        <v>7755</v>
      </c>
      <c r="F1321" t="s">
        <v>75</v>
      </c>
      <c r="G1321" t="s">
        <v>360</v>
      </c>
      <c r="H1321" t="s">
        <v>7756</v>
      </c>
      <c r="I1321" t="s">
        <v>7757</v>
      </c>
      <c r="J1321" t="s">
        <v>7758</v>
      </c>
      <c r="K1321" t="s">
        <v>26</v>
      </c>
      <c r="L1321" t="s">
        <v>25</v>
      </c>
      <c r="M1321" t="s">
        <v>25</v>
      </c>
      <c r="N1321" t="s">
        <v>3419</v>
      </c>
      <c r="O1321" t="s">
        <v>3420</v>
      </c>
      <c r="P1321" t="s">
        <v>7759</v>
      </c>
      <c r="Q1321" t="s">
        <v>7760</v>
      </c>
      <c r="R1321">
        <v>172152</v>
      </c>
      <c r="S1321">
        <v>133458</v>
      </c>
      <c r="T1321">
        <v>38694</v>
      </c>
      <c r="U1321" t="s">
        <v>35</v>
      </c>
      <c r="V1321" t="s">
        <v>3391</v>
      </c>
      <c r="W1321" t="s">
        <v>7761</v>
      </c>
      <c r="X1321" s="4">
        <v>1</v>
      </c>
      <c r="Y1321" s="4"/>
      <c r="Z1321">
        <f t="shared" si="80"/>
        <v>8</v>
      </c>
      <c r="AA1321">
        <f t="shared" si="81"/>
        <v>16</v>
      </c>
      <c r="AB1321" s="5">
        <f t="shared" si="82"/>
        <v>0.47190972221869742</v>
      </c>
      <c r="AC1321" s="3" t="str">
        <f t="shared" si="83"/>
        <v>Order rejected, no time available</v>
      </c>
      <c r="AD1321" t="str" cm="1">
        <f t="array" ref="AD1321">IFERROR(_xlfn.IFS(
    AC1321="", "",
    AC1321*86400 &lt; 30, "1. 0s - &lt;30s",
    AC1321*86400 &lt; 60, "2. 30s - &lt;1m",
    AC1321*86400 &lt; 300, "3. 1m - &lt;5m",
    AC1321*86400 &lt; 1800, "4. 5m - &lt;30m",
    TRUE, "5. &gt;= 30m"
),"6. Invalid (Order rejected)")</f>
        <v>6. Invalid (Order rejected)</v>
      </c>
    </row>
    <row r="1322" spans="1:30" hidden="1" x14ac:dyDescent="0.3">
      <c r="A1322" t="s">
        <v>7762</v>
      </c>
      <c r="B1322" t="s">
        <v>3229</v>
      </c>
      <c r="C1322">
        <v>13373294</v>
      </c>
      <c r="D1322">
        <v>0</v>
      </c>
      <c r="E1322" t="s">
        <v>25</v>
      </c>
      <c r="F1322" t="s">
        <v>26</v>
      </c>
      <c r="G1322" t="s">
        <v>27</v>
      </c>
      <c r="H1322" t="s">
        <v>7763</v>
      </c>
      <c r="I1322" t="s">
        <v>7764</v>
      </c>
      <c r="J1322" t="s">
        <v>26</v>
      </c>
      <c r="K1322" t="s">
        <v>26</v>
      </c>
      <c r="L1322" t="s">
        <v>7765</v>
      </c>
      <c r="M1322" t="s">
        <v>25</v>
      </c>
      <c r="N1322" t="s">
        <v>3419</v>
      </c>
      <c r="O1322" t="s">
        <v>3420</v>
      </c>
      <c r="P1322" t="s">
        <v>7766</v>
      </c>
      <c r="Q1322" t="s">
        <v>7767</v>
      </c>
      <c r="R1322">
        <v>155952</v>
      </c>
      <c r="S1322">
        <v>0</v>
      </c>
      <c r="T1322">
        <v>155952</v>
      </c>
      <c r="U1322" t="s">
        <v>35</v>
      </c>
      <c r="V1322" t="s">
        <v>3391</v>
      </c>
      <c r="W1322" t="s">
        <v>7768</v>
      </c>
      <c r="X1322" s="4">
        <v>1</v>
      </c>
      <c r="Y1322" s="4"/>
      <c r="Z1322">
        <f t="shared" si="80"/>
        <v>8</v>
      </c>
      <c r="AA1322">
        <f t="shared" si="81"/>
        <v>16</v>
      </c>
      <c r="AB1322" s="5">
        <f t="shared" si="82"/>
        <v>0.48696759259473765</v>
      </c>
      <c r="AC1322" s="3">
        <f t="shared" si="83"/>
        <v>9.0115740735200234E-2</v>
      </c>
      <c r="AD1322" t="str" cm="1">
        <f t="array" ref="AD1322">IFERROR(_xlfn.IFS(
    AC1322="", "",
    AC1322*86400 &lt; 30, "1. 0s - &lt;30s",
    AC1322*86400 &lt; 60, "2. 30s - &lt;1m",
    AC1322*86400 &lt; 300, "3. 1m - &lt;5m",
    AC1322*86400 &lt; 1800, "4. 5m - &lt;30m",
    TRUE, "5. &gt;= 30m"
),"6. Invalid (Order rejected)")</f>
        <v>5. &gt;= 30m</v>
      </c>
    </row>
    <row r="1323" spans="1:30" hidden="1" x14ac:dyDescent="0.3">
      <c r="A1323" t="s">
        <v>7769</v>
      </c>
      <c r="B1323" t="s">
        <v>3229</v>
      </c>
      <c r="C1323">
        <v>13373294</v>
      </c>
      <c r="D1323">
        <v>0</v>
      </c>
      <c r="E1323" t="s">
        <v>25</v>
      </c>
      <c r="F1323" t="s">
        <v>26</v>
      </c>
      <c r="G1323" t="s">
        <v>27</v>
      </c>
      <c r="H1323" t="s">
        <v>7770</v>
      </c>
      <c r="I1323" t="s">
        <v>7771</v>
      </c>
      <c r="J1323" t="s">
        <v>26</v>
      </c>
      <c r="K1323" t="s">
        <v>26</v>
      </c>
      <c r="L1323" t="s">
        <v>7772</v>
      </c>
      <c r="M1323" t="s">
        <v>25</v>
      </c>
      <c r="N1323" t="s">
        <v>7773</v>
      </c>
      <c r="O1323" t="s">
        <v>7774</v>
      </c>
      <c r="P1323" t="s">
        <v>7775</v>
      </c>
      <c r="Q1323" t="s">
        <v>7776</v>
      </c>
      <c r="R1323">
        <v>235764</v>
      </c>
      <c r="S1323">
        <v>0</v>
      </c>
      <c r="T1323">
        <v>235764</v>
      </c>
      <c r="U1323" t="s">
        <v>35</v>
      </c>
      <c r="V1323" t="s">
        <v>7777</v>
      </c>
      <c r="W1323" t="s">
        <v>7778</v>
      </c>
      <c r="X1323" s="4">
        <v>1</v>
      </c>
      <c r="Y1323" s="4"/>
      <c r="Z1323">
        <f t="shared" si="80"/>
        <v>8</v>
      </c>
      <c r="AA1323">
        <f t="shared" si="81"/>
        <v>16</v>
      </c>
      <c r="AB1323" s="5">
        <f t="shared" si="82"/>
        <v>0.57871527777751908</v>
      </c>
      <c r="AC1323" s="3">
        <f t="shared" si="83"/>
        <v>0.30457175926130731</v>
      </c>
      <c r="AD1323" t="str" cm="1">
        <f t="array" ref="AD1323">IFERROR(_xlfn.IFS(
    AC1323="", "",
    AC1323*86400 &lt; 30, "1. 0s - &lt;30s",
    AC1323*86400 &lt; 60, "2. 30s - &lt;1m",
    AC1323*86400 &lt; 300, "3. 1m - &lt;5m",
    AC1323*86400 &lt; 1800, "4. 5m - &lt;30m",
    TRUE, "5. &gt;= 30m"
),"6. Invalid (Order rejected)")</f>
        <v>5. &gt;= 30m</v>
      </c>
    </row>
    <row r="1324" spans="1:30" x14ac:dyDescent="0.3">
      <c r="A1324" t="s">
        <v>7779</v>
      </c>
      <c r="B1324" t="s">
        <v>3229</v>
      </c>
      <c r="C1324">
        <v>13373294</v>
      </c>
      <c r="D1324">
        <v>4745301</v>
      </c>
      <c r="E1324" t="s">
        <v>25</v>
      </c>
      <c r="F1324" t="s">
        <v>75</v>
      </c>
      <c r="G1324" t="s">
        <v>360</v>
      </c>
      <c r="H1324" t="s">
        <v>7780</v>
      </c>
      <c r="I1324" t="s">
        <v>7781</v>
      </c>
      <c r="J1324" t="s">
        <v>7782</v>
      </c>
      <c r="K1324" t="s">
        <v>26</v>
      </c>
      <c r="L1324" t="s">
        <v>25</v>
      </c>
      <c r="M1324" t="s">
        <v>25</v>
      </c>
      <c r="N1324" t="s">
        <v>7783</v>
      </c>
      <c r="O1324" t="s">
        <v>7784</v>
      </c>
      <c r="P1324" t="s">
        <v>7785</v>
      </c>
      <c r="Q1324" t="s">
        <v>7786</v>
      </c>
      <c r="R1324">
        <v>146016</v>
      </c>
      <c r="S1324">
        <v>113196</v>
      </c>
      <c r="T1324">
        <v>32820</v>
      </c>
      <c r="U1324" t="s">
        <v>35</v>
      </c>
      <c r="V1324" t="s">
        <v>7787</v>
      </c>
      <c r="W1324" t="s">
        <v>7788</v>
      </c>
      <c r="X1324" s="4">
        <v>1</v>
      </c>
      <c r="Y1324" s="4"/>
      <c r="Z1324">
        <f t="shared" si="80"/>
        <v>8</v>
      </c>
      <c r="AA1324">
        <f t="shared" si="81"/>
        <v>16</v>
      </c>
      <c r="AB1324" s="5">
        <f t="shared" si="82"/>
        <v>0.57774305555358296</v>
      </c>
      <c r="AC1324" s="3" t="str">
        <f t="shared" si="83"/>
        <v>Order rejected, no time available</v>
      </c>
      <c r="AD1324" t="str" cm="1">
        <f t="array" ref="AD1324">IFERROR(_xlfn.IFS(
    AC1324="", "",
    AC1324*86400 &lt; 30, "1. 0s - &lt;30s",
    AC1324*86400 &lt; 60, "2. 30s - &lt;1m",
    AC1324*86400 &lt; 300, "3. 1m - &lt;5m",
    AC1324*86400 &lt; 1800, "4. 5m - &lt;30m",
    TRUE, "5. &gt;= 30m"
),"6. Invalid (Order rejected)")</f>
        <v>6. Invalid (Order rejected)</v>
      </c>
    </row>
    <row r="1325" spans="1:30" hidden="1" x14ac:dyDescent="0.3">
      <c r="A1325" t="s">
        <v>7789</v>
      </c>
      <c r="B1325" t="s">
        <v>3229</v>
      </c>
      <c r="C1325">
        <v>13373294</v>
      </c>
      <c r="D1325">
        <v>0</v>
      </c>
      <c r="E1325" t="s">
        <v>7790</v>
      </c>
      <c r="F1325" t="s">
        <v>26</v>
      </c>
      <c r="G1325" t="s">
        <v>76</v>
      </c>
      <c r="H1325" t="s">
        <v>7791</v>
      </c>
      <c r="I1325" t="s">
        <v>7792</v>
      </c>
      <c r="J1325" t="s">
        <v>26</v>
      </c>
      <c r="K1325" t="s">
        <v>26</v>
      </c>
      <c r="L1325" t="s">
        <v>7793</v>
      </c>
      <c r="M1325" t="s">
        <v>25</v>
      </c>
      <c r="N1325" t="s">
        <v>7794</v>
      </c>
      <c r="O1325" t="s">
        <v>7795</v>
      </c>
      <c r="P1325" t="s">
        <v>7796</v>
      </c>
      <c r="Q1325" t="s">
        <v>7797</v>
      </c>
      <c r="R1325">
        <v>247224</v>
      </c>
      <c r="S1325">
        <v>0</v>
      </c>
      <c r="T1325">
        <v>247224</v>
      </c>
      <c r="U1325" t="s">
        <v>35</v>
      </c>
      <c r="V1325" t="s">
        <v>7798</v>
      </c>
      <c r="W1325" t="s">
        <v>7799</v>
      </c>
      <c r="X1325" s="4">
        <v>1</v>
      </c>
      <c r="Y1325" s="4"/>
      <c r="Z1325">
        <f t="shared" si="80"/>
        <v>8</v>
      </c>
      <c r="AA1325">
        <f t="shared" si="81"/>
        <v>16</v>
      </c>
      <c r="AB1325" s="5">
        <f t="shared" si="82"/>
        <v>0.58424768518307246</v>
      </c>
      <c r="AC1325" s="3">
        <f t="shared" si="83"/>
        <v>1.1215277780138422E-2</v>
      </c>
      <c r="AD1325" t="str" cm="1">
        <f t="array" ref="AD1325">IFERROR(_xlfn.IFS(
    AC1325="", "",
    AC1325*86400 &lt; 30, "1. 0s - &lt;30s",
    AC1325*86400 &lt; 60, "2. 30s - &lt;1m",
    AC1325*86400 &lt; 300, "3. 1m - &lt;5m",
    AC1325*86400 &lt; 1800, "4. 5m - &lt;30m",
    TRUE, "5. &gt;= 30m"
),"6. Invalid (Order rejected)")</f>
        <v>4. 5m - &lt;30m</v>
      </c>
    </row>
    <row r="1326" spans="1:30" hidden="1" x14ac:dyDescent="0.3">
      <c r="A1326" t="s">
        <v>7800</v>
      </c>
      <c r="B1326" t="s">
        <v>3229</v>
      </c>
      <c r="C1326">
        <v>13373294</v>
      </c>
      <c r="D1326">
        <v>0</v>
      </c>
      <c r="E1326" t="s">
        <v>25</v>
      </c>
      <c r="F1326" t="s">
        <v>26</v>
      </c>
      <c r="G1326" t="s">
        <v>27</v>
      </c>
      <c r="H1326" t="s">
        <v>7801</v>
      </c>
      <c r="I1326" t="s">
        <v>7802</v>
      </c>
      <c r="J1326" t="s">
        <v>26</v>
      </c>
      <c r="K1326" t="s">
        <v>26</v>
      </c>
      <c r="L1326" t="s">
        <v>7803</v>
      </c>
      <c r="M1326" t="s">
        <v>25</v>
      </c>
      <c r="N1326" t="s">
        <v>7804</v>
      </c>
      <c r="O1326" t="s">
        <v>7805</v>
      </c>
      <c r="P1326" t="s">
        <v>7806</v>
      </c>
      <c r="Q1326" t="s">
        <v>7807</v>
      </c>
      <c r="R1326">
        <v>350352</v>
      </c>
      <c r="S1326">
        <v>0</v>
      </c>
      <c r="T1326">
        <v>350352</v>
      </c>
      <c r="U1326" t="s">
        <v>35</v>
      </c>
      <c r="V1326" t="s">
        <v>7808</v>
      </c>
      <c r="W1326" t="s">
        <v>7809</v>
      </c>
      <c r="X1326" s="4">
        <v>1</v>
      </c>
      <c r="Y1326" s="4"/>
      <c r="Z1326">
        <f t="shared" si="80"/>
        <v>8</v>
      </c>
      <c r="AA1326">
        <f t="shared" si="81"/>
        <v>16</v>
      </c>
      <c r="AB1326" s="5">
        <f t="shared" si="82"/>
        <v>0.66570601851708489</v>
      </c>
      <c r="AC1326" s="3">
        <f t="shared" si="83"/>
        <v>0.15721064814715646</v>
      </c>
      <c r="AD1326" t="str" cm="1">
        <f t="array" ref="AD1326">IFERROR(_xlfn.IFS(
    AC1326="", "",
    AC1326*86400 &lt; 30, "1. 0s - &lt;30s",
    AC1326*86400 &lt; 60, "2. 30s - &lt;1m",
    AC1326*86400 &lt; 300, "3. 1m - &lt;5m",
    AC1326*86400 &lt; 1800, "4. 5m - &lt;30m",
    TRUE, "5. &gt;= 30m"
),"6. Invalid (Order rejected)")</f>
        <v>5. &gt;= 30m</v>
      </c>
    </row>
    <row r="1327" spans="1:30" hidden="1" x14ac:dyDescent="0.3">
      <c r="A1327" t="s">
        <v>7810</v>
      </c>
      <c r="B1327" t="s">
        <v>3229</v>
      </c>
      <c r="C1327">
        <v>13373294</v>
      </c>
      <c r="D1327">
        <v>3944441</v>
      </c>
      <c r="E1327" t="s">
        <v>25</v>
      </c>
      <c r="F1327" t="s">
        <v>3482</v>
      </c>
      <c r="G1327" t="s">
        <v>76</v>
      </c>
      <c r="H1327" t="s">
        <v>7811</v>
      </c>
      <c r="I1327" t="s">
        <v>7812</v>
      </c>
      <c r="J1327" t="s">
        <v>7813</v>
      </c>
      <c r="K1327" t="s">
        <v>26</v>
      </c>
      <c r="L1327" t="s">
        <v>7814</v>
      </c>
      <c r="M1327" t="s">
        <v>25</v>
      </c>
      <c r="N1327" t="s">
        <v>7815</v>
      </c>
      <c r="O1327" t="s">
        <v>7816</v>
      </c>
      <c r="P1327" t="s">
        <v>3447</v>
      </c>
      <c r="Q1327" t="s">
        <v>3448</v>
      </c>
      <c r="R1327">
        <v>482868</v>
      </c>
      <c r="S1327">
        <v>374334</v>
      </c>
      <c r="T1327">
        <v>108534</v>
      </c>
      <c r="U1327" t="s">
        <v>35</v>
      </c>
      <c r="V1327" t="s">
        <v>7817</v>
      </c>
      <c r="W1327" t="s">
        <v>3450</v>
      </c>
      <c r="X1327" s="4">
        <v>1</v>
      </c>
      <c r="Y1327" s="4"/>
      <c r="Z1327">
        <f t="shared" si="80"/>
        <v>8</v>
      </c>
      <c r="AA1327">
        <f t="shared" si="81"/>
        <v>16</v>
      </c>
      <c r="AB1327" s="5">
        <f t="shared" si="82"/>
        <v>0.66944444444379769</v>
      </c>
      <c r="AC1327" s="3">
        <f t="shared" si="83"/>
        <v>1.4583333322661929E-3</v>
      </c>
      <c r="AD1327" t="str" cm="1">
        <f t="array" ref="AD1327">IFERROR(_xlfn.IFS(
    AC1327="", "",
    AC1327*86400 &lt; 30, "1. 0s - &lt;30s",
    AC1327*86400 &lt; 60, "2. 30s - &lt;1m",
    AC1327*86400 &lt; 300, "3. 1m - &lt;5m",
    AC1327*86400 &lt; 1800, "4. 5m - &lt;30m",
    TRUE, "5. &gt;= 30m"
),"6. Invalid (Order rejected)")</f>
        <v>3. 1m - &lt;5m</v>
      </c>
    </row>
    <row r="1328" spans="1:30" hidden="1" x14ac:dyDescent="0.3">
      <c r="A1328" t="s">
        <v>7818</v>
      </c>
      <c r="B1328" t="s">
        <v>3229</v>
      </c>
      <c r="C1328">
        <v>13373294</v>
      </c>
      <c r="D1328">
        <v>0</v>
      </c>
      <c r="E1328" t="s">
        <v>25</v>
      </c>
      <c r="F1328" t="s">
        <v>26</v>
      </c>
      <c r="G1328" t="s">
        <v>27</v>
      </c>
      <c r="H1328" t="s">
        <v>7819</v>
      </c>
      <c r="I1328" t="s">
        <v>7820</v>
      </c>
      <c r="J1328" t="s">
        <v>26</v>
      </c>
      <c r="K1328" t="s">
        <v>26</v>
      </c>
      <c r="L1328" t="s">
        <v>7821</v>
      </c>
      <c r="M1328" t="s">
        <v>25</v>
      </c>
      <c r="N1328" t="s">
        <v>7822</v>
      </c>
      <c r="O1328" t="s">
        <v>7823</v>
      </c>
      <c r="P1328" t="s">
        <v>3468</v>
      </c>
      <c r="Q1328" t="s">
        <v>3469</v>
      </c>
      <c r="R1328">
        <v>217728</v>
      </c>
      <c r="S1328">
        <v>0</v>
      </c>
      <c r="T1328">
        <v>217728</v>
      </c>
      <c r="U1328" t="s">
        <v>35</v>
      </c>
      <c r="V1328" t="s">
        <v>7824</v>
      </c>
      <c r="W1328" t="s">
        <v>3471</v>
      </c>
      <c r="X1328" s="4">
        <v>1</v>
      </c>
      <c r="Y1328" s="4"/>
      <c r="Z1328">
        <f t="shared" si="80"/>
        <v>8</v>
      </c>
      <c r="AA1328">
        <f t="shared" si="81"/>
        <v>16</v>
      </c>
      <c r="AB1328" s="5">
        <f t="shared" si="82"/>
        <v>0.85972222222335404</v>
      </c>
      <c r="AC1328" s="3">
        <f t="shared" si="83"/>
        <v>0.11943287037138361</v>
      </c>
      <c r="AD1328" t="str" cm="1">
        <f t="array" ref="AD1328">IFERROR(_xlfn.IFS(
    AC1328="", "",
    AC1328*86400 &lt; 30, "1. 0s - &lt;30s",
    AC1328*86400 &lt; 60, "2. 30s - &lt;1m",
    AC1328*86400 &lt; 300, "3. 1m - &lt;5m",
    AC1328*86400 &lt; 1800, "4. 5m - &lt;30m",
    TRUE, "5. &gt;= 30m"
),"6. Invalid (Order rejected)")</f>
        <v>5. &gt;= 30m</v>
      </c>
    </row>
    <row r="1329" spans="1:30" x14ac:dyDescent="0.3">
      <c r="A1329" t="s">
        <v>7825</v>
      </c>
      <c r="B1329" t="s">
        <v>3229</v>
      </c>
      <c r="C1329">
        <v>13373294</v>
      </c>
      <c r="D1329">
        <v>3117747</v>
      </c>
      <c r="E1329" t="s">
        <v>7826</v>
      </c>
      <c r="F1329" t="s">
        <v>75</v>
      </c>
      <c r="G1329" t="s">
        <v>360</v>
      </c>
      <c r="H1329" t="s">
        <v>7827</v>
      </c>
      <c r="I1329" t="s">
        <v>7828</v>
      </c>
      <c r="J1329" t="s">
        <v>7829</v>
      </c>
      <c r="K1329" t="s">
        <v>7830</v>
      </c>
      <c r="L1329" t="s">
        <v>25</v>
      </c>
      <c r="M1329" t="s">
        <v>25</v>
      </c>
      <c r="N1329" t="s">
        <v>7831</v>
      </c>
      <c r="O1329" t="s">
        <v>7832</v>
      </c>
      <c r="P1329" t="s">
        <v>7833</v>
      </c>
      <c r="Q1329" t="s">
        <v>7834</v>
      </c>
      <c r="R1329">
        <v>45900</v>
      </c>
      <c r="S1329">
        <v>35583</v>
      </c>
      <c r="T1329">
        <v>10317</v>
      </c>
      <c r="U1329" t="s">
        <v>35</v>
      </c>
      <c r="V1329" t="s">
        <v>7835</v>
      </c>
      <c r="W1329" t="s">
        <v>7836</v>
      </c>
      <c r="X1329" s="4">
        <v>1</v>
      </c>
      <c r="Y1329" s="4"/>
      <c r="Z1329">
        <f t="shared" si="80"/>
        <v>8</v>
      </c>
      <c r="AA1329">
        <f t="shared" si="81"/>
        <v>16</v>
      </c>
      <c r="AB1329" s="5">
        <f t="shared" si="82"/>
        <v>0.86628472222218988</v>
      </c>
      <c r="AC1329" s="3" t="str">
        <f t="shared" si="83"/>
        <v>Order rejected, no time available</v>
      </c>
      <c r="AD1329" t="str" cm="1">
        <f t="array" ref="AD1329">IFERROR(_xlfn.IFS(
    AC1329="", "",
    AC1329*86400 &lt; 30, "1. 0s - &lt;30s",
    AC1329*86400 &lt; 60, "2. 30s - &lt;1m",
    AC1329*86400 &lt; 300, "3. 1m - &lt;5m",
    AC1329*86400 &lt; 1800, "4. 5m - &lt;30m",
    TRUE, "5. &gt;= 30m"
),"6. Invalid (Order rejected)")</f>
        <v>6. Invalid (Order rejected)</v>
      </c>
    </row>
    <row r="1330" spans="1:30" hidden="1" x14ac:dyDescent="0.3">
      <c r="A1330" t="s">
        <v>7837</v>
      </c>
      <c r="B1330" t="s">
        <v>3229</v>
      </c>
      <c r="C1330">
        <v>13373294</v>
      </c>
      <c r="D1330">
        <v>0</v>
      </c>
      <c r="E1330" t="s">
        <v>25</v>
      </c>
      <c r="F1330" t="s">
        <v>26</v>
      </c>
      <c r="G1330" t="s">
        <v>27</v>
      </c>
      <c r="H1330" t="s">
        <v>7838</v>
      </c>
      <c r="I1330" t="s">
        <v>7839</v>
      </c>
      <c r="J1330" t="s">
        <v>26</v>
      </c>
      <c r="K1330" t="s">
        <v>26</v>
      </c>
      <c r="L1330" t="s">
        <v>7840</v>
      </c>
      <c r="M1330" t="s">
        <v>25</v>
      </c>
      <c r="N1330" t="s">
        <v>3500</v>
      </c>
      <c r="O1330" t="s">
        <v>3501</v>
      </c>
      <c r="P1330" t="s">
        <v>7841</v>
      </c>
      <c r="Q1330" t="s">
        <v>7842</v>
      </c>
      <c r="R1330">
        <v>337284</v>
      </c>
      <c r="S1330">
        <v>0</v>
      </c>
      <c r="T1330">
        <v>337284</v>
      </c>
      <c r="U1330" t="s">
        <v>35</v>
      </c>
      <c r="V1330" t="s">
        <v>3504</v>
      </c>
      <c r="W1330" t="s">
        <v>7843</v>
      </c>
      <c r="X1330" s="4">
        <v>1</v>
      </c>
      <c r="Y1330" s="4"/>
      <c r="Z1330">
        <f t="shared" si="80"/>
        <v>8</v>
      </c>
      <c r="AA1330">
        <f t="shared" si="81"/>
        <v>17</v>
      </c>
      <c r="AB1330" s="5">
        <f t="shared" si="82"/>
        <v>0.32052083333110204</v>
      </c>
      <c r="AC1330" s="3">
        <f t="shared" si="83"/>
        <v>8.9895833334594499E-2</v>
      </c>
      <c r="AD1330" t="str" cm="1">
        <f t="array" ref="AD1330">IFERROR(_xlfn.IFS(
    AC1330="", "",
    AC1330*86400 &lt; 30, "1. 0s - &lt;30s",
    AC1330*86400 &lt; 60, "2. 30s - &lt;1m",
    AC1330*86400 &lt; 300, "3. 1m - &lt;5m",
    AC1330*86400 &lt; 1800, "4. 5m - &lt;30m",
    TRUE, "5. &gt;= 30m"
),"6. Invalid (Order rejected)")</f>
        <v>5. &gt;= 30m</v>
      </c>
    </row>
    <row r="1331" spans="1:30" x14ac:dyDescent="0.3">
      <c r="A1331" t="s">
        <v>7844</v>
      </c>
      <c r="B1331" t="s">
        <v>3229</v>
      </c>
      <c r="C1331">
        <v>13373294</v>
      </c>
      <c r="D1331">
        <v>4055972</v>
      </c>
      <c r="E1331" t="s">
        <v>7845</v>
      </c>
      <c r="F1331" t="s">
        <v>75</v>
      </c>
      <c r="G1331" t="s">
        <v>360</v>
      </c>
      <c r="H1331" t="s">
        <v>7846</v>
      </c>
      <c r="I1331" t="s">
        <v>7847</v>
      </c>
      <c r="J1331" t="s">
        <v>7848</v>
      </c>
      <c r="K1331" t="s">
        <v>26</v>
      </c>
      <c r="L1331" t="s">
        <v>25</v>
      </c>
      <c r="M1331" t="s">
        <v>25</v>
      </c>
      <c r="N1331" t="s">
        <v>3670</v>
      </c>
      <c r="O1331" t="s">
        <v>3671</v>
      </c>
      <c r="P1331" t="s">
        <v>7849</v>
      </c>
      <c r="Q1331" t="s">
        <v>7850</v>
      </c>
      <c r="R1331">
        <v>413208</v>
      </c>
      <c r="S1331">
        <v>320332</v>
      </c>
      <c r="T1331">
        <v>92876</v>
      </c>
      <c r="U1331" t="s">
        <v>35</v>
      </c>
      <c r="V1331" t="s">
        <v>3674</v>
      </c>
      <c r="W1331" t="s">
        <v>7851</v>
      </c>
      <c r="X1331" s="4">
        <v>1</v>
      </c>
      <c r="Y1331" s="4"/>
      <c r="Z1331">
        <f t="shared" si="80"/>
        <v>8</v>
      </c>
      <c r="AA1331">
        <f t="shared" si="81"/>
        <v>17</v>
      </c>
      <c r="AB1331" s="5">
        <f t="shared" si="82"/>
        <v>0.33040509259444661</v>
      </c>
      <c r="AC1331" s="3" t="str">
        <f t="shared" si="83"/>
        <v>Order rejected, no time available</v>
      </c>
      <c r="AD1331" t="str" cm="1">
        <f t="array" ref="AD1331">IFERROR(_xlfn.IFS(
    AC1331="", "",
    AC1331*86400 &lt; 30, "1. 0s - &lt;30s",
    AC1331*86400 &lt; 60, "2. 30s - &lt;1m",
    AC1331*86400 &lt; 300, "3. 1m - &lt;5m",
    AC1331*86400 &lt; 1800, "4. 5m - &lt;30m",
    TRUE, "5. &gt;= 30m"
),"6. Invalid (Order rejected)")</f>
        <v>6. Invalid (Order rejected)</v>
      </c>
    </row>
    <row r="1332" spans="1:30" x14ac:dyDescent="0.3">
      <c r="A1332" t="s">
        <v>7852</v>
      </c>
      <c r="B1332" t="s">
        <v>3229</v>
      </c>
      <c r="C1332">
        <v>13373294</v>
      </c>
      <c r="D1332">
        <v>4677889</v>
      </c>
      <c r="E1332" t="s">
        <v>25</v>
      </c>
      <c r="F1332" t="s">
        <v>75</v>
      </c>
      <c r="G1332" t="s">
        <v>360</v>
      </c>
      <c r="H1332" t="s">
        <v>7853</v>
      </c>
      <c r="I1332" t="s">
        <v>7854</v>
      </c>
      <c r="J1332" t="s">
        <v>7855</v>
      </c>
      <c r="K1332" t="s">
        <v>26</v>
      </c>
      <c r="L1332" t="s">
        <v>25</v>
      </c>
      <c r="M1332" t="s">
        <v>25</v>
      </c>
      <c r="N1332" t="s">
        <v>3537</v>
      </c>
      <c r="O1332" t="s">
        <v>3538</v>
      </c>
      <c r="P1332" t="s">
        <v>7856</v>
      </c>
      <c r="Q1332" t="s">
        <v>7857</v>
      </c>
      <c r="R1332">
        <v>320112</v>
      </c>
      <c r="S1332">
        <v>248161</v>
      </c>
      <c r="T1332">
        <v>71951</v>
      </c>
      <c r="U1332" t="s">
        <v>35</v>
      </c>
      <c r="V1332" t="s">
        <v>3391</v>
      </c>
      <c r="W1332" t="s">
        <v>7858</v>
      </c>
      <c r="X1332" s="4">
        <v>1</v>
      </c>
      <c r="Y1332" s="4"/>
      <c r="Z1332">
        <f t="shared" si="80"/>
        <v>8</v>
      </c>
      <c r="AA1332">
        <f t="shared" si="81"/>
        <v>17</v>
      </c>
      <c r="AB1332" s="5">
        <f t="shared" si="82"/>
        <v>0.33770833333255723</v>
      </c>
      <c r="AC1332" s="3" t="str">
        <f t="shared" si="83"/>
        <v>Order rejected, no time available</v>
      </c>
      <c r="AD1332" t="str" cm="1">
        <f t="array" ref="AD1332">IFERROR(_xlfn.IFS(
    AC1332="", "",
    AC1332*86400 &lt; 30, "1. 0s - &lt;30s",
    AC1332*86400 &lt; 60, "2. 30s - &lt;1m",
    AC1332*86400 &lt; 300, "3. 1m - &lt;5m",
    AC1332*86400 &lt; 1800, "4. 5m - &lt;30m",
    TRUE, "5. &gt;= 30m"
),"6. Invalid (Order rejected)")</f>
        <v>6. Invalid (Order rejected)</v>
      </c>
    </row>
    <row r="1333" spans="1:30" hidden="1" x14ac:dyDescent="0.3">
      <c r="A1333" t="s">
        <v>7859</v>
      </c>
      <c r="B1333" t="s">
        <v>3229</v>
      </c>
      <c r="C1333">
        <v>13373294</v>
      </c>
      <c r="D1333">
        <v>0</v>
      </c>
      <c r="E1333" t="s">
        <v>25</v>
      </c>
      <c r="F1333" t="s">
        <v>26</v>
      </c>
      <c r="G1333" t="s">
        <v>27</v>
      </c>
      <c r="H1333" t="s">
        <v>7860</v>
      </c>
      <c r="I1333" t="s">
        <v>7861</v>
      </c>
      <c r="J1333" t="s">
        <v>26</v>
      </c>
      <c r="K1333" t="s">
        <v>26</v>
      </c>
      <c r="L1333" t="s">
        <v>7862</v>
      </c>
      <c r="M1333" t="s">
        <v>25</v>
      </c>
      <c r="N1333" t="s">
        <v>7863</v>
      </c>
      <c r="O1333" t="s">
        <v>7864</v>
      </c>
      <c r="P1333" t="s">
        <v>7865</v>
      </c>
      <c r="Q1333" t="s">
        <v>7866</v>
      </c>
      <c r="R1333">
        <v>278100</v>
      </c>
      <c r="S1333">
        <v>0</v>
      </c>
      <c r="T1333">
        <v>278100</v>
      </c>
      <c r="U1333" t="s">
        <v>35</v>
      </c>
      <c r="V1333" t="s">
        <v>7867</v>
      </c>
      <c r="W1333" t="s">
        <v>7868</v>
      </c>
      <c r="X1333" s="4">
        <v>1</v>
      </c>
      <c r="Y1333" s="4"/>
      <c r="Z1333">
        <f t="shared" si="80"/>
        <v>8</v>
      </c>
      <c r="AA1333">
        <f t="shared" si="81"/>
        <v>17</v>
      </c>
      <c r="AB1333" s="5">
        <f t="shared" si="82"/>
        <v>0.36643518518394558</v>
      </c>
      <c r="AC1333" s="3">
        <f t="shared" si="83"/>
        <v>0.18263888888759539</v>
      </c>
      <c r="AD1333" t="str" cm="1">
        <f t="array" ref="AD1333">IFERROR(_xlfn.IFS(
    AC1333="", "",
    AC1333*86400 &lt; 30, "1. 0s - &lt;30s",
    AC1333*86400 &lt; 60, "2. 30s - &lt;1m",
    AC1333*86400 &lt; 300, "3. 1m - &lt;5m",
    AC1333*86400 &lt; 1800, "4. 5m - &lt;30m",
    TRUE, "5. &gt;= 30m"
),"6. Invalid (Order rejected)")</f>
        <v>5. &gt;= 30m</v>
      </c>
    </row>
    <row r="1334" spans="1:30" hidden="1" x14ac:dyDescent="0.3">
      <c r="A1334" t="s">
        <v>7869</v>
      </c>
      <c r="B1334" t="s">
        <v>3229</v>
      </c>
      <c r="C1334">
        <v>13373294</v>
      </c>
      <c r="D1334">
        <v>0</v>
      </c>
      <c r="E1334" t="s">
        <v>25</v>
      </c>
      <c r="F1334" t="s">
        <v>26</v>
      </c>
      <c r="G1334" t="s">
        <v>27</v>
      </c>
      <c r="H1334" t="s">
        <v>7870</v>
      </c>
      <c r="I1334" t="s">
        <v>7871</v>
      </c>
      <c r="J1334" t="s">
        <v>26</v>
      </c>
      <c r="K1334" t="s">
        <v>26</v>
      </c>
      <c r="L1334" t="s">
        <v>7872</v>
      </c>
      <c r="M1334" t="s">
        <v>25</v>
      </c>
      <c r="N1334" t="s">
        <v>3575</v>
      </c>
      <c r="O1334" t="s">
        <v>3576</v>
      </c>
      <c r="P1334" t="s">
        <v>7865</v>
      </c>
      <c r="Q1334" t="s">
        <v>7866</v>
      </c>
      <c r="R1334">
        <v>296892</v>
      </c>
      <c r="S1334">
        <v>0</v>
      </c>
      <c r="T1334">
        <v>296892</v>
      </c>
      <c r="U1334" t="s">
        <v>35</v>
      </c>
      <c r="V1334" t="s">
        <v>3237</v>
      </c>
      <c r="W1334" t="s">
        <v>7868</v>
      </c>
      <c r="X1334" s="4">
        <v>1</v>
      </c>
      <c r="Y1334" s="4"/>
      <c r="Z1334">
        <f t="shared" si="80"/>
        <v>8</v>
      </c>
      <c r="AA1334">
        <f t="shared" si="81"/>
        <v>17</v>
      </c>
      <c r="AB1334" s="5">
        <f t="shared" si="82"/>
        <v>0.84822916666598758</v>
      </c>
      <c r="AC1334" s="3">
        <f t="shared" si="83"/>
        <v>0.10611111111211358</v>
      </c>
      <c r="AD1334" t="str" cm="1">
        <f t="array" ref="AD1334">IFERROR(_xlfn.IFS(
    AC1334="", "",
    AC1334*86400 &lt; 30, "1. 0s - &lt;30s",
    AC1334*86400 &lt; 60, "2. 30s - &lt;1m",
    AC1334*86400 &lt; 300, "3. 1m - &lt;5m",
    AC1334*86400 &lt; 1800, "4. 5m - &lt;30m",
    TRUE, "5. &gt;= 30m"
),"6. Invalid (Order rejected)")</f>
        <v>5. &gt;= 30m</v>
      </c>
    </row>
    <row r="1335" spans="1:30" hidden="1" x14ac:dyDescent="0.3">
      <c r="A1335" t="s">
        <v>7873</v>
      </c>
      <c r="B1335" t="s">
        <v>3229</v>
      </c>
      <c r="C1335">
        <v>13373294</v>
      </c>
      <c r="D1335">
        <v>0</v>
      </c>
      <c r="E1335" t="s">
        <v>25</v>
      </c>
      <c r="F1335" t="s">
        <v>26</v>
      </c>
      <c r="G1335" t="s">
        <v>27</v>
      </c>
      <c r="H1335" t="s">
        <v>7874</v>
      </c>
      <c r="I1335" t="s">
        <v>7875</v>
      </c>
      <c r="J1335" t="s">
        <v>26</v>
      </c>
      <c r="K1335" t="s">
        <v>26</v>
      </c>
      <c r="L1335" t="s">
        <v>7876</v>
      </c>
      <c r="M1335" t="s">
        <v>25</v>
      </c>
      <c r="N1335" t="s">
        <v>7877</v>
      </c>
      <c r="O1335" t="s">
        <v>7878</v>
      </c>
      <c r="P1335" t="s">
        <v>7879</v>
      </c>
      <c r="Q1335" t="s">
        <v>7880</v>
      </c>
      <c r="R1335">
        <v>286848</v>
      </c>
      <c r="S1335">
        <v>0</v>
      </c>
      <c r="T1335">
        <v>286848</v>
      </c>
      <c r="U1335" t="s">
        <v>35</v>
      </c>
      <c r="V1335" t="s">
        <v>7881</v>
      </c>
      <c r="W1335" t="s">
        <v>7882</v>
      </c>
      <c r="X1335" s="4">
        <v>1</v>
      </c>
      <c r="Y1335" s="4"/>
      <c r="Z1335">
        <f t="shared" si="80"/>
        <v>8</v>
      </c>
      <c r="AA1335">
        <f t="shared" si="81"/>
        <v>17</v>
      </c>
      <c r="AB1335" s="5">
        <f t="shared" si="82"/>
        <v>0.85091435185313458</v>
      </c>
      <c r="AC1335" s="3">
        <f t="shared" si="83"/>
        <v>0.12942129629664123</v>
      </c>
      <c r="AD1335" t="str" cm="1">
        <f t="array" ref="AD1335">IFERROR(_xlfn.IFS(
    AC1335="", "",
    AC1335*86400 &lt; 30, "1. 0s - &lt;30s",
    AC1335*86400 &lt; 60, "2. 30s - &lt;1m",
    AC1335*86400 &lt; 300, "3. 1m - &lt;5m",
    AC1335*86400 &lt; 1800, "4. 5m - &lt;30m",
    TRUE, "5. &gt;= 30m"
),"6. Invalid (Order rejected)")</f>
        <v>5. &gt;= 30m</v>
      </c>
    </row>
    <row r="1336" spans="1:30" x14ac:dyDescent="0.3">
      <c r="A1336" t="s">
        <v>7883</v>
      </c>
      <c r="B1336" t="s">
        <v>3229</v>
      </c>
      <c r="C1336">
        <v>13373294</v>
      </c>
      <c r="D1336">
        <v>4403440</v>
      </c>
      <c r="E1336" t="s">
        <v>25</v>
      </c>
      <c r="F1336" t="s">
        <v>75</v>
      </c>
      <c r="G1336" t="s">
        <v>360</v>
      </c>
      <c r="H1336" t="s">
        <v>7884</v>
      </c>
      <c r="I1336" t="s">
        <v>7885</v>
      </c>
      <c r="J1336" t="s">
        <v>7886</v>
      </c>
      <c r="K1336" t="s">
        <v>26</v>
      </c>
      <c r="L1336" t="s">
        <v>25</v>
      </c>
      <c r="M1336" t="s">
        <v>25</v>
      </c>
      <c r="N1336" t="s">
        <v>3557</v>
      </c>
      <c r="O1336" t="s">
        <v>3558</v>
      </c>
      <c r="P1336" t="s">
        <v>3664</v>
      </c>
      <c r="Q1336" t="s">
        <v>3665</v>
      </c>
      <c r="R1336">
        <v>267732</v>
      </c>
      <c r="S1336">
        <v>219763</v>
      </c>
      <c r="T1336">
        <v>47969</v>
      </c>
      <c r="U1336" t="s">
        <v>35</v>
      </c>
      <c r="V1336" t="s">
        <v>3248</v>
      </c>
      <c r="W1336" t="s">
        <v>3666</v>
      </c>
      <c r="X1336" s="4">
        <v>1</v>
      </c>
      <c r="Y1336" s="4"/>
      <c r="Z1336">
        <f t="shared" si="80"/>
        <v>8</v>
      </c>
      <c r="AA1336">
        <f t="shared" si="81"/>
        <v>17</v>
      </c>
      <c r="AB1336" s="5">
        <f t="shared" si="82"/>
        <v>0.84947916666715173</v>
      </c>
      <c r="AC1336" s="3" t="str">
        <f t="shared" si="83"/>
        <v>Order rejected, no time available</v>
      </c>
      <c r="AD1336" t="str" cm="1">
        <f t="array" ref="AD1336">IFERROR(_xlfn.IFS(
    AC1336="", "",
    AC1336*86400 &lt; 30, "1. 0s - &lt;30s",
    AC1336*86400 &lt; 60, "2. 30s - &lt;1m",
    AC1336*86400 &lt; 300, "3. 1m - &lt;5m",
    AC1336*86400 &lt; 1800, "4. 5m - &lt;30m",
    TRUE, "5. &gt;= 30m"
),"6. Invalid (Order rejected)")</f>
        <v>6. Invalid (Order rejected)</v>
      </c>
    </row>
    <row r="1337" spans="1:30" x14ac:dyDescent="0.3">
      <c r="A1337" t="s">
        <v>7887</v>
      </c>
      <c r="B1337" t="s">
        <v>3229</v>
      </c>
      <c r="C1337">
        <v>13373294</v>
      </c>
      <c r="D1337">
        <v>3473772</v>
      </c>
      <c r="E1337" t="s">
        <v>25</v>
      </c>
      <c r="F1337" t="s">
        <v>75</v>
      </c>
      <c r="G1337" t="s">
        <v>360</v>
      </c>
      <c r="H1337" t="s">
        <v>7888</v>
      </c>
      <c r="I1337" t="s">
        <v>7889</v>
      </c>
      <c r="J1337" t="s">
        <v>7890</v>
      </c>
      <c r="K1337" t="s">
        <v>26</v>
      </c>
      <c r="L1337" t="s">
        <v>25</v>
      </c>
      <c r="M1337" t="s">
        <v>25</v>
      </c>
      <c r="N1337" t="s">
        <v>7891</v>
      </c>
      <c r="O1337" t="s">
        <v>7892</v>
      </c>
      <c r="P1337" t="s">
        <v>3664</v>
      </c>
      <c r="Q1337" t="s">
        <v>3665</v>
      </c>
      <c r="R1337">
        <v>153468</v>
      </c>
      <c r="S1337">
        <v>118973</v>
      </c>
      <c r="T1337">
        <v>34495</v>
      </c>
      <c r="U1337" t="s">
        <v>35</v>
      </c>
      <c r="V1337" t="s">
        <v>7893</v>
      </c>
      <c r="W1337" t="s">
        <v>3666</v>
      </c>
      <c r="X1337" s="4">
        <v>1</v>
      </c>
      <c r="Y1337" s="4"/>
      <c r="Z1337">
        <f t="shared" si="80"/>
        <v>8</v>
      </c>
      <c r="AA1337">
        <f t="shared" si="81"/>
        <v>17</v>
      </c>
      <c r="AB1337" s="5">
        <f t="shared" si="82"/>
        <v>0.87011574074131204</v>
      </c>
      <c r="AC1337" s="3" t="str">
        <f t="shared" si="83"/>
        <v>Order rejected, no time available</v>
      </c>
      <c r="AD1337" t="str" cm="1">
        <f t="array" ref="AD1337">IFERROR(_xlfn.IFS(
    AC1337="", "",
    AC1337*86400 &lt; 30, "1. 0s - &lt;30s",
    AC1337*86400 &lt; 60, "2. 30s - &lt;1m",
    AC1337*86400 &lt; 300, "3. 1m - &lt;5m",
    AC1337*86400 &lt; 1800, "4. 5m - &lt;30m",
    TRUE, "5. &gt;= 30m"
),"6. Invalid (Order rejected)")</f>
        <v>6. Invalid (Order rejected)</v>
      </c>
    </row>
    <row r="1338" spans="1:30" x14ac:dyDescent="0.3">
      <c r="A1338" t="s">
        <v>7894</v>
      </c>
      <c r="B1338" t="s">
        <v>3229</v>
      </c>
      <c r="C1338">
        <v>13373294</v>
      </c>
      <c r="D1338">
        <v>4799909</v>
      </c>
      <c r="E1338" t="s">
        <v>25</v>
      </c>
      <c r="F1338" t="s">
        <v>75</v>
      </c>
      <c r="G1338" t="s">
        <v>360</v>
      </c>
      <c r="H1338" t="s">
        <v>7895</v>
      </c>
      <c r="I1338" t="s">
        <v>7896</v>
      </c>
      <c r="J1338" t="s">
        <v>7897</v>
      </c>
      <c r="K1338" t="s">
        <v>26</v>
      </c>
      <c r="L1338" t="s">
        <v>25</v>
      </c>
      <c r="M1338" t="s">
        <v>25</v>
      </c>
      <c r="N1338" t="s">
        <v>7898</v>
      </c>
      <c r="O1338" t="s">
        <v>7899</v>
      </c>
      <c r="P1338" t="s">
        <v>7900</v>
      </c>
      <c r="Q1338" t="s">
        <v>7901</v>
      </c>
      <c r="R1338">
        <v>109728</v>
      </c>
      <c r="S1338">
        <v>85065</v>
      </c>
      <c r="T1338">
        <v>24663</v>
      </c>
      <c r="U1338" t="s">
        <v>35</v>
      </c>
      <c r="V1338" t="s">
        <v>7902</v>
      </c>
      <c r="W1338" t="s">
        <v>7903</v>
      </c>
      <c r="X1338" s="4">
        <v>1</v>
      </c>
      <c r="Y1338" s="4"/>
      <c r="Z1338">
        <f t="shared" si="80"/>
        <v>8</v>
      </c>
      <c r="AA1338">
        <f t="shared" si="81"/>
        <v>17</v>
      </c>
      <c r="AB1338" s="5">
        <f t="shared" si="82"/>
        <v>0.97327546296583023</v>
      </c>
      <c r="AC1338" s="3" t="str">
        <f t="shared" si="83"/>
        <v>Order rejected, no time available</v>
      </c>
      <c r="AD1338" t="str" cm="1">
        <f t="array" ref="AD1338">IFERROR(_xlfn.IFS(
    AC1338="", "",
    AC1338*86400 &lt; 30, "1. 0s - &lt;30s",
    AC1338*86400 &lt; 60, "2. 30s - &lt;1m",
    AC1338*86400 &lt; 300, "3. 1m - &lt;5m",
    AC1338*86400 &lt; 1800, "4. 5m - &lt;30m",
    TRUE, "5. &gt;= 30m"
),"6. Invalid (Order rejected)")</f>
        <v>6. Invalid (Order rejected)</v>
      </c>
    </row>
    <row r="1339" spans="1:30" hidden="1" x14ac:dyDescent="0.3">
      <c r="A1339" t="s">
        <v>7904</v>
      </c>
      <c r="B1339" t="s">
        <v>25</v>
      </c>
      <c r="C1339">
        <v>43701630</v>
      </c>
      <c r="D1339">
        <v>0</v>
      </c>
      <c r="E1339" t="s">
        <v>25</v>
      </c>
      <c r="F1339" t="s">
        <v>26</v>
      </c>
      <c r="G1339" t="s">
        <v>27</v>
      </c>
      <c r="H1339" t="s">
        <v>7905</v>
      </c>
      <c r="I1339" t="s">
        <v>7906</v>
      </c>
      <c r="J1339" t="s">
        <v>26</v>
      </c>
      <c r="K1339" t="s">
        <v>26</v>
      </c>
      <c r="L1339" t="s">
        <v>7907</v>
      </c>
      <c r="M1339" t="s">
        <v>25</v>
      </c>
      <c r="N1339" t="s">
        <v>3584</v>
      </c>
      <c r="O1339" t="s">
        <v>3585</v>
      </c>
      <c r="P1339" t="s">
        <v>3767</v>
      </c>
      <c r="Q1339" t="s">
        <v>3768</v>
      </c>
      <c r="R1339">
        <v>312012</v>
      </c>
      <c r="S1339">
        <v>0</v>
      </c>
      <c r="T1339">
        <v>312012</v>
      </c>
      <c r="U1339" t="s">
        <v>35</v>
      </c>
      <c r="V1339" t="s">
        <v>3586</v>
      </c>
      <c r="W1339" t="s">
        <v>3770</v>
      </c>
      <c r="X1339" s="4">
        <v>1</v>
      </c>
      <c r="Y1339" s="4"/>
      <c r="Z1339">
        <f t="shared" si="80"/>
        <v>8</v>
      </c>
      <c r="AA1339">
        <f t="shared" si="81"/>
        <v>18</v>
      </c>
      <c r="AB1339" s="5">
        <f t="shared" si="82"/>
        <v>0.29059027777839219</v>
      </c>
      <c r="AC1339" s="3">
        <f t="shared" si="83"/>
        <v>0.11395833333517658</v>
      </c>
      <c r="AD1339" t="str" cm="1">
        <f t="array" ref="AD1339">IFERROR(_xlfn.IFS(
    AC1339="", "",
    AC1339*86400 &lt; 30, "1. 0s - &lt;30s",
    AC1339*86400 &lt; 60, "2. 30s - &lt;1m",
    AC1339*86400 &lt; 300, "3. 1m - &lt;5m",
    AC1339*86400 &lt; 1800, "4. 5m - &lt;30m",
    TRUE, "5. &gt;= 30m"
),"6. Invalid (Order rejected)")</f>
        <v>5. &gt;= 30m</v>
      </c>
    </row>
    <row r="1340" spans="1:30" hidden="1" x14ac:dyDescent="0.3">
      <c r="A1340" t="s">
        <v>7908</v>
      </c>
      <c r="B1340" t="s">
        <v>25</v>
      </c>
      <c r="C1340">
        <v>43701630</v>
      </c>
      <c r="D1340">
        <v>0</v>
      </c>
      <c r="E1340" t="s">
        <v>25</v>
      </c>
      <c r="F1340" t="s">
        <v>26</v>
      </c>
      <c r="G1340" t="s">
        <v>27</v>
      </c>
      <c r="H1340" t="s">
        <v>7909</v>
      </c>
      <c r="I1340" t="s">
        <v>7910</v>
      </c>
      <c r="J1340" t="s">
        <v>26</v>
      </c>
      <c r="K1340" t="s">
        <v>26</v>
      </c>
      <c r="L1340" t="s">
        <v>7911</v>
      </c>
      <c r="M1340" t="s">
        <v>25</v>
      </c>
      <c r="N1340" t="s">
        <v>3744</v>
      </c>
      <c r="O1340" t="s">
        <v>3745</v>
      </c>
      <c r="P1340" t="s">
        <v>2339</v>
      </c>
      <c r="Q1340" t="s">
        <v>2340</v>
      </c>
      <c r="R1340">
        <v>239760</v>
      </c>
      <c r="S1340">
        <v>0</v>
      </c>
      <c r="T1340">
        <v>239760</v>
      </c>
      <c r="U1340" t="s">
        <v>35</v>
      </c>
      <c r="V1340" t="s">
        <v>3746</v>
      </c>
      <c r="W1340" t="s">
        <v>2341</v>
      </c>
      <c r="X1340" s="4">
        <v>1</v>
      </c>
      <c r="Y1340" s="4"/>
      <c r="Z1340">
        <f t="shared" si="80"/>
        <v>8</v>
      </c>
      <c r="AA1340">
        <f t="shared" si="81"/>
        <v>18</v>
      </c>
      <c r="AB1340" s="5">
        <f t="shared" si="82"/>
        <v>0.29774305555474712</v>
      </c>
      <c r="AC1340" s="3">
        <f t="shared" si="83"/>
        <v>9.0277777781011537E-2</v>
      </c>
      <c r="AD1340" t="str" cm="1">
        <f t="array" ref="AD1340">IFERROR(_xlfn.IFS(
    AC1340="", "",
    AC1340*86400 &lt; 30, "1. 0s - &lt;30s",
    AC1340*86400 &lt; 60, "2. 30s - &lt;1m",
    AC1340*86400 &lt; 300, "3. 1m - &lt;5m",
    AC1340*86400 &lt; 1800, "4. 5m - &lt;30m",
    TRUE, "5. &gt;= 30m"
),"6. Invalid (Order rejected)")</f>
        <v>5. &gt;= 30m</v>
      </c>
    </row>
    <row r="1341" spans="1:30" hidden="1" x14ac:dyDescent="0.3">
      <c r="A1341" t="s">
        <v>7912</v>
      </c>
      <c r="B1341" t="s">
        <v>25</v>
      </c>
      <c r="C1341">
        <v>43701630</v>
      </c>
      <c r="D1341">
        <v>0</v>
      </c>
      <c r="E1341" t="s">
        <v>25</v>
      </c>
      <c r="F1341" t="s">
        <v>26</v>
      </c>
      <c r="G1341" t="s">
        <v>27</v>
      </c>
      <c r="H1341" t="s">
        <v>7913</v>
      </c>
      <c r="I1341" t="s">
        <v>7914</v>
      </c>
      <c r="J1341" t="s">
        <v>26</v>
      </c>
      <c r="K1341" t="s">
        <v>26</v>
      </c>
      <c r="L1341" t="s">
        <v>7915</v>
      </c>
      <c r="M1341" t="s">
        <v>25</v>
      </c>
      <c r="N1341" t="s">
        <v>753</v>
      </c>
      <c r="O1341" t="s">
        <v>3714</v>
      </c>
      <c r="P1341" t="s">
        <v>3621</v>
      </c>
      <c r="Q1341" t="s">
        <v>3622</v>
      </c>
      <c r="R1341">
        <v>286848</v>
      </c>
      <c r="S1341">
        <v>0</v>
      </c>
      <c r="T1341">
        <v>286848</v>
      </c>
      <c r="U1341" t="s">
        <v>35</v>
      </c>
      <c r="V1341" t="s">
        <v>755</v>
      </c>
      <c r="W1341" t="s">
        <v>3624</v>
      </c>
      <c r="X1341" s="4">
        <v>1</v>
      </c>
      <c r="Y1341" s="4"/>
      <c r="Z1341">
        <f t="shared" si="80"/>
        <v>8</v>
      </c>
      <c r="AA1341">
        <f t="shared" si="81"/>
        <v>18</v>
      </c>
      <c r="AB1341" s="5">
        <f t="shared" si="82"/>
        <v>0.29865740740933688</v>
      </c>
      <c r="AC1341" s="3">
        <f t="shared" si="83"/>
        <v>9.0266203704231884E-2</v>
      </c>
      <c r="AD1341" t="str" cm="1">
        <f t="array" ref="AD1341">IFERROR(_xlfn.IFS(
    AC1341="", "",
    AC1341*86400 &lt; 30, "1. 0s - &lt;30s",
    AC1341*86400 &lt; 60, "2. 30s - &lt;1m",
    AC1341*86400 &lt; 300, "3. 1m - &lt;5m",
    AC1341*86400 &lt; 1800, "4. 5m - &lt;30m",
    TRUE, "5. &gt;= 30m"
),"6. Invalid (Order rejected)")</f>
        <v>5. &gt;= 30m</v>
      </c>
    </row>
    <row r="1342" spans="1:30" hidden="1" x14ac:dyDescent="0.3">
      <c r="A1342" t="s">
        <v>7916</v>
      </c>
      <c r="B1342" t="s">
        <v>25</v>
      </c>
      <c r="C1342">
        <v>43701630</v>
      </c>
      <c r="D1342">
        <v>4822140</v>
      </c>
      <c r="E1342" t="s">
        <v>25</v>
      </c>
      <c r="F1342" t="s">
        <v>75</v>
      </c>
      <c r="G1342" t="s">
        <v>491</v>
      </c>
      <c r="H1342" t="s">
        <v>7917</v>
      </c>
      <c r="I1342" t="s">
        <v>7918</v>
      </c>
      <c r="J1342" t="s">
        <v>7919</v>
      </c>
      <c r="K1342" t="s">
        <v>26</v>
      </c>
      <c r="L1342" t="s">
        <v>7920</v>
      </c>
      <c r="M1342" t="s">
        <v>25</v>
      </c>
      <c r="N1342" t="s">
        <v>7921</v>
      </c>
      <c r="O1342" t="s">
        <v>7922</v>
      </c>
      <c r="P1342" t="s">
        <v>2322</v>
      </c>
      <c r="Q1342" t="s">
        <v>2323</v>
      </c>
      <c r="R1342">
        <v>415260</v>
      </c>
      <c r="S1342">
        <v>321923</v>
      </c>
      <c r="T1342">
        <v>93337</v>
      </c>
      <c r="U1342" t="s">
        <v>35</v>
      </c>
      <c r="V1342" t="s">
        <v>7923</v>
      </c>
      <c r="W1342" t="s">
        <v>2324</v>
      </c>
      <c r="X1342" s="4">
        <v>1</v>
      </c>
      <c r="Y1342" s="4"/>
      <c r="Z1342">
        <f t="shared" si="80"/>
        <v>8</v>
      </c>
      <c r="AA1342">
        <f t="shared" si="81"/>
        <v>18</v>
      </c>
      <c r="AB1342" s="5">
        <f t="shared" si="82"/>
        <v>0.30124999999679858</v>
      </c>
      <c r="AC1342" s="3">
        <f t="shared" si="83"/>
        <v>10.007638888891961</v>
      </c>
      <c r="AD1342" t="str" cm="1">
        <f t="array" ref="AD1342">IFERROR(_xlfn.IFS(
    AC1342="", "",
    AC1342*86400 &lt; 30, "1. 0s - &lt;30s",
    AC1342*86400 &lt; 60, "2. 30s - &lt;1m",
    AC1342*86400 &lt; 300, "3. 1m - &lt;5m",
    AC1342*86400 &lt; 1800, "4. 5m - &lt;30m",
    TRUE, "5. &gt;= 30m"
),"6. Invalid (Order rejected)")</f>
        <v>5. &gt;= 30m</v>
      </c>
    </row>
    <row r="1343" spans="1:30" hidden="1" x14ac:dyDescent="0.3">
      <c r="A1343" t="s">
        <v>7924</v>
      </c>
      <c r="B1343" t="s">
        <v>3229</v>
      </c>
      <c r="C1343">
        <v>13373294</v>
      </c>
      <c r="D1343">
        <v>0</v>
      </c>
      <c r="E1343" t="s">
        <v>25</v>
      </c>
      <c r="F1343" t="s">
        <v>26</v>
      </c>
      <c r="G1343" t="s">
        <v>27</v>
      </c>
      <c r="H1343" t="s">
        <v>7925</v>
      </c>
      <c r="I1343" t="s">
        <v>7926</v>
      </c>
      <c r="J1343" t="s">
        <v>26</v>
      </c>
      <c r="K1343" t="s">
        <v>26</v>
      </c>
      <c r="L1343" t="s">
        <v>7927</v>
      </c>
      <c r="M1343" t="s">
        <v>25</v>
      </c>
      <c r="N1343" t="s">
        <v>3557</v>
      </c>
      <c r="O1343" t="s">
        <v>3558</v>
      </c>
      <c r="P1343" t="s">
        <v>3577</v>
      </c>
      <c r="Q1343" t="s">
        <v>3578</v>
      </c>
      <c r="R1343">
        <v>222912</v>
      </c>
      <c r="S1343">
        <v>0</v>
      </c>
      <c r="T1343">
        <v>222912</v>
      </c>
      <c r="U1343" t="s">
        <v>35</v>
      </c>
      <c r="V1343" t="s">
        <v>3248</v>
      </c>
      <c r="W1343" t="s">
        <v>3579</v>
      </c>
      <c r="X1343" s="4">
        <v>1</v>
      </c>
      <c r="Y1343" s="4"/>
      <c r="Z1343">
        <f t="shared" si="80"/>
        <v>8</v>
      </c>
      <c r="AA1343">
        <f t="shared" si="81"/>
        <v>18</v>
      </c>
      <c r="AB1343" s="5">
        <f t="shared" si="82"/>
        <v>0.29535879629838746</v>
      </c>
      <c r="AC1343" s="3">
        <f t="shared" si="83"/>
        <v>0.11868055555532919</v>
      </c>
      <c r="AD1343" t="str" cm="1">
        <f t="array" ref="AD1343">IFERROR(_xlfn.IFS(
    AC1343="", "",
    AC1343*86400 &lt; 30, "1. 0s - &lt;30s",
    AC1343*86400 &lt; 60, "2. 30s - &lt;1m",
    AC1343*86400 &lt; 300, "3. 1m - &lt;5m",
    AC1343*86400 &lt; 1800, "4. 5m - &lt;30m",
    TRUE, "5. &gt;= 30m"
),"6. Invalid (Order rejected)")</f>
        <v>5. &gt;= 30m</v>
      </c>
    </row>
    <row r="1344" spans="1:30" x14ac:dyDescent="0.3">
      <c r="A1344" t="s">
        <v>7928</v>
      </c>
      <c r="B1344" t="s">
        <v>25</v>
      </c>
      <c r="C1344">
        <v>43701630</v>
      </c>
      <c r="D1344">
        <v>867292</v>
      </c>
      <c r="E1344" t="s">
        <v>25</v>
      </c>
      <c r="F1344" t="s">
        <v>75</v>
      </c>
      <c r="G1344" t="s">
        <v>360</v>
      </c>
      <c r="H1344" t="s">
        <v>7929</v>
      </c>
      <c r="I1344" t="s">
        <v>7930</v>
      </c>
      <c r="J1344" t="s">
        <v>7931</v>
      </c>
      <c r="K1344" t="s">
        <v>26</v>
      </c>
      <c r="L1344" t="s">
        <v>25</v>
      </c>
      <c r="M1344" t="s">
        <v>25</v>
      </c>
      <c r="N1344" t="s">
        <v>7932</v>
      </c>
      <c r="O1344" t="s">
        <v>7933</v>
      </c>
      <c r="P1344" t="s">
        <v>2322</v>
      </c>
      <c r="Q1344" t="s">
        <v>2323</v>
      </c>
      <c r="R1344">
        <v>302076</v>
      </c>
      <c r="S1344">
        <v>234179</v>
      </c>
      <c r="T1344">
        <v>67897</v>
      </c>
      <c r="U1344" t="s">
        <v>35</v>
      </c>
      <c r="V1344" t="s">
        <v>7934</v>
      </c>
      <c r="W1344" t="s">
        <v>2324</v>
      </c>
      <c r="X1344" s="4">
        <v>1</v>
      </c>
      <c r="Y1344" s="4"/>
      <c r="Z1344">
        <f t="shared" si="80"/>
        <v>8</v>
      </c>
      <c r="AA1344">
        <f t="shared" si="81"/>
        <v>18</v>
      </c>
      <c r="AB1344" s="5">
        <f t="shared" si="82"/>
        <v>0.29745370370073942</v>
      </c>
      <c r="AC1344" s="3" t="str">
        <f t="shared" si="83"/>
        <v>Order rejected, no time available</v>
      </c>
      <c r="AD1344" t="str" cm="1">
        <f t="array" ref="AD1344">IFERROR(_xlfn.IFS(
    AC1344="", "",
    AC1344*86400 &lt; 30, "1. 0s - &lt;30s",
    AC1344*86400 &lt; 60, "2. 30s - &lt;1m",
    AC1344*86400 &lt; 300, "3. 1m - &lt;5m",
    AC1344*86400 &lt; 1800, "4. 5m - &lt;30m",
    TRUE, "5. &gt;= 30m"
),"6. Invalid (Order rejected)")</f>
        <v>6. Invalid (Order rejected)</v>
      </c>
    </row>
    <row r="1345" spans="1:30" hidden="1" x14ac:dyDescent="0.3">
      <c r="A1345" t="s">
        <v>7935</v>
      </c>
      <c r="B1345" t="s">
        <v>25</v>
      </c>
      <c r="C1345">
        <v>43701630</v>
      </c>
      <c r="D1345">
        <v>0</v>
      </c>
      <c r="E1345" t="s">
        <v>25</v>
      </c>
      <c r="F1345" t="s">
        <v>26</v>
      </c>
      <c r="G1345" t="s">
        <v>27</v>
      </c>
      <c r="H1345" t="s">
        <v>7936</v>
      </c>
      <c r="I1345" t="s">
        <v>7937</v>
      </c>
      <c r="J1345" t="s">
        <v>26</v>
      </c>
      <c r="K1345" t="s">
        <v>26</v>
      </c>
      <c r="L1345" t="s">
        <v>7938</v>
      </c>
      <c r="M1345" t="s">
        <v>25</v>
      </c>
      <c r="N1345" t="s">
        <v>3591</v>
      </c>
      <c r="O1345" t="s">
        <v>3592</v>
      </c>
      <c r="P1345" t="s">
        <v>3701</v>
      </c>
      <c r="Q1345" t="s">
        <v>3702</v>
      </c>
      <c r="R1345">
        <v>259308</v>
      </c>
      <c r="S1345">
        <v>0</v>
      </c>
      <c r="T1345">
        <v>259308</v>
      </c>
      <c r="U1345" t="s">
        <v>35</v>
      </c>
      <c r="V1345" t="s">
        <v>3594</v>
      </c>
      <c r="W1345" t="s">
        <v>2316</v>
      </c>
      <c r="X1345" s="4">
        <v>1</v>
      </c>
      <c r="Y1345" s="4"/>
      <c r="Z1345">
        <f t="shared" si="80"/>
        <v>8</v>
      </c>
      <c r="AA1345">
        <f t="shared" si="81"/>
        <v>18</v>
      </c>
      <c r="AB1345" s="5">
        <f t="shared" si="82"/>
        <v>0.29833333333226619</v>
      </c>
      <c r="AC1345" s="3">
        <f t="shared" si="83"/>
        <v>9.0266203704231884E-2</v>
      </c>
      <c r="AD1345" t="str" cm="1">
        <f t="array" ref="AD1345">IFERROR(_xlfn.IFS(
    AC1345="", "",
    AC1345*86400 &lt; 30, "1. 0s - &lt;30s",
    AC1345*86400 &lt; 60, "2. 30s - &lt;1m",
    AC1345*86400 &lt; 300, "3. 1m - &lt;5m",
    AC1345*86400 &lt; 1800, "4. 5m - &lt;30m",
    TRUE, "5. &gt;= 30m"
),"6. Invalid (Order rejected)")</f>
        <v>5. &gt;= 30m</v>
      </c>
    </row>
    <row r="1346" spans="1:30" hidden="1" x14ac:dyDescent="0.3">
      <c r="A1346" t="s">
        <v>7939</v>
      </c>
      <c r="B1346" t="s">
        <v>25</v>
      </c>
      <c r="C1346">
        <v>43701630</v>
      </c>
      <c r="D1346">
        <v>4822140</v>
      </c>
      <c r="E1346" t="s">
        <v>25</v>
      </c>
      <c r="F1346" t="s">
        <v>75</v>
      </c>
      <c r="G1346" t="s">
        <v>491</v>
      </c>
      <c r="H1346" t="s">
        <v>7940</v>
      </c>
      <c r="I1346" t="s">
        <v>7941</v>
      </c>
      <c r="J1346" t="s">
        <v>7942</v>
      </c>
      <c r="K1346" t="s">
        <v>26</v>
      </c>
      <c r="L1346" t="s">
        <v>7943</v>
      </c>
      <c r="M1346" t="s">
        <v>25</v>
      </c>
      <c r="N1346" t="s">
        <v>7921</v>
      </c>
      <c r="O1346" t="s">
        <v>7922</v>
      </c>
      <c r="P1346" t="s">
        <v>3611</v>
      </c>
      <c r="Q1346" t="s">
        <v>3612</v>
      </c>
      <c r="R1346">
        <v>362664</v>
      </c>
      <c r="S1346">
        <v>281149</v>
      </c>
      <c r="T1346">
        <v>81515</v>
      </c>
      <c r="U1346" t="s">
        <v>35</v>
      </c>
      <c r="V1346" t="s">
        <v>7923</v>
      </c>
      <c r="W1346" t="s">
        <v>3614</v>
      </c>
      <c r="X1346" s="4">
        <v>1</v>
      </c>
      <c r="Y1346" s="4"/>
      <c r="Z1346">
        <f t="shared" si="80"/>
        <v>8</v>
      </c>
      <c r="AA1346">
        <f t="shared" si="81"/>
        <v>18</v>
      </c>
      <c r="AB1346" s="5">
        <f t="shared" si="82"/>
        <v>0.30152777778130258</v>
      </c>
      <c r="AC1346" s="3">
        <f t="shared" si="83"/>
        <v>10.007638888884685</v>
      </c>
      <c r="AD1346" t="str" cm="1">
        <f t="array" ref="AD1346">IFERROR(_xlfn.IFS(
    AC1346="", "",
    AC1346*86400 &lt; 30, "1. 0s - &lt;30s",
    AC1346*86400 &lt; 60, "2. 30s - &lt;1m",
    AC1346*86400 &lt; 300, "3. 1m - &lt;5m",
    AC1346*86400 &lt; 1800, "4. 5m - &lt;30m",
    TRUE, "5. &gt;= 30m"
),"6. Invalid (Order rejected)")</f>
        <v>5. &gt;= 30m</v>
      </c>
    </row>
    <row r="1347" spans="1:30" hidden="1" x14ac:dyDescent="0.3">
      <c r="A1347" t="s">
        <v>7944</v>
      </c>
      <c r="B1347" t="s">
        <v>25</v>
      </c>
      <c r="C1347">
        <v>43701630</v>
      </c>
      <c r="D1347">
        <v>0</v>
      </c>
      <c r="E1347" t="s">
        <v>25</v>
      </c>
      <c r="F1347" t="s">
        <v>26</v>
      </c>
      <c r="G1347" t="s">
        <v>27</v>
      </c>
      <c r="H1347" t="s">
        <v>7945</v>
      </c>
      <c r="I1347" t="s">
        <v>7946</v>
      </c>
      <c r="J1347" t="s">
        <v>26</v>
      </c>
      <c r="K1347" t="s">
        <v>26</v>
      </c>
      <c r="L1347" t="s">
        <v>7947</v>
      </c>
      <c r="M1347" t="s">
        <v>25</v>
      </c>
      <c r="N1347" t="s">
        <v>2368</v>
      </c>
      <c r="O1347" t="s">
        <v>7948</v>
      </c>
      <c r="P1347" t="s">
        <v>2370</v>
      </c>
      <c r="Q1347" t="s">
        <v>2371</v>
      </c>
      <c r="R1347">
        <v>199800</v>
      </c>
      <c r="S1347">
        <v>0</v>
      </c>
      <c r="T1347">
        <v>199800</v>
      </c>
      <c r="U1347" t="s">
        <v>35</v>
      </c>
      <c r="V1347" t="s">
        <v>2372</v>
      </c>
      <c r="W1347" t="s">
        <v>2373</v>
      </c>
      <c r="X1347" s="4">
        <v>1</v>
      </c>
      <c r="Y1347" s="4"/>
      <c r="Z1347">
        <f t="shared" ref="Z1347:Z1410" si="84">MONTH(H1347)</f>
        <v>8</v>
      </c>
      <c r="AA1347">
        <f t="shared" ref="AA1347:AA1410" si="85">DAY(H1347)</f>
        <v>18</v>
      </c>
      <c r="AB1347" s="5">
        <f t="shared" ref="AB1347:AB1410" si="86">MOD(H1347, 1)</f>
        <v>0.29928240740991896</v>
      </c>
      <c r="AC1347" s="3">
        <f t="shared" ref="AC1347:AC1410" si="87">IFERROR(IF(M1347="",L1347-H1347,M1347-H1347),"Order rejected, no time available")</f>
        <v>9.0277777773735579E-2</v>
      </c>
      <c r="AD1347" t="str" cm="1">
        <f t="array" ref="AD1347">IFERROR(_xlfn.IFS(
    AC1347="", "",
    AC1347*86400 &lt; 30, "1. 0s - &lt;30s",
    AC1347*86400 &lt; 60, "2. 30s - &lt;1m",
    AC1347*86400 &lt; 300, "3. 1m - &lt;5m",
    AC1347*86400 &lt; 1800, "4. 5m - &lt;30m",
    TRUE, "5. &gt;= 30m"
),"6. Invalid (Order rejected)")</f>
        <v>5. &gt;= 30m</v>
      </c>
    </row>
    <row r="1348" spans="1:30" hidden="1" x14ac:dyDescent="0.3">
      <c r="A1348" t="s">
        <v>7949</v>
      </c>
      <c r="B1348" t="s">
        <v>25</v>
      </c>
      <c r="C1348">
        <v>43701630</v>
      </c>
      <c r="D1348">
        <v>0</v>
      </c>
      <c r="E1348" t="s">
        <v>25</v>
      </c>
      <c r="F1348" t="s">
        <v>26</v>
      </c>
      <c r="G1348" t="s">
        <v>27</v>
      </c>
      <c r="H1348" t="s">
        <v>7950</v>
      </c>
      <c r="I1348" t="s">
        <v>7951</v>
      </c>
      <c r="J1348" t="s">
        <v>26</v>
      </c>
      <c r="K1348" t="s">
        <v>26</v>
      </c>
      <c r="L1348" t="s">
        <v>7952</v>
      </c>
      <c r="M1348" t="s">
        <v>25</v>
      </c>
      <c r="N1348" t="s">
        <v>3765</v>
      </c>
      <c r="O1348" t="s">
        <v>3766</v>
      </c>
      <c r="P1348" t="s">
        <v>3631</v>
      </c>
      <c r="Q1348" t="s">
        <v>3632</v>
      </c>
      <c r="R1348">
        <v>136296</v>
      </c>
      <c r="S1348">
        <v>0</v>
      </c>
      <c r="T1348">
        <v>136296</v>
      </c>
      <c r="U1348" t="s">
        <v>35</v>
      </c>
      <c r="V1348" t="s">
        <v>3769</v>
      </c>
      <c r="W1348" t="s">
        <v>3634</v>
      </c>
      <c r="X1348" s="4">
        <v>1</v>
      </c>
      <c r="Y1348" s="4"/>
      <c r="Z1348">
        <f t="shared" si="84"/>
        <v>8</v>
      </c>
      <c r="AA1348">
        <f t="shared" si="85"/>
        <v>18</v>
      </c>
      <c r="AB1348" s="5">
        <f t="shared" si="86"/>
        <v>0.3007986111115315</v>
      </c>
      <c r="AC1348" s="3">
        <f t="shared" si="87"/>
        <v>9.0277777773735579E-2</v>
      </c>
      <c r="AD1348" t="str" cm="1">
        <f t="array" ref="AD1348">IFERROR(_xlfn.IFS(
    AC1348="", "",
    AC1348*86400 &lt; 30, "1. 0s - &lt;30s",
    AC1348*86400 &lt; 60, "2. 30s - &lt;1m",
    AC1348*86400 &lt; 300, "3. 1m - &lt;5m",
    AC1348*86400 &lt; 1800, "4. 5m - &lt;30m",
    TRUE, "5. &gt;= 30m"
),"6. Invalid (Order rejected)")</f>
        <v>5. &gt;= 30m</v>
      </c>
    </row>
    <row r="1349" spans="1:30" hidden="1" x14ac:dyDescent="0.3">
      <c r="A1349" t="s">
        <v>7953</v>
      </c>
      <c r="B1349" t="s">
        <v>25</v>
      </c>
      <c r="C1349">
        <v>43701630</v>
      </c>
      <c r="D1349">
        <v>0</v>
      </c>
      <c r="E1349" t="s">
        <v>25</v>
      </c>
      <c r="F1349" t="s">
        <v>26</v>
      </c>
      <c r="G1349" t="s">
        <v>27</v>
      </c>
      <c r="H1349" t="s">
        <v>3662</v>
      </c>
      <c r="I1349" t="s">
        <v>7954</v>
      </c>
      <c r="J1349" t="s">
        <v>26</v>
      </c>
      <c r="K1349" t="s">
        <v>26</v>
      </c>
      <c r="L1349" t="s">
        <v>7955</v>
      </c>
      <c r="M1349" t="s">
        <v>25</v>
      </c>
      <c r="N1349" t="s">
        <v>7921</v>
      </c>
      <c r="O1349" t="s">
        <v>7922</v>
      </c>
      <c r="P1349" t="s">
        <v>2339</v>
      </c>
      <c r="Q1349" t="s">
        <v>2340</v>
      </c>
      <c r="R1349">
        <v>224100</v>
      </c>
      <c r="S1349">
        <v>0</v>
      </c>
      <c r="T1349">
        <v>224100</v>
      </c>
      <c r="U1349" t="s">
        <v>35</v>
      </c>
      <c r="V1349" t="s">
        <v>7923</v>
      </c>
      <c r="W1349" t="s">
        <v>2341</v>
      </c>
      <c r="X1349" s="4">
        <v>1</v>
      </c>
      <c r="Y1349" s="4"/>
      <c r="Z1349">
        <f t="shared" si="84"/>
        <v>8</v>
      </c>
      <c r="AA1349">
        <f t="shared" si="85"/>
        <v>18</v>
      </c>
      <c r="AB1349" s="5">
        <f t="shared" si="86"/>
        <v>0.30138888888905058</v>
      </c>
      <c r="AC1349" s="3">
        <f t="shared" si="87"/>
        <v>9.0277777781011537E-2</v>
      </c>
      <c r="AD1349" t="str" cm="1">
        <f t="array" ref="AD1349">IFERROR(_xlfn.IFS(
    AC1349="", "",
    AC1349*86400 &lt; 30, "1. 0s - &lt;30s",
    AC1349*86400 &lt; 60, "2. 30s - &lt;1m",
    AC1349*86400 &lt; 300, "3. 1m - &lt;5m",
    AC1349*86400 &lt; 1800, "4. 5m - &lt;30m",
    TRUE, "5. &gt;= 30m"
),"6. Invalid (Order rejected)")</f>
        <v>5. &gt;= 30m</v>
      </c>
    </row>
    <row r="1350" spans="1:30" hidden="1" x14ac:dyDescent="0.3">
      <c r="A1350" t="s">
        <v>7956</v>
      </c>
      <c r="B1350" t="s">
        <v>25</v>
      </c>
      <c r="C1350">
        <v>43701630</v>
      </c>
      <c r="D1350">
        <v>0</v>
      </c>
      <c r="E1350" t="s">
        <v>25</v>
      </c>
      <c r="F1350" t="s">
        <v>26</v>
      </c>
      <c r="G1350" t="s">
        <v>27</v>
      </c>
      <c r="H1350" t="s">
        <v>7957</v>
      </c>
      <c r="I1350" t="s">
        <v>7958</v>
      </c>
      <c r="J1350" t="s">
        <v>26</v>
      </c>
      <c r="K1350" t="s">
        <v>26</v>
      </c>
      <c r="L1350" t="s">
        <v>7959</v>
      </c>
      <c r="M1350" t="s">
        <v>25</v>
      </c>
      <c r="N1350" t="s">
        <v>1911</v>
      </c>
      <c r="O1350" t="s">
        <v>1912</v>
      </c>
      <c r="P1350" t="s">
        <v>3778</v>
      </c>
      <c r="Q1350" t="s">
        <v>3779</v>
      </c>
      <c r="R1350">
        <v>211572</v>
      </c>
      <c r="S1350">
        <v>0</v>
      </c>
      <c r="T1350">
        <v>211572</v>
      </c>
      <c r="U1350" t="s">
        <v>35</v>
      </c>
      <c r="V1350" t="s">
        <v>1915</v>
      </c>
      <c r="W1350" t="s">
        <v>3781</v>
      </c>
      <c r="X1350" s="4">
        <v>1</v>
      </c>
      <c r="Y1350" s="4"/>
      <c r="Z1350">
        <f t="shared" si="84"/>
        <v>8</v>
      </c>
      <c r="AA1350">
        <f t="shared" si="85"/>
        <v>18</v>
      </c>
      <c r="AB1350" s="5">
        <f t="shared" si="86"/>
        <v>0.29525462962919846</v>
      </c>
      <c r="AC1350" s="3">
        <f t="shared" si="87"/>
        <v>9.6481481479713693E-2</v>
      </c>
      <c r="AD1350" t="str" cm="1">
        <f t="array" ref="AD1350">IFERROR(_xlfn.IFS(
    AC1350="", "",
    AC1350*86400 &lt; 30, "1. 0s - &lt;30s",
    AC1350*86400 &lt; 60, "2. 30s - &lt;1m",
    AC1350*86400 &lt; 300, "3. 1m - &lt;5m",
    AC1350*86400 &lt; 1800, "4. 5m - &lt;30m",
    TRUE, "5. &gt;= 30m"
),"6. Invalid (Order rejected)")</f>
        <v>5. &gt;= 30m</v>
      </c>
    </row>
    <row r="1351" spans="1:30" hidden="1" x14ac:dyDescent="0.3">
      <c r="A1351" t="s">
        <v>7960</v>
      </c>
      <c r="B1351" t="s">
        <v>25</v>
      </c>
      <c r="C1351">
        <v>43701630</v>
      </c>
      <c r="D1351">
        <v>0</v>
      </c>
      <c r="E1351" t="s">
        <v>25</v>
      </c>
      <c r="F1351" t="s">
        <v>26</v>
      </c>
      <c r="G1351" t="s">
        <v>27</v>
      </c>
      <c r="H1351" t="s">
        <v>7961</v>
      </c>
      <c r="I1351" t="s">
        <v>7962</v>
      </c>
      <c r="J1351" t="s">
        <v>26</v>
      </c>
      <c r="K1351" t="s">
        <v>26</v>
      </c>
      <c r="L1351" t="s">
        <v>7963</v>
      </c>
      <c r="M1351" t="s">
        <v>25</v>
      </c>
      <c r="N1351" t="s">
        <v>3680</v>
      </c>
      <c r="O1351" t="s">
        <v>2355</v>
      </c>
      <c r="P1351" t="s">
        <v>3836</v>
      </c>
      <c r="Q1351" t="s">
        <v>3837</v>
      </c>
      <c r="R1351">
        <v>210492</v>
      </c>
      <c r="S1351">
        <v>0</v>
      </c>
      <c r="T1351">
        <v>210492</v>
      </c>
      <c r="U1351" t="s">
        <v>35</v>
      </c>
      <c r="V1351" t="s">
        <v>2358</v>
      </c>
      <c r="W1351" t="s">
        <v>3839</v>
      </c>
      <c r="X1351" s="4">
        <v>1</v>
      </c>
      <c r="Y1351" s="4"/>
      <c r="Z1351">
        <f t="shared" si="84"/>
        <v>8</v>
      </c>
      <c r="AA1351">
        <f t="shared" si="85"/>
        <v>18</v>
      </c>
      <c r="AB1351" s="5">
        <f t="shared" si="86"/>
        <v>0.29571759259124519</v>
      </c>
      <c r="AC1351" s="3">
        <f t="shared" si="87"/>
        <v>9.0254629627452232E-2</v>
      </c>
      <c r="AD1351" t="str" cm="1">
        <f t="array" ref="AD1351">IFERROR(_xlfn.IFS(
    AC1351="", "",
    AC1351*86400 &lt; 30, "1. 0s - &lt;30s",
    AC1351*86400 &lt; 60, "2. 30s - &lt;1m",
    AC1351*86400 &lt; 300, "3. 1m - &lt;5m",
    AC1351*86400 &lt; 1800, "4. 5m - &lt;30m",
    TRUE, "5. &gt;= 30m"
),"6. Invalid (Order rejected)")</f>
        <v>5. &gt;= 30m</v>
      </c>
    </row>
    <row r="1352" spans="1:30" hidden="1" x14ac:dyDescent="0.3">
      <c r="A1352" t="s">
        <v>7964</v>
      </c>
      <c r="B1352" t="s">
        <v>25</v>
      </c>
      <c r="C1352">
        <v>43701630</v>
      </c>
      <c r="D1352">
        <v>3746341</v>
      </c>
      <c r="E1352" t="s">
        <v>25</v>
      </c>
      <c r="F1352" t="s">
        <v>75</v>
      </c>
      <c r="G1352" t="s">
        <v>76</v>
      </c>
      <c r="H1352" t="s">
        <v>7965</v>
      </c>
      <c r="I1352" t="s">
        <v>7966</v>
      </c>
      <c r="J1352" t="s">
        <v>7967</v>
      </c>
      <c r="K1352" t="s">
        <v>26</v>
      </c>
      <c r="L1352" t="s">
        <v>7968</v>
      </c>
      <c r="M1352" t="s">
        <v>25</v>
      </c>
      <c r="N1352" t="s">
        <v>7932</v>
      </c>
      <c r="O1352" t="s">
        <v>7933</v>
      </c>
      <c r="P1352" t="s">
        <v>3767</v>
      </c>
      <c r="Q1352" t="s">
        <v>3768</v>
      </c>
      <c r="R1352">
        <v>296892</v>
      </c>
      <c r="S1352">
        <v>243699</v>
      </c>
      <c r="T1352">
        <v>53193</v>
      </c>
      <c r="U1352" t="s">
        <v>35</v>
      </c>
      <c r="V1352" t="s">
        <v>7934</v>
      </c>
      <c r="W1352" t="s">
        <v>3770</v>
      </c>
      <c r="X1352" s="4">
        <v>1</v>
      </c>
      <c r="Y1352" s="4"/>
      <c r="Z1352">
        <f t="shared" si="84"/>
        <v>8</v>
      </c>
      <c r="AA1352">
        <f t="shared" si="85"/>
        <v>18</v>
      </c>
      <c r="AB1352" s="5">
        <f t="shared" si="86"/>
        <v>0.29732638888526708</v>
      </c>
      <c r="AC1352" s="3">
        <f t="shared" si="87"/>
        <v>2.527777777868323E-2</v>
      </c>
      <c r="AD1352" t="str" cm="1">
        <f t="array" ref="AD1352">IFERROR(_xlfn.IFS(
    AC1352="", "",
    AC1352*86400 &lt; 30, "1. 0s - &lt;30s",
    AC1352*86400 &lt; 60, "2. 30s - &lt;1m",
    AC1352*86400 &lt; 300, "3. 1m - &lt;5m",
    AC1352*86400 &lt; 1800, "4. 5m - &lt;30m",
    TRUE, "5. &gt;= 30m"
),"6. Invalid (Order rejected)")</f>
        <v>5. &gt;= 30m</v>
      </c>
    </row>
    <row r="1353" spans="1:30" x14ac:dyDescent="0.3">
      <c r="A1353" t="s">
        <v>7969</v>
      </c>
      <c r="B1353" t="s">
        <v>25</v>
      </c>
      <c r="C1353">
        <v>43701630</v>
      </c>
      <c r="D1353">
        <v>4306463</v>
      </c>
      <c r="E1353" t="s">
        <v>25</v>
      </c>
      <c r="F1353" t="s">
        <v>75</v>
      </c>
      <c r="G1353" t="s">
        <v>360</v>
      </c>
      <c r="H1353" t="s">
        <v>7970</v>
      </c>
      <c r="I1353" t="s">
        <v>7971</v>
      </c>
      <c r="J1353" t="s">
        <v>7972</v>
      </c>
      <c r="K1353" t="s">
        <v>26</v>
      </c>
      <c r="L1353" t="s">
        <v>25</v>
      </c>
      <c r="M1353" t="s">
        <v>25</v>
      </c>
      <c r="N1353" t="s">
        <v>4160</v>
      </c>
      <c r="O1353" t="s">
        <v>4161</v>
      </c>
      <c r="P1353" t="s">
        <v>3621</v>
      </c>
      <c r="Q1353" t="s">
        <v>3622</v>
      </c>
      <c r="R1353">
        <v>382752</v>
      </c>
      <c r="S1353">
        <v>314176</v>
      </c>
      <c r="T1353">
        <v>68576</v>
      </c>
      <c r="U1353" t="s">
        <v>35</v>
      </c>
      <c r="V1353" t="s">
        <v>4162</v>
      </c>
      <c r="W1353" t="s">
        <v>3624</v>
      </c>
      <c r="X1353" s="4">
        <v>1</v>
      </c>
      <c r="Y1353" s="4"/>
      <c r="Z1353">
        <f t="shared" si="84"/>
        <v>8</v>
      </c>
      <c r="AA1353">
        <f t="shared" si="85"/>
        <v>18</v>
      </c>
      <c r="AB1353" s="5">
        <f t="shared" si="86"/>
        <v>0.30231481481314404</v>
      </c>
      <c r="AC1353" s="3" t="str">
        <f t="shared" si="87"/>
        <v>Order rejected, no time available</v>
      </c>
      <c r="AD1353" t="str" cm="1">
        <f t="array" ref="AD1353">IFERROR(_xlfn.IFS(
    AC1353="", "",
    AC1353*86400 &lt; 30, "1. 0s - &lt;30s",
    AC1353*86400 &lt; 60, "2. 30s - &lt;1m",
    AC1353*86400 &lt; 300, "3. 1m - &lt;5m",
    AC1353*86400 &lt; 1800, "4. 5m - &lt;30m",
    TRUE, "5. &gt;= 30m"
),"6. Invalid (Order rejected)")</f>
        <v>6. Invalid (Order rejected)</v>
      </c>
    </row>
    <row r="1354" spans="1:30" x14ac:dyDescent="0.3">
      <c r="A1354" t="s">
        <v>7973</v>
      </c>
      <c r="B1354" t="s">
        <v>25</v>
      </c>
      <c r="C1354">
        <v>43701630</v>
      </c>
      <c r="D1354">
        <v>3735657</v>
      </c>
      <c r="E1354" t="s">
        <v>25</v>
      </c>
      <c r="F1354" t="s">
        <v>75</v>
      </c>
      <c r="G1354" t="s">
        <v>360</v>
      </c>
      <c r="H1354" t="s">
        <v>7974</v>
      </c>
      <c r="I1354" t="s">
        <v>7975</v>
      </c>
      <c r="J1354" t="s">
        <v>7976</v>
      </c>
      <c r="K1354" t="s">
        <v>26</v>
      </c>
      <c r="L1354" t="s">
        <v>25</v>
      </c>
      <c r="M1354" t="s">
        <v>25</v>
      </c>
      <c r="N1354" t="s">
        <v>3751</v>
      </c>
      <c r="O1354" t="s">
        <v>3752</v>
      </c>
      <c r="P1354" t="s">
        <v>3737</v>
      </c>
      <c r="Q1354" t="s">
        <v>3738</v>
      </c>
      <c r="R1354">
        <v>236628</v>
      </c>
      <c r="S1354">
        <v>183441</v>
      </c>
      <c r="T1354">
        <v>53187</v>
      </c>
      <c r="U1354" t="s">
        <v>35</v>
      </c>
      <c r="V1354" t="s">
        <v>3753</v>
      </c>
      <c r="W1354" t="s">
        <v>2501</v>
      </c>
      <c r="X1354" s="4">
        <v>1</v>
      </c>
      <c r="Y1354" s="4"/>
      <c r="Z1354">
        <f t="shared" si="84"/>
        <v>8</v>
      </c>
      <c r="AA1354">
        <f t="shared" si="85"/>
        <v>18</v>
      </c>
      <c r="AB1354" s="5">
        <f t="shared" si="86"/>
        <v>0.30418981481489027</v>
      </c>
      <c r="AC1354" s="3" t="str">
        <f t="shared" si="87"/>
        <v>Order rejected, no time available</v>
      </c>
      <c r="AD1354" t="str" cm="1">
        <f t="array" ref="AD1354">IFERROR(_xlfn.IFS(
    AC1354="", "",
    AC1354*86400 &lt; 30, "1. 0s - &lt;30s",
    AC1354*86400 &lt; 60, "2. 30s - &lt;1m",
    AC1354*86400 &lt; 300, "3. 1m - &lt;5m",
    AC1354*86400 &lt; 1800, "4. 5m - &lt;30m",
    TRUE, "5. &gt;= 30m"
),"6. Invalid (Order rejected)")</f>
        <v>6. Invalid (Order rejected)</v>
      </c>
    </row>
    <row r="1355" spans="1:30" hidden="1" x14ac:dyDescent="0.3">
      <c r="A1355" t="s">
        <v>7977</v>
      </c>
      <c r="B1355" t="s">
        <v>25</v>
      </c>
      <c r="C1355">
        <v>43701630</v>
      </c>
      <c r="D1355">
        <v>0</v>
      </c>
      <c r="E1355" t="s">
        <v>25</v>
      </c>
      <c r="F1355" t="s">
        <v>26</v>
      </c>
      <c r="G1355" t="s">
        <v>27</v>
      </c>
      <c r="H1355" t="s">
        <v>7978</v>
      </c>
      <c r="I1355" t="s">
        <v>7979</v>
      </c>
      <c r="J1355" t="s">
        <v>26</v>
      </c>
      <c r="K1355" t="s">
        <v>26</v>
      </c>
      <c r="L1355" t="s">
        <v>7980</v>
      </c>
      <c r="M1355" t="s">
        <v>25</v>
      </c>
      <c r="N1355" t="s">
        <v>2368</v>
      </c>
      <c r="O1355" t="s">
        <v>7948</v>
      </c>
      <c r="P1355" t="s">
        <v>3778</v>
      </c>
      <c r="Q1355" t="s">
        <v>3779</v>
      </c>
      <c r="R1355">
        <v>193104</v>
      </c>
      <c r="S1355">
        <v>0</v>
      </c>
      <c r="T1355">
        <v>193104</v>
      </c>
      <c r="U1355" t="s">
        <v>35</v>
      </c>
      <c r="V1355" t="s">
        <v>2372</v>
      </c>
      <c r="W1355" t="s">
        <v>3781</v>
      </c>
      <c r="X1355" s="4">
        <v>1</v>
      </c>
      <c r="Y1355" s="4"/>
      <c r="Z1355">
        <f t="shared" si="84"/>
        <v>8</v>
      </c>
      <c r="AA1355">
        <f t="shared" si="85"/>
        <v>18</v>
      </c>
      <c r="AB1355" s="5">
        <f t="shared" si="86"/>
        <v>0.29944444444117835</v>
      </c>
      <c r="AC1355" s="3">
        <f t="shared" si="87"/>
        <v>0.17353009259386454</v>
      </c>
      <c r="AD1355" t="str" cm="1">
        <f t="array" ref="AD1355">IFERROR(_xlfn.IFS(
    AC1355="", "",
    AC1355*86400 &lt; 30, "1. 0s - &lt;30s",
    AC1355*86400 &lt; 60, "2. 30s - &lt;1m",
    AC1355*86400 &lt; 300, "3. 1m - &lt;5m",
    AC1355*86400 &lt; 1800, "4. 5m - &lt;30m",
    TRUE, "5. &gt;= 30m"
),"6. Invalid (Order rejected)")</f>
        <v>5. &gt;= 30m</v>
      </c>
    </row>
    <row r="1356" spans="1:30" x14ac:dyDescent="0.3">
      <c r="A1356" t="s">
        <v>7981</v>
      </c>
      <c r="B1356" t="s">
        <v>25</v>
      </c>
      <c r="C1356">
        <v>43701630</v>
      </c>
      <c r="D1356">
        <v>4770658</v>
      </c>
      <c r="E1356" t="s">
        <v>25</v>
      </c>
      <c r="F1356" t="s">
        <v>75</v>
      </c>
      <c r="G1356" t="s">
        <v>360</v>
      </c>
      <c r="H1356" t="s">
        <v>7982</v>
      </c>
      <c r="I1356" t="s">
        <v>7983</v>
      </c>
      <c r="J1356" t="s">
        <v>7984</v>
      </c>
      <c r="K1356" t="s">
        <v>26</v>
      </c>
      <c r="L1356" t="s">
        <v>25</v>
      </c>
      <c r="M1356" t="s">
        <v>25</v>
      </c>
      <c r="N1356" t="s">
        <v>827</v>
      </c>
      <c r="O1356" t="s">
        <v>828</v>
      </c>
      <c r="P1356" t="s">
        <v>3836</v>
      </c>
      <c r="Q1356" t="s">
        <v>3837</v>
      </c>
      <c r="R1356">
        <v>189000</v>
      </c>
      <c r="S1356">
        <v>146519</v>
      </c>
      <c r="T1356">
        <v>42481</v>
      </c>
      <c r="U1356" t="s">
        <v>35</v>
      </c>
      <c r="V1356" t="s">
        <v>829</v>
      </c>
      <c r="W1356" t="s">
        <v>3839</v>
      </c>
      <c r="X1356" s="4">
        <v>1</v>
      </c>
      <c r="Y1356" s="4"/>
      <c r="Z1356">
        <f t="shared" si="84"/>
        <v>8</v>
      </c>
      <c r="AA1356">
        <f t="shared" si="85"/>
        <v>18</v>
      </c>
      <c r="AB1356" s="5">
        <f t="shared" si="86"/>
        <v>0.29974537037196569</v>
      </c>
      <c r="AC1356" s="3" t="str">
        <f t="shared" si="87"/>
        <v>Order rejected, no time available</v>
      </c>
      <c r="AD1356" t="str" cm="1">
        <f t="array" ref="AD1356">IFERROR(_xlfn.IFS(
    AC1356="", "",
    AC1356*86400 &lt; 30, "1. 0s - &lt;30s",
    AC1356*86400 &lt; 60, "2. 30s - &lt;1m",
    AC1356*86400 &lt; 300, "3. 1m - &lt;5m",
    AC1356*86400 &lt; 1800, "4. 5m - &lt;30m",
    TRUE, "5. &gt;= 30m"
),"6. Invalid (Order rejected)")</f>
        <v>6. Invalid (Order rejected)</v>
      </c>
    </row>
    <row r="1357" spans="1:30" hidden="1" x14ac:dyDescent="0.3">
      <c r="A1357" t="s">
        <v>7985</v>
      </c>
      <c r="B1357" t="s">
        <v>25</v>
      </c>
      <c r="C1357">
        <v>43701630</v>
      </c>
      <c r="D1357">
        <v>3653145</v>
      </c>
      <c r="E1357" t="s">
        <v>25</v>
      </c>
      <c r="F1357" t="s">
        <v>75</v>
      </c>
      <c r="G1357" t="s">
        <v>76</v>
      </c>
      <c r="H1357" t="s">
        <v>7986</v>
      </c>
      <c r="I1357" t="s">
        <v>7987</v>
      </c>
      <c r="J1357" t="s">
        <v>7988</v>
      </c>
      <c r="K1357" t="s">
        <v>26</v>
      </c>
      <c r="L1357" t="s">
        <v>7989</v>
      </c>
      <c r="M1357" t="s">
        <v>25</v>
      </c>
      <c r="N1357" t="s">
        <v>3687</v>
      </c>
      <c r="O1357" t="s">
        <v>3688</v>
      </c>
      <c r="P1357" t="s">
        <v>3737</v>
      </c>
      <c r="Q1357" t="s">
        <v>3738</v>
      </c>
      <c r="R1357">
        <v>240192</v>
      </c>
      <c r="S1357">
        <v>186204</v>
      </c>
      <c r="T1357">
        <v>53988</v>
      </c>
      <c r="U1357" t="s">
        <v>35</v>
      </c>
      <c r="V1357" t="s">
        <v>3691</v>
      </c>
      <c r="W1357" t="s">
        <v>2501</v>
      </c>
      <c r="X1357" s="4">
        <v>1</v>
      </c>
      <c r="Y1357" s="4"/>
      <c r="Z1357">
        <f t="shared" si="84"/>
        <v>8</v>
      </c>
      <c r="AA1357">
        <f t="shared" si="85"/>
        <v>18</v>
      </c>
      <c r="AB1357" s="5">
        <f t="shared" si="86"/>
        <v>0.30052083333430346</v>
      </c>
      <c r="AC1357" s="3">
        <f t="shared" si="87"/>
        <v>0.12906249999650754</v>
      </c>
      <c r="AD1357" t="str" cm="1">
        <f t="array" ref="AD1357">IFERROR(_xlfn.IFS(
    AC1357="", "",
    AC1357*86400 &lt; 30, "1. 0s - &lt;30s",
    AC1357*86400 &lt; 60, "2. 30s - &lt;1m",
    AC1357*86400 &lt; 300, "3. 1m - &lt;5m",
    AC1357*86400 &lt; 1800, "4. 5m - &lt;30m",
    TRUE, "5. &gt;= 30m"
),"6. Invalid (Order rejected)")</f>
        <v>5. &gt;= 30m</v>
      </c>
    </row>
    <row r="1358" spans="1:30" hidden="1" x14ac:dyDescent="0.3">
      <c r="A1358" t="s">
        <v>7990</v>
      </c>
      <c r="B1358" t="s">
        <v>25</v>
      </c>
      <c r="C1358">
        <v>43701630</v>
      </c>
      <c r="D1358">
        <v>2852976</v>
      </c>
      <c r="E1358" t="s">
        <v>25</v>
      </c>
      <c r="F1358" t="s">
        <v>75</v>
      </c>
      <c r="G1358" t="s">
        <v>76</v>
      </c>
      <c r="H1358" t="s">
        <v>7991</v>
      </c>
      <c r="I1358" t="s">
        <v>7992</v>
      </c>
      <c r="J1358" t="s">
        <v>7993</v>
      </c>
      <c r="K1358" t="s">
        <v>26</v>
      </c>
      <c r="L1358" t="s">
        <v>7994</v>
      </c>
      <c r="M1358" t="s">
        <v>25</v>
      </c>
      <c r="N1358" t="s">
        <v>3657</v>
      </c>
      <c r="O1358" t="s">
        <v>3658</v>
      </c>
      <c r="P1358" t="s">
        <v>3701</v>
      </c>
      <c r="Q1358" t="s">
        <v>3702</v>
      </c>
      <c r="R1358">
        <v>257688</v>
      </c>
      <c r="S1358">
        <v>211519</v>
      </c>
      <c r="T1358">
        <v>46169</v>
      </c>
      <c r="U1358" t="s">
        <v>35</v>
      </c>
      <c r="V1358" t="s">
        <v>3659</v>
      </c>
      <c r="W1358" t="s">
        <v>2316</v>
      </c>
      <c r="X1358" s="4">
        <v>1</v>
      </c>
      <c r="Y1358" s="4"/>
      <c r="Z1358">
        <f t="shared" si="84"/>
        <v>8</v>
      </c>
      <c r="AA1358">
        <f t="shared" si="85"/>
        <v>18</v>
      </c>
      <c r="AB1358" s="5">
        <f t="shared" si="86"/>
        <v>0.30197916666656965</v>
      </c>
      <c r="AC1358" s="3">
        <f t="shared" si="87"/>
        <v>2.3032407407299615E-3</v>
      </c>
      <c r="AD1358" t="str" cm="1">
        <f t="array" ref="AD1358">IFERROR(_xlfn.IFS(
    AC1358="", "",
    AC1358*86400 &lt; 30, "1. 0s - &lt;30s",
    AC1358*86400 &lt; 60, "2. 30s - &lt;1m",
    AC1358*86400 &lt; 300, "3. 1m - &lt;5m",
    AC1358*86400 &lt; 1800, "4. 5m - &lt;30m",
    TRUE, "5. &gt;= 30m"
),"6. Invalid (Order rejected)")</f>
        <v>3. 1m - &lt;5m</v>
      </c>
    </row>
    <row r="1359" spans="1:30" hidden="1" x14ac:dyDescent="0.3">
      <c r="A1359" t="s">
        <v>7995</v>
      </c>
      <c r="B1359" t="s">
        <v>25</v>
      </c>
      <c r="C1359">
        <v>43701630</v>
      </c>
      <c r="D1359">
        <v>0</v>
      </c>
      <c r="E1359" t="s">
        <v>25</v>
      </c>
      <c r="F1359" t="s">
        <v>26</v>
      </c>
      <c r="G1359" t="s">
        <v>27</v>
      </c>
      <c r="H1359" t="s">
        <v>7996</v>
      </c>
      <c r="I1359" t="s">
        <v>7997</v>
      </c>
      <c r="J1359" t="s">
        <v>26</v>
      </c>
      <c r="K1359" t="s">
        <v>26</v>
      </c>
      <c r="L1359" t="s">
        <v>7998</v>
      </c>
      <c r="M1359" t="s">
        <v>25</v>
      </c>
      <c r="N1359" t="s">
        <v>7999</v>
      </c>
      <c r="O1359" t="s">
        <v>8000</v>
      </c>
      <c r="P1359" t="s">
        <v>2304</v>
      </c>
      <c r="Q1359" t="s">
        <v>2305</v>
      </c>
      <c r="R1359">
        <v>167400</v>
      </c>
      <c r="S1359">
        <v>0</v>
      </c>
      <c r="T1359">
        <v>167400</v>
      </c>
      <c r="U1359" t="s">
        <v>35</v>
      </c>
      <c r="V1359" t="s">
        <v>8001</v>
      </c>
      <c r="W1359" t="s">
        <v>2306</v>
      </c>
      <c r="X1359" s="4">
        <v>1</v>
      </c>
      <c r="Y1359" s="4"/>
      <c r="Z1359">
        <f t="shared" si="84"/>
        <v>8</v>
      </c>
      <c r="AA1359">
        <f t="shared" si="85"/>
        <v>18</v>
      </c>
      <c r="AB1359" s="5">
        <f t="shared" si="86"/>
        <v>0.30372685185284354</v>
      </c>
      <c r="AC1359" s="3">
        <f t="shared" si="87"/>
        <v>9.0266203704231884E-2</v>
      </c>
      <c r="AD1359" t="str" cm="1">
        <f t="array" ref="AD1359">IFERROR(_xlfn.IFS(
    AC1359="", "",
    AC1359*86400 &lt; 30, "1. 0s - &lt;30s",
    AC1359*86400 &lt; 60, "2. 30s - &lt;1m",
    AC1359*86400 &lt; 300, "3. 1m - &lt;5m",
    AC1359*86400 &lt; 1800, "4. 5m - &lt;30m",
    TRUE, "5. &gt;= 30m"
),"6. Invalid (Order rejected)")</f>
        <v>5. &gt;= 30m</v>
      </c>
    </row>
    <row r="1360" spans="1:30" hidden="1" x14ac:dyDescent="0.3">
      <c r="A1360" t="s">
        <v>8002</v>
      </c>
      <c r="B1360" t="s">
        <v>25</v>
      </c>
      <c r="C1360">
        <v>43701630</v>
      </c>
      <c r="D1360">
        <v>0</v>
      </c>
      <c r="E1360" t="s">
        <v>25</v>
      </c>
      <c r="F1360" t="s">
        <v>26</v>
      </c>
      <c r="G1360" t="s">
        <v>27</v>
      </c>
      <c r="H1360" t="s">
        <v>8003</v>
      </c>
      <c r="I1360" t="s">
        <v>8004</v>
      </c>
      <c r="J1360" t="s">
        <v>26</v>
      </c>
      <c r="K1360" t="s">
        <v>26</v>
      </c>
      <c r="L1360" t="s">
        <v>8005</v>
      </c>
      <c r="M1360" t="s">
        <v>25</v>
      </c>
      <c r="N1360" t="s">
        <v>3629</v>
      </c>
      <c r="O1360" t="s">
        <v>3630</v>
      </c>
      <c r="P1360" t="s">
        <v>3689</v>
      </c>
      <c r="Q1360" t="s">
        <v>3690</v>
      </c>
      <c r="R1360">
        <v>177120</v>
      </c>
      <c r="S1360">
        <v>0</v>
      </c>
      <c r="T1360">
        <v>177120</v>
      </c>
      <c r="U1360" t="s">
        <v>35</v>
      </c>
      <c r="V1360" t="s">
        <v>3633</v>
      </c>
      <c r="W1360" t="s">
        <v>3692</v>
      </c>
      <c r="X1360" s="4">
        <v>1</v>
      </c>
      <c r="Y1360" s="4"/>
      <c r="Z1360">
        <f t="shared" si="84"/>
        <v>8</v>
      </c>
      <c r="AA1360">
        <f t="shared" si="85"/>
        <v>18</v>
      </c>
      <c r="AB1360" s="5">
        <f t="shared" si="86"/>
        <v>0.29635416666860692</v>
      </c>
      <c r="AC1360" s="3">
        <f t="shared" si="87"/>
        <v>9.0254629627452232E-2</v>
      </c>
      <c r="AD1360" t="str" cm="1">
        <f t="array" ref="AD1360">IFERROR(_xlfn.IFS(
    AC1360="", "",
    AC1360*86400 &lt; 30, "1. 0s - &lt;30s",
    AC1360*86400 &lt; 60, "2. 30s - &lt;1m",
    AC1360*86400 &lt; 300, "3. 1m - &lt;5m",
    AC1360*86400 &lt; 1800, "4. 5m - &lt;30m",
    TRUE, "5. &gt;= 30m"
),"6. Invalid (Order rejected)")</f>
        <v>5. &gt;= 30m</v>
      </c>
    </row>
    <row r="1361" spans="1:30" x14ac:dyDescent="0.3">
      <c r="A1361" t="s">
        <v>8006</v>
      </c>
      <c r="B1361" t="s">
        <v>25</v>
      </c>
      <c r="C1361">
        <v>43701630</v>
      </c>
      <c r="D1361">
        <v>2625118</v>
      </c>
      <c r="E1361" t="s">
        <v>25</v>
      </c>
      <c r="F1361" t="s">
        <v>75</v>
      </c>
      <c r="G1361" t="s">
        <v>360</v>
      </c>
      <c r="H1361" t="s">
        <v>3597</v>
      </c>
      <c r="I1361" t="s">
        <v>8007</v>
      </c>
      <c r="J1361" t="s">
        <v>8008</v>
      </c>
      <c r="K1361" t="s">
        <v>26</v>
      </c>
      <c r="L1361" t="s">
        <v>25</v>
      </c>
      <c r="M1361" t="s">
        <v>25</v>
      </c>
      <c r="N1361" t="s">
        <v>3730</v>
      </c>
      <c r="O1361" t="s">
        <v>3731</v>
      </c>
      <c r="P1361" t="s">
        <v>3767</v>
      </c>
      <c r="Q1361" t="s">
        <v>3768</v>
      </c>
      <c r="R1361">
        <v>291708</v>
      </c>
      <c r="S1361">
        <v>226141</v>
      </c>
      <c r="T1361">
        <v>65567</v>
      </c>
      <c r="U1361" t="s">
        <v>35</v>
      </c>
      <c r="V1361" t="s">
        <v>3732</v>
      </c>
      <c r="W1361" t="s">
        <v>3770</v>
      </c>
      <c r="X1361" s="4">
        <v>1</v>
      </c>
      <c r="Y1361" s="4"/>
      <c r="Z1361">
        <f t="shared" si="84"/>
        <v>8</v>
      </c>
      <c r="AA1361">
        <f t="shared" si="85"/>
        <v>18</v>
      </c>
      <c r="AB1361" s="5">
        <f t="shared" si="86"/>
        <v>0.30486111110803904</v>
      </c>
      <c r="AC1361" s="3" t="str">
        <f t="shared" si="87"/>
        <v>Order rejected, no time available</v>
      </c>
      <c r="AD1361" t="str" cm="1">
        <f t="array" ref="AD1361">IFERROR(_xlfn.IFS(
    AC1361="", "",
    AC1361*86400 &lt; 30, "1. 0s - &lt;30s",
    AC1361*86400 &lt; 60, "2. 30s - &lt;1m",
    AC1361*86400 &lt; 300, "3. 1m - &lt;5m",
    AC1361*86400 &lt; 1800, "4. 5m - &lt;30m",
    TRUE, "5. &gt;= 30m"
),"6. Invalid (Order rejected)")</f>
        <v>6. Invalid (Order rejected)</v>
      </c>
    </row>
    <row r="1362" spans="1:30" hidden="1" x14ac:dyDescent="0.3">
      <c r="A1362" t="s">
        <v>8009</v>
      </c>
      <c r="B1362" t="s">
        <v>25</v>
      </c>
      <c r="C1362">
        <v>43701630</v>
      </c>
      <c r="D1362">
        <v>0</v>
      </c>
      <c r="E1362" t="s">
        <v>25</v>
      </c>
      <c r="F1362" t="s">
        <v>26</v>
      </c>
      <c r="G1362" t="s">
        <v>27</v>
      </c>
      <c r="H1362" t="s">
        <v>8010</v>
      </c>
      <c r="I1362" t="s">
        <v>8011</v>
      </c>
      <c r="J1362" t="s">
        <v>26</v>
      </c>
      <c r="K1362" t="s">
        <v>26</v>
      </c>
      <c r="L1362" t="s">
        <v>8012</v>
      </c>
      <c r="M1362" t="s">
        <v>25</v>
      </c>
      <c r="N1362" t="s">
        <v>3803</v>
      </c>
      <c r="O1362" t="s">
        <v>2493</v>
      </c>
      <c r="P1362" t="s">
        <v>2339</v>
      </c>
      <c r="Q1362" t="s">
        <v>2340</v>
      </c>
      <c r="R1362">
        <v>219780</v>
      </c>
      <c r="S1362">
        <v>0</v>
      </c>
      <c r="T1362">
        <v>219780</v>
      </c>
      <c r="U1362" t="s">
        <v>35</v>
      </c>
      <c r="V1362" t="s">
        <v>2494</v>
      </c>
      <c r="W1362" t="s">
        <v>2341</v>
      </c>
      <c r="X1362" s="4">
        <v>1</v>
      </c>
      <c r="Y1362" s="4"/>
      <c r="Z1362">
        <f t="shared" si="84"/>
        <v>8</v>
      </c>
      <c r="AA1362">
        <f t="shared" si="85"/>
        <v>18</v>
      </c>
      <c r="AB1362" s="5">
        <f t="shared" si="86"/>
        <v>0.30582175926247146</v>
      </c>
      <c r="AC1362" s="3">
        <f t="shared" si="87"/>
        <v>0.10130787036905531</v>
      </c>
      <c r="AD1362" t="str" cm="1">
        <f t="array" ref="AD1362">IFERROR(_xlfn.IFS(
    AC1362="", "",
    AC1362*86400 &lt; 30, "1. 0s - &lt;30s",
    AC1362*86400 &lt; 60, "2. 30s - &lt;1m",
    AC1362*86400 &lt; 300, "3. 1m - &lt;5m",
    AC1362*86400 &lt; 1800, "4. 5m - &lt;30m",
    TRUE, "5. &gt;= 30m"
),"6. Invalid (Order rejected)")</f>
        <v>5. &gt;= 30m</v>
      </c>
    </row>
    <row r="1363" spans="1:30" hidden="1" x14ac:dyDescent="0.3">
      <c r="A1363" t="s">
        <v>8013</v>
      </c>
      <c r="B1363" t="s">
        <v>25</v>
      </c>
      <c r="C1363">
        <v>43701630</v>
      </c>
      <c r="D1363">
        <v>0</v>
      </c>
      <c r="E1363" t="s">
        <v>25</v>
      </c>
      <c r="F1363" t="s">
        <v>26</v>
      </c>
      <c r="G1363" t="s">
        <v>27</v>
      </c>
      <c r="H1363" t="s">
        <v>8014</v>
      </c>
      <c r="I1363" t="s">
        <v>8015</v>
      </c>
      <c r="J1363" t="s">
        <v>26</v>
      </c>
      <c r="K1363" t="s">
        <v>26</v>
      </c>
      <c r="L1363" t="s">
        <v>8016</v>
      </c>
      <c r="M1363" t="s">
        <v>25</v>
      </c>
      <c r="N1363" t="s">
        <v>3796</v>
      </c>
      <c r="O1363" t="s">
        <v>3797</v>
      </c>
      <c r="P1363" t="s">
        <v>3836</v>
      </c>
      <c r="Q1363" t="s">
        <v>3837</v>
      </c>
      <c r="R1363">
        <v>188028</v>
      </c>
      <c r="S1363">
        <v>0</v>
      </c>
      <c r="T1363">
        <v>188028</v>
      </c>
      <c r="U1363" t="s">
        <v>35</v>
      </c>
      <c r="V1363" t="s">
        <v>3798</v>
      </c>
      <c r="W1363" t="s">
        <v>3839</v>
      </c>
      <c r="X1363" s="4">
        <v>1</v>
      </c>
      <c r="Y1363" s="4"/>
      <c r="Z1363">
        <f t="shared" si="84"/>
        <v>8</v>
      </c>
      <c r="AA1363">
        <f t="shared" si="85"/>
        <v>18</v>
      </c>
      <c r="AB1363" s="5">
        <f t="shared" si="86"/>
        <v>0.30754629629518604</v>
      </c>
      <c r="AC1363" s="3">
        <f t="shared" si="87"/>
        <v>9.0277777781011537E-2</v>
      </c>
      <c r="AD1363" t="str" cm="1">
        <f t="array" ref="AD1363">IFERROR(_xlfn.IFS(
    AC1363="", "",
    AC1363*86400 &lt; 30, "1. 0s - &lt;30s",
    AC1363*86400 &lt; 60, "2. 30s - &lt;1m",
    AC1363*86400 &lt; 300, "3. 1m - &lt;5m",
    AC1363*86400 &lt; 1800, "4. 5m - &lt;30m",
    TRUE, "5. &gt;= 30m"
),"6. Invalid (Order rejected)")</f>
        <v>5. &gt;= 30m</v>
      </c>
    </row>
    <row r="1364" spans="1:30" hidden="1" x14ac:dyDescent="0.3">
      <c r="A1364" t="s">
        <v>8017</v>
      </c>
      <c r="B1364" t="s">
        <v>25</v>
      </c>
      <c r="C1364">
        <v>43701630</v>
      </c>
      <c r="D1364">
        <v>4170193</v>
      </c>
      <c r="E1364" t="s">
        <v>25</v>
      </c>
      <c r="F1364" t="s">
        <v>75</v>
      </c>
      <c r="G1364" t="s">
        <v>76</v>
      </c>
      <c r="H1364" t="s">
        <v>8018</v>
      </c>
      <c r="I1364" t="s">
        <v>8019</v>
      </c>
      <c r="J1364" t="s">
        <v>8020</v>
      </c>
      <c r="K1364" t="s">
        <v>26</v>
      </c>
      <c r="L1364" t="s">
        <v>8021</v>
      </c>
      <c r="M1364" t="s">
        <v>25</v>
      </c>
      <c r="N1364" t="s">
        <v>987</v>
      </c>
      <c r="O1364" t="s">
        <v>988</v>
      </c>
      <c r="P1364" t="s">
        <v>3737</v>
      </c>
      <c r="Q1364" t="s">
        <v>3738</v>
      </c>
      <c r="R1364">
        <v>195696</v>
      </c>
      <c r="S1364">
        <v>160634</v>
      </c>
      <c r="T1364">
        <v>35062</v>
      </c>
      <c r="U1364" t="s">
        <v>35</v>
      </c>
      <c r="V1364" t="s">
        <v>991</v>
      </c>
      <c r="W1364" t="s">
        <v>2501</v>
      </c>
      <c r="X1364" s="4">
        <v>1</v>
      </c>
      <c r="Y1364" s="4"/>
      <c r="Z1364">
        <f t="shared" si="84"/>
        <v>8</v>
      </c>
      <c r="AA1364">
        <f t="shared" si="85"/>
        <v>18</v>
      </c>
      <c r="AB1364" s="5">
        <f t="shared" si="86"/>
        <v>0.30824074074189411</v>
      </c>
      <c r="AC1364" s="3">
        <f t="shared" si="87"/>
        <v>0.12599537037021946</v>
      </c>
      <c r="AD1364" t="str" cm="1">
        <f t="array" ref="AD1364">IFERROR(_xlfn.IFS(
    AC1364="", "",
    AC1364*86400 &lt; 30, "1. 0s - &lt;30s",
    AC1364*86400 &lt; 60, "2. 30s - &lt;1m",
    AC1364*86400 &lt; 300, "3. 1m - &lt;5m",
    AC1364*86400 &lt; 1800, "4. 5m - &lt;30m",
    TRUE, "5. &gt;= 30m"
),"6. Invalid (Order rejected)")</f>
        <v>5. &gt;= 30m</v>
      </c>
    </row>
    <row r="1365" spans="1:30" hidden="1" x14ac:dyDescent="0.3">
      <c r="A1365" t="s">
        <v>8022</v>
      </c>
      <c r="B1365" t="s">
        <v>25</v>
      </c>
      <c r="C1365">
        <v>43701630</v>
      </c>
      <c r="D1365">
        <v>0</v>
      </c>
      <c r="E1365" t="s">
        <v>25</v>
      </c>
      <c r="F1365" t="s">
        <v>26</v>
      </c>
      <c r="G1365" t="s">
        <v>27</v>
      </c>
      <c r="H1365" t="s">
        <v>8023</v>
      </c>
      <c r="I1365" t="s">
        <v>3870</v>
      </c>
      <c r="J1365" t="s">
        <v>26</v>
      </c>
      <c r="K1365" t="s">
        <v>26</v>
      </c>
      <c r="L1365" t="s">
        <v>8024</v>
      </c>
      <c r="M1365" t="s">
        <v>25</v>
      </c>
      <c r="N1365" t="s">
        <v>3789</v>
      </c>
      <c r="O1365" t="s">
        <v>3790</v>
      </c>
      <c r="P1365" t="s">
        <v>3611</v>
      </c>
      <c r="Q1365" t="s">
        <v>3612</v>
      </c>
      <c r="R1365">
        <v>238896</v>
      </c>
      <c r="S1365">
        <v>0</v>
      </c>
      <c r="T1365">
        <v>238896</v>
      </c>
      <c r="U1365" t="s">
        <v>35</v>
      </c>
      <c r="V1365" t="s">
        <v>3791</v>
      </c>
      <c r="W1365" t="s">
        <v>3614</v>
      </c>
      <c r="X1365" s="4">
        <v>1</v>
      </c>
      <c r="Y1365" s="4"/>
      <c r="Z1365">
        <f t="shared" si="84"/>
        <v>8</v>
      </c>
      <c r="AA1365">
        <f t="shared" si="85"/>
        <v>18</v>
      </c>
      <c r="AB1365" s="5">
        <f t="shared" si="86"/>
        <v>0.30962962962803431</v>
      </c>
      <c r="AC1365" s="3">
        <f t="shared" si="87"/>
        <v>9.0277777781011537E-2</v>
      </c>
      <c r="AD1365" t="str" cm="1">
        <f t="array" ref="AD1365">IFERROR(_xlfn.IFS(
    AC1365="", "",
    AC1365*86400 &lt; 30, "1. 0s - &lt;30s",
    AC1365*86400 &lt; 60, "2. 30s - &lt;1m",
    AC1365*86400 &lt; 300, "3. 1m - &lt;5m",
    AC1365*86400 &lt; 1800, "4. 5m - &lt;30m",
    TRUE, "5. &gt;= 30m"
),"6. Invalid (Order rejected)")</f>
        <v>5. &gt;= 30m</v>
      </c>
    </row>
    <row r="1366" spans="1:30" hidden="1" x14ac:dyDescent="0.3">
      <c r="A1366" t="s">
        <v>8025</v>
      </c>
      <c r="B1366" t="s">
        <v>25</v>
      </c>
      <c r="C1366">
        <v>43701630</v>
      </c>
      <c r="D1366">
        <v>0</v>
      </c>
      <c r="E1366" t="s">
        <v>25</v>
      </c>
      <c r="F1366" t="s">
        <v>26</v>
      </c>
      <c r="G1366" t="s">
        <v>27</v>
      </c>
      <c r="H1366" t="s">
        <v>8026</v>
      </c>
      <c r="I1366" t="s">
        <v>8027</v>
      </c>
      <c r="J1366" t="s">
        <v>26</v>
      </c>
      <c r="K1366" t="s">
        <v>26</v>
      </c>
      <c r="L1366" t="s">
        <v>8028</v>
      </c>
      <c r="M1366" t="s">
        <v>25</v>
      </c>
      <c r="N1366" t="s">
        <v>4160</v>
      </c>
      <c r="O1366" t="s">
        <v>4161</v>
      </c>
      <c r="P1366" t="s">
        <v>3715</v>
      </c>
      <c r="Q1366" t="s">
        <v>3716</v>
      </c>
      <c r="R1366">
        <v>250776</v>
      </c>
      <c r="S1366">
        <v>0</v>
      </c>
      <c r="T1366">
        <v>250776</v>
      </c>
      <c r="U1366" t="s">
        <v>35</v>
      </c>
      <c r="V1366" t="s">
        <v>4162</v>
      </c>
      <c r="W1366" t="s">
        <v>3717</v>
      </c>
      <c r="X1366" s="4">
        <v>1</v>
      </c>
      <c r="Y1366" s="4"/>
      <c r="Z1366">
        <f t="shared" si="84"/>
        <v>8</v>
      </c>
      <c r="AA1366">
        <f t="shared" si="85"/>
        <v>18</v>
      </c>
      <c r="AB1366" s="5">
        <f t="shared" si="86"/>
        <v>0.30246527777489973</v>
      </c>
      <c r="AC1366" s="3">
        <f t="shared" si="87"/>
        <v>9.0277777781011537E-2</v>
      </c>
      <c r="AD1366" t="str" cm="1">
        <f t="array" ref="AD1366">IFERROR(_xlfn.IFS(
    AC1366="", "",
    AC1366*86400 &lt; 30, "1. 0s - &lt;30s",
    AC1366*86400 &lt; 60, "2. 30s - &lt;1m",
    AC1366*86400 &lt; 300, "3. 1m - &lt;5m",
    AC1366*86400 &lt; 1800, "4. 5m - &lt;30m",
    TRUE, "5. &gt;= 30m"
),"6. Invalid (Order rejected)")</f>
        <v>5. &gt;= 30m</v>
      </c>
    </row>
    <row r="1367" spans="1:30" hidden="1" x14ac:dyDescent="0.3">
      <c r="A1367" t="s">
        <v>8029</v>
      </c>
      <c r="B1367" t="s">
        <v>25</v>
      </c>
      <c r="C1367">
        <v>43701630</v>
      </c>
      <c r="D1367">
        <v>4822140</v>
      </c>
      <c r="E1367" t="s">
        <v>25</v>
      </c>
      <c r="F1367" t="s">
        <v>75</v>
      </c>
      <c r="G1367" t="s">
        <v>491</v>
      </c>
      <c r="H1367" t="s">
        <v>8030</v>
      </c>
      <c r="I1367" t="s">
        <v>8031</v>
      </c>
      <c r="J1367" t="s">
        <v>8032</v>
      </c>
      <c r="K1367" t="s">
        <v>26</v>
      </c>
      <c r="L1367" t="s">
        <v>8033</v>
      </c>
      <c r="M1367" t="s">
        <v>25</v>
      </c>
      <c r="N1367" t="s">
        <v>7999</v>
      </c>
      <c r="O1367" t="s">
        <v>8000</v>
      </c>
      <c r="P1367" t="s">
        <v>3836</v>
      </c>
      <c r="Q1367" t="s">
        <v>3837</v>
      </c>
      <c r="R1367">
        <v>143208</v>
      </c>
      <c r="S1367">
        <v>111019</v>
      </c>
      <c r="T1367">
        <v>32189</v>
      </c>
      <c r="U1367" t="s">
        <v>35</v>
      </c>
      <c r="V1367" t="s">
        <v>8001</v>
      </c>
      <c r="W1367" t="s">
        <v>3839</v>
      </c>
      <c r="X1367" s="4">
        <v>1</v>
      </c>
      <c r="Y1367" s="4"/>
      <c r="Z1367">
        <f t="shared" si="84"/>
        <v>8</v>
      </c>
      <c r="AA1367">
        <f t="shared" si="85"/>
        <v>18</v>
      </c>
      <c r="AB1367" s="5">
        <f t="shared" si="86"/>
        <v>0.3034837962986785</v>
      </c>
      <c r="AC1367" s="3">
        <f t="shared" si="87"/>
        <v>10.007638888884685</v>
      </c>
      <c r="AD1367" t="str" cm="1">
        <f t="array" ref="AD1367">IFERROR(_xlfn.IFS(
    AC1367="", "",
    AC1367*86400 &lt; 30, "1. 0s - &lt;30s",
    AC1367*86400 &lt; 60, "2. 30s - &lt;1m",
    AC1367*86400 &lt; 300, "3. 1m - &lt;5m",
    AC1367*86400 &lt; 1800, "4. 5m - &lt;30m",
    TRUE, "5. &gt;= 30m"
),"6. Invalid (Order rejected)")</f>
        <v>5. &gt;= 30m</v>
      </c>
    </row>
    <row r="1368" spans="1:30" hidden="1" x14ac:dyDescent="0.3">
      <c r="A1368" t="s">
        <v>8034</v>
      </c>
      <c r="B1368" t="s">
        <v>25</v>
      </c>
      <c r="C1368">
        <v>43701630</v>
      </c>
      <c r="D1368">
        <v>0</v>
      </c>
      <c r="E1368" t="s">
        <v>25</v>
      </c>
      <c r="F1368" t="s">
        <v>26</v>
      </c>
      <c r="G1368" t="s">
        <v>27</v>
      </c>
      <c r="H1368" t="s">
        <v>8035</v>
      </c>
      <c r="I1368" t="s">
        <v>8036</v>
      </c>
      <c r="J1368" t="s">
        <v>26</v>
      </c>
      <c r="K1368" t="s">
        <v>26</v>
      </c>
      <c r="L1368" t="s">
        <v>8037</v>
      </c>
      <c r="M1368" t="s">
        <v>25</v>
      </c>
      <c r="N1368" t="s">
        <v>3796</v>
      </c>
      <c r="O1368" t="s">
        <v>3797</v>
      </c>
      <c r="P1368" t="s">
        <v>2304</v>
      </c>
      <c r="Q1368" t="s">
        <v>2305</v>
      </c>
      <c r="R1368">
        <v>159084</v>
      </c>
      <c r="S1368">
        <v>0</v>
      </c>
      <c r="T1368">
        <v>159084</v>
      </c>
      <c r="U1368" t="s">
        <v>35</v>
      </c>
      <c r="V1368" t="s">
        <v>3798</v>
      </c>
      <c r="W1368" t="s">
        <v>2306</v>
      </c>
      <c r="X1368" s="4">
        <v>1</v>
      </c>
      <c r="Y1368" s="4"/>
      <c r="Z1368">
        <f t="shared" si="84"/>
        <v>8</v>
      </c>
      <c r="AA1368">
        <f t="shared" si="85"/>
        <v>18</v>
      </c>
      <c r="AB1368" s="5">
        <f t="shared" si="86"/>
        <v>0.30768518518743804</v>
      </c>
      <c r="AC1368" s="3">
        <f t="shared" si="87"/>
        <v>0.163958333330811</v>
      </c>
      <c r="AD1368" t="str" cm="1">
        <f t="array" ref="AD1368">IFERROR(_xlfn.IFS(
    AC1368="", "",
    AC1368*86400 &lt; 30, "1. 0s - &lt;30s",
    AC1368*86400 &lt; 60, "2. 30s - &lt;1m",
    AC1368*86400 &lt; 300, "3. 1m - &lt;5m",
    AC1368*86400 &lt; 1800, "4. 5m - &lt;30m",
    TRUE, "5. &gt;= 30m"
),"6. Invalid (Order rejected)")</f>
        <v>5. &gt;= 30m</v>
      </c>
    </row>
    <row r="1369" spans="1:30" hidden="1" x14ac:dyDescent="0.3">
      <c r="A1369" t="s">
        <v>8038</v>
      </c>
      <c r="B1369" t="s">
        <v>25</v>
      </c>
      <c r="C1369">
        <v>43701630</v>
      </c>
      <c r="D1369">
        <v>0</v>
      </c>
      <c r="E1369" t="s">
        <v>25</v>
      </c>
      <c r="F1369" t="s">
        <v>26</v>
      </c>
      <c r="G1369" t="s">
        <v>27</v>
      </c>
      <c r="H1369" t="s">
        <v>8039</v>
      </c>
      <c r="I1369" t="s">
        <v>8040</v>
      </c>
      <c r="J1369" t="s">
        <v>26</v>
      </c>
      <c r="K1369" t="s">
        <v>26</v>
      </c>
      <c r="L1369" t="s">
        <v>8041</v>
      </c>
      <c r="M1369" t="s">
        <v>25</v>
      </c>
      <c r="N1369" t="s">
        <v>3730</v>
      </c>
      <c r="O1369" t="s">
        <v>3731</v>
      </c>
      <c r="P1369" t="s">
        <v>2322</v>
      </c>
      <c r="Q1369" t="s">
        <v>2323</v>
      </c>
      <c r="R1369">
        <v>290844</v>
      </c>
      <c r="S1369">
        <v>0</v>
      </c>
      <c r="T1369">
        <v>290844</v>
      </c>
      <c r="U1369" t="s">
        <v>35</v>
      </c>
      <c r="V1369" t="s">
        <v>3732</v>
      </c>
      <c r="W1369" t="s">
        <v>2324</v>
      </c>
      <c r="X1369" s="4">
        <v>1</v>
      </c>
      <c r="Y1369" s="4"/>
      <c r="Z1369">
        <f t="shared" si="84"/>
        <v>8</v>
      </c>
      <c r="AA1369">
        <f t="shared" si="85"/>
        <v>18</v>
      </c>
      <c r="AB1369" s="5">
        <f t="shared" si="86"/>
        <v>0.30501157407707069</v>
      </c>
      <c r="AC1369" s="3">
        <f t="shared" si="87"/>
        <v>9.0277777773735579E-2</v>
      </c>
      <c r="AD1369" t="str" cm="1">
        <f t="array" ref="AD1369">IFERROR(_xlfn.IFS(
    AC1369="", "",
    AC1369*86400 &lt; 30, "1. 0s - &lt;30s",
    AC1369*86400 &lt; 60, "2. 30s - &lt;1m",
    AC1369*86400 &lt; 300, "3. 1m - &lt;5m",
    AC1369*86400 &lt; 1800, "4. 5m - &lt;30m",
    TRUE, "5. &gt;= 30m"
),"6. Invalid (Order rejected)")</f>
        <v>5. &gt;= 30m</v>
      </c>
    </row>
    <row r="1370" spans="1:30" hidden="1" x14ac:dyDescent="0.3">
      <c r="A1370" t="s">
        <v>8042</v>
      </c>
      <c r="B1370" t="s">
        <v>25</v>
      </c>
      <c r="C1370">
        <v>43701630</v>
      </c>
      <c r="D1370">
        <v>0</v>
      </c>
      <c r="E1370" t="s">
        <v>25</v>
      </c>
      <c r="F1370" t="s">
        <v>26</v>
      </c>
      <c r="G1370" t="s">
        <v>27</v>
      </c>
      <c r="H1370" t="s">
        <v>8043</v>
      </c>
      <c r="I1370" t="s">
        <v>8044</v>
      </c>
      <c r="J1370" t="s">
        <v>26</v>
      </c>
      <c r="K1370" t="s">
        <v>26</v>
      </c>
      <c r="L1370" t="s">
        <v>8045</v>
      </c>
      <c r="M1370" t="s">
        <v>25</v>
      </c>
      <c r="N1370" t="s">
        <v>3808</v>
      </c>
      <c r="O1370" t="s">
        <v>3809</v>
      </c>
      <c r="P1370" t="s">
        <v>3701</v>
      </c>
      <c r="Q1370" t="s">
        <v>3702</v>
      </c>
      <c r="R1370">
        <v>244512</v>
      </c>
      <c r="S1370">
        <v>0</v>
      </c>
      <c r="T1370">
        <v>244512</v>
      </c>
      <c r="U1370" t="s">
        <v>35</v>
      </c>
      <c r="V1370" t="s">
        <v>3810</v>
      </c>
      <c r="W1370" t="s">
        <v>2316</v>
      </c>
      <c r="X1370" s="4">
        <v>1</v>
      </c>
      <c r="Y1370" s="4"/>
      <c r="Z1370">
        <f t="shared" si="84"/>
        <v>8</v>
      </c>
      <c r="AA1370">
        <f t="shared" si="85"/>
        <v>18</v>
      </c>
      <c r="AB1370" s="5">
        <f t="shared" si="86"/>
        <v>0.30650462963239988</v>
      </c>
      <c r="AC1370" s="3">
        <f t="shared" si="87"/>
        <v>9.0277777773735579E-2</v>
      </c>
      <c r="AD1370" t="str" cm="1">
        <f t="array" ref="AD1370">IFERROR(_xlfn.IFS(
    AC1370="", "",
    AC1370*86400 &lt; 30, "1. 0s - &lt;30s",
    AC1370*86400 &lt; 60, "2. 30s - &lt;1m",
    AC1370*86400 &lt; 300, "3. 1m - &lt;5m",
    AC1370*86400 &lt; 1800, "4. 5m - &lt;30m",
    TRUE, "5. &gt;= 30m"
),"6. Invalid (Order rejected)")</f>
        <v>5. &gt;= 30m</v>
      </c>
    </row>
    <row r="1371" spans="1:30" hidden="1" x14ac:dyDescent="0.3">
      <c r="A1371" t="s">
        <v>8046</v>
      </c>
      <c r="B1371" t="s">
        <v>25</v>
      </c>
      <c r="C1371">
        <v>43701630</v>
      </c>
      <c r="D1371">
        <v>0</v>
      </c>
      <c r="E1371" t="s">
        <v>25</v>
      </c>
      <c r="F1371" t="s">
        <v>26</v>
      </c>
      <c r="G1371" t="s">
        <v>27</v>
      </c>
      <c r="H1371" t="s">
        <v>8047</v>
      </c>
      <c r="I1371" t="s">
        <v>8048</v>
      </c>
      <c r="J1371" t="s">
        <v>26</v>
      </c>
      <c r="K1371" t="s">
        <v>26</v>
      </c>
      <c r="L1371" t="s">
        <v>8049</v>
      </c>
      <c r="M1371" t="s">
        <v>25</v>
      </c>
      <c r="N1371" t="s">
        <v>3789</v>
      </c>
      <c r="O1371" t="s">
        <v>3790</v>
      </c>
      <c r="P1371" t="s">
        <v>2409</v>
      </c>
      <c r="Q1371" t="s">
        <v>3593</v>
      </c>
      <c r="R1371">
        <v>180144</v>
      </c>
      <c r="S1371">
        <v>0</v>
      </c>
      <c r="T1371">
        <v>180144</v>
      </c>
      <c r="U1371" t="s">
        <v>35</v>
      </c>
      <c r="V1371" t="s">
        <v>3791</v>
      </c>
      <c r="W1371" t="s">
        <v>2411</v>
      </c>
      <c r="X1371" s="4">
        <v>1</v>
      </c>
      <c r="Y1371" s="4"/>
      <c r="Z1371">
        <f t="shared" si="84"/>
        <v>8</v>
      </c>
      <c r="AA1371">
        <f t="shared" si="85"/>
        <v>18</v>
      </c>
      <c r="AB1371" s="5">
        <f t="shared" si="86"/>
        <v>0.30976851852028631</v>
      </c>
      <c r="AC1371" s="3">
        <f t="shared" si="87"/>
        <v>9.7488425926712807E-2</v>
      </c>
      <c r="AD1371" t="str" cm="1">
        <f t="array" ref="AD1371">IFERROR(_xlfn.IFS(
    AC1371="", "",
    AC1371*86400 &lt; 30, "1. 0s - &lt;30s",
    AC1371*86400 &lt; 60, "2. 30s - &lt;1m",
    AC1371*86400 &lt; 300, "3. 1m - &lt;5m",
    AC1371*86400 &lt; 1800, "4. 5m - &lt;30m",
    TRUE, "5. &gt;= 30m"
),"6. Invalid (Order rejected)")</f>
        <v>5. &gt;= 30m</v>
      </c>
    </row>
    <row r="1372" spans="1:30" x14ac:dyDescent="0.3">
      <c r="A1372" t="s">
        <v>8050</v>
      </c>
      <c r="B1372" t="s">
        <v>25</v>
      </c>
      <c r="C1372">
        <v>43701630</v>
      </c>
      <c r="D1372">
        <v>4009018</v>
      </c>
      <c r="E1372" t="s">
        <v>25</v>
      </c>
      <c r="F1372" t="s">
        <v>75</v>
      </c>
      <c r="G1372" t="s">
        <v>360</v>
      </c>
      <c r="H1372" t="s">
        <v>8051</v>
      </c>
      <c r="I1372" t="s">
        <v>8052</v>
      </c>
      <c r="J1372" t="s">
        <v>8053</v>
      </c>
      <c r="K1372" t="s">
        <v>26</v>
      </c>
      <c r="L1372" t="s">
        <v>25</v>
      </c>
      <c r="M1372" t="s">
        <v>25</v>
      </c>
      <c r="N1372" t="s">
        <v>3843</v>
      </c>
      <c r="O1372" t="s">
        <v>3844</v>
      </c>
      <c r="P1372" t="s">
        <v>4201</v>
      </c>
      <c r="Q1372" t="s">
        <v>4202</v>
      </c>
      <c r="R1372">
        <v>131868</v>
      </c>
      <c r="S1372">
        <v>102228</v>
      </c>
      <c r="T1372">
        <v>29640</v>
      </c>
      <c r="U1372" t="s">
        <v>35</v>
      </c>
      <c r="V1372" t="s">
        <v>3847</v>
      </c>
      <c r="W1372" t="s">
        <v>4203</v>
      </c>
      <c r="X1372" s="4">
        <v>1</v>
      </c>
      <c r="Y1372" s="4"/>
      <c r="Z1372">
        <f t="shared" si="84"/>
        <v>8</v>
      </c>
      <c r="AA1372">
        <f t="shared" si="85"/>
        <v>18</v>
      </c>
      <c r="AB1372" s="5">
        <f t="shared" si="86"/>
        <v>0.31719907407386927</v>
      </c>
      <c r="AC1372" s="3" t="str">
        <f t="shared" si="87"/>
        <v>Order rejected, no time available</v>
      </c>
      <c r="AD1372" t="str" cm="1">
        <f t="array" ref="AD1372">IFERROR(_xlfn.IFS(
    AC1372="", "",
    AC1372*86400 &lt; 30, "1. 0s - &lt;30s",
    AC1372*86400 &lt; 60, "2. 30s - &lt;1m",
    AC1372*86400 &lt; 300, "3. 1m - &lt;5m",
    AC1372*86400 &lt; 1800, "4. 5m - &lt;30m",
    TRUE, "5. &gt;= 30m"
),"6. Invalid (Order rejected)")</f>
        <v>6. Invalid (Order rejected)</v>
      </c>
    </row>
    <row r="1373" spans="1:30" x14ac:dyDescent="0.3">
      <c r="A1373" t="s">
        <v>8054</v>
      </c>
      <c r="B1373" t="s">
        <v>25</v>
      </c>
      <c r="C1373">
        <v>43701630</v>
      </c>
      <c r="D1373">
        <v>2625118</v>
      </c>
      <c r="E1373" t="s">
        <v>25</v>
      </c>
      <c r="F1373" t="s">
        <v>75</v>
      </c>
      <c r="G1373" t="s">
        <v>360</v>
      </c>
      <c r="H1373" t="s">
        <v>8055</v>
      </c>
      <c r="I1373" t="s">
        <v>8056</v>
      </c>
      <c r="J1373" t="s">
        <v>8057</v>
      </c>
      <c r="K1373" t="s">
        <v>26</v>
      </c>
      <c r="L1373" t="s">
        <v>25</v>
      </c>
      <c r="M1373" t="s">
        <v>25</v>
      </c>
      <c r="N1373" t="s">
        <v>3808</v>
      </c>
      <c r="O1373" t="s">
        <v>3809</v>
      </c>
      <c r="P1373" t="s">
        <v>2370</v>
      </c>
      <c r="Q1373" t="s">
        <v>2371</v>
      </c>
      <c r="R1373">
        <v>248832</v>
      </c>
      <c r="S1373">
        <v>192902</v>
      </c>
      <c r="T1373">
        <v>55930</v>
      </c>
      <c r="U1373" t="s">
        <v>35</v>
      </c>
      <c r="V1373" t="s">
        <v>3810</v>
      </c>
      <c r="W1373" t="s">
        <v>2373</v>
      </c>
      <c r="X1373" s="4">
        <v>1</v>
      </c>
      <c r="Y1373" s="4"/>
      <c r="Z1373">
        <f t="shared" si="84"/>
        <v>8</v>
      </c>
      <c r="AA1373">
        <f t="shared" si="85"/>
        <v>18</v>
      </c>
      <c r="AB1373" s="5">
        <f t="shared" si="86"/>
        <v>0.30707175925635966</v>
      </c>
      <c r="AC1373" s="3" t="str">
        <f t="shared" si="87"/>
        <v>Order rejected, no time available</v>
      </c>
      <c r="AD1373" t="str" cm="1">
        <f t="array" ref="AD1373">IFERROR(_xlfn.IFS(
    AC1373="", "",
    AC1373*86400 &lt; 30, "1. 0s - &lt;30s",
    AC1373*86400 &lt; 60, "2. 30s - &lt;1m",
    AC1373*86400 &lt; 300, "3. 1m - &lt;5m",
    AC1373*86400 &lt; 1800, "4. 5m - &lt;30m",
    TRUE, "5. &gt;= 30m"
),"6. Invalid (Order rejected)")</f>
        <v>6. Invalid (Order rejected)</v>
      </c>
    </row>
    <row r="1374" spans="1:30" hidden="1" x14ac:dyDescent="0.3">
      <c r="A1374" t="s">
        <v>8058</v>
      </c>
      <c r="B1374" t="s">
        <v>25</v>
      </c>
      <c r="C1374">
        <v>43701630</v>
      </c>
      <c r="D1374">
        <v>0</v>
      </c>
      <c r="E1374" t="s">
        <v>25</v>
      </c>
      <c r="F1374" t="s">
        <v>26</v>
      </c>
      <c r="G1374" t="s">
        <v>27</v>
      </c>
      <c r="H1374" t="s">
        <v>8059</v>
      </c>
      <c r="I1374" t="s">
        <v>3831</v>
      </c>
      <c r="J1374" t="s">
        <v>26</v>
      </c>
      <c r="K1374" t="s">
        <v>26</v>
      </c>
      <c r="L1374" t="s">
        <v>8060</v>
      </c>
      <c r="M1374" t="s">
        <v>25</v>
      </c>
      <c r="N1374" t="s">
        <v>4219</v>
      </c>
      <c r="O1374" t="s">
        <v>1114</v>
      </c>
      <c r="P1374" t="s">
        <v>3767</v>
      </c>
      <c r="Q1374" t="s">
        <v>3768</v>
      </c>
      <c r="R1374">
        <v>292896</v>
      </c>
      <c r="S1374">
        <v>0</v>
      </c>
      <c r="T1374">
        <v>292896</v>
      </c>
      <c r="U1374" t="s">
        <v>35</v>
      </c>
      <c r="V1374" t="s">
        <v>1115</v>
      </c>
      <c r="W1374" t="s">
        <v>3770</v>
      </c>
      <c r="X1374" s="4">
        <v>1</v>
      </c>
      <c r="Y1374" s="4"/>
      <c r="Z1374">
        <f t="shared" si="84"/>
        <v>8</v>
      </c>
      <c r="AA1374">
        <f t="shared" si="85"/>
        <v>18</v>
      </c>
      <c r="AB1374" s="5">
        <f t="shared" si="86"/>
        <v>0.30869212962716119</v>
      </c>
      <c r="AC1374" s="3">
        <f t="shared" si="87"/>
        <v>0.11613425926043419</v>
      </c>
      <c r="AD1374" t="str" cm="1">
        <f t="array" ref="AD1374">IFERROR(_xlfn.IFS(
    AC1374="", "",
    AC1374*86400 &lt; 30, "1. 0s - &lt;30s",
    AC1374*86400 &lt; 60, "2. 30s - &lt;1m",
    AC1374*86400 &lt; 300, "3. 1m - &lt;5m",
    AC1374*86400 &lt; 1800, "4. 5m - &lt;30m",
    TRUE, "5. &gt;= 30m"
),"6. Invalid (Order rejected)")</f>
        <v>5. &gt;= 30m</v>
      </c>
    </row>
    <row r="1375" spans="1:30" hidden="1" x14ac:dyDescent="0.3">
      <c r="A1375" t="s">
        <v>8061</v>
      </c>
      <c r="B1375" t="s">
        <v>25</v>
      </c>
      <c r="C1375">
        <v>43701630</v>
      </c>
      <c r="D1375">
        <v>4361679</v>
      </c>
      <c r="E1375" t="s">
        <v>25</v>
      </c>
      <c r="F1375" t="s">
        <v>75</v>
      </c>
      <c r="G1375" t="s">
        <v>76</v>
      </c>
      <c r="H1375" t="s">
        <v>8062</v>
      </c>
      <c r="I1375" t="s">
        <v>8063</v>
      </c>
      <c r="J1375" t="s">
        <v>8064</v>
      </c>
      <c r="K1375" t="s">
        <v>26</v>
      </c>
      <c r="L1375" t="s">
        <v>8065</v>
      </c>
      <c r="M1375" t="s">
        <v>25</v>
      </c>
      <c r="N1375" t="s">
        <v>8066</v>
      </c>
      <c r="O1375" t="s">
        <v>2379</v>
      </c>
      <c r="P1375" t="s">
        <v>2322</v>
      </c>
      <c r="Q1375" t="s">
        <v>2323</v>
      </c>
      <c r="R1375">
        <v>283716</v>
      </c>
      <c r="S1375">
        <v>219946</v>
      </c>
      <c r="T1375">
        <v>63770</v>
      </c>
      <c r="U1375" t="s">
        <v>35</v>
      </c>
      <c r="V1375" t="s">
        <v>2380</v>
      </c>
      <c r="W1375" t="s">
        <v>2324</v>
      </c>
      <c r="X1375" s="4">
        <v>1</v>
      </c>
      <c r="Y1375" s="4"/>
      <c r="Z1375">
        <f t="shared" si="84"/>
        <v>8</v>
      </c>
      <c r="AA1375">
        <f t="shared" si="85"/>
        <v>18</v>
      </c>
      <c r="AB1375" s="5">
        <f t="shared" si="86"/>
        <v>0.30899305555794854</v>
      </c>
      <c r="AC1375" s="3">
        <f t="shared" si="87"/>
        <v>0.187430555553874</v>
      </c>
      <c r="AD1375" t="str" cm="1">
        <f t="array" ref="AD1375">IFERROR(_xlfn.IFS(
    AC1375="", "",
    AC1375*86400 &lt; 30, "1. 0s - &lt;30s",
    AC1375*86400 &lt; 60, "2. 30s - &lt;1m",
    AC1375*86400 &lt; 300, "3. 1m - &lt;5m",
    AC1375*86400 &lt; 1800, "4. 5m - &lt;30m",
    TRUE, "5. &gt;= 30m"
),"6. Invalid (Order rejected)")</f>
        <v>5. &gt;= 30m</v>
      </c>
    </row>
    <row r="1376" spans="1:30" hidden="1" x14ac:dyDescent="0.3">
      <c r="A1376" t="s">
        <v>8067</v>
      </c>
      <c r="B1376" t="s">
        <v>25</v>
      </c>
      <c r="C1376">
        <v>43701630</v>
      </c>
      <c r="D1376">
        <v>0</v>
      </c>
      <c r="E1376" t="s">
        <v>25</v>
      </c>
      <c r="F1376" t="s">
        <v>26</v>
      </c>
      <c r="G1376" t="s">
        <v>27</v>
      </c>
      <c r="H1376" t="s">
        <v>8063</v>
      </c>
      <c r="I1376" t="s">
        <v>8068</v>
      </c>
      <c r="J1376" t="s">
        <v>26</v>
      </c>
      <c r="K1376" t="s">
        <v>26</v>
      </c>
      <c r="L1376" t="s">
        <v>8069</v>
      </c>
      <c r="M1376" t="s">
        <v>25</v>
      </c>
      <c r="N1376" t="s">
        <v>3853</v>
      </c>
      <c r="O1376" t="s">
        <v>3854</v>
      </c>
      <c r="P1376" t="s">
        <v>8070</v>
      </c>
      <c r="Q1376" t="s">
        <v>8071</v>
      </c>
      <c r="R1376">
        <v>202500</v>
      </c>
      <c r="S1376">
        <v>0</v>
      </c>
      <c r="T1376">
        <v>202500</v>
      </c>
      <c r="U1376" t="s">
        <v>35</v>
      </c>
      <c r="V1376" t="s">
        <v>3857</v>
      </c>
      <c r="W1376" t="s">
        <v>8072</v>
      </c>
      <c r="X1376" s="4">
        <v>1</v>
      </c>
      <c r="Y1376" s="4"/>
      <c r="Z1376">
        <f t="shared" si="84"/>
        <v>8</v>
      </c>
      <c r="AA1376">
        <f t="shared" si="85"/>
        <v>18</v>
      </c>
      <c r="AB1376" s="5">
        <f t="shared" si="86"/>
        <v>0.31593750000320142</v>
      </c>
      <c r="AC1376" s="3">
        <f t="shared" si="87"/>
        <v>9.0266203696955927E-2</v>
      </c>
      <c r="AD1376" t="str" cm="1">
        <f t="array" ref="AD1376">IFERROR(_xlfn.IFS(
    AC1376="", "",
    AC1376*86400 &lt; 30, "1. 0s - &lt;30s",
    AC1376*86400 &lt; 60, "2. 30s - &lt;1m",
    AC1376*86400 &lt; 300, "3. 1m - &lt;5m",
    AC1376*86400 &lt; 1800, "4. 5m - &lt;30m",
    TRUE, "5. &gt;= 30m"
),"6. Invalid (Order rejected)")</f>
        <v>5. &gt;= 30m</v>
      </c>
    </row>
    <row r="1377" spans="1:30" x14ac:dyDescent="0.3">
      <c r="A1377" t="s">
        <v>8073</v>
      </c>
      <c r="B1377" t="s">
        <v>25</v>
      </c>
      <c r="C1377">
        <v>43701630</v>
      </c>
      <c r="D1377">
        <v>4749555</v>
      </c>
      <c r="E1377" t="s">
        <v>25</v>
      </c>
      <c r="F1377" t="s">
        <v>75</v>
      </c>
      <c r="G1377" t="s">
        <v>360</v>
      </c>
      <c r="H1377" t="s">
        <v>8074</v>
      </c>
      <c r="I1377" t="s">
        <v>8075</v>
      </c>
      <c r="J1377" t="s">
        <v>8076</v>
      </c>
      <c r="K1377" t="s">
        <v>26</v>
      </c>
      <c r="L1377" t="s">
        <v>25</v>
      </c>
      <c r="M1377" t="s">
        <v>25</v>
      </c>
      <c r="N1377" t="s">
        <v>3863</v>
      </c>
      <c r="O1377" t="s">
        <v>3864</v>
      </c>
      <c r="P1377" t="s">
        <v>8077</v>
      </c>
      <c r="Q1377" t="s">
        <v>8078</v>
      </c>
      <c r="R1377">
        <v>147744</v>
      </c>
      <c r="S1377">
        <v>114536</v>
      </c>
      <c r="T1377">
        <v>33208</v>
      </c>
      <c r="U1377" t="s">
        <v>35</v>
      </c>
      <c r="V1377" t="s">
        <v>3867</v>
      </c>
      <c r="W1377" t="s">
        <v>8079</v>
      </c>
      <c r="X1377" s="4">
        <v>1</v>
      </c>
      <c r="Y1377" s="4"/>
      <c r="Z1377">
        <f t="shared" si="84"/>
        <v>8</v>
      </c>
      <c r="AA1377">
        <f t="shared" si="85"/>
        <v>18</v>
      </c>
      <c r="AB1377" s="5">
        <f t="shared" si="86"/>
        <v>0.31765046296641231</v>
      </c>
      <c r="AC1377" s="3" t="str">
        <f t="shared" si="87"/>
        <v>Order rejected, no time available</v>
      </c>
      <c r="AD1377" t="str" cm="1">
        <f t="array" ref="AD1377">IFERROR(_xlfn.IFS(
    AC1377="", "",
    AC1377*86400 &lt; 30, "1. 0s - &lt;30s",
    AC1377*86400 &lt; 60, "2. 30s - &lt;1m",
    AC1377*86400 &lt; 300, "3. 1m - &lt;5m",
    AC1377*86400 &lt; 1800, "4. 5m - &lt;30m",
    TRUE, "5. &gt;= 30m"
),"6. Invalid (Order rejected)")</f>
        <v>6. Invalid (Order rejected)</v>
      </c>
    </row>
    <row r="1378" spans="1:30" hidden="1" x14ac:dyDescent="0.3">
      <c r="A1378" t="s">
        <v>8080</v>
      </c>
      <c r="B1378" t="s">
        <v>25</v>
      </c>
      <c r="C1378">
        <v>43701630</v>
      </c>
      <c r="D1378">
        <v>0</v>
      </c>
      <c r="E1378" t="s">
        <v>25</v>
      </c>
      <c r="F1378" t="s">
        <v>26</v>
      </c>
      <c r="G1378" t="s">
        <v>27</v>
      </c>
      <c r="H1378" t="s">
        <v>8081</v>
      </c>
      <c r="I1378" t="s">
        <v>8082</v>
      </c>
      <c r="J1378" t="s">
        <v>26</v>
      </c>
      <c r="K1378" t="s">
        <v>26</v>
      </c>
      <c r="L1378" t="s">
        <v>8083</v>
      </c>
      <c r="M1378" t="s">
        <v>25</v>
      </c>
      <c r="N1378" t="s">
        <v>987</v>
      </c>
      <c r="O1378" t="s">
        <v>988</v>
      </c>
      <c r="P1378" t="s">
        <v>3689</v>
      </c>
      <c r="Q1378" t="s">
        <v>3690</v>
      </c>
      <c r="R1378">
        <v>119016</v>
      </c>
      <c r="S1378">
        <v>0</v>
      </c>
      <c r="T1378">
        <v>119016</v>
      </c>
      <c r="U1378" t="s">
        <v>35</v>
      </c>
      <c r="V1378" t="s">
        <v>991</v>
      </c>
      <c r="W1378" t="s">
        <v>3692</v>
      </c>
      <c r="X1378" s="4">
        <v>1</v>
      </c>
      <c r="Y1378" s="4"/>
      <c r="Z1378">
        <f t="shared" si="84"/>
        <v>8</v>
      </c>
      <c r="AA1378">
        <f t="shared" si="85"/>
        <v>18</v>
      </c>
      <c r="AB1378" s="5">
        <f t="shared" si="86"/>
        <v>0.30807870370335877</v>
      </c>
      <c r="AC1378" s="3">
        <f t="shared" si="87"/>
        <v>9.0277777781011537E-2</v>
      </c>
      <c r="AD1378" t="str" cm="1">
        <f t="array" ref="AD1378">IFERROR(_xlfn.IFS(
    AC1378="", "",
    AC1378*86400 &lt; 30, "1. 0s - &lt;30s",
    AC1378*86400 &lt; 60, "2. 30s - &lt;1m",
    AC1378*86400 &lt; 300, "3. 1m - &lt;5m",
    AC1378*86400 &lt; 1800, "4. 5m - &lt;30m",
    TRUE, "5. &gt;= 30m"
),"6. Invalid (Order rejected)")</f>
        <v>5. &gt;= 30m</v>
      </c>
    </row>
    <row r="1379" spans="1:30" x14ac:dyDescent="0.3">
      <c r="A1379" t="s">
        <v>8084</v>
      </c>
      <c r="B1379" t="s">
        <v>25</v>
      </c>
      <c r="C1379">
        <v>43701630</v>
      </c>
      <c r="D1379">
        <v>4774577</v>
      </c>
      <c r="E1379" t="s">
        <v>25</v>
      </c>
      <c r="F1379" t="s">
        <v>75</v>
      </c>
      <c r="G1379" t="s">
        <v>360</v>
      </c>
      <c r="H1379" t="s">
        <v>8085</v>
      </c>
      <c r="I1379" t="s">
        <v>8086</v>
      </c>
      <c r="J1379" t="s">
        <v>8087</v>
      </c>
      <c r="K1379" t="s">
        <v>26</v>
      </c>
      <c r="L1379" t="s">
        <v>25</v>
      </c>
      <c r="M1379" t="s">
        <v>25</v>
      </c>
      <c r="N1379" t="s">
        <v>8066</v>
      </c>
      <c r="O1379" t="s">
        <v>2379</v>
      </c>
      <c r="P1379" t="s">
        <v>2339</v>
      </c>
      <c r="Q1379" t="s">
        <v>2340</v>
      </c>
      <c r="R1379">
        <v>166536</v>
      </c>
      <c r="S1379">
        <v>129104</v>
      </c>
      <c r="T1379">
        <v>37432</v>
      </c>
      <c r="U1379" t="s">
        <v>35</v>
      </c>
      <c r="V1379" t="s">
        <v>2380</v>
      </c>
      <c r="W1379" t="s">
        <v>2341</v>
      </c>
      <c r="X1379" s="4">
        <v>1</v>
      </c>
      <c r="Y1379" s="4"/>
      <c r="Z1379">
        <f t="shared" si="84"/>
        <v>8</v>
      </c>
      <c r="AA1379">
        <f t="shared" si="85"/>
        <v>18</v>
      </c>
      <c r="AB1379" s="5">
        <f t="shared" si="86"/>
        <v>0.30915509258920792</v>
      </c>
      <c r="AC1379" s="3" t="str">
        <f t="shared" si="87"/>
        <v>Order rejected, no time available</v>
      </c>
      <c r="AD1379" t="str" cm="1">
        <f t="array" ref="AD1379">IFERROR(_xlfn.IFS(
    AC1379="", "",
    AC1379*86400 &lt; 30, "1. 0s - &lt;30s",
    AC1379*86400 &lt; 60, "2. 30s - &lt;1m",
    AC1379*86400 &lt; 300, "3. 1m - &lt;5m",
    AC1379*86400 &lt; 1800, "4. 5m - &lt;30m",
    TRUE, "5. &gt;= 30m"
),"6. Invalid (Order rejected)")</f>
        <v>6. Invalid (Order rejected)</v>
      </c>
    </row>
    <row r="1380" spans="1:30" hidden="1" x14ac:dyDescent="0.3">
      <c r="A1380" t="s">
        <v>8088</v>
      </c>
      <c r="B1380" t="s">
        <v>25</v>
      </c>
      <c r="C1380">
        <v>43701630</v>
      </c>
      <c r="D1380">
        <v>0</v>
      </c>
      <c r="E1380" t="s">
        <v>25</v>
      </c>
      <c r="F1380" t="s">
        <v>26</v>
      </c>
      <c r="G1380" t="s">
        <v>27</v>
      </c>
      <c r="H1380" t="s">
        <v>8089</v>
      </c>
      <c r="I1380" t="s">
        <v>8090</v>
      </c>
      <c r="J1380" t="s">
        <v>26</v>
      </c>
      <c r="K1380" t="s">
        <v>26</v>
      </c>
      <c r="L1380" t="s">
        <v>8091</v>
      </c>
      <c r="M1380" t="s">
        <v>25</v>
      </c>
      <c r="N1380" t="s">
        <v>3823</v>
      </c>
      <c r="O1380" t="s">
        <v>3824</v>
      </c>
      <c r="P1380" t="s">
        <v>3715</v>
      </c>
      <c r="Q1380" t="s">
        <v>3716</v>
      </c>
      <c r="R1380">
        <v>202392</v>
      </c>
      <c r="S1380">
        <v>0</v>
      </c>
      <c r="T1380">
        <v>202392</v>
      </c>
      <c r="U1380" t="s">
        <v>35</v>
      </c>
      <c r="V1380" t="s">
        <v>3825</v>
      </c>
      <c r="W1380" t="s">
        <v>3717</v>
      </c>
      <c r="X1380" s="4">
        <v>1</v>
      </c>
      <c r="Y1380" s="4"/>
      <c r="Z1380">
        <f t="shared" si="84"/>
        <v>8</v>
      </c>
      <c r="AA1380">
        <f t="shared" si="85"/>
        <v>18</v>
      </c>
      <c r="AB1380" s="5">
        <f t="shared" si="86"/>
        <v>0.31041666666715173</v>
      </c>
      <c r="AC1380" s="3">
        <f t="shared" si="87"/>
        <v>0.11667824073811062</v>
      </c>
      <c r="AD1380" t="str" cm="1">
        <f t="array" ref="AD1380">IFERROR(_xlfn.IFS(
    AC1380="", "",
    AC1380*86400 &lt; 30, "1. 0s - &lt;30s",
    AC1380*86400 &lt; 60, "2. 30s - &lt;1m",
    AC1380*86400 &lt; 300, "3. 1m - &lt;5m",
    AC1380*86400 &lt; 1800, "4. 5m - &lt;30m",
    TRUE, "5. &gt;= 30m"
),"6. Invalid (Order rejected)")</f>
        <v>5. &gt;= 30m</v>
      </c>
    </row>
    <row r="1381" spans="1:30" hidden="1" x14ac:dyDescent="0.3">
      <c r="A1381" t="s">
        <v>8092</v>
      </c>
      <c r="B1381" t="s">
        <v>25</v>
      </c>
      <c r="C1381">
        <v>43701630</v>
      </c>
      <c r="D1381">
        <v>0</v>
      </c>
      <c r="E1381" t="s">
        <v>25</v>
      </c>
      <c r="F1381" t="s">
        <v>26</v>
      </c>
      <c r="G1381" t="s">
        <v>27</v>
      </c>
      <c r="H1381" t="s">
        <v>8093</v>
      </c>
      <c r="I1381" t="s">
        <v>8094</v>
      </c>
      <c r="J1381" t="s">
        <v>26</v>
      </c>
      <c r="K1381" t="s">
        <v>26</v>
      </c>
      <c r="L1381" t="s">
        <v>8095</v>
      </c>
      <c r="M1381" t="s">
        <v>25</v>
      </c>
      <c r="N1381" t="s">
        <v>4219</v>
      </c>
      <c r="O1381" t="s">
        <v>1114</v>
      </c>
      <c r="P1381" t="s">
        <v>3631</v>
      </c>
      <c r="Q1381" t="s">
        <v>3632</v>
      </c>
      <c r="R1381">
        <v>173988</v>
      </c>
      <c r="S1381">
        <v>0</v>
      </c>
      <c r="T1381">
        <v>173988</v>
      </c>
      <c r="U1381" t="s">
        <v>35</v>
      </c>
      <c r="V1381" t="s">
        <v>1115</v>
      </c>
      <c r="W1381" t="s">
        <v>3634</v>
      </c>
      <c r="X1381" s="4">
        <v>1</v>
      </c>
      <c r="Y1381" s="4"/>
      <c r="Z1381">
        <f t="shared" si="84"/>
        <v>8</v>
      </c>
      <c r="AA1381">
        <f t="shared" si="85"/>
        <v>18</v>
      </c>
      <c r="AB1381" s="5">
        <f t="shared" si="86"/>
        <v>0.30851851851912215</v>
      </c>
      <c r="AC1381" s="3">
        <f t="shared" si="87"/>
        <v>9.0277777773735579E-2</v>
      </c>
      <c r="AD1381" t="str" cm="1">
        <f t="array" ref="AD1381">IFERROR(_xlfn.IFS(
    AC1381="", "",
    AC1381*86400 &lt; 30, "1. 0s - &lt;30s",
    AC1381*86400 &lt; 60, "2. 30s - &lt;1m",
    AC1381*86400 &lt; 300, "3. 1m - &lt;5m",
    AC1381*86400 &lt; 1800, "4. 5m - &lt;30m",
    TRUE, "5. &gt;= 30m"
),"6. Invalid (Order rejected)")</f>
        <v>5. &gt;= 30m</v>
      </c>
    </row>
    <row r="1382" spans="1:30" hidden="1" x14ac:dyDescent="0.3">
      <c r="A1382" t="s">
        <v>8096</v>
      </c>
      <c r="B1382" t="s">
        <v>25</v>
      </c>
      <c r="C1382">
        <v>43701630</v>
      </c>
      <c r="D1382">
        <v>0</v>
      </c>
      <c r="E1382" t="s">
        <v>25</v>
      </c>
      <c r="F1382" t="s">
        <v>26</v>
      </c>
      <c r="G1382" t="s">
        <v>27</v>
      </c>
      <c r="H1382" t="s">
        <v>8097</v>
      </c>
      <c r="I1382" t="s">
        <v>8074</v>
      </c>
      <c r="J1382" t="s">
        <v>26</v>
      </c>
      <c r="K1382" t="s">
        <v>26</v>
      </c>
      <c r="L1382" t="s">
        <v>8098</v>
      </c>
      <c r="M1382" t="s">
        <v>25</v>
      </c>
      <c r="N1382" t="s">
        <v>3823</v>
      </c>
      <c r="O1382" t="s">
        <v>3824</v>
      </c>
      <c r="P1382" t="s">
        <v>3778</v>
      </c>
      <c r="Q1382" t="s">
        <v>3779</v>
      </c>
      <c r="R1382">
        <v>170424</v>
      </c>
      <c r="S1382">
        <v>0</v>
      </c>
      <c r="T1382">
        <v>170424</v>
      </c>
      <c r="U1382" t="s">
        <v>35</v>
      </c>
      <c r="V1382" t="s">
        <v>3825</v>
      </c>
      <c r="W1382" t="s">
        <v>3781</v>
      </c>
      <c r="X1382" s="4">
        <v>1</v>
      </c>
      <c r="Y1382" s="4"/>
      <c r="Z1382">
        <f t="shared" si="84"/>
        <v>8</v>
      </c>
      <c r="AA1382">
        <f t="shared" si="85"/>
        <v>18</v>
      </c>
      <c r="AB1382" s="5">
        <f t="shared" si="86"/>
        <v>0.31070601852115942</v>
      </c>
      <c r="AC1382" s="3">
        <f t="shared" si="87"/>
        <v>9.0277777773735579E-2</v>
      </c>
      <c r="AD1382" t="str" cm="1">
        <f t="array" ref="AD1382">IFERROR(_xlfn.IFS(
    AC1382="", "",
    AC1382*86400 &lt; 30, "1. 0s - &lt;30s",
    AC1382*86400 &lt; 60, "2. 30s - &lt;1m",
    AC1382*86400 &lt; 300, "3. 1m - &lt;5m",
    AC1382*86400 &lt; 1800, "4. 5m - &lt;30m",
    TRUE, "5. &gt;= 30m"
),"6. Invalid (Order rejected)")</f>
        <v>5. &gt;= 30m</v>
      </c>
    </row>
    <row r="1383" spans="1:30" hidden="1" x14ac:dyDescent="0.3">
      <c r="A1383" t="s">
        <v>8099</v>
      </c>
      <c r="B1383" t="s">
        <v>25</v>
      </c>
      <c r="C1383">
        <v>43701630</v>
      </c>
      <c r="D1383">
        <v>0</v>
      </c>
      <c r="E1383" t="s">
        <v>25</v>
      </c>
      <c r="F1383" t="s">
        <v>26</v>
      </c>
      <c r="G1383" t="s">
        <v>27</v>
      </c>
      <c r="H1383" t="s">
        <v>8100</v>
      </c>
      <c r="I1383" t="s">
        <v>8101</v>
      </c>
      <c r="J1383" t="s">
        <v>26</v>
      </c>
      <c r="K1383" t="s">
        <v>26</v>
      </c>
      <c r="L1383" t="s">
        <v>8102</v>
      </c>
      <c r="M1383" t="s">
        <v>25</v>
      </c>
      <c r="N1383" t="s">
        <v>3808</v>
      </c>
      <c r="O1383" t="s">
        <v>3809</v>
      </c>
      <c r="P1383" t="s">
        <v>3930</v>
      </c>
      <c r="Q1383" t="s">
        <v>3931</v>
      </c>
      <c r="R1383">
        <v>132300</v>
      </c>
      <c r="S1383">
        <v>0</v>
      </c>
      <c r="T1383">
        <v>132300</v>
      </c>
      <c r="U1383" t="s">
        <v>35</v>
      </c>
      <c r="V1383" t="s">
        <v>3810</v>
      </c>
      <c r="W1383" t="s">
        <v>3932</v>
      </c>
      <c r="X1383" s="4">
        <v>1</v>
      </c>
      <c r="Y1383" s="4"/>
      <c r="Z1383">
        <f t="shared" si="84"/>
        <v>8</v>
      </c>
      <c r="AA1383">
        <f t="shared" si="85"/>
        <v>18</v>
      </c>
      <c r="AB1383" s="5">
        <f t="shared" si="86"/>
        <v>0.32567129629751435</v>
      </c>
      <c r="AC1383" s="3">
        <f t="shared" si="87"/>
        <v>9.0219907404389232E-2</v>
      </c>
      <c r="AD1383" t="str" cm="1">
        <f t="array" ref="AD1383">IFERROR(_xlfn.IFS(
    AC1383="", "",
    AC1383*86400 &lt; 30, "1. 0s - &lt;30s",
    AC1383*86400 &lt; 60, "2. 30s - &lt;1m",
    AC1383*86400 &lt; 300, "3. 1m - &lt;5m",
    AC1383*86400 &lt; 1800, "4. 5m - &lt;30m",
    TRUE, "5. &gt;= 30m"
),"6. Invalid (Order rejected)")</f>
        <v>5. &gt;= 30m</v>
      </c>
    </row>
    <row r="1384" spans="1:30" hidden="1" x14ac:dyDescent="0.3">
      <c r="A1384" t="s">
        <v>8103</v>
      </c>
      <c r="B1384" t="s">
        <v>25</v>
      </c>
      <c r="C1384">
        <v>43701630</v>
      </c>
      <c r="D1384">
        <v>0</v>
      </c>
      <c r="E1384" t="s">
        <v>25</v>
      </c>
      <c r="F1384" t="s">
        <v>26</v>
      </c>
      <c r="G1384" t="s">
        <v>27</v>
      </c>
      <c r="H1384" t="s">
        <v>8104</v>
      </c>
      <c r="I1384" t="s">
        <v>8105</v>
      </c>
      <c r="J1384" t="s">
        <v>26</v>
      </c>
      <c r="K1384" t="s">
        <v>26</v>
      </c>
      <c r="L1384" t="s">
        <v>8106</v>
      </c>
      <c r="M1384" t="s">
        <v>25</v>
      </c>
      <c r="N1384" t="s">
        <v>3808</v>
      </c>
      <c r="O1384" t="s">
        <v>3809</v>
      </c>
      <c r="P1384" t="s">
        <v>3948</v>
      </c>
      <c r="Q1384" t="s">
        <v>3949</v>
      </c>
      <c r="R1384">
        <v>161460</v>
      </c>
      <c r="S1384">
        <v>0</v>
      </c>
      <c r="T1384">
        <v>161460</v>
      </c>
      <c r="U1384" t="s">
        <v>35</v>
      </c>
      <c r="V1384" t="s">
        <v>3810</v>
      </c>
      <c r="W1384" t="s">
        <v>3950</v>
      </c>
      <c r="X1384" s="4">
        <v>1</v>
      </c>
      <c r="Y1384" s="4"/>
      <c r="Z1384">
        <f t="shared" si="84"/>
        <v>8</v>
      </c>
      <c r="AA1384">
        <f t="shared" si="85"/>
        <v>18</v>
      </c>
      <c r="AB1384" s="5">
        <f t="shared" si="86"/>
        <v>0.32598379629780538</v>
      </c>
      <c r="AC1384" s="3">
        <f t="shared" si="87"/>
        <v>9.0219907404389232E-2</v>
      </c>
      <c r="AD1384" t="str" cm="1">
        <f t="array" ref="AD1384">IFERROR(_xlfn.IFS(
    AC1384="", "",
    AC1384*86400 &lt; 30, "1. 0s - &lt;30s",
    AC1384*86400 &lt; 60, "2. 30s - &lt;1m",
    AC1384*86400 &lt; 300, "3. 1m - &lt;5m",
    AC1384*86400 &lt; 1800, "4. 5m - &lt;30m",
    TRUE, "5. &gt;= 30m"
),"6. Invalid (Order rejected)")</f>
        <v>5. &gt;= 30m</v>
      </c>
    </row>
    <row r="1385" spans="1:30" hidden="1" x14ac:dyDescent="0.3">
      <c r="A1385" t="s">
        <v>8107</v>
      </c>
      <c r="B1385" t="s">
        <v>25</v>
      </c>
      <c r="C1385">
        <v>43701630</v>
      </c>
      <c r="D1385">
        <v>0</v>
      </c>
      <c r="E1385" t="s">
        <v>25</v>
      </c>
      <c r="F1385" t="s">
        <v>26</v>
      </c>
      <c r="G1385" t="s">
        <v>27</v>
      </c>
      <c r="H1385" t="s">
        <v>8108</v>
      </c>
      <c r="I1385" t="s">
        <v>8109</v>
      </c>
      <c r="J1385" t="s">
        <v>26</v>
      </c>
      <c r="K1385" t="s">
        <v>26</v>
      </c>
      <c r="L1385" t="s">
        <v>8110</v>
      </c>
      <c r="M1385" t="s">
        <v>25</v>
      </c>
      <c r="N1385" t="s">
        <v>3808</v>
      </c>
      <c r="O1385" t="s">
        <v>3809</v>
      </c>
      <c r="P1385" t="s">
        <v>3937</v>
      </c>
      <c r="Q1385" t="s">
        <v>3938</v>
      </c>
      <c r="R1385">
        <v>208872</v>
      </c>
      <c r="S1385">
        <v>0</v>
      </c>
      <c r="T1385">
        <v>208872</v>
      </c>
      <c r="U1385" t="s">
        <v>35</v>
      </c>
      <c r="V1385" t="s">
        <v>3810</v>
      </c>
      <c r="W1385" t="s">
        <v>3939</v>
      </c>
      <c r="X1385" s="4">
        <v>1</v>
      </c>
      <c r="Y1385" s="4"/>
      <c r="Z1385">
        <f t="shared" si="84"/>
        <v>8</v>
      </c>
      <c r="AA1385">
        <f t="shared" si="85"/>
        <v>18</v>
      </c>
      <c r="AB1385" s="5">
        <f t="shared" si="86"/>
        <v>0.32429398148087785</v>
      </c>
      <c r="AC1385" s="3">
        <f t="shared" si="87"/>
        <v>9.0277777781011537E-2</v>
      </c>
      <c r="AD1385" t="str" cm="1">
        <f t="array" ref="AD1385">IFERROR(_xlfn.IFS(
    AC1385="", "",
    AC1385*86400 &lt; 30, "1. 0s - &lt;30s",
    AC1385*86400 &lt; 60, "2. 30s - &lt;1m",
    AC1385*86400 &lt; 300, "3. 1m - &lt;5m",
    AC1385*86400 &lt; 1800, "4. 5m - &lt;30m",
    TRUE, "5. &gt;= 30m"
),"6. Invalid (Order rejected)")</f>
        <v>5. &gt;= 30m</v>
      </c>
    </row>
    <row r="1386" spans="1:30" hidden="1" x14ac:dyDescent="0.3">
      <c r="A1386" t="s">
        <v>8111</v>
      </c>
      <c r="B1386" t="s">
        <v>25</v>
      </c>
      <c r="C1386">
        <v>43701630</v>
      </c>
      <c r="D1386">
        <v>0</v>
      </c>
      <c r="E1386" t="s">
        <v>25</v>
      </c>
      <c r="F1386" t="s">
        <v>26</v>
      </c>
      <c r="G1386" t="s">
        <v>27</v>
      </c>
      <c r="H1386" t="s">
        <v>8112</v>
      </c>
      <c r="I1386" t="s">
        <v>8113</v>
      </c>
      <c r="J1386" t="s">
        <v>26</v>
      </c>
      <c r="K1386" t="s">
        <v>26</v>
      </c>
      <c r="L1386" t="s">
        <v>8114</v>
      </c>
      <c r="M1386" t="s">
        <v>25</v>
      </c>
      <c r="N1386" t="s">
        <v>3808</v>
      </c>
      <c r="O1386" t="s">
        <v>3809</v>
      </c>
      <c r="P1386" t="s">
        <v>3962</v>
      </c>
      <c r="Q1386" t="s">
        <v>3963</v>
      </c>
      <c r="R1386">
        <v>144936</v>
      </c>
      <c r="S1386">
        <v>0</v>
      </c>
      <c r="T1386">
        <v>144936</v>
      </c>
      <c r="U1386" t="s">
        <v>35</v>
      </c>
      <c r="V1386" t="s">
        <v>3810</v>
      </c>
      <c r="W1386" t="s">
        <v>3964</v>
      </c>
      <c r="X1386" s="4">
        <v>1</v>
      </c>
      <c r="Y1386" s="4"/>
      <c r="Z1386">
        <f t="shared" si="84"/>
        <v>8</v>
      </c>
      <c r="AA1386">
        <f t="shared" si="85"/>
        <v>18</v>
      </c>
      <c r="AB1386" s="5">
        <f t="shared" si="86"/>
        <v>0.32689814814511919</v>
      </c>
      <c r="AC1386" s="3">
        <f t="shared" si="87"/>
        <v>9.0277777781011537E-2</v>
      </c>
      <c r="AD1386" t="str" cm="1">
        <f t="array" ref="AD1386">IFERROR(_xlfn.IFS(
    AC1386="", "",
    AC1386*86400 &lt; 30, "1. 0s - &lt;30s",
    AC1386*86400 &lt; 60, "2. 30s - &lt;1m",
    AC1386*86400 &lt; 300, "3. 1m - &lt;5m",
    AC1386*86400 &lt; 1800, "4. 5m - &lt;30m",
    TRUE, "5. &gt;= 30m"
),"6. Invalid (Order rejected)")</f>
        <v>5. &gt;= 30m</v>
      </c>
    </row>
    <row r="1387" spans="1:30" hidden="1" x14ac:dyDescent="0.3">
      <c r="A1387" t="s">
        <v>8115</v>
      </c>
      <c r="B1387" t="s">
        <v>25</v>
      </c>
      <c r="C1387">
        <v>43701630</v>
      </c>
      <c r="D1387">
        <v>0</v>
      </c>
      <c r="E1387" t="s">
        <v>25</v>
      </c>
      <c r="F1387" t="s">
        <v>26</v>
      </c>
      <c r="G1387" t="s">
        <v>27</v>
      </c>
      <c r="H1387" t="s">
        <v>8116</v>
      </c>
      <c r="I1387" t="s">
        <v>8117</v>
      </c>
      <c r="J1387" t="s">
        <v>26</v>
      </c>
      <c r="K1387" t="s">
        <v>26</v>
      </c>
      <c r="L1387" t="s">
        <v>8118</v>
      </c>
      <c r="M1387" t="s">
        <v>25</v>
      </c>
      <c r="N1387" t="s">
        <v>3808</v>
      </c>
      <c r="O1387" t="s">
        <v>3809</v>
      </c>
      <c r="P1387" t="s">
        <v>5381</v>
      </c>
      <c r="Q1387" t="s">
        <v>5382</v>
      </c>
      <c r="R1387">
        <v>189108</v>
      </c>
      <c r="S1387">
        <v>0</v>
      </c>
      <c r="T1387">
        <v>189108</v>
      </c>
      <c r="U1387" t="s">
        <v>35</v>
      </c>
      <c r="V1387" t="s">
        <v>3810</v>
      </c>
      <c r="W1387" t="s">
        <v>5383</v>
      </c>
      <c r="X1387" s="4">
        <v>1</v>
      </c>
      <c r="Y1387" s="4"/>
      <c r="Z1387">
        <f t="shared" si="84"/>
        <v>8</v>
      </c>
      <c r="AA1387">
        <f t="shared" si="85"/>
        <v>18</v>
      </c>
      <c r="AB1387" s="5">
        <f t="shared" si="86"/>
        <v>0.32747685185313458</v>
      </c>
      <c r="AC1387" s="3">
        <f t="shared" si="87"/>
        <v>9.0266203704231884E-2</v>
      </c>
      <c r="AD1387" t="str" cm="1">
        <f t="array" ref="AD1387">IFERROR(_xlfn.IFS(
    AC1387="", "",
    AC1387*86400 &lt; 30, "1. 0s - &lt;30s",
    AC1387*86400 &lt; 60, "2. 30s - &lt;1m",
    AC1387*86400 &lt; 300, "3. 1m - &lt;5m",
    AC1387*86400 &lt; 1800, "4. 5m - &lt;30m",
    TRUE, "5. &gt;= 30m"
),"6. Invalid (Order rejected)")</f>
        <v>5. &gt;= 30m</v>
      </c>
    </row>
    <row r="1388" spans="1:30" hidden="1" x14ac:dyDescent="0.3">
      <c r="A1388" t="s">
        <v>8119</v>
      </c>
      <c r="B1388" t="s">
        <v>25</v>
      </c>
      <c r="C1388">
        <v>43701630</v>
      </c>
      <c r="D1388">
        <v>0</v>
      </c>
      <c r="E1388" t="s">
        <v>25</v>
      </c>
      <c r="F1388" t="s">
        <v>26</v>
      </c>
      <c r="G1388" t="s">
        <v>27</v>
      </c>
      <c r="H1388" t="s">
        <v>8120</v>
      </c>
      <c r="I1388" t="s">
        <v>8121</v>
      </c>
      <c r="J1388" t="s">
        <v>26</v>
      </c>
      <c r="K1388" t="s">
        <v>26</v>
      </c>
      <c r="L1388" t="s">
        <v>8122</v>
      </c>
      <c r="M1388" t="s">
        <v>25</v>
      </c>
      <c r="N1388" t="s">
        <v>3751</v>
      </c>
      <c r="O1388" t="s">
        <v>3752</v>
      </c>
      <c r="P1388" t="s">
        <v>3909</v>
      </c>
      <c r="Q1388" t="s">
        <v>3910</v>
      </c>
      <c r="R1388">
        <v>169776</v>
      </c>
      <c r="S1388">
        <v>0</v>
      </c>
      <c r="T1388">
        <v>169776</v>
      </c>
      <c r="U1388" t="s">
        <v>35</v>
      </c>
      <c r="V1388" t="s">
        <v>3753</v>
      </c>
      <c r="W1388" t="s">
        <v>3911</v>
      </c>
      <c r="X1388" s="4">
        <v>1</v>
      </c>
      <c r="Y1388" s="4"/>
      <c r="Z1388">
        <f t="shared" si="84"/>
        <v>8</v>
      </c>
      <c r="AA1388">
        <f t="shared" si="85"/>
        <v>18</v>
      </c>
      <c r="AB1388" s="5">
        <f t="shared" si="86"/>
        <v>0.32880787036992842</v>
      </c>
      <c r="AC1388" s="3">
        <f t="shared" si="87"/>
        <v>9.0277777781011537E-2</v>
      </c>
      <c r="AD1388" t="str" cm="1">
        <f t="array" ref="AD1388">IFERROR(_xlfn.IFS(
    AC1388="", "",
    AC1388*86400 &lt; 30, "1. 0s - &lt;30s",
    AC1388*86400 &lt; 60, "2. 30s - &lt;1m",
    AC1388*86400 &lt; 300, "3. 1m - &lt;5m",
    AC1388*86400 &lt; 1800, "4. 5m - &lt;30m",
    TRUE, "5. &gt;= 30m"
),"6. Invalid (Order rejected)")</f>
        <v>5. &gt;= 30m</v>
      </c>
    </row>
    <row r="1389" spans="1:30" hidden="1" x14ac:dyDescent="0.3">
      <c r="A1389" t="s">
        <v>8123</v>
      </c>
      <c r="B1389" t="s">
        <v>25</v>
      </c>
      <c r="C1389">
        <v>43701630</v>
      </c>
      <c r="D1389">
        <v>0</v>
      </c>
      <c r="E1389" t="s">
        <v>25</v>
      </c>
      <c r="F1389" t="s">
        <v>26</v>
      </c>
      <c r="G1389" t="s">
        <v>27</v>
      </c>
      <c r="H1389" t="s">
        <v>8124</v>
      </c>
      <c r="I1389" t="s">
        <v>8125</v>
      </c>
      <c r="J1389" t="s">
        <v>26</v>
      </c>
      <c r="K1389" t="s">
        <v>26</v>
      </c>
      <c r="L1389" t="s">
        <v>8126</v>
      </c>
      <c r="M1389" t="s">
        <v>25</v>
      </c>
      <c r="N1389" t="s">
        <v>3808</v>
      </c>
      <c r="O1389" t="s">
        <v>3809</v>
      </c>
      <c r="P1389" t="s">
        <v>3923</v>
      </c>
      <c r="Q1389" t="s">
        <v>3924</v>
      </c>
      <c r="R1389">
        <v>165996</v>
      </c>
      <c r="S1389">
        <v>0</v>
      </c>
      <c r="T1389">
        <v>165996</v>
      </c>
      <c r="U1389" t="s">
        <v>35</v>
      </c>
      <c r="V1389" t="s">
        <v>3810</v>
      </c>
      <c r="W1389" t="s">
        <v>3925</v>
      </c>
      <c r="X1389" s="4">
        <v>1</v>
      </c>
      <c r="Y1389" s="4"/>
      <c r="Z1389">
        <f t="shared" si="84"/>
        <v>8</v>
      </c>
      <c r="AA1389">
        <f t="shared" si="85"/>
        <v>18</v>
      </c>
      <c r="AB1389" s="5">
        <f t="shared" si="86"/>
        <v>0.32398148148058681</v>
      </c>
      <c r="AC1389" s="3">
        <f t="shared" si="87"/>
        <v>9.0231481481168885E-2</v>
      </c>
      <c r="AD1389" t="str" cm="1">
        <f t="array" ref="AD1389">IFERROR(_xlfn.IFS(
    AC1389="", "",
    AC1389*86400 &lt; 30, "1. 0s - &lt;30s",
    AC1389*86400 &lt; 60, "2. 30s - &lt;1m",
    AC1389*86400 &lt; 300, "3. 1m - &lt;5m",
    AC1389*86400 &lt; 1800, "4. 5m - &lt;30m",
    TRUE, "5. &gt;= 30m"
),"6. Invalid (Order rejected)")</f>
        <v>5. &gt;= 30m</v>
      </c>
    </row>
    <row r="1390" spans="1:30" hidden="1" x14ac:dyDescent="0.3">
      <c r="A1390" t="s">
        <v>8127</v>
      </c>
      <c r="B1390" t="s">
        <v>25</v>
      </c>
      <c r="C1390">
        <v>43701630</v>
      </c>
      <c r="D1390">
        <v>0</v>
      </c>
      <c r="E1390" t="s">
        <v>25</v>
      </c>
      <c r="F1390" t="s">
        <v>26</v>
      </c>
      <c r="G1390" t="s">
        <v>27</v>
      </c>
      <c r="H1390" t="s">
        <v>8128</v>
      </c>
      <c r="I1390" t="s">
        <v>8129</v>
      </c>
      <c r="J1390" t="s">
        <v>26</v>
      </c>
      <c r="K1390" t="s">
        <v>26</v>
      </c>
      <c r="L1390" t="s">
        <v>8130</v>
      </c>
      <c r="M1390" t="s">
        <v>25</v>
      </c>
      <c r="N1390" t="s">
        <v>3751</v>
      </c>
      <c r="O1390" t="s">
        <v>3752</v>
      </c>
      <c r="P1390" t="s">
        <v>3985</v>
      </c>
      <c r="Q1390" t="s">
        <v>3986</v>
      </c>
      <c r="R1390">
        <v>252180</v>
      </c>
      <c r="S1390">
        <v>0</v>
      </c>
      <c r="T1390">
        <v>252180</v>
      </c>
      <c r="U1390" t="s">
        <v>35</v>
      </c>
      <c r="V1390" t="s">
        <v>3753</v>
      </c>
      <c r="W1390" t="s">
        <v>3987</v>
      </c>
      <c r="X1390" s="4">
        <v>1</v>
      </c>
      <c r="Y1390" s="4"/>
      <c r="Z1390">
        <f t="shared" si="84"/>
        <v>8</v>
      </c>
      <c r="AA1390">
        <f t="shared" si="85"/>
        <v>18</v>
      </c>
      <c r="AB1390" s="5">
        <f t="shared" si="86"/>
        <v>0.32987268518627388</v>
      </c>
      <c r="AC1390" s="3">
        <f t="shared" si="87"/>
        <v>9.0277777773735579E-2</v>
      </c>
      <c r="AD1390" t="str" cm="1">
        <f t="array" ref="AD1390">IFERROR(_xlfn.IFS(
    AC1390="", "",
    AC1390*86400 &lt; 30, "1. 0s - &lt;30s",
    AC1390*86400 &lt; 60, "2. 30s - &lt;1m",
    AC1390*86400 &lt; 300, "3. 1m - &lt;5m",
    AC1390*86400 &lt; 1800, "4. 5m - &lt;30m",
    TRUE, "5. &gt;= 30m"
),"6. Invalid (Order rejected)")</f>
        <v>5. &gt;= 30m</v>
      </c>
    </row>
    <row r="1391" spans="1:30" x14ac:dyDescent="0.3">
      <c r="A1391" t="s">
        <v>8131</v>
      </c>
      <c r="B1391" t="s">
        <v>25</v>
      </c>
      <c r="C1391">
        <v>43701630</v>
      </c>
      <c r="D1391">
        <v>984453</v>
      </c>
      <c r="E1391" t="s">
        <v>25</v>
      </c>
      <c r="F1391" t="s">
        <v>75</v>
      </c>
      <c r="G1391" t="s">
        <v>360</v>
      </c>
      <c r="H1391" t="s">
        <v>8132</v>
      </c>
      <c r="I1391" t="s">
        <v>8133</v>
      </c>
      <c r="J1391" t="s">
        <v>8134</v>
      </c>
      <c r="K1391" t="s">
        <v>26</v>
      </c>
      <c r="L1391" t="s">
        <v>25</v>
      </c>
      <c r="M1391" t="s">
        <v>25</v>
      </c>
      <c r="N1391" t="s">
        <v>3808</v>
      </c>
      <c r="O1391" t="s">
        <v>3809</v>
      </c>
      <c r="P1391" t="s">
        <v>3985</v>
      </c>
      <c r="Q1391" t="s">
        <v>3986</v>
      </c>
      <c r="R1391">
        <v>245376</v>
      </c>
      <c r="S1391">
        <v>190223</v>
      </c>
      <c r="T1391">
        <v>55153</v>
      </c>
      <c r="U1391" t="s">
        <v>35</v>
      </c>
      <c r="V1391" t="s">
        <v>3810</v>
      </c>
      <c r="W1391" t="s">
        <v>3987</v>
      </c>
      <c r="X1391" s="4">
        <v>1</v>
      </c>
      <c r="Y1391" s="4"/>
      <c r="Z1391">
        <f t="shared" si="84"/>
        <v>8</v>
      </c>
      <c r="AA1391">
        <f t="shared" si="85"/>
        <v>18</v>
      </c>
      <c r="AB1391" s="5">
        <f t="shared" si="86"/>
        <v>0.32643518518307246</v>
      </c>
      <c r="AC1391" s="3" t="str">
        <f t="shared" si="87"/>
        <v>Order rejected, no time available</v>
      </c>
      <c r="AD1391" t="str" cm="1">
        <f t="array" ref="AD1391">IFERROR(_xlfn.IFS(
    AC1391="", "",
    AC1391*86400 &lt; 30, "1. 0s - &lt;30s",
    AC1391*86400 &lt; 60, "2. 30s - &lt;1m",
    AC1391*86400 &lt; 300, "3. 1m - &lt;5m",
    AC1391*86400 &lt; 1800, "4. 5m - &lt;30m",
    TRUE, "5. &gt;= 30m"
),"6. Invalid (Order rejected)")</f>
        <v>6. Invalid (Order rejected)</v>
      </c>
    </row>
    <row r="1392" spans="1:30" hidden="1" x14ac:dyDescent="0.3">
      <c r="A1392" t="s">
        <v>8135</v>
      </c>
      <c r="B1392" t="s">
        <v>25</v>
      </c>
      <c r="C1392">
        <v>43701630</v>
      </c>
      <c r="D1392">
        <v>0</v>
      </c>
      <c r="E1392" t="s">
        <v>25</v>
      </c>
      <c r="F1392" t="s">
        <v>26</v>
      </c>
      <c r="G1392" t="s">
        <v>27</v>
      </c>
      <c r="H1392" t="s">
        <v>8136</v>
      </c>
      <c r="I1392" t="s">
        <v>8137</v>
      </c>
      <c r="J1392" t="s">
        <v>26</v>
      </c>
      <c r="K1392" t="s">
        <v>26</v>
      </c>
      <c r="L1392" t="s">
        <v>8138</v>
      </c>
      <c r="M1392" t="s">
        <v>25</v>
      </c>
      <c r="N1392" t="s">
        <v>3751</v>
      </c>
      <c r="O1392" t="s">
        <v>3752</v>
      </c>
      <c r="P1392" t="s">
        <v>3962</v>
      </c>
      <c r="Q1392" t="s">
        <v>3963</v>
      </c>
      <c r="R1392">
        <v>140616</v>
      </c>
      <c r="S1392">
        <v>0</v>
      </c>
      <c r="T1392">
        <v>140616</v>
      </c>
      <c r="U1392" t="s">
        <v>35</v>
      </c>
      <c r="V1392" t="s">
        <v>3753</v>
      </c>
      <c r="W1392" t="s">
        <v>3964</v>
      </c>
      <c r="X1392" s="4">
        <v>1</v>
      </c>
      <c r="Y1392" s="4"/>
      <c r="Z1392">
        <f t="shared" si="84"/>
        <v>8</v>
      </c>
      <c r="AA1392">
        <f t="shared" si="85"/>
        <v>18</v>
      </c>
      <c r="AB1392" s="5">
        <f t="shared" si="86"/>
        <v>0.33023148147913162</v>
      </c>
      <c r="AC1392" s="3">
        <f t="shared" si="87"/>
        <v>9.0266203704231884E-2</v>
      </c>
      <c r="AD1392" t="str" cm="1">
        <f t="array" ref="AD1392">IFERROR(_xlfn.IFS(
    AC1392="", "",
    AC1392*86400 &lt; 30, "1. 0s - &lt;30s",
    AC1392*86400 &lt; 60, "2. 30s - &lt;1m",
    AC1392*86400 &lt; 300, "3. 1m - &lt;5m",
    AC1392*86400 &lt; 1800, "4. 5m - &lt;30m",
    TRUE, "5. &gt;= 30m"
),"6. Invalid (Order rejected)")</f>
        <v>5. &gt;= 30m</v>
      </c>
    </row>
    <row r="1393" spans="1:30" hidden="1" x14ac:dyDescent="0.3">
      <c r="A1393" t="s">
        <v>8139</v>
      </c>
      <c r="B1393" t="s">
        <v>25</v>
      </c>
      <c r="C1393">
        <v>43701630</v>
      </c>
      <c r="D1393">
        <v>0</v>
      </c>
      <c r="E1393" t="s">
        <v>25</v>
      </c>
      <c r="F1393" t="s">
        <v>26</v>
      </c>
      <c r="G1393" t="s">
        <v>27</v>
      </c>
      <c r="H1393" t="s">
        <v>8140</v>
      </c>
      <c r="I1393" t="s">
        <v>8141</v>
      </c>
      <c r="J1393" t="s">
        <v>26</v>
      </c>
      <c r="K1393" t="s">
        <v>26</v>
      </c>
      <c r="L1393" t="s">
        <v>8142</v>
      </c>
      <c r="M1393" t="s">
        <v>25</v>
      </c>
      <c r="N1393" t="s">
        <v>3808</v>
      </c>
      <c r="O1393" t="s">
        <v>3809</v>
      </c>
      <c r="P1393" t="s">
        <v>3955</v>
      </c>
      <c r="Q1393" t="s">
        <v>3956</v>
      </c>
      <c r="R1393">
        <v>162648</v>
      </c>
      <c r="S1393">
        <v>0</v>
      </c>
      <c r="T1393">
        <v>162648</v>
      </c>
      <c r="U1393" t="s">
        <v>35</v>
      </c>
      <c r="V1393" t="s">
        <v>3810</v>
      </c>
      <c r="W1393" t="s">
        <v>3957</v>
      </c>
      <c r="X1393" s="4">
        <v>1</v>
      </c>
      <c r="Y1393" s="4"/>
      <c r="Z1393">
        <f t="shared" si="84"/>
        <v>8</v>
      </c>
      <c r="AA1393">
        <f t="shared" si="85"/>
        <v>18</v>
      </c>
      <c r="AB1393" s="5">
        <f t="shared" si="86"/>
        <v>0.32665509259095415</v>
      </c>
      <c r="AC1393" s="3">
        <f t="shared" si="87"/>
        <v>9.0277777781011537E-2</v>
      </c>
      <c r="AD1393" t="str" cm="1">
        <f t="array" ref="AD1393">IFERROR(_xlfn.IFS(
    AC1393="", "",
    AC1393*86400 &lt; 30, "1. 0s - &lt;30s",
    AC1393*86400 &lt; 60, "2. 30s - &lt;1m",
    AC1393*86400 &lt; 300, "3. 1m - &lt;5m",
    AC1393*86400 &lt; 1800, "4. 5m - &lt;30m",
    TRUE, "5. &gt;= 30m"
),"6. Invalid (Order rejected)")</f>
        <v>5. &gt;= 30m</v>
      </c>
    </row>
    <row r="1394" spans="1:30" hidden="1" x14ac:dyDescent="0.3">
      <c r="A1394" t="s">
        <v>8143</v>
      </c>
      <c r="B1394" t="s">
        <v>25</v>
      </c>
      <c r="C1394">
        <v>43701630</v>
      </c>
      <c r="D1394">
        <v>4822140</v>
      </c>
      <c r="E1394" t="s">
        <v>25</v>
      </c>
      <c r="F1394" t="s">
        <v>75</v>
      </c>
      <c r="G1394" t="s">
        <v>491</v>
      </c>
      <c r="H1394" t="s">
        <v>8144</v>
      </c>
      <c r="I1394" t="s">
        <v>8145</v>
      </c>
      <c r="J1394" t="s">
        <v>8146</v>
      </c>
      <c r="K1394" t="s">
        <v>26</v>
      </c>
      <c r="L1394" t="s">
        <v>8147</v>
      </c>
      <c r="M1394" t="s">
        <v>25</v>
      </c>
      <c r="N1394" t="s">
        <v>3751</v>
      </c>
      <c r="O1394" t="s">
        <v>3752</v>
      </c>
      <c r="P1394" t="s">
        <v>3937</v>
      </c>
      <c r="Q1394" t="s">
        <v>3938</v>
      </c>
      <c r="R1394">
        <v>207792</v>
      </c>
      <c r="S1394">
        <v>161087</v>
      </c>
      <c r="T1394">
        <v>46705</v>
      </c>
      <c r="U1394" t="s">
        <v>35</v>
      </c>
      <c r="V1394" t="s">
        <v>3753</v>
      </c>
      <c r="W1394" t="s">
        <v>3939</v>
      </c>
      <c r="X1394" s="4">
        <v>1</v>
      </c>
      <c r="Y1394" s="4"/>
      <c r="Z1394">
        <f t="shared" si="84"/>
        <v>8</v>
      </c>
      <c r="AA1394">
        <f t="shared" si="85"/>
        <v>18</v>
      </c>
      <c r="AB1394" s="5">
        <f t="shared" si="86"/>
        <v>0.32841435185400769</v>
      </c>
      <c r="AC1394" s="3">
        <f t="shared" si="87"/>
        <v>10.007638888884685</v>
      </c>
      <c r="AD1394" t="str" cm="1">
        <f t="array" ref="AD1394">IFERROR(_xlfn.IFS(
    AC1394="", "",
    AC1394*86400 &lt; 30, "1. 0s - &lt;30s",
    AC1394*86400 &lt; 60, "2. 30s - &lt;1m",
    AC1394*86400 &lt; 300, "3. 1m - &lt;5m",
    AC1394*86400 &lt; 1800, "4. 5m - &lt;30m",
    TRUE, "5. &gt;= 30m"
),"6. Invalid (Order rejected)")</f>
        <v>5. &gt;= 30m</v>
      </c>
    </row>
    <row r="1395" spans="1:30" hidden="1" x14ac:dyDescent="0.3">
      <c r="A1395" t="s">
        <v>8148</v>
      </c>
      <c r="B1395" t="s">
        <v>25</v>
      </c>
      <c r="C1395">
        <v>43701630</v>
      </c>
      <c r="D1395">
        <v>0</v>
      </c>
      <c r="E1395" t="s">
        <v>25</v>
      </c>
      <c r="F1395" t="s">
        <v>26</v>
      </c>
      <c r="G1395" t="s">
        <v>27</v>
      </c>
      <c r="H1395" t="s">
        <v>8149</v>
      </c>
      <c r="I1395" t="s">
        <v>8150</v>
      </c>
      <c r="J1395" t="s">
        <v>26</v>
      </c>
      <c r="K1395" t="s">
        <v>26</v>
      </c>
      <c r="L1395" t="s">
        <v>8151</v>
      </c>
      <c r="M1395" t="s">
        <v>25</v>
      </c>
      <c r="N1395" t="s">
        <v>3751</v>
      </c>
      <c r="O1395" t="s">
        <v>3752</v>
      </c>
      <c r="P1395" t="s">
        <v>3902</v>
      </c>
      <c r="Q1395" t="s">
        <v>3903</v>
      </c>
      <c r="R1395">
        <v>157140</v>
      </c>
      <c r="S1395">
        <v>0</v>
      </c>
      <c r="T1395">
        <v>157140</v>
      </c>
      <c r="U1395" t="s">
        <v>35</v>
      </c>
      <c r="V1395" t="s">
        <v>3753</v>
      </c>
      <c r="W1395" t="s">
        <v>3904</v>
      </c>
      <c r="X1395" s="4">
        <v>1</v>
      </c>
      <c r="Y1395" s="4"/>
      <c r="Z1395">
        <f t="shared" si="84"/>
        <v>8</v>
      </c>
      <c r="AA1395">
        <f t="shared" si="85"/>
        <v>18</v>
      </c>
      <c r="AB1395" s="5">
        <f t="shared" si="86"/>
        <v>0.32962962963210884</v>
      </c>
      <c r="AC1395" s="3">
        <f t="shared" si="87"/>
        <v>9.0277777773735579E-2</v>
      </c>
      <c r="AD1395" t="str" cm="1">
        <f t="array" ref="AD1395">IFERROR(_xlfn.IFS(
    AC1395="", "",
    AC1395*86400 &lt; 30, "1. 0s - &lt;30s",
    AC1395*86400 &lt; 60, "2. 30s - &lt;1m",
    AC1395*86400 &lt; 300, "3. 1m - &lt;5m",
    AC1395*86400 &lt; 1800, "4. 5m - &lt;30m",
    TRUE, "5. &gt;= 30m"
),"6. Invalid (Order rejected)")</f>
        <v>5. &gt;= 30m</v>
      </c>
    </row>
    <row r="1396" spans="1:30" hidden="1" x14ac:dyDescent="0.3">
      <c r="A1396" t="s">
        <v>8152</v>
      </c>
      <c r="B1396" t="s">
        <v>25</v>
      </c>
      <c r="C1396">
        <v>43701630</v>
      </c>
      <c r="D1396">
        <v>0</v>
      </c>
      <c r="E1396" t="s">
        <v>25</v>
      </c>
      <c r="F1396" t="s">
        <v>26</v>
      </c>
      <c r="G1396" t="s">
        <v>27</v>
      </c>
      <c r="H1396" t="s">
        <v>8153</v>
      </c>
      <c r="I1396" t="s">
        <v>8154</v>
      </c>
      <c r="J1396" t="s">
        <v>26</v>
      </c>
      <c r="K1396" t="s">
        <v>26</v>
      </c>
      <c r="L1396" t="s">
        <v>8155</v>
      </c>
      <c r="M1396" t="s">
        <v>25</v>
      </c>
      <c r="N1396" t="s">
        <v>3751</v>
      </c>
      <c r="O1396" t="s">
        <v>3752</v>
      </c>
      <c r="P1396" t="s">
        <v>3176</v>
      </c>
      <c r="Q1396" t="s">
        <v>3177</v>
      </c>
      <c r="R1396">
        <v>176364</v>
      </c>
      <c r="S1396">
        <v>0</v>
      </c>
      <c r="T1396">
        <v>176364</v>
      </c>
      <c r="U1396" t="s">
        <v>35</v>
      </c>
      <c r="V1396" t="s">
        <v>3753</v>
      </c>
      <c r="W1396" t="s">
        <v>3178</v>
      </c>
      <c r="X1396" s="4">
        <v>1</v>
      </c>
      <c r="Y1396" s="4"/>
      <c r="Z1396">
        <f t="shared" si="84"/>
        <v>8</v>
      </c>
      <c r="AA1396">
        <f t="shared" si="85"/>
        <v>18</v>
      </c>
      <c r="AB1396" s="5">
        <f t="shared" si="86"/>
        <v>0.32859953703882638</v>
      </c>
      <c r="AC1396" s="3">
        <f t="shared" si="87"/>
        <v>9.0266203704231884E-2</v>
      </c>
      <c r="AD1396" t="str" cm="1">
        <f t="array" ref="AD1396">IFERROR(_xlfn.IFS(
    AC1396="", "",
    AC1396*86400 &lt; 30, "1. 0s - &lt;30s",
    AC1396*86400 &lt; 60, "2. 30s - &lt;1m",
    AC1396*86400 &lt; 300, "3. 1m - &lt;5m",
    AC1396*86400 &lt; 1800, "4. 5m - &lt;30m",
    TRUE, "5. &gt;= 30m"
),"6. Invalid (Order rejected)")</f>
        <v>5. &gt;= 30m</v>
      </c>
    </row>
    <row r="1397" spans="1:30" hidden="1" x14ac:dyDescent="0.3">
      <c r="A1397" t="s">
        <v>8156</v>
      </c>
      <c r="B1397" t="s">
        <v>25</v>
      </c>
      <c r="C1397">
        <v>43701630</v>
      </c>
      <c r="D1397">
        <v>0</v>
      </c>
      <c r="E1397" t="s">
        <v>25</v>
      </c>
      <c r="F1397" t="s">
        <v>26</v>
      </c>
      <c r="G1397" t="s">
        <v>27</v>
      </c>
      <c r="H1397" t="s">
        <v>8157</v>
      </c>
      <c r="I1397" t="s">
        <v>8158</v>
      </c>
      <c r="J1397" t="s">
        <v>26</v>
      </c>
      <c r="K1397" t="s">
        <v>26</v>
      </c>
      <c r="L1397" t="s">
        <v>8159</v>
      </c>
      <c r="M1397" t="s">
        <v>25</v>
      </c>
      <c r="N1397" t="s">
        <v>3730</v>
      </c>
      <c r="O1397" t="s">
        <v>3731</v>
      </c>
      <c r="P1397" t="s">
        <v>3176</v>
      </c>
      <c r="Q1397" t="s">
        <v>3177</v>
      </c>
      <c r="R1397">
        <v>166968</v>
      </c>
      <c r="S1397">
        <v>0</v>
      </c>
      <c r="T1397">
        <v>166968</v>
      </c>
      <c r="U1397" t="s">
        <v>35</v>
      </c>
      <c r="V1397" t="s">
        <v>3732</v>
      </c>
      <c r="W1397" t="s">
        <v>3178</v>
      </c>
      <c r="X1397" s="4">
        <v>1</v>
      </c>
      <c r="Y1397" s="4"/>
      <c r="Z1397">
        <f t="shared" si="84"/>
        <v>8</v>
      </c>
      <c r="AA1397">
        <f t="shared" si="85"/>
        <v>18</v>
      </c>
      <c r="AB1397" s="5">
        <f t="shared" si="86"/>
        <v>0.33127314814919373</v>
      </c>
      <c r="AC1397" s="3">
        <f t="shared" si="87"/>
        <v>9.0266203704231884E-2</v>
      </c>
      <c r="AD1397" t="str" cm="1">
        <f t="array" ref="AD1397">IFERROR(_xlfn.IFS(
    AC1397="", "",
    AC1397*86400 &lt; 30, "1. 0s - &lt;30s",
    AC1397*86400 &lt; 60, "2. 30s - &lt;1m",
    AC1397*86400 &lt; 300, "3. 1m - &lt;5m",
    AC1397*86400 &lt; 1800, "4. 5m - &lt;30m",
    TRUE, "5. &gt;= 30m"
),"6. Invalid (Order rejected)")</f>
        <v>5. &gt;= 30m</v>
      </c>
    </row>
    <row r="1398" spans="1:30" hidden="1" x14ac:dyDescent="0.3">
      <c r="A1398" t="s">
        <v>8160</v>
      </c>
      <c r="B1398" t="s">
        <v>25</v>
      </c>
      <c r="C1398">
        <v>43701630</v>
      </c>
      <c r="D1398">
        <v>0</v>
      </c>
      <c r="E1398" t="s">
        <v>25</v>
      </c>
      <c r="F1398" t="s">
        <v>26</v>
      </c>
      <c r="G1398" t="s">
        <v>27</v>
      </c>
      <c r="H1398" t="s">
        <v>8161</v>
      </c>
      <c r="I1398" t="s">
        <v>8162</v>
      </c>
      <c r="J1398" t="s">
        <v>26</v>
      </c>
      <c r="K1398" t="s">
        <v>26</v>
      </c>
      <c r="L1398" t="s">
        <v>8163</v>
      </c>
      <c r="M1398" t="s">
        <v>25</v>
      </c>
      <c r="N1398" t="s">
        <v>3730</v>
      </c>
      <c r="O1398" t="s">
        <v>3731</v>
      </c>
      <c r="P1398" t="s">
        <v>3948</v>
      </c>
      <c r="Q1398" t="s">
        <v>3949</v>
      </c>
      <c r="R1398">
        <v>162108</v>
      </c>
      <c r="S1398">
        <v>0</v>
      </c>
      <c r="T1398">
        <v>162108</v>
      </c>
      <c r="U1398" t="s">
        <v>35</v>
      </c>
      <c r="V1398" t="s">
        <v>3732</v>
      </c>
      <c r="W1398" t="s">
        <v>3950</v>
      </c>
      <c r="X1398" s="4">
        <v>1</v>
      </c>
      <c r="Y1398" s="4"/>
      <c r="Z1398">
        <f t="shared" si="84"/>
        <v>8</v>
      </c>
      <c r="AA1398">
        <f t="shared" si="85"/>
        <v>18</v>
      </c>
      <c r="AB1398" s="5">
        <f t="shared" si="86"/>
        <v>0.33199074074218515</v>
      </c>
      <c r="AC1398" s="3">
        <f t="shared" si="87"/>
        <v>9.0266203704231884E-2</v>
      </c>
      <c r="AD1398" t="str" cm="1">
        <f t="array" ref="AD1398">IFERROR(_xlfn.IFS(
    AC1398="", "",
    AC1398*86400 &lt; 30, "1. 0s - &lt;30s",
    AC1398*86400 &lt; 60, "2. 30s - &lt;1m",
    AC1398*86400 &lt; 300, "3. 1m - &lt;5m",
    AC1398*86400 &lt; 1800, "4. 5m - &lt;30m",
    TRUE, "5. &gt;= 30m"
),"6. Invalid (Order rejected)")</f>
        <v>5. &gt;= 30m</v>
      </c>
    </row>
    <row r="1399" spans="1:30" hidden="1" x14ac:dyDescent="0.3">
      <c r="A1399" t="s">
        <v>8164</v>
      </c>
      <c r="B1399" t="s">
        <v>25</v>
      </c>
      <c r="C1399">
        <v>43701630</v>
      </c>
      <c r="D1399">
        <v>0</v>
      </c>
      <c r="E1399" t="s">
        <v>25</v>
      </c>
      <c r="F1399" t="s">
        <v>26</v>
      </c>
      <c r="G1399" t="s">
        <v>27</v>
      </c>
      <c r="H1399" t="s">
        <v>8165</v>
      </c>
      <c r="I1399" t="s">
        <v>8166</v>
      </c>
      <c r="J1399" t="s">
        <v>26</v>
      </c>
      <c r="K1399" t="s">
        <v>26</v>
      </c>
      <c r="L1399" t="s">
        <v>8167</v>
      </c>
      <c r="M1399" t="s">
        <v>25</v>
      </c>
      <c r="N1399" t="s">
        <v>3751</v>
      </c>
      <c r="O1399" t="s">
        <v>3752</v>
      </c>
      <c r="P1399" t="s">
        <v>3955</v>
      </c>
      <c r="Q1399" t="s">
        <v>3956</v>
      </c>
      <c r="R1399">
        <v>172044</v>
      </c>
      <c r="S1399">
        <v>0</v>
      </c>
      <c r="T1399">
        <v>172044</v>
      </c>
      <c r="U1399" t="s">
        <v>35</v>
      </c>
      <c r="V1399" t="s">
        <v>3753</v>
      </c>
      <c r="W1399" t="s">
        <v>3957</v>
      </c>
      <c r="X1399" s="4">
        <v>1</v>
      </c>
      <c r="Y1399" s="4"/>
      <c r="Z1399">
        <f t="shared" si="84"/>
        <v>8</v>
      </c>
      <c r="AA1399">
        <f t="shared" si="85"/>
        <v>18</v>
      </c>
      <c r="AB1399" s="5">
        <f t="shared" si="86"/>
        <v>0.33006944444787223</v>
      </c>
      <c r="AC1399" s="3">
        <f t="shared" si="87"/>
        <v>9.0266203696955927E-2</v>
      </c>
      <c r="AD1399" t="str" cm="1">
        <f t="array" ref="AD1399">IFERROR(_xlfn.IFS(
    AC1399="", "",
    AC1399*86400 &lt; 30, "1. 0s - &lt;30s",
    AC1399*86400 &lt; 60, "2. 30s - &lt;1m",
    AC1399*86400 &lt; 300, "3. 1m - &lt;5m",
    AC1399*86400 &lt; 1800, "4. 5m - &lt;30m",
    TRUE, "5. &gt;= 30m"
),"6. Invalid (Order rejected)")</f>
        <v>5. &gt;= 30m</v>
      </c>
    </row>
    <row r="1400" spans="1:30" hidden="1" x14ac:dyDescent="0.3">
      <c r="A1400" t="s">
        <v>8168</v>
      </c>
      <c r="B1400" t="s">
        <v>25</v>
      </c>
      <c r="C1400">
        <v>43701630</v>
      </c>
      <c r="D1400">
        <v>0</v>
      </c>
      <c r="E1400" t="s">
        <v>25</v>
      </c>
      <c r="F1400" t="s">
        <v>26</v>
      </c>
      <c r="G1400" t="s">
        <v>27</v>
      </c>
      <c r="H1400" t="s">
        <v>8169</v>
      </c>
      <c r="I1400" t="s">
        <v>8170</v>
      </c>
      <c r="J1400" t="s">
        <v>26</v>
      </c>
      <c r="K1400" t="s">
        <v>26</v>
      </c>
      <c r="L1400" t="s">
        <v>8171</v>
      </c>
      <c r="M1400" t="s">
        <v>25</v>
      </c>
      <c r="N1400" t="s">
        <v>3751</v>
      </c>
      <c r="O1400" t="s">
        <v>3752</v>
      </c>
      <c r="P1400" t="s">
        <v>3916</v>
      </c>
      <c r="Q1400" t="s">
        <v>3917</v>
      </c>
      <c r="R1400">
        <v>163296</v>
      </c>
      <c r="S1400">
        <v>0</v>
      </c>
      <c r="T1400">
        <v>163296</v>
      </c>
      <c r="U1400" t="s">
        <v>35</v>
      </c>
      <c r="V1400" t="s">
        <v>3753</v>
      </c>
      <c r="W1400" t="s">
        <v>3918</v>
      </c>
      <c r="X1400" s="4">
        <v>1</v>
      </c>
      <c r="Y1400" s="4"/>
      <c r="Z1400">
        <f t="shared" si="84"/>
        <v>8</v>
      </c>
      <c r="AA1400">
        <f t="shared" si="85"/>
        <v>18</v>
      </c>
      <c r="AB1400" s="5">
        <f t="shared" si="86"/>
        <v>0.32901620370103046</v>
      </c>
      <c r="AC1400" s="3">
        <f t="shared" si="87"/>
        <v>9.2291666667733807E-2</v>
      </c>
      <c r="AD1400" t="str" cm="1">
        <f t="array" ref="AD1400">IFERROR(_xlfn.IFS(
    AC1400="", "",
    AC1400*86400 &lt; 30, "1. 0s - &lt;30s",
    AC1400*86400 &lt; 60, "2. 30s - &lt;1m",
    AC1400*86400 &lt; 300, "3. 1m - &lt;5m",
    AC1400*86400 &lt; 1800, "4. 5m - &lt;30m",
    TRUE, "5. &gt;= 30m"
),"6. Invalid (Order rejected)")</f>
        <v>5. &gt;= 30m</v>
      </c>
    </row>
    <row r="1401" spans="1:30" x14ac:dyDescent="0.3">
      <c r="A1401" t="s">
        <v>8172</v>
      </c>
      <c r="B1401" t="s">
        <v>25</v>
      </c>
      <c r="C1401">
        <v>43701630</v>
      </c>
      <c r="D1401">
        <v>4402897</v>
      </c>
      <c r="E1401" t="s">
        <v>25</v>
      </c>
      <c r="F1401" t="s">
        <v>75</v>
      </c>
      <c r="G1401" t="s">
        <v>360</v>
      </c>
      <c r="H1401" t="s">
        <v>8173</v>
      </c>
      <c r="I1401" t="s">
        <v>8174</v>
      </c>
      <c r="J1401" t="s">
        <v>8175</v>
      </c>
      <c r="K1401" t="s">
        <v>26</v>
      </c>
      <c r="L1401" t="s">
        <v>25</v>
      </c>
      <c r="M1401" t="s">
        <v>25</v>
      </c>
      <c r="N1401" t="s">
        <v>3751</v>
      </c>
      <c r="O1401" t="s">
        <v>3752</v>
      </c>
      <c r="P1401" t="s">
        <v>5381</v>
      </c>
      <c r="Q1401" t="s">
        <v>5382</v>
      </c>
      <c r="R1401">
        <v>195372</v>
      </c>
      <c r="S1401">
        <v>151459</v>
      </c>
      <c r="T1401">
        <v>43913</v>
      </c>
      <c r="U1401" t="s">
        <v>35</v>
      </c>
      <c r="V1401" t="s">
        <v>3753</v>
      </c>
      <c r="W1401" t="s">
        <v>5383</v>
      </c>
      <c r="X1401" s="4">
        <v>1</v>
      </c>
      <c r="Y1401" s="4"/>
      <c r="Z1401">
        <f t="shared" si="84"/>
        <v>8</v>
      </c>
      <c r="AA1401">
        <f t="shared" si="85"/>
        <v>18</v>
      </c>
      <c r="AB1401" s="5">
        <f t="shared" si="86"/>
        <v>0.33041666666395031</v>
      </c>
      <c r="AC1401" s="3" t="str">
        <f t="shared" si="87"/>
        <v>Order rejected, no time available</v>
      </c>
      <c r="AD1401" t="str" cm="1">
        <f t="array" ref="AD1401">IFERROR(_xlfn.IFS(
    AC1401="", "",
    AC1401*86400 &lt; 30, "1. 0s - &lt;30s",
    AC1401*86400 &lt; 60, "2. 30s - &lt;1m",
    AC1401*86400 &lt; 300, "3. 1m - &lt;5m",
    AC1401*86400 &lt; 1800, "4. 5m - &lt;30m",
    TRUE, "5. &gt;= 30m"
),"6. Invalid (Order rejected)")</f>
        <v>6. Invalid (Order rejected)</v>
      </c>
    </row>
    <row r="1402" spans="1:30" x14ac:dyDescent="0.3">
      <c r="A1402" t="s">
        <v>8176</v>
      </c>
      <c r="B1402" t="s">
        <v>25</v>
      </c>
      <c r="C1402">
        <v>43701630</v>
      </c>
      <c r="D1402">
        <v>4009018</v>
      </c>
      <c r="E1402" t="s">
        <v>25</v>
      </c>
      <c r="F1402" t="s">
        <v>75</v>
      </c>
      <c r="G1402" t="s">
        <v>360</v>
      </c>
      <c r="H1402" t="s">
        <v>8177</v>
      </c>
      <c r="I1402" t="s">
        <v>8178</v>
      </c>
      <c r="J1402" t="s">
        <v>8179</v>
      </c>
      <c r="K1402" t="s">
        <v>26</v>
      </c>
      <c r="L1402" t="s">
        <v>25</v>
      </c>
      <c r="M1402" t="s">
        <v>25</v>
      </c>
      <c r="N1402" t="s">
        <v>3730</v>
      </c>
      <c r="O1402" t="s">
        <v>3731</v>
      </c>
      <c r="P1402" t="s">
        <v>5381</v>
      </c>
      <c r="Q1402" t="s">
        <v>5382</v>
      </c>
      <c r="R1402">
        <v>191700</v>
      </c>
      <c r="S1402">
        <v>148612</v>
      </c>
      <c r="T1402">
        <v>43088</v>
      </c>
      <c r="U1402" t="s">
        <v>35</v>
      </c>
      <c r="V1402" t="s">
        <v>3732</v>
      </c>
      <c r="W1402" t="s">
        <v>5383</v>
      </c>
      <c r="X1402" s="4">
        <v>1</v>
      </c>
      <c r="Y1402" s="4"/>
      <c r="Z1402">
        <f t="shared" si="84"/>
        <v>8</v>
      </c>
      <c r="AA1402">
        <f t="shared" si="85"/>
        <v>18</v>
      </c>
      <c r="AB1402" s="5">
        <f t="shared" si="86"/>
        <v>0.33284722222015262</v>
      </c>
      <c r="AC1402" s="3" t="str">
        <f t="shared" si="87"/>
        <v>Order rejected, no time available</v>
      </c>
      <c r="AD1402" t="str" cm="1">
        <f t="array" ref="AD1402">IFERROR(_xlfn.IFS(
    AC1402="", "",
    AC1402*86400 &lt; 30, "1. 0s - &lt;30s",
    AC1402*86400 &lt; 60, "2. 30s - &lt;1m",
    AC1402*86400 &lt; 300, "3. 1m - &lt;5m",
    AC1402*86400 &lt; 1800, "4. 5m - &lt;30m",
    TRUE, "5. &gt;= 30m"
),"6. Invalid (Order rejected)")</f>
        <v>6. Invalid (Order rejected)</v>
      </c>
    </row>
    <row r="1403" spans="1:30" hidden="1" x14ac:dyDescent="0.3">
      <c r="A1403" t="s">
        <v>8180</v>
      </c>
      <c r="B1403" t="s">
        <v>25</v>
      </c>
      <c r="C1403">
        <v>23938356</v>
      </c>
      <c r="D1403">
        <v>3241501</v>
      </c>
      <c r="E1403" t="s">
        <v>8181</v>
      </c>
      <c r="F1403" t="s">
        <v>75</v>
      </c>
      <c r="G1403" t="s">
        <v>76</v>
      </c>
      <c r="H1403" t="s">
        <v>8182</v>
      </c>
      <c r="I1403" t="s">
        <v>8183</v>
      </c>
      <c r="J1403" t="s">
        <v>8184</v>
      </c>
      <c r="K1403" t="s">
        <v>26</v>
      </c>
      <c r="L1403" t="s">
        <v>8185</v>
      </c>
      <c r="M1403" t="s">
        <v>25</v>
      </c>
      <c r="N1403" t="s">
        <v>3994</v>
      </c>
      <c r="O1403" t="s">
        <v>3995</v>
      </c>
      <c r="P1403" t="s">
        <v>780</v>
      </c>
      <c r="Q1403" t="s">
        <v>4388</v>
      </c>
      <c r="R1403">
        <v>499932</v>
      </c>
      <c r="S1403">
        <v>387563</v>
      </c>
      <c r="T1403">
        <v>112369</v>
      </c>
      <c r="U1403" t="s">
        <v>35</v>
      </c>
      <c r="V1403" t="s">
        <v>3996</v>
      </c>
      <c r="W1403" t="s">
        <v>4389</v>
      </c>
      <c r="X1403" s="4">
        <v>1</v>
      </c>
      <c r="Y1403" s="4"/>
      <c r="Z1403">
        <f t="shared" si="84"/>
        <v>8</v>
      </c>
      <c r="AA1403">
        <f t="shared" si="85"/>
        <v>18</v>
      </c>
      <c r="AB1403" s="5">
        <f t="shared" si="86"/>
        <v>0.35002314814482816</v>
      </c>
      <c r="AC1403" s="3">
        <f t="shared" si="87"/>
        <v>1.1342592624714598E-3</v>
      </c>
      <c r="AD1403" t="str" cm="1">
        <f t="array" ref="AD1403">IFERROR(_xlfn.IFS(
    AC1403="", "",
    AC1403*86400 &lt; 30, "1. 0s - &lt;30s",
    AC1403*86400 &lt; 60, "2. 30s - &lt;1m",
    AC1403*86400 &lt; 300, "3. 1m - &lt;5m",
    AC1403*86400 &lt; 1800, "4. 5m - &lt;30m",
    TRUE, "5. &gt;= 30m"
),"6. Invalid (Order rejected)")</f>
        <v>3. 1m - &lt;5m</v>
      </c>
    </row>
    <row r="1404" spans="1:30" hidden="1" x14ac:dyDescent="0.3">
      <c r="A1404" t="s">
        <v>8186</v>
      </c>
      <c r="B1404" t="s">
        <v>25</v>
      </c>
      <c r="C1404">
        <v>23938356</v>
      </c>
      <c r="D1404">
        <v>3241501</v>
      </c>
      <c r="E1404" t="s">
        <v>8181</v>
      </c>
      <c r="F1404" t="s">
        <v>75</v>
      </c>
      <c r="G1404" t="s">
        <v>76</v>
      </c>
      <c r="H1404" t="s">
        <v>8187</v>
      </c>
      <c r="I1404" t="s">
        <v>8188</v>
      </c>
      <c r="J1404" t="s">
        <v>8189</v>
      </c>
      <c r="K1404" t="s">
        <v>26</v>
      </c>
      <c r="L1404" t="s">
        <v>8190</v>
      </c>
      <c r="M1404" t="s">
        <v>25</v>
      </c>
      <c r="N1404" t="s">
        <v>3994</v>
      </c>
      <c r="O1404" t="s">
        <v>3995</v>
      </c>
      <c r="P1404" t="s">
        <v>780</v>
      </c>
      <c r="Q1404" t="s">
        <v>4388</v>
      </c>
      <c r="R1404">
        <v>499932</v>
      </c>
      <c r="S1404">
        <v>387563</v>
      </c>
      <c r="T1404">
        <v>112369</v>
      </c>
      <c r="U1404" t="s">
        <v>35</v>
      </c>
      <c r="V1404" t="s">
        <v>3996</v>
      </c>
      <c r="W1404" t="s">
        <v>4389</v>
      </c>
      <c r="X1404" s="4">
        <v>1</v>
      </c>
      <c r="Y1404" s="4"/>
      <c r="Z1404">
        <f t="shared" si="84"/>
        <v>8</v>
      </c>
      <c r="AA1404">
        <f t="shared" si="85"/>
        <v>18</v>
      </c>
      <c r="AB1404" s="5">
        <f t="shared" si="86"/>
        <v>0.35165509259240935</v>
      </c>
      <c r="AC1404" s="3">
        <f t="shared" si="87"/>
        <v>5.671296312357299E-4</v>
      </c>
      <c r="AD1404" t="str" cm="1">
        <f t="array" ref="AD1404">IFERROR(_xlfn.IFS(
    AC1404="", "",
    AC1404*86400 &lt; 30, "1. 0s - &lt;30s",
    AC1404*86400 &lt; 60, "2. 30s - &lt;1m",
    AC1404*86400 &lt; 300, "3. 1m - &lt;5m",
    AC1404*86400 &lt; 1800, "4. 5m - &lt;30m",
    TRUE, "5. &gt;= 30m"
),"6. Invalid (Order rejected)")</f>
        <v>2. 30s - &lt;1m</v>
      </c>
    </row>
    <row r="1405" spans="1:30" hidden="1" x14ac:dyDescent="0.3">
      <c r="A1405" t="s">
        <v>8191</v>
      </c>
      <c r="B1405" t="s">
        <v>25</v>
      </c>
      <c r="C1405">
        <v>23938356</v>
      </c>
      <c r="D1405">
        <v>4038351</v>
      </c>
      <c r="E1405" t="s">
        <v>8181</v>
      </c>
      <c r="F1405" t="s">
        <v>75</v>
      </c>
      <c r="G1405" t="s">
        <v>76</v>
      </c>
      <c r="H1405" t="s">
        <v>8192</v>
      </c>
      <c r="I1405" t="s">
        <v>8193</v>
      </c>
      <c r="J1405" t="s">
        <v>8194</v>
      </c>
      <c r="K1405" t="s">
        <v>26</v>
      </c>
      <c r="L1405" t="s">
        <v>8195</v>
      </c>
      <c r="M1405" t="s">
        <v>25</v>
      </c>
      <c r="N1405" t="s">
        <v>3994</v>
      </c>
      <c r="O1405" t="s">
        <v>3995</v>
      </c>
      <c r="P1405" t="s">
        <v>8196</v>
      </c>
      <c r="Q1405" t="s">
        <v>8197</v>
      </c>
      <c r="R1405">
        <v>299808</v>
      </c>
      <c r="S1405">
        <v>232421</v>
      </c>
      <c r="T1405">
        <v>67387</v>
      </c>
      <c r="U1405" t="s">
        <v>35</v>
      </c>
      <c r="V1405" t="s">
        <v>3996</v>
      </c>
      <c r="W1405" t="s">
        <v>8198</v>
      </c>
      <c r="X1405" s="4">
        <v>1</v>
      </c>
      <c r="Y1405" s="4"/>
      <c r="Z1405">
        <f t="shared" si="84"/>
        <v>8</v>
      </c>
      <c r="AA1405">
        <f t="shared" si="85"/>
        <v>18</v>
      </c>
      <c r="AB1405" s="5">
        <f t="shared" si="86"/>
        <v>0.35363425925606862</v>
      </c>
      <c r="AC1405" s="3">
        <f t="shared" si="87"/>
        <v>8.3333333896007389E-4</v>
      </c>
      <c r="AD1405" t="str" cm="1">
        <f t="array" ref="AD1405">IFERROR(_xlfn.IFS(
    AC1405="", "",
    AC1405*86400 &lt; 30, "1. 0s - &lt;30s",
    AC1405*86400 &lt; 60, "2. 30s - &lt;1m",
    AC1405*86400 &lt; 300, "3. 1m - &lt;5m",
    AC1405*86400 &lt; 1800, "4. 5m - &lt;30m",
    TRUE, "5. &gt;= 30m"
),"6. Invalid (Order rejected)")</f>
        <v>3. 1m - &lt;5m</v>
      </c>
    </row>
    <row r="1406" spans="1:30" hidden="1" x14ac:dyDescent="0.3">
      <c r="A1406" t="s">
        <v>8199</v>
      </c>
      <c r="B1406" t="s">
        <v>25</v>
      </c>
      <c r="C1406">
        <v>23938356</v>
      </c>
      <c r="D1406">
        <v>4015531</v>
      </c>
      <c r="E1406" t="s">
        <v>8181</v>
      </c>
      <c r="F1406" t="s">
        <v>75</v>
      </c>
      <c r="G1406" t="s">
        <v>76</v>
      </c>
      <c r="H1406" t="s">
        <v>8200</v>
      </c>
      <c r="I1406" t="s">
        <v>8201</v>
      </c>
      <c r="J1406" t="s">
        <v>8202</v>
      </c>
      <c r="K1406" t="s">
        <v>26</v>
      </c>
      <c r="L1406" t="s">
        <v>8203</v>
      </c>
      <c r="M1406" t="s">
        <v>25</v>
      </c>
      <c r="N1406" t="s">
        <v>3994</v>
      </c>
      <c r="O1406" t="s">
        <v>3995</v>
      </c>
      <c r="P1406" t="s">
        <v>8196</v>
      </c>
      <c r="Q1406" t="s">
        <v>8197</v>
      </c>
      <c r="R1406">
        <v>299808</v>
      </c>
      <c r="S1406">
        <v>232421</v>
      </c>
      <c r="T1406">
        <v>67387</v>
      </c>
      <c r="U1406" t="s">
        <v>35</v>
      </c>
      <c r="V1406" t="s">
        <v>3996</v>
      </c>
      <c r="W1406" t="s">
        <v>8198</v>
      </c>
      <c r="X1406" s="4">
        <v>1</v>
      </c>
      <c r="Y1406" s="4"/>
      <c r="Z1406">
        <f t="shared" si="84"/>
        <v>8</v>
      </c>
      <c r="AA1406">
        <f t="shared" si="85"/>
        <v>18</v>
      </c>
      <c r="AB1406" s="5">
        <f t="shared" si="86"/>
        <v>0.35633101851999527</v>
      </c>
      <c r="AC1406" s="3">
        <f t="shared" si="87"/>
        <v>8.9120370103046298E-4</v>
      </c>
      <c r="AD1406" t="str" cm="1">
        <f t="array" ref="AD1406">IFERROR(_xlfn.IFS(
    AC1406="", "",
    AC1406*86400 &lt; 30, "1. 0s - &lt;30s",
    AC1406*86400 &lt; 60, "2. 30s - &lt;1m",
    AC1406*86400 &lt; 300, "3. 1m - &lt;5m",
    AC1406*86400 &lt; 1800, "4. 5m - &lt;30m",
    TRUE, "5. &gt;= 30m"
),"6. Invalid (Order rejected)")</f>
        <v>3. 1m - &lt;5m</v>
      </c>
    </row>
    <row r="1407" spans="1:30" hidden="1" x14ac:dyDescent="0.3">
      <c r="A1407" t="s">
        <v>8204</v>
      </c>
      <c r="B1407" t="s">
        <v>25</v>
      </c>
      <c r="C1407">
        <v>23938356</v>
      </c>
      <c r="D1407">
        <v>4348108</v>
      </c>
      <c r="E1407" t="s">
        <v>8181</v>
      </c>
      <c r="F1407" t="s">
        <v>75</v>
      </c>
      <c r="G1407" t="s">
        <v>76</v>
      </c>
      <c r="H1407" t="s">
        <v>8205</v>
      </c>
      <c r="I1407" t="s">
        <v>8206</v>
      </c>
      <c r="J1407" t="s">
        <v>8207</v>
      </c>
      <c r="K1407" t="s">
        <v>26</v>
      </c>
      <c r="L1407" t="s">
        <v>8208</v>
      </c>
      <c r="M1407" t="s">
        <v>25</v>
      </c>
      <c r="N1407" t="s">
        <v>3994</v>
      </c>
      <c r="O1407" t="s">
        <v>3995</v>
      </c>
      <c r="P1407" t="s">
        <v>8196</v>
      </c>
      <c r="Q1407" t="s">
        <v>8197</v>
      </c>
      <c r="R1407">
        <v>299808</v>
      </c>
      <c r="S1407">
        <v>246092</v>
      </c>
      <c r="T1407">
        <v>53716</v>
      </c>
      <c r="U1407" t="s">
        <v>35</v>
      </c>
      <c r="V1407" t="s">
        <v>3996</v>
      </c>
      <c r="W1407" t="s">
        <v>8198</v>
      </c>
      <c r="X1407" s="4">
        <v>1</v>
      </c>
      <c r="Y1407" s="4"/>
      <c r="Z1407">
        <f t="shared" si="84"/>
        <v>8</v>
      </c>
      <c r="AA1407">
        <f t="shared" si="85"/>
        <v>18</v>
      </c>
      <c r="AB1407" s="5">
        <f t="shared" si="86"/>
        <v>0.35493055555707542</v>
      </c>
      <c r="AC1407" s="3">
        <f t="shared" si="87"/>
        <v>6.2500000058207661E-4</v>
      </c>
      <c r="AD1407" t="str" cm="1">
        <f t="array" ref="AD1407">IFERROR(_xlfn.IFS(
    AC1407="", "",
    AC1407*86400 &lt; 30, "1. 0s - &lt;30s",
    AC1407*86400 &lt; 60, "2. 30s - &lt;1m",
    AC1407*86400 &lt; 300, "3. 1m - &lt;5m",
    AC1407*86400 &lt; 1800, "4. 5m - &lt;30m",
    TRUE, "5. &gt;= 30m"
),"6. Invalid (Order rejected)")</f>
        <v>2. 30s - &lt;1m</v>
      </c>
    </row>
    <row r="1408" spans="1:30" hidden="1" x14ac:dyDescent="0.3">
      <c r="A1408" t="s">
        <v>8209</v>
      </c>
      <c r="B1408" t="s">
        <v>25</v>
      </c>
      <c r="C1408">
        <v>23938356</v>
      </c>
      <c r="D1408">
        <v>3427880</v>
      </c>
      <c r="E1408" t="s">
        <v>3989</v>
      </c>
      <c r="F1408" t="s">
        <v>75</v>
      </c>
      <c r="G1408" t="s">
        <v>76</v>
      </c>
      <c r="H1408" t="s">
        <v>8210</v>
      </c>
      <c r="I1408" t="s">
        <v>8211</v>
      </c>
      <c r="J1408" t="s">
        <v>8212</v>
      </c>
      <c r="K1408" t="s">
        <v>26</v>
      </c>
      <c r="L1408" t="s">
        <v>8213</v>
      </c>
      <c r="M1408" t="s">
        <v>25</v>
      </c>
      <c r="N1408" t="s">
        <v>3994</v>
      </c>
      <c r="O1408" t="s">
        <v>3995</v>
      </c>
      <c r="P1408" t="s">
        <v>4399</v>
      </c>
      <c r="Q1408" t="s">
        <v>4400</v>
      </c>
      <c r="R1408">
        <v>258984</v>
      </c>
      <c r="S1408">
        <v>200773</v>
      </c>
      <c r="T1408">
        <v>58211</v>
      </c>
      <c r="U1408" t="s">
        <v>35</v>
      </c>
      <c r="V1408" t="s">
        <v>3996</v>
      </c>
      <c r="W1408" t="s">
        <v>4401</v>
      </c>
      <c r="X1408" s="4">
        <v>1</v>
      </c>
      <c r="Y1408" s="4"/>
      <c r="Z1408">
        <f t="shared" si="84"/>
        <v>8</v>
      </c>
      <c r="AA1408">
        <f t="shared" si="85"/>
        <v>18</v>
      </c>
      <c r="AB1408" s="5">
        <f t="shared" si="86"/>
        <v>0.359513888892252</v>
      </c>
      <c r="AC1408" s="3">
        <f t="shared" si="87"/>
        <v>8.6805555474711582E-4</v>
      </c>
      <c r="AD1408" t="str" cm="1">
        <f t="array" ref="AD1408">IFERROR(_xlfn.IFS(
    AC1408="", "",
    AC1408*86400 &lt; 30, "1. 0s - &lt;30s",
    AC1408*86400 &lt; 60, "2. 30s - &lt;1m",
    AC1408*86400 &lt; 300, "3. 1m - &lt;5m",
    AC1408*86400 &lt; 1800, "4. 5m - &lt;30m",
    TRUE, "5. &gt;= 30m"
),"6. Invalid (Order rejected)")</f>
        <v>3. 1m - &lt;5m</v>
      </c>
    </row>
    <row r="1409" spans="1:30" x14ac:dyDescent="0.3">
      <c r="A1409" t="s">
        <v>8214</v>
      </c>
      <c r="B1409" t="s">
        <v>3229</v>
      </c>
      <c r="C1409">
        <v>13373294</v>
      </c>
      <c r="D1409">
        <v>4449879</v>
      </c>
      <c r="E1409" t="s">
        <v>25</v>
      </c>
      <c r="F1409" t="s">
        <v>3482</v>
      </c>
      <c r="G1409" t="s">
        <v>360</v>
      </c>
      <c r="H1409" t="s">
        <v>8215</v>
      </c>
      <c r="I1409" t="s">
        <v>8216</v>
      </c>
      <c r="J1409" t="s">
        <v>8217</v>
      </c>
      <c r="K1409" t="s">
        <v>8218</v>
      </c>
      <c r="L1409" t="s">
        <v>25</v>
      </c>
      <c r="M1409" t="s">
        <v>25</v>
      </c>
      <c r="N1409" t="s">
        <v>8219</v>
      </c>
      <c r="O1409" t="s">
        <v>8220</v>
      </c>
      <c r="P1409" t="s">
        <v>8221</v>
      </c>
      <c r="Q1409" t="s">
        <v>8222</v>
      </c>
      <c r="R1409">
        <v>273996</v>
      </c>
      <c r="S1409">
        <v>212410</v>
      </c>
      <c r="T1409">
        <v>61586</v>
      </c>
      <c r="U1409" t="s">
        <v>35</v>
      </c>
      <c r="V1409" t="s">
        <v>8223</v>
      </c>
      <c r="W1409" t="s">
        <v>8224</v>
      </c>
      <c r="X1409" s="4">
        <v>1</v>
      </c>
      <c r="Y1409" s="4"/>
      <c r="Z1409">
        <f t="shared" si="84"/>
        <v>8</v>
      </c>
      <c r="AA1409">
        <f t="shared" si="85"/>
        <v>18</v>
      </c>
      <c r="AB1409" s="5">
        <f t="shared" si="86"/>
        <v>0.93951388888672227</v>
      </c>
      <c r="AC1409" s="3" t="str">
        <f t="shared" si="87"/>
        <v>Order rejected, no time available</v>
      </c>
      <c r="AD1409" t="str" cm="1">
        <f t="array" ref="AD1409">IFERROR(_xlfn.IFS(
    AC1409="", "",
    AC1409*86400 &lt; 30, "1. 0s - &lt;30s",
    AC1409*86400 &lt; 60, "2. 30s - &lt;1m",
    AC1409*86400 &lt; 300, "3. 1m - &lt;5m",
    AC1409*86400 &lt; 1800, "4. 5m - &lt;30m",
    TRUE, "5. &gt;= 30m"
),"6. Invalid (Order rejected)")</f>
        <v>6. Invalid (Order rejected)</v>
      </c>
    </row>
    <row r="1410" spans="1:30" hidden="1" x14ac:dyDescent="0.3">
      <c r="A1410" t="s">
        <v>8225</v>
      </c>
      <c r="B1410" t="s">
        <v>25</v>
      </c>
      <c r="C1410">
        <v>43729827</v>
      </c>
      <c r="D1410">
        <v>0</v>
      </c>
      <c r="E1410" t="s">
        <v>25</v>
      </c>
      <c r="F1410" t="s">
        <v>26</v>
      </c>
      <c r="G1410" t="s">
        <v>27</v>
      </c>
      <c r="H1410" t="s">
        <v>8226</v>
      </c>
      <c r="I1410" t="s">
        <v>8227</v>
      </c>
      <c r="J1410" t="s">
        <v>26</v>
      </c>
      <c r="K1410" t="s">
        <v>26</v>
      </c>
      <c r="L1410" t="s">
        <v>8228</v>
      </c>
      <c r="M1410" t="s">
        <v>25</v>
      </c>
      <c r="N1410" t="s">
        <v>4025</v>
      </c>
      <c r="O1410" t="s">
        <v>4026</v>
      </c>
      <c r="P1410" t="s">
        <v>8229</v>
      </c>
      <c r="Q1410" t="s">
        <v>8230</v>
      </c>
      <c r="R1410">
        <v>224964</v>
      </c>
      <c r="S1410">
        <v>0</v>
      </c>
      <c r="T1410">
        <v>224964</v>
      </c>
      <c r="U1410" t="s">
        <v>35</v>
      </c>
      <c r="V1410" t="s">
        <v>4029</v>
      </c>
      <c r="W1410" t="s">
        <v>8231</v>
      </c>
      <c r="X1410" s="4">
        <v>1</v>
      </c>
      <c r="Y1410" s="4"/>
      <c r="Z1410">
        <f t="shared" si="84"/>
        <v>8</v>
      </c>
      <c r="AA1410">
        <f t="shared" si="85"/>
        <v>19</v>
      </c>
      <c r="AB1410" s="5">
        <f t="shared" si="86"/>
        <v>0.30391203703766223</v>
      </c>
      <c r="AC1410" s="3">
        <f t="shared" si="87"/>
        <v>9.0254629627452232E-2</v>
      </c>
      <c r="AD1410" t="str" cm="1">
        <f t="array" ref="AD1410">IFERROR(_xlfn.IFS(
    AC1410="", "",
    AC1410*86400 &lt; 30, "1. 0s - &lt;30s",
    AC1410*86400 &lt; 60, "2. 30s - &lt;1m",
    AC1410*86400 &lt; 300, "3. 1m - &lt;5m",
    AC1410*86400 &lt; 1800, "4. 5m - &lt;30m",
    TRUE, "5. &gt;= 30m"
),"6. Invalid (Order rejected)")</f>
        <v>5. &gt;= 30m</v>
      </c>
    </row>
    <row r="1411" spans="1:30" hidden="1" x14ac:dyDescent="0.3">
      <c r="A1411" t="s">
        <v>8232</v>
      </c>
      <c r="B1411" t="s">
        <v>25</v>
      </c>
      <c r="C1411">
        <v>43729827</v>
      </c>
      <c r="D1411">
        <v>0</v>
      </c>
      <c r="E1411" t="s">
        <v>25</v>
      </c>
      <c r="F1411" t="s">
        <v>26</v>
      </c>
      <c r="G1411" t="s">
        <v>27</v>
      </c>
      <c r="H1411" t="s">
        <v>8233</v>
      </c>
      <c r="I1411" t="s">
        <v>8234</v>
      </c>
      <c r="J1411" t="s">
        <v>26</v>
      </c>
      <c r="K1411" t="s">
        <v>26</v>
      </c>
      <c r="L1411" t="s">
        <v>8235</v>
      </c>
      <c r="M1411" t="s">
        <v>25</v>
      </c>
      <c r="N1411" t="s">
        <v>3680</v>
      </c>
      <c r="O1411" t="s">
        <v>2355</v>
      </c>
      <c r="P1411" t="s">
        <v>8229</v>
      </c>
      <c r="Q1411" t="s">
        <v>8230</v>
      </c>
      <c r="R1411">
        <v>307800</v>
      </c>
      <c r="S1411">
        <v>0</v>
      </c>
      <c r="T1411">
        <v>307800</v>
      </c>
      <c r="U1411" t="s">
        <v>35</v>
      </c>
      <c r="V1411" t="s">
        <v>2358</v>
      </c>
      <c r="W1411" t="s">
        <v>8231</v>
      </c>
      <c r="X1411" s="4">
        <v>1</v>
      </c>
      <c r="Y1411" s="4"/>
      <c r="Z1411">
        <f t="shared" ref="Z1411:Z1474" si="88">MONTH(H1411)</f>
        <v>8</v>
      </c>
      <c r="AA1411">
        <f t="shared" ref="AA1411:AA1474" si="89">DAY(H1411)</f>
        <v>19</v>
      </c>
      <c r="AB1411" s="5">
        <f t="shared" ref="AB1411:AB1474" si="90">MOD(H1411, 1)</f>
        <v>0.31003472222073469</v>
      </c>
      <c r="AC1411" s="3">
        <f t="shared" ref="AC1411:AC1474" si="91">IFERROR(IF(M1411="",L1411-H1411,M1411-H1411),"Order rejected, no time available")</f>
        <v>9.025462963472819E-2</v>
      </c>
      <c r="AD1411" t="str" cm="1">
        <f t="array" ref="AD1411">IFERROR(_xlfn.IFS(
    AC1411="", "",
    AC1411*86400 &lt; 30, "1. 0s - &lt;30s",
    AC1411*86400 &lt; 60, "2. 30s - &lt;1m",
    AC1411*86400 &lt; 300, "3. 1m - &lt;5m",
    AC1411*86400 &lt; 1800, "4. 5m - &lt;30m",
    TRUE, "5. &gt;= 30m"
),"6. Invalid (Order rejected)")</f>
        <v>5. &gt;= 30m</v>
      </c>
    </row>
    <row r="1412" spans="1:30" hidden="1" x14ac:dyDescent="0.3">
      <c r="A1412" t="s">
        <v>8236</v>
      </c>
      <c r="B1412" t="s">
        <v>25</v>
      </c>
      <c r="C1412">
        <v>43729827</v>
      </c>
      <c r="D1412">
        <v>0</v>
      </c>
      <c r="E1412" t="s">
        <v>25</v>
      </c>
      <c r="F1412" t="s">
        <v>26</v>
      </c>
      <c r="G1412" t="s">
        <v>27</v>
      </c>
      <c r="H1412" t="s">
        <v>8237</v>
      </c>
      <c r="I1412" t="s">
        <v>8238</v>
      </c>
      <c r="J1412" t="s">
        <v>26</v>
      </c>
      <c r="K1412" t="s">
        <v>26</v>
      </c>
      <c r="L1412" t="s">
        <v>8239</v>
      </c>
      <c r="M1412" t="s">
        <v>25</v>
      </c>
      <c r="N1412" t="s">
        <v>4046</v>
      </c>
      <c r="O1412" t="s">
        <v>4047</v>
      </c>
      <c r="P1412" t="s">
        <v>8240</v>
      </c>
      <c r="Q1412" t="s">
        <v>8241</v>
      </c>
      <c r="R1412">
        <v>211140</v>
      </c>
      <c r="S1412">
        <v>0</v>
      </c>
      <c r="T1412">
        <v>211140</v>
      </c>
      <c r="U1412" t="s">
        <v>35</v>
      </c>
      <c r="V1412" t="s">
        <v>4050</v>
      </c>
      <c r="W1412" t="s">
        <v>4151</v>
      </c>
      <c r="X1412" s="4">
        <v>1</v>
      </c>
      <c r="Y1412" s="4"/>
      <c r="Z1412">
        <f t="shared" si="88"/>
        <v>8</v>
      </c>
      <c r="AA1412">
        <f t="shared" si="89"/>
        <v>19</v>
      </c>
      <c r="AB1412" s="5">
        <f t="shared" si="90"/>
        <v>0.30834490740380716</v>
      </c>
      <c r="AC1412" s="3">
        <f t="shared" si="91"/>
        <v>9.025462963472819E-2</v>
      </c>
      <c r="AD1412" t="str" cm="1">
        <f t="array" ref="AD1412">IFERROR(_xlfn.IFS(
    AC1412="", "",
    AC1412*86400 &lt; 30, "1. 0s - &lt;30s",
    AC1412*86400 &lt; 60, "2. 30s - &lt;1m",
    AC1412*86400 &lt; 300, "3. 1m - &lt;5m",
    AC1412*86400 &lt; 1800, "4. 5m - &lt;30m",
    TRUE, "5. &gt;= 30m"
),"6. Invalid (Order rejected)")</f>
        <v>5. &gt;= 30m</v>
      </c>
    </row>
    <row r="1413" spans="1:30" hidden="1" x14ac:dyDescent="0.3">
      <c r="A1413" t="s">
        <v>8242</v>
      </c>
      <c r="B1413" t="s">
        <v>25</v>
      </c>
      <c r="C1413">
        <v>43729827</v>
      </c>
      <c r="D1413">
        <v>0</v>
      </c>
      <c r="E1413" t="s">
        <v>25</v>
      </c>
      <c r="F1413" t="s">
        <v>26</v>
      </c>
      <c r="G1413" t="s">
        <v>27</v>
      </c>
      <c r="H1413" t="s">
        <v>8243</v>
      </c>
      <c r="I1413" t="s">
        <v>8244</v>
      </c>
      <c r="J1413" t="s">
        <v>26</v>
      </c>
      <c r="K1413" t="s">
        <v>26</v>
      </c>
      <c r="L1413" t="s">
        <v>8245</v>
      </c>
      <c r="M1413" t="s">
        <v>25</v>
      </c>
      <c r="N1413" t="s">
        <v>4056</v>
      </c>
      <c r="O1413" t="s">
        <v>4057</v>
      </c>
      <c r="P1413" t="s">
        <v>4105</v>
      </c>
      <c r="Q1413" t="s">
        <v>4106</v>
      </c>
      <c r="R1413">
        <v>162756</v>
      </c>
      <c r="S1413">
        <v>0</v>
      </c>
      <c r="T1413">
        <v>162756</v>
      </c>
      <c r="U1413" t="s">
        <v>35</v>
      </c>
      <c r="V1413" t="s">
        <v>4060</v>
      </c>
      <c r="W1413" t="s">
        <v>4107</v>
      </c>
      <c r="X1413" s="4">
        <v>1</v>
      </c>
      <c r="Y1413" s="4"/>
      <c r="Z1413">
        <f t="shared" si="88"/>
        <v>8</v>
      </c>
      <c r="AA1413">
        <f t="shared" si="89"/>
        <v>19</v>
      </c>
      <c r="AB1413" s="5">
        <f t="shared" si="90"/>
        <v>0.31143518518365454</v>
      </c>
      <c r="AC1413" s="3">
        <f t="shared" si="91"/>
        <v>9.025462963472819E-2</v>
      </c>
      <c r="AD1413" t="str" cm="1">
        <f t="array" ref="AD1413">IFERROR(_xlfn.IFS(
    AC1413="", "",
    AC1413*86400 &lt; 30, "1. 0s - &lt;30s",
    AC1413*86400 &lt; 60, "2. 30s - &lt;1m",
    AC1413*86400 &lt; 300, "3. 1m - &lt;5m",
    AC1413*86400 &lt; 1800, "4. 5m - &lt;30m",
    TRUE, "5. &gt;= 30m"
),"6. Invalid (Order rejected)")</f>
        <v>5. &gt;= 30m</v>
      </c>
    </row>
    <row r="1414" spans="1:30" hidden="1" x14ac:dyDescent="0.3">
      <c r="A1414" t="s">
        <v>8246</v>
      </c>
      <c r="B1414" t="s">
        <v>25</v>
      </c>
      <c r="C1414">
        <v>43729827</v>
      </c>
      <c r="D1414">
        <v>0</v>
      </c>
      <c r="E1414" t="s">
        <v>25</v>
      </c>
      <c r="F1414" t="s">
        <v>26</v>
      </c>
      <c r="G1414" t="s">
        <v>27</v>
      </c>
      <c r="H1414" t="s">
        <v>8247</v>
      </c>
      <c r="I1414" t="s">
        <v>8248</v>
      </c>
      <c r="J1414" t="s">
        <v>26</v>
      </c>
      <c r="K1414" t="s">
        <v>26</v>
      </c>
      <c r="L1414" t="s">
        <v>8249</v>
      </c>
      <c r="M1414" t="s">
        <v>25</v>
      </c>
      <c r="N1414" t="s">
        <v>3765</v>
      </c>
      <c r="O1414" t="s">
        <v>3766</v>
      </c>
      <c r="P1414" t="s">
        <v>2339</v>
      </c>
      <c r="Q1414" t="s">
        <v>2340</v>
      </c>
      <c r="R1414">
        <v>308988</v>
      </c>
      <c r="S1414">
        <v>0</v>
      </c>
      <c r="T1414">
        <v>308988</v>
      </c>
      <c r="U1414" t="s">
        <v>35</v>
      </c>
      <c r="V1414" t="s">
        <v>3769</v>
      </c>
      <c r="W1414" t="s">
        <v>2341</v>
      </c>
      <c r="X1414" s="4">
        <v>1</v>
      </c>
      <c r="Y1414" s="4"/>
      <c r="Z1414">
        <f t="shared" si="88"/>
        <v>8</v>
      </c>
      <c r="AA1414">
        <f t="shared" si="89"/>
        <v>19</v>
      </c>
      <c r="AB1414" s="5">
        <f t="shared" si="90"/>
        <v>0.31337962963152677</v>
      </c>
      <c r="AC1414" s="3">
        <f t="shared" si="91"/>
        <v>9.0266203704231884E-2</v>
      </c>
      <c r="AD1414" t="str" cm="1">
        <f t="array" ref="AD1414">IFERROR(_xlfn.IFS(
    AC1414="", "",
    AC1414*86400 &lt; 30, "1. 0s - &lt;30s",
    AC1414*86400 &lt; 60, "2. 30s - &lt;1m",
    AC1414*86400 &lt; 300, "3. 1m - &lt;5m",
    AC1414*86400 &lt; 1800, "4. 5m - &lt;30m",
    TRUE, "5. &gt;= 30m"
),"6. Invalid (Order rejected)")</f>
        <v>5. &gt;= 30m</v>
      </c>
    </row>
    <row r="1415" spans="1:30" hidden="1" x14ac:dyDescent="0.3">
      <c r="A1415" t="s">
        <v>8250</v>
      </c>
      <c r="B1415" t="s">
        <v>25</v>
      </c>
      <c r="C1415">
        <v>43729827</v>
      </c>
      <c r="D1415">
        <v>0</v>
      </c>
      <c r="E1415" t="s">
        <v>25</v>
      </c>
      <c r="F1415" t="s">
        <v>26</v>
      </c>
      <c r="G1415" t="s">
        <v>27</v>
      </c>
      <c r="H1415" t="s">
        <v>8251</v>
      </c>
      <c r="I1415" t="s">
        <v>8252</v>
      </c>
      <c r="J1415" t="s">
        <v>26</v>
      </c>
      <c r="K1415" t="s">
        <v>26</v>
      </c>
      <c r="L1415" t="s">
        <v>8253</v>
      </c>
      <c r="M1415" t="s">
        <v>25</v>
      </c>
      <c r="N1415" t="s">
        <v>4025</v>
      </c>
      <c r="O1415" t="s">
        <v>4026</v>
      </c>
      <c r="P1415" t="s">
        <v>4088</v>
      </c>
      <c r="Q1415" t="s">
        <v>4089</v>
      </c>
      <c r="R1415">
        <v>314496</v>
      </c>
      <c r="S1415">
        <v>0</v>
      </c>
      <c r="T1415">
        <v>314496</v>
      </c>
      <c r="U1415" t="s">
        <v>35</v>
      </c>
      <c r="V1415" t="s">
        <v>4029</v>
      </c>
      <c r="W1415" t="s">
        <v>4090</v>
      </c>
      <c r="X1415" s="4">
        <v>1</v>
      </c>
      <c r="Y1415" s="4"/>
      <c r="Z1415">
        <f t="shared" si="88"/>
        <v>8</v>
      </c>
      <c r="AA1415">
        <f t="shared" si="89"/>
        <v>19</v>
      </c>
      <c r="AB1415" s="5">
        <f t="shared" si="90"/>
        <v>0.30152777778130258</v>
      </c>
      <c r="AC1415" s="3">
        <f t="shared" si="91"/>
        <v>9.0254629627452232E-2</v>
      </c>
      <c r="AD1415" t="str" cm="1">
        <f t="array" ref="AD1415">IFERROR(_xlfn.IFS(
    AC1415="", "",
    AC1415*86400 &lt; 30, "1. 0s - &lt;30s",
    AC1415*86400 &lt; 60, "2. 30s - &lt;1m",
    AC1415*86400 &lt; 300, "3. 1m - &lt;5m",
    AC1415*86400 &lt; 1800, "4. 5m - &lt;30m",
    TRUE, "5. &gt;= 30m"
),"6. Invalid (Order rejected)")</f>
        <v>5. &gt;= 30m</v>
      </c>
    </row>
    <row r="1416" spans="1:30" hidden="1" x14ac:dyDescent="0.3">
      <c r="A1416" t="s">
        <v>8254</v>
      </c>
      <c r="B1416" t="s">
        <v>25</v>
      </c>
      <c r="C1416">
        <v>43729827</v>
      </c>
      <c r="D1416">
        <v>0</v>
      </c>
      <c r="E1416" t="s">
        <v>25</v>
      </c>
      <c r="F1416" t="s">
        <v>26</v>
      </c>
      <c r="G1416" t="s">
        <v>27</v>
      </c>
      <c r="H1416" t="s">
        <v>8255</v>
      </c>
      <c r="I1416" t="s">
        <v>8256</v>
      </c>
      <c r="J1416" t="s">
        <v>26</v>
      </c>
      <c r="K1416" t="s">
        <v>26</v>
      </c>
      <c r="L1416" t="s">
        <v>8257</v>
      </c>
      <c r="M1416" t="s">
        <v>25</v>
      </c>
      <c r="N1416" t="s">
        <v>4046</v>
      </c>
      <c r="O1416" t="s">
        <v>4047</v>
      </c>
      <c r="P1416" t="s">
        <v>4058</v>
      </c>
      <c r="Q1416" t="s">
        <v>4059</v>
      </c>
      <c r="R1416">
        <v>196128</v>
      </c>
      <c r="S1416">
        <v>0</v>
      </c>
      <c r="T1416">
        <v>196128</v>
      </c>
      <c r="U1416" t="s">
        <v>35</v>
      </c>
      <c r="V1416" t="s">
        <v>4050</v>
      </c>
      <c r="W1416" t="s">
        <v>4061</v>
      </c>
      <c r="X1416" s="4">
        <v>1</v>
      </c>
      <c r="Y1416" s="4"/>
      <c r="Z1416">
        <f t="shared" si="88"/>
        <v>8</v>
      </c>
      <c r="AA1416">
        <f t="shared" si="89"/>
        <v>19</v>
      </c>
      <c r="AB1416" s="5">
        <f t="shared" si="90"/>
        <v>0.30741898147971369</v>
      </c>
      <c r="AC1416" s="3">
        <f t="shared" si="91"/>
        <v>9.025462963472819E-2</v>
      </c>
      <c r="AD1416" t="str" cm="1">
        <f t="array" ref="AD1416">IFERROR(_xlfn.IFS(
    AC1416="", "",
    AC1416*86400 &lt; 30, "1. 0s - &lt;30s",
    AC1416*86400 &lt; 60, "2. 30s - &lt;1m",
    AC1416*86400 &lt; 300, "3. 1m - &lt;5m",
    AC1416*86400 &lt; 1800, "4. 5m - &lt;30m",
    TRUE, "5. &gt;= 30m"
),"6. Invalid (Order rejected)")</f>
        <v>5. &gt;= 30m</v>
      </c>
    </row>
    <row r="1417" spans="1:30" hidden="1" x14ac:dyDescent="0.3">
      <c r="A1417" t="s">
        <v>8258</v>
      </c>
      <c r="B1417" t="s">
        <v>25</v>
      </c>
      <c r="C1417">
        <v>43729827</v>
      </c>
      <c r="D1417">
        <v>0</v>
      </c>
      <c r="E1417" t="s">
        <v>25</v>
      </c>
      <c r="F1417" t="s">
        <v>26</v>
      </c>
      <c r="G1417" t="s">
        <v>27</v>
      </c>
      <c r="H1417" t="s">
        <v>8259</v>
      </c>
      <c r="I1417" t="s">
        <v>8260</v>
      </c>
      <c r="J1417" t="s">
        <v>26</v>
      </c>
      <c r="K1417" t="s">
        <v>26</v>
      </c>
      <c r="L1417" t="s">
        <v>8261</v>
      </c>
      <c r="M1417" t="s">
        <v>25</v>
      </c>
      <c r="N1417" t="s">
        <v>4046</v>
      </c>
      <c r="O1417" t="s">
        <v>4047</v>
      </c>
      <c r="P1417" t="s">
        <v>8262</v>
      </c>
      <c r="Q1417" t="s">
        <v>8263</v>
      </c>
      <c r="R1417">
        <v>213084</v>
      </c>
      <c r="S1417">
        <v>0</v>
      </c>
      <c r="T1417">
        <v>213084</v>
      </c>
      <c r="U1417" t="s">
        <v>35</v>
      </c>
      <c r="V1417" t="s">
        <v>4050</v>
      </c>
      <c r="W1417" t="s">
        <v>4068</v>
      </c>
      <c r="X1417" s="4">
        <v>1</v>
      </c>
      <c r="Y1417" s="4"/>
      <c r="Z1417">
        <f t="shared" si="88"/>
        <v>8</v>
      </c>
      <c r="AA1417">
        <f t="shared" si="89"/>
        <v>19</v>
      </c>
      <c r="AB1417" s="5">
        <f t="shared" si="90"/>
        <v>0.30895833333488554</v>
      </c>
      <c r="AC1417" s="3">
        <f t="shared" si="91"/>
        <v>9.0254629627452232E-2</v>
      </c>
      <c r="AD1417" t="str" cm="1">
        <f t="array" ref="AD1417">IFERROR(_xlfn.IFS(
    AC1417="", "",
    AC1417*86400 &lt; 30, "1. 0s - &lt;30s",
    AC1417*86400 &lt; 60, "2. 30s - &lt;1m",
    AC1417*86400 &lt; 300, "3. 1m - &lt;5m",
    AC1417*86400 &lt; 1800, "4. 5m - &lt;30m",
    TRUE, "5. &gt;= 30m"
),"6. Invalid (Order rejected)")</f>
        <v>5. &gt;= 30m</v>
      </c>
    </row>
    <row r="1418" spans="1:30" hidden="1" x14ac:dyDescent="0.3">
      <c r="A1418" t="s">
        <v>8264</v>
      </c>
      <c r="B1418" t="s">
        <v>25</v>
      </c>
      <c r="C1418">
        <v>43729827</v>
      </c>
      <c r="D1418">
        <v>0</v>
      </c>
      <c r="E1418" t="s">
        <v>25</v>
      </c>
      <c r="F1418" t="s">
        <v>26</v>
      </c>
      <c r="G1418" t="s">
        <v>27</v>
      </c>
      <c r="H1418" t="s">
        <v>8265</v>
      </c>
      <c r="I1418" t="s">
        <v>8266</v>
      </c>
      <c r="J1418" t="s">
        <v>26</v>
      </c>
      <c r="K1418" t="s">
        <v>26</v>
      </c>
      <c r="L1418" t="s">
        <v>8267</v>
      </c>
      <c r="M1418" t="s">
        <v>25</v>
      </c>
      <c r="N1418" t="s">
        <v>349</v>
      </c>
      <c r="O1418" t="s">
        <v>350</v>
      </c>
      <c r="P1418" t="s">
        <v>4074</v>
      </c>
      <c r="Q1418" t="s">
        <v>4075</v>
      </c>
      <c r="R1418">
        <v>141048</v>
      </c>
      <c r="S1418">
        <v>0</v>
      </c>
      <c r="T1418">
        <v>141048</v>
      </c>
      <c r="U1418" t="s">
        <v>35</v>
      </c>
      <c r="V1418" t="s">
        <v>353</v>
      </c>
      <c r="W1418" t="s">
        <v>4076</v>
      </c>
      <c r="X1418" s="4">
        <v>1</v>
      </c>
      <c r="Y1418" s="4"/>
      <c r="Z1418">
        <f t="shared" si="88"/>
        <v>8</v>
      </c>
      <c r="AA1418">
        <f t="shared" si="89"/>
        <v>19</v>
      </c>
      <c r="AB1418" s="5">
        <f t="shared" si="90"/>
        <v>0.31089120370597811</v>
      </c>
      <c r="AC1418" s="3">
        <f t="shared" si="91"/>
        <v>9.0254629627452232E-2</v>
      </c>
      <c r="AD1418" t="str" cm="1">
        <f t="array" ref="AD1418">IFERROR(_xlfn.IFS(
    AC1418="", "",
    AC1418*86400 &lt; 30, "1. 0s - &lt;30s",
    AC1418*86400 &lt; 60, "2. 30s - &lt;1m",
    AC1418*86400 &lt; 300, "3. 1m - &lt;5m",
    AC1418*86400 &lt; 1800, "4. 5m - &lt;30m",
    TRUE, "5. &gt;= 30m"
),"6. Invalid (Order rejected)")</f>
        <v>5. &gt;= 30m</v>
      </c>
    </row>
    <row r="1419" spans="1:30" hidden="1" x14ac:dyDescent="0.3">
      <c r="A1419" t="s">
        <v>8268</v>
      </c>
      <c r="B1419" t="s">
        <v>25</v>
      </c>
      <c r="C1419">
        <v>43729827</v>
      </c>
      <c r="D1419">
        <v>0</v>
      </c>
      <c r="E1419" t="s">
        <v>25</v>
      </c>
      <c r="F1419" t="s">
        <v>26</v>
      </c>
      <c r="G1419" t="s">
        <v>27</v>
      </c>
      <c r="H1419" t="s">
        <v>8269</v>
      </c>
      <c r="I1419" t="s">
        <v>8270</v>
      </c>
      <c r="J1419" t="s">
        <v>26</v>
      </c>
      <c r="K1419" t="s">
        <v>26</v>
      </c>
      <c r="L1419" t="s">
        <v>8271</v>
      </c>
      <c r="M1419" t="s">
        <v>25</v>
      </c>
      <c r="N1419" t="s">
        <v>827</v>
      </c>
      <c r="O1419" t="s">
        <v>828</v>
      </c>
      <c r="P1419" t="s">
        <v>4148</v>
      </c>
      <c r="Q1419" t="s">
        <v>4149</v>
      </c>
      <c r="R1419">
        <v>190080</v>
      </c>
      <c r="S1419">
        <v>0</v>
      </c>
      <c r="T1419">
        <v>190080</v>
      </c>
      <c r="U1419" t="s">
        <v>35</v>
      </c>
      <c r="V1419" t="s">
        <v>829</v>
      </c>
      <c r="W1419" t="s">
        <v>4151</v>
      </c>
      <c r="X1419" s="4">
        <v>1</v>
      </c>
      <c r="Y1419" s="4"/>
      <c r="Z1419">
        <f t="shared" si="88"/>
        <v>8</v>
      </c>
      <c r="AA1419">
        <f t="shared" si="89"/>
        <v>19</v>
      </c>
      <c r="AB1419" s="5">
        <f t="shared" si="90"/>
        <v>0.31206018518423662</v>
      </c>
      <c r="AC1419" s="3">
        <f t="shared" si="91"/>
        <v>9.0254629627452232E-2</v>
      </c>
      <c r="AD1419" t="str" cm="1">
        <f t="array" ref="AD1419">IFERROR(_xlfn.IFS(
    AC1419="", "",
    AC1419*86400 &lt; 30, "1. 0s - &lt;30s",
    AC1419*86400 &lt; 60, "2. 30s - &lt;1m",
    AC1419*86400 &lt; 300, "3. 1m - &lt;5m",
    AC1419*86400 &lt; 1800, "4. 5m - &lt;30m",
    TRUE, "5. &gt;= 30m"
),"6. Invalid (Order rejected)")</f>
        <v>5. &gt;= 30m</v>
      </c>
    </row>
    <row r="1420" spans="1:30" hidden="1" x14ac:dyDescent="0.3">
      <c r="A1420" t="s">
        <v>8272</v>
      </c>
      <c r="B1420" t="s">
        <v>25</v>
      </c>
      <c r="C1420">
        <v>43729827</v>
      </c>
      <c r="D1420">
        <v>0</v>
      </c>
      <c r="E1420" t="s">
        <v>25</v>
      </c>
      <c r="F1420" t="s">
        <v>26</v>
      </c>
      <c r="G1420" t="s">
        <v>27</v>
      </c>
      <c r="H1420" t="s">
        <v>8273</v>
      </c>
      <c r="I1420" t="s">
        <v>8274</v>
      </c>
      <c r="J1420" t="s">
        <v>26</v>
      </c>
      <c r="K1420" t="s">
        <v>26</v>
      </c>
      <c r="L1420" t="s">
        <v>8275</v>
      </c>
      <c r="M1420" t="s">
        <v>25</v>
      </c>
      <c r="N1420" t="s">
        <v>3765</v>
      </c>
      <c r="O1420" t="s">
        <v>3766</v>
      </c>
      <c r="P1420" t="s">
        <v>4081</v>
      </c>
      <c r="Q1420" t="s">
        <v>4082</v>
      </c>
      <c r="R1420">
        <v>266544</v>
      </c>
      <c r="S1420">
        <v>0</v>
      </c>
      <c r="T1420">
        <v>266544</v>
      </c>
      <c r="U1420" t="s">
        <v>35</v>
      </c>
      <c r="V1420" t="s">
        <v>3769</v>
      </c>
      <c r="W1420" t="s">
        <v>4083</v>
      </c>
      <c r="X1420" s="4">
        <v>1</v>
      </c>
      <c r="Y1420" s="4"/>
      <c r="Z1420">
        <f t="shared" si="88"/>
        <v>8</v>
      </c>
      <c r="AA1420">
        <f t="shared" si="89"/>
        <v>19</v>
      </c>
      <c r="AB1420" s="5">
        <f t="shared" si="90"/>
        <v>0.31368055555503815</v>
      </c>
      <c r="AC1420" s="3">
        <f t="shared" si="91"/>
        <v>9.0266203704231884E-2</v>
      </c>
      <c r="AD1420" t="str" cm="1">
        <f t="array" ref="AD1420">IFERROR(_xlfn.IFS(
    AC1420="", "",
    AC1420*86400 &lt; 30, "1. 0s - &lt;30s",
    AC1420*86400 &lt; 60, "2. 30s - &lt;1m",
    AC1420*86400 &lt; 300, "3. 1m - &lt;5m",
    AC1420*86400 &lt; 1800, "4. 5m - &lt;30m",
    TRUE, "5. &gt;= 30m"
),"6. Invalid (Order rejected)")</f>
        <v>5. &gt;= 30m</v>
      </c>
    </row>
    <row r="1421" spans="1:30" hidden="1" x14ac:dyDescent="0.3">
      <c r="A1421" t="s">
        <v>8276</v>
      </c>
      <c r="B1421" t="s">
        <v>25</v>
      </c>
      <c r="C1421">
        <v>43729827</v>
      </c>
      <c r="D1421">
        <v>0</v>
      </c>
      <c r="E1421" t="s">
        <v>25</v>
      </c>
      <c r="F1421" t="s">
        <v>26</v>
      </c>
      <c r="G1421" t="s">
        <v>27</v>
      </c>
      <c r="H1421" t="s">
        <v>8277</v>
      </c>
      <c r="I1421" t="s">
        <v>8278</v>
      </c>
      <c r="J1421" t="s">
        <v>26</v>
      </c>
      <c r="K1421" t="s">
        <v>26</v>
      </c>
      <c r="L1421" t="s">
        <v>8279</v>
      </c>
      <c r="M1421" t="s">
        <v>25</v>
      </c>
      <c r="N1421" t="s">
        <v>4025</v>
      </c>
      <c r="O1421" t="s">
        <v>4026</v>
      </c>
      <c r="P1421" t="s">
        <v>4116</v>
      </c>
      <c r="Q1421" t="s">
        <v>4117</v>
      </c>
      <c r="R1421">
        <v>288468</v>
      </c>
      <c r="S1421">
        <v>0</v>
      </c>
      <c r="T1421">
        <v>288468</v>
      </c>
      <c r="U1421" t="s">
        <v>35</v>
      </c>
      <c r="V1421" t="s">
        <v>4029</v>
      </c>
      <c r="W1421" t="s">
        <v>4118</v>
      </c>
      <c r="X1421" s="4">
        <v>1</v>
      </c>
      <c r="Y1421" s="4"/>
      <c r="Z1421">
        <f t="shared" si="88"/>
        <v>8</v>
      </c>
      <c r="AA1421">
        <f t="shared" si="89"/>
        <v>19</v>
      </c>
      <c r="AB1421" s="5">
        <f t="shared" si="90"/>
        <v>0.30518518518510973</v>
      </c>
      <c r="AC1421" s="3">
        <f t="shared" si="91"/>
        <v>9.0266203704231884E-2</v>
      </c>
      <c r="AD1421" t="str" cm="1">
        <f t="array" ref="AD1421">IFERROR(_xlfn.IFS(
    AC1421="", "",
    AC1421*86400 &lt; 30, "1. 0s - &lt;30s",
    AC1421*86400 &lt; 60, "2. 30s - &lt;1m",
    AC1421*86400 &lt; 300, "3. 1m - &lt;5m",
    AC1421*86400 &lt; 1800, "4. 5m - &lt;30m",
    TRUE, "5. &gt;= 30m"
),"6. Invalid (Order rejected)")</f>
        <v>5. &gt;= 30m</v>
      </c>
    </row>
    <row r="1422" spans="1:30" hidden="1" x14ac:dyDescent="0.3">
      <c r="A1422" t="s">
        <v>8280</v>
      </c>
      <c r="B1422" t="s">
        <v>25</v>
      </c>
      <c r="C1422">
        <v>43729827</v>
      </c>
      <c r="D1422">
        <v>0</v>
      </c>
      <c r="E1422" t="s">
        <v>25</v>
      </c>
      <c r="F1422" t="s">
        <v>26</v>
      </c>
      <c r="G1422" t="s">
        <v>27</v>
      </c>
      <c r="H1422" t="s">
        <v>8281</v>
      </c>
      <c r="I1422" t="s">
        <v>8282</v>
      </c>
      <c r="J1422" t="s">
        <v>26</v>
      </c>
      <c r="K1422" t="s">
        <v>26</v>
      </c>
      <c r="L1422" t="s">
        <v>8283</v>
      </c>
      <c r="M1422" t="s">
        <v>25</v>
      </c>
      <c r="N1422" t="s">
        <v>1911</v>
      </c>
      <c r="O1422" t="s">
        <v>1912</v>
      </c>
      <c r="P1422" t="s">
        <v>4175</v>
      </c>
      <c r="Q1422" t="s">
        <v>4176</v>
      </c>
      <c r="R1422">
        <v>236520</v>
      </c>
      <c r="S1422">
        <v>0</v>
      </c>
      <c r="T1422">
        <v>236520</v>
      </c>
      <c r="U1422" t="s">
        <v>35</v>
      </c>
      <c r="V1422" t="s">
        <v>1915</v>
      </c>
      <c r="W1422" t="s">
        <v>4177</v>
      </c>
      <c r="X1422" s="4">
        <v>1</v>
      </c>
      <c r="Y1422" s="4"/>
      <c r="Z1422">
        <f t="shared" si="88"/>
        <v>8</v>
      </c>
      <c r="AA1422">
        <f t="shared" si="89"/>
        <v>19</v>
      </c>
      <c r="AB1422" s="5">
        <f t="shared" si="90"/>
        <v>0.30960648148175096</v>
      </c>
      <c r="AC1422" s="3">
        <f t="shared" si="91"/>
        <v>9.0266203704231884E-2</v>
      </c>
      <c r="AD1422" t="str" cm="1">
        <f t="array" ref="AD1422">IFERROR(_xlfn.IFS(
    AC1422="", "",
    AC1422*86400 &lt; 30, "1. 0s - &lt;30s",
    AC1422*86400 &lt; 60, "2. 30s - &lt;1m",
    AC1422*86400 &lt; 300, "3. 1m - &lt;5m",
    AC1422*86400 &lt; 1800, "4. 5m - &lt;30m",
    TRUE, "5. &gt;= 30m"
),"6. Invalid (Order rejected)")</f>
        <v>5. &gt;= 30m</v>
      </c>
    </row>
    <row r="1423" spans="1:30" hidden="1" x14ac:dyDescent="0.3">
      <c r="A1423" t="s">
        <v>8284</v>
      </c>
      <c r="B1423" t="s">
        <v>25</v>
      </c>
      <c r="C1423">
        <v>43729827</v>
      </c>
      <c r="D1423">
        <v>0</v>
      </c>
      <c r="E1423" t="s">
        <v>25</v>
      </c>
      <c r="F1423" t="s">
        <v>26</v>
      </c>
      <c r="G1423" t="s">
        <v>27</v>
      </c>
      <c r="H1423" t="s">
        <v>8285</v>
      </c>
      <c r="I1423" t="s">
        <v>8286</v>
      </c>
      <c r="J1423" t="s">
        <v>26</v>
      </c>
      <c r="K1423" t="s">
        <v>26</v>
      </c>
      <c r="L1423" t="s">
        <v>8287</v>
      </c>
      <c r="M1423" t="s">
        <v>25</v>
      </c>
      <c r="N1423" t="s">
        <v>349</v>
      </c>
      <c r="O1423" t="s">
        <v>350</v>
      </c>
      <c r="P1423" t="s">
        <v>4116</v>
      </c>
      <c r="Q1423" t="s">
        <v>4117</v>
      </c>
      <c r="R1423">
        <v>282528</v>
      </c>
      <c r="S1423">
        <v>0</v>
      </c>
      <c r="T1423">
        <v>282528</v>
      </c>
      <c r="U1423" t="s">
        <v>35</v>
      </c>
      <c r="V1423" t="s">
        <v>353</v>
      </c>
      <c r="W1423" t="s">
        <v>4118</v>
      </c>
      <c r="X1423" s="4">
        <v>1</v>
      </c>
      <c r="Y1423" s="4"/>
      <c r="Z1423">
        <f t="shared" si="88"/>
        <v>8</v>
      </c>
      <c r="AA1423">
        <f t="shared" si="89"/>
        <v>19</v>
      </c>
      <c r="AB1423" s="5">
        <f t="shared" si="90"/>
        <v>0.31059027777519077</v>
      </c>
      <c r="AC1423" s="3">
        <f t="shared" si="91"/>
        <v>9.0266203704231884E-2</v>
      </c>
      <c r="AD1423" t="str" cm="1">
        <f t="array" ref="AD1423">IFERROR(_xlfn.IFS(
    AC1423="", "",
    AC1423*86400 &lt; 30, "1. 0s - &lt;30s",
    AC1423*86400 &lt; 60, "2. 30s - &lt;1m",
    AC1423*86400 &lt; 300, "3. 1m - &lt;5m",
    AC1423*86400 &lt; 1800, "4. 5m - &lt;30m",
    TRUE, "5. &gt;= 30m"
),"6. Invalid (Order rejected)")</f>
        <v>5. &gt;= 30m</v>
      </c>
    </row>
    <row r="1424" spans="1:30" hidden="1" x14ac:dyDescent="0.3">
      <c r="A1424" t="s">
        <v>8288</v>
      </c>
      <c r="B1424" t="s">
        <v>25</v>
      </c>
      <c r="C1424">
        <v>43729827</v>
      </c>
      <c r="D1424">
        <v>0</v>
      </c>
      <c r="E1424" t="s">
        <v>25</v>
      </c>
      <c r="F1424" t="s">
        <v>26</v>
      </c>
      <c r="G1424" t="s">
        <v>27</v>
      </c>
      <c r="H1424" t="s">
        <v>8289</v>
      </c>
      <c r="I1424" t="s">
        <v>8290</v>
      </c>
      <c r="J1424" t="s">
        <v>26</v>
      </c>
      <c r="K1424" t="s">
        <v>26</v>
      </c>
      <c r="L1424" t="s">
        <v>8291</v>
      </c>
      <c r="M1424" t="s">
        <v>25</v>
      </c>
      <c r="N1424" t="s">
        <v>4139</v>
      </c>
      <c r="O1424" t="s">
        <v>4140</v>
      </c>
      <c r="P1424" t="s">
        <v>4027</v>
      </c>
      <c r="Q1424" t="s">
        <v>4028</v>
      </c>
      <c r="R1424">
        <v>283284</v>
      </c>
      <c r="S1424">
        <v>0</v>
      </c>
      <c r="T1424">
        <v>283284</v>
      </c>
      <c r="U1424" t="s">
        <v>35</v>
      </c>
      <c r="V1424" t="s">
        <v>4141</v>
      </c>
      <c r="W1424" t="s">
        <v>4030</v>
      </c>
      <c r="X1424" s="4">
        <v>1</v>
      </c>
      <c r="Y1424" s="4"/>
      <c r="Z1424">
        <f t="shared" si="88"/>
        <v>8</v>
      </c>
      <c r="AA1424">
        <f t="shared" si="89"/>
        <v>19</v>
      </c>
      <c r="AB1424" s="5">
        <f t="shared" si="90"/>
        <v>0.31270833333110204</v>
      </c>
      <c r="AC1424" s="3">
        <f t="shared" si="91"/>
        <v>9.0266203704231884E-2</v>
      </c>
      <c r="AD1424" t="str" cm="1">
        <f t="array" ref="AD1424">IFERROR(_xlfn.IFS(
    AC1424="", "",
    AC1424*86400 &lt; 30, "1. 0s - &lt;30s",
    AC1424*86400 &lt; 60, "2. 30s - &lt;1m",
    AC1424*86400 &lt; 300, "3. 1m - &lt;5m",
    AC1424*86400 &lt; 1800, "4. 5m - &lt;30m",
    TRUE, "5. &gt;= 30m"
),"6. Invalid (Order rejected)")</f>
        <v>5. &gt;= 30m</v>
      </c>
    </row>
    <row r="1425" spans="1:30" hidden="1" x14ac:dyDescent="0.3">
      <c r="A1425" t="s">
        <v>8292</v>
      </c>
      <c r="B1425" t="s">
        <v>25</v>
      </c>
      <c r="C1425">
        <v>43729827</v>
      </c>
      <c r="D1425">
        <v>0</v>
      </c>
      <c r="E1425" t="s">
        <v>25</v>
      </c>
      <c r="F1425" t="s">
        <v>26</v>
      </c>
      <c r="G1425" t="s">
        <v>27</v>
      </c>
      <c r="H1425" t="s">
        <v>8293</v>
      </c>
      <c r="I1425" t="s">
        <v>8294</v>
      </c>
      <c r="J1425" t="s">
        <v>26</v>
      </c>
      <c r="K1425" t="s">
        <v>26</v>
      </c>
      <c r="L1425" t="s">
        <v>8295</v>
      </c>
      <c r="M1425" t="s">
        <v>25</v>
      </c>
      <c r="N1425" t="s">
        <v>4025</v>
      </c>
      <c r="O1425" t="s">
        <v>4026</v>
      </c>
      <c r="P1425" t="s">
        <v>4175</v>
      </c>
      <c r="Q1425" t="s">
        <v>4176</v>
      </c>
      <c r="R1425">
        <v>239328</v>
      </c>
      <c r="S1425">
        <v>0</v>
      </c>
      <c r="T1425">
        <v>239328</v>
      </c>
      <c r="U1425" t="s">
        <v>35</v>
      </c>
      <c r="V1425" t="s">
        <v>4029</v>
      </c>
      <c r="W1425" t="s">
        <v>4177</v>
      </c>
      <c r="X1425" s="4">
        <v>1</v>
      </c>
      <c r="Y1425" s="4"/>
      <c r="Z1425">
        <f t="shared" si="88"/>
        <v>8</v>
      </c>
      <c r="AA1425">
        <f t="shared" si="89"/>
        <v>19</v>
      </c>
      <c r="AB1425" s="5">
        <f t="shared" si="90"/>
        <v>0.30284722222131677</v>
      </c>
      <c r="AC1425" s="3">
        <f t="shared" si="91"/>
        <v>9.0254629627452232E-2</v>
      </c>
      <c r="AD1425" t="str" cm="1">
        <f t="array" ref="AD1425">IFERROR(_xlfn.IFS(
    AC1425="", "",
    AC1425*86400 &lt; 30, "1. 0s - &lt;30s",
    AC1425*86400 &lt; 60, "2. 30s - &lt;1m",
    AC1425*86400 &lt; 300, "3. 1m - &lt;5m",
    AC1425*86400 &lt; 1800, "4. 5m - &lt;30m",
    TRUE, "5. &gt;= 30m"
),"6. Invalid (Order rejected)")</f>
        <v>5. &gt;= 30m</v>
      </c>
    </row>
    <row r="1426" spans="1:30" hidden="1" x14ac:dyDescent="0.3">
      <c r="A1426" t="s">
        <v>8296</v>
      </c>
      <c r="B1426" t="s">
        <v>25</v>
      </c>
      <c r="C1426">
        <v>43729827</v>
      </c>
      <c r="D1426">
        <v>0</v>
      </c>
      <c r="E1426" t="s">
        <v>25</v>
      </c>
      <c r="F1426" t="s">
        <v>26</v>
      </c>
      <c r="G1426" t="s">
        <v>27</v>
      </c>
      <c r="H1426" t="s">
        <v>8297</v>
      </c>
      <c r="I1426" t="s">
        <v>8298</v>
      </c>
      <c r="J1426" t="s">
        <v>26</v>
      </c>
      <c r="K1426" t="s">
        <v>26</v>
      </c>
      <c r="L1426" t="s">
        <v>8299</v>
      </c>
      <c r="M1426" t="s">
        <v>25</v>
      </c>
      <c r="N1426" t="s">
        <v>4139</v>
      </c>
      <c r="O1426" t="s">
        <v>4140</v>
      </c>
      <c r="P1426" t="s">
        <v>4175</v>
      </c>
      <c r="Q1426" t="s">
        <v>4176</v>
      </c>
      <c r="R1426">
        <v>312336</v>
      </c>
      <c r="S1426">
        <v>0</v>
      </c>
      <c r="T1426">
        <v>312336</v>
      </c>
      <c r="U1426" t="s">
        <v>35</v>
      </c>
      <c r="V1426" t="s">
        <v>4141</v>
      </c>
      <c r="W1426" t="s">
        <v>4177</v>
      </c>
      <c r="X1426" s="4">
        <v>1</v>
      </c>
      <c r="Y1426" s="4"/>
      <c r="Z1426">
        <f t="shared" si="88"/>
        <v>8</v>
      </c>
      <c r="AA1426">
        <f t="shared" si="89"/>
        <v>19</v>
      </c>
      <c r="AB1426" s="5">
        <f t="shared" si="90"/>
        <v>0.31302083333139308</v>
      </c>
      <c r="AC1426" s="3">
        <f t="shared" si="91"/>
        <v>0.18599537037516711</v>
      </c>
      <c r="AD1426" t="str" cm="1">
        <f t="array" ref="AD1426">IFERROR(_xlfn.IFS(
    AC1426="", "",
    AC1426*86400 &lt; 30, "1. 0s - &lt;30s",
    AC1426*86400 &lt; 60, "2. 30s - &lt;1m",
    AC1426*86400 &lt; 300, "3. 1m - &lt;5m",
    AC1426*86400 &lt; 1800, "4. 5m - &lt;30m",
    TRUE, "5. &gt;= 30m"
),"6. Invalid (Order rejected)")</f>
        <v>5. &gt;= 30m</v>
      </c>
    </row>
    <row r="1427" spans="1:30" hidden="1" x14ac:dyDescent="0.3">
      <c r="A1427" t="s">
        <v>8300</v>
      </c>
      <c r="B1427" t="s">
        <v>25</v>
      </c>
      <c r="C1427">
        <v>43729827</v>
      </c>
      <c r="D1427">
        <v>0</v>
      </c>
      <c r="E1427" t="s">
        <v>25</v>
      </c>
      <c r="F1427" t="s">
        <v>26</v>
      </c>
      <c r="G1427" t="s">
        <v>27</v>
      </c>
      <c r="H1427" t="s">
        <v>8301</v>
      </c>
      <c r="I1427" t="s">
        <v>8302</v>
      </c>
      <c r="J1427" t="s">
        <v>26</v>
      </c>
      <c r="K1427" t="s">
        <v>26</v>
      </c>
      <c r="L1427" t="s">
        <v>8303</v>
      </c>
      <c r="M1427" t="s">
        <v>25</v>
      </c>
      <c r="N1427" t="s">
        <v>3765</v>
      </c>
      <c r="O1427" t="s">
        <v>3766</v>
      </c>
      <c r="P1427" t="s">
        <v>8229</v>
      </c>
      <c r="Q1427" t="s">
        <v>8230</v>
      </c>
      <c r="R1427">
        <v>207360</v>
      </c>
      <c r="S1427">
        <v>0</v>
      </c>
      <c r="T1427">
        <v>207360</v>
      </c>
      <c r="U1427" t="s">
        <v>35</v>
      </c>
      <c r="V1427" t="s">
        <v>3769</v>
      </c>
      <c r="W1427" t="s">
        <v>8231</v>
      </c>
      <c r="X1427" s="4">
        <v>1</v>
      </c>
      <c r="Y1427" s="4"/>
      <c r="Z1427">
        <f t="shared" si="88"/>
        <v>8</v>
      </c>
      <c r="AA1427">
        <f t="shared" si="89"/>
        <v>19</v>
      </c>
      <c r="AB1427" s="5">
        <f t="shared" si="90"/>
        <v>0.31353009259328246</v>
      </c>
      <c r="AC1427" s="3">
        <f t="shared" si="91"/>
        <v>9.0266203704231884E-2</v>
      </c>
      <c r="AD1427" t="str" cm="1">
        <f t="array" ref="AD1427">IFERROR(_xlfn.IFS(
    AC1427="", "",
    AC1427*86400 &lt; 30, "1. 0s - &lt;30s",
    AC1427*86400 &lt; 60, "2. 30s - &lt;1m",
    AC1427*86400 &lt; 300, "3. 1m - &lt;5m",
    AC1427*86400 &lt; 1800, "4. 5m - &lt;30m",
    TRUE, "5. &gt;= 30m"
),"6. Invalid (Order rejected)")</f>
        <v>5. &gt;= 30m</v>
      </c>
    </row>
    <row r="1428" spans="1:30" hidden="1" x14ac:dyDescent="0.3">
      <c r="A1428" t="s">
        <v>8304</v>
      </c>
      <c r="B1428" t="s">
        <v>25</v>
      </c>
      <c r="C1428">
        <v>43729827</v>
      </c>
      <c r="D1428">
        <v>0</v>
      </c>
      <c r="E1428" t="s">
        <v>25</v>
      </c>
      <c r="F1428" t="s">
        <v>26</v>
      </c>
      <c r="G1428" t="s">
        <v>27</v>
      </c>
      <c r="H1428" t="s">
        <v>8305</v>
      </c>
      <c r="I1428" t="s">
        <v>8306</v>
      </c>
      <c r="J1428" t="s">
        <v>26</v>
      </c>
      <c r="K1428" t="s">
        <v>26</v>
      </c>
      <c r="L1428" t="s">
        <v>8307</v>
      </c>
      <c r="M1428" t="s">
        <v>25</v>
      </c>
      <c r="N1428" t="s">
        <v>4219</v>
      </c>
      <c r="O1428" t="s">
        <v>1114</v>
      </c>
      <c r="P1428" t="s">
        <v>8308</v>
      </c>
      <c r="Q1428" t="s">
        <v>8309</v>
      </c>
      <c r="R1428">
        <v>258660</v>
      </c>
      <c r="S1428">
        <v>0</v>
      </c>
      <c r="T1428">
        <v>258660</v>
      </c>
      <c r="U1428" t="s">
        <v>35</v>
      </c>
      <c r="V1428" t="s">
        <v>1115</v>
      </c>
      <c r="W1428" t="s">
        <v>4210</v>
      </c>
      <c r="X1428" s="4">
        <v>1</v>
      </c>
      <c r="Y1428" s="4"/>
      <c r="Z1428">
        <f t="shared" si="88"/>
        <v>8</v>
      </c>
      <c r="AA1428">
        <f t="shared" si="89"/>
        <v>19</v>
      </c>
      <c r="AB1428" s="5">
        <f t="shared" si="90"/>
        <v>0.31925925926043419</v>
      </c>
      <c r="AC1428" s="3">
        <f t="shared" si="91"/>
        <v>9.0254629627452232E-2</v>
      </c>
      <c r="AD1428" t="str" cm="1">
        <f t="array" ref="AD1428">IFERROR(_xlfn.IFS(
    AC1428="", "",
    AC1428*86400 &lt; 30, "1. 0s - &lt;30s",
    AC1428*86400 &lt; 60, "2. 30s - &lt;1m",
    AC1428*86400 &lt; 300, "3. 1m - &lt;5m",
    AC1428*86400 &lt; 1800, "4. 5m - &lt;30m",
    TRUE, "5. &gt;= 30m"
),"6. Invalid (Order rejected)")</f>
        <v>5. &gt;= 30m</v>
      </c>
    </row>
    <row r="1429" spans="1:30" hidden="1" x14ac:dyDescent="0.3">
      <c r="A1429" t="s">
        <v>8310</v>
      </c>
      <c r="B1429" t="s">
        <v>25</v>
      </c>
      <c r="C1429">
        <v>43729827</v>
      </c>
      <c r="D1429">
        <v>0</v>
      </c>
      <c r="E1429" t="s">
        <v>25</v>
      </c>
      <c r="F1429" t="s">
        <v>26</v>
      </c>
      <c r="G1429" t="s">
        <v>27</v>
      </c>
      <c r="H1429" t="s">
        <v>8311</v>
      </c>
      <c r="I1429" t="s">
        <v>8312</v>
      </c>
      <c r="J1429" t="s">
        <v>26</v>
      </c>
      <c r="K1429" t="s">
        <v>26</v>
      </c>
      <c r="L1429" t="s">
        <v>8313</v>
      </c>
      <c r="M1429" t="s">
        <v>25</v>
      </c>
      <c r="N1429" t="s">
        <v>4056</v>
      </c>
      <c r="O1429" t="s">
        <v>4057</v>
      </c>
      <c r="P1429" t="s">
        <v>4097</v>
      </c>
      <c r="Q1429" t="s">
        <v>4098</v>
      </c>
      <c r="R1429">
        <v>183276</v>
      </c>
      <c r="S1429">
        <v>0</v>
      </c>
      <c r="T1429">
        <v>183276</v>
      </c>
      <c r="U1429" t="s">
        <v>35</v>
      </c>
      <c r="V1429" t="s">
        <v>4060</v>
      </c>
      <c r="W1429" t="s">
        <v>4100</v>
      </c>
      <c r="X1429" s="4">
        <v>1</v>
      </c>
      <c r="Y1429" s="4"/>
      <c r="Z1429">
        <f t="shared" si="88"/>
        <v>8</v>
      </c>
      <c r="AA1429">
        <f t="shared" si="89"/>
        <v>19</v>
      </c>
      <c r="AB1429" s="5">
        <f t="shared" si="90"/>
        <v>0.31128472222189885</v>
      </c>
      <c r="AC1429" s="3">
        <f t="shared" si="91"/>
        <v>9.0254629627452232E-2</v>
      </c>
      <c r="AD1429" t="str" cm="1">
        <f t="array" ref="AD1429">IFERROR(_xlfn.IFS(
    AC1429="", "",
    AC1429*86400 &lt; 30, "1. 0s - &lt;30s",
    AC1429*86400 &lt; 60, "2. 30s - &lt;1m",
    AC1429*86400 &lt; 300, "3. 1m - &lt;5m",
    AC1429*86400 &lt; 1800, "4. 5m - &lt;30m",
    TRUE, "5. &gt;= 30m"
),"6. Invalid (Order rejected)")</f>
        <v>5. &gt;= 30m</v>
      </c>
    </row>
    <row r="1430" spans="1:30" hidden="1" x14ac:dyDescent="0.3">
      <c r="A1430" t="s">
        <v>8314</v>
      </c>
      <c r="B1430" t="s">
        <v>25</v>
      </c>
      <c r="C1430">
        <v>43729827</v>
      </c>
      <c r="D1430">
        <v>0</v>
      </c>
      <c r="E1430" t="s">
        <v>25</v>
      </c>
      <c r="F1430" t="s">
        <v>26</v>
      </c>
      <c r="G1430" t="s">
        <v>27</v>
      </c>
      <c r="H1430" t="s">
        <v>8315</v>
      </c>
      <c r="I1430" t="s">
        <v>8316</v>
      </c>
      <c r="J1430" t="s">
        <v>26</v>
      </c>
      <c r="K1430" t="s">
        <v>26</v>
      </c>
      <c r="L1430" t="s">
        <v>8317</v>
      </c>
      <c r="M1430" t="s">
        <v>25</v>
      </c>
      <c r="N1430" t="s">
        <v>827</v>
      </c>
      <c r="O1430" t="s">
        <v>828</v>
      </c>
      <c r="P1430" t="s">
        <v>8318</v>
      </c>
      <c r="Q1430" t="s">
        <v>8319</v>
      </c>
      <c r="R1430">
        <v>265680</v>
      </c>
      <c r="S1430">
        <v>0</v>
      </c>
      <c r="T1430">
        <v>265680</v>
      </c>
      <c r="U1430" t="s">
        <v>35</v>
      </c>
      <c r="V1430" t="s">
        <v>829</v>
      </c>
      <c r="W1430" t="s">
        <v>4051</v>
      </c>
      <c r="X1430" s="4">
        <v>1</v>
      </c>
      <c r="Y1430" s="4"/>
      <c r="Z1430">
        <f t="shared" si="88"/>
        <v>8</v>
      </c>
      <c r="AA1430">
        <f t="shared" si="89"/>
        <v>19</v>
      </c>
      <c r="AB1430" s="5">
        <f t="shared" si="90"/>
        <v>0.31190972222248092</v>
      </c>
      <c r="AC1430" s="3">
        <f t="shared" si="91"/>
        <v>9.0254629627452232E-2</v>
      </c>
      <c r="AD1430" t="str" cm="1">
        <f t="array" ref="AD1430">IFERROR(_xlfn.IFS(
    AC1430="", "",
    AC1430*86400 &lt; 30, "1. 0s - &lt;30s",
    AC1430*86400 &lt; 60, "2. 30s - &lt;1m",
    AC1430*86400 &lt; 300, "3. 1m - &lt;5m",
    AC1430*86400 &lt; 1800, "4. 5m - &lt;30m",
    TRUE, "5. &gt;= 30m"
),"6. Invalid (Order rejected)")</f>
        <v>5. &gt;= 30m</v>
      </c>
    </row>
    <row r="1431" spans="1:30" x14ac:dyDescent="0.3">
      <c r="A1431" t="s">
        <v>8320</v>
      </c>
      <c r="B1431" t="s">
        <v>25</v>
      </c>
      <c r="C1431">
        <v>43729827</v>
      </c>
      <c r="D1431">
        <v>3114460</v>
      </c>
      <c r="E1431" t="s">
        <v>25</v>
      </c>
      <c r="F1431" t="s">
        <v>75</v>
      </c>
      <c r="G1431" t="s">
        <v>360</v>
      </c>
      <c r="H1431" t="s">
        <v>8321</v>
      </c>
      <c r="I1431" t="s">
        <v>8322</v>
      </c>
      <c r="J1431" t="s">
        <v>8323</v>
      </c>
      <c r="K1431" t="s">
        <v>26</v>
      </c>
      <c r="L1431" t="s">
        <v>25</v>
      </c>
      <c r="M1431" t="s">
        <v>25</v>
      </c>
      <c r="N1431" t="s">
        <v>2462</v>
      </c>
      <c r="O1431" t="s">
        <v>4073</v>
      </c>
      <c r="P1431" t="s">
        <v>4039</v>
      </c>
      <c r="Q1431" t="s">
        <v>4040</v>
      </c>
      <c r="R1431">
        <v>171504</v>
      </c>
      <c r="S1431">
        <v>132955</v>
      </c>
      <c r="T1431">
        <v>38549</v>
      </c>
      <c r="U1431" t="s">
        <v>35</v>
      </c>
      <c r="V1431" t="s">
        <v>2464</v>
      </c>
      <c r="W1431" t="s">
        <v>4041</v>
      </c>
      <c r="X1431" s="4">
        <v>1</v>
      </c>
      <c r="Y1431" s="4"/>
      <c r="Z1431">
        <f t="shared" si="88"/>
        <v>8</v>
      </c>
      <c r="AA1431">
        <f t="shared" si="89"/>
        <v>19</v>
      </c>
      <c r="AB1431" s="5">
        <f t="shared" si="90"/>
        <v>0.31416666666336823</v>
      </c>
      <c r="AC1431" s="3" t="str">
        <f t="shared" si="91"/>
        <v>Order rejected, no time available</v>
      </c>
      <c r="AD1431" t="str" cm="1">
        <f t="array" ref="AD1431">IFERROR(_xlfn.IFS(
    AC1431="", "",
    AC1431*86400 &lt; 30, "1. 0s - &lt;30s",
    AC1431*86400 &lt; 60, "2. 30s - &lt;1m",
    AC1431*86400 &lt; 300, "3. 1m - &lt;5m",
    AC1431*86400 &lt; 1800, "4. 5m - &lt;30m",
    TRUE, "5. &gt;= 30m"
),"6. Invalid (Order rejected)")</f>
        <v>6. Invalid (Order rejected)</v>
      </c>
    </row>
    <row r="1432" spans="1:30" hidden="1" x14ac:dyDescent="0.3">
      <c r="A1432" t="s">
        <v>8324</v>
      </c>
      <c r="B1432" t="s">
        <v>25</v>
      </c>
      <c r="C1432">
        <v>43729827</v>
      </c>
      <c r="D1432">
        <v>0</v>
      </c>
      <c r="E1432" t="s">
        <v>25</v>
      </c>
      <c r="F1432" t="s">
        <v>26</v>
      </c>
      <c r="G1432" t="s">
        <v>27</v>
      </c>
      <c r="H1432" t="s">
        <v>8325</v>
      </c>
      <c r="I1432" t="s">
        <v>8326</v>
      </c>
      <c r="J1432" t="s">
        <v>26</v>
      </c>
      <c r="K1432" t="s">
        <v>26</v>
      </c>
      <c r="L1432" t="s">
        <v>8327</v>
      </c>
      <c r="M1432" t="s">
        <v>25</v>
      </c>
      <c r="N1432" t="s">
        <v>4146</v>
      </c>
      <c r="O1432" t="s">
        <v>4147</v>
      </c>
      <c r="P1432" t="s">
        <v>8328</v>
      </c>
      <c r="Q1432" t="s">
        <v>8329</v>
      </c>
      <c r="R1432">
        <v>181764</v>
      </c>
      <c r="S1432">
        <v>0</v>
      </c>
      <c r="T1432">
        <v>181764</v>
      </c>
      <c r="U1432" t="s">
        <v>35</v>
      </c>
      <c r="V1432" t="s">
        <v>4150</v>
      </c>
      <c r="W1432" t="s">
        <v>8330</v>
      </c>
      <c r="X1432" s="4">
        <v>1</v>
      </c>
      <c r="Y1432" s="4"/>
      <c r="Z1432">
        <f t="shared" si="88"/>
        <v>8</v>
      </c>
      <c r="AA1432">
        <f t="shared" si="89"/>
        <v>19</v>
      </c>
      <c r="AB1432" s="5">
        <f t="shared" si="90"/>
        <v>0.31565972221869742</v>
      </c>
      <c r="AC1432" s="3">
        <f t="shared" si="91"/>
        <v>9.0266203704231884E-2</v>
      </c>
      <c r="AD1432" t="str" cm="1">
        <f t="array" ref="AD1432">IFERROR(_xlfn.IFS(
    AC1432="", "",
    AC1432*86400 &lt; 30, "1. 0s - &lt;30s",
    AC1432*86400 &lt; 60, "2. 30s - &lt;1m",
    AC1432*86400 &lt; 300, "3. 1m - &lt;5m",
    AC1432*86400 &lt; 1800, "4. 5m - &lt;30m",
    TRUE, "5. &gt;= 30m"
),"6. Invalid (Order rejected)")</f>
        <v>5. &gt;= 30m</v>
      </c>
    </row>
    <row r="1433" spans="1:30" x14ac:dyDescent="0.3">
      <c r="A1433" t="s">
        <v>8331</v>
      </c>
      <c r="B1433" t="s">
        <v>25</v>
      </c>
      <c r="C1433">
        <v>43729827</v>
      </c>
      <c r="D1433">
        <v>807032</v>
      </c>
      <c r="E1433" t="s">
        <v>25</v>
      </c>
      <c r="F1433" t="s">
        <v>75</v>
      </c>
      <c r="G1433" t="s">
        <v>360</v>
      </c>
      <c r="H1433" t="s">
        <v>8286</v>
      </c>
      <c r="I1433" t="s">
        <v>8332</v>
      </c>
      <c r="J1433" t="s">
        <v>8333</v>
      </c>
      <c r="K1433" t="s">
        <v>26</v>
      </c>
      <c r="L1433" t="s">
        <v>25</v>
      </c>
      <c r="M1433" t="s">
        <v>25</v>
      </c>
      <c r="N1433" t="s">
        <v>3796</v>
      </c>
      <c r="O1433" t="s">
        <v>3797</v>
      </c>
      <c r="P1433" t="s">
        <v>8229</v>
      </c>
      <c r="Q1433" t="s">
        <v>8230</v>
      </c>
      <c r="R1433">
        <v>264600</v>
      </c>
      <c r="S1433">
        <v>205126</v>
      </c>
      <c r="T1433">
        <v>59474</v>
      </c>
      <c r="U1433" t="s">
        <v>35</v>
      </c>
      <c r="V1433" t="s">
        <v>3798</v>
      </c>
      <c r="W1433" t="s">
        <v>8231</v>
      </c>
      <c r="X1433" s="4">
        <v>1</v>
      </c>
      <c r="Y1433" s="4"/>
      <c r="Z1433">
        <f t="shared" si="88"/>
        <v>8</v>
      </c>
      <c r="AA1433">
        <f t="shared" si="89"/>
        <v>19</v>
      </c>
      <c r="AB1433" s="5">
        <f t="shared" si="90"/>
        <v>0.31752314815093996</v>
      </c>
      <c r="AC1433" s="3" t="str">
        <f t="shared" si="91"/>
        <v>Order rejected, no time available</v>
      </c>
      <c r="AD1433" t="str" cm="1">
        <f t="array" ref="AD1433">IFERROR(_xlfn.IFS(
    AC1433="", "",
    AC1433*86400 &lt; 30, "1. 0s - &lt;30s",
    AC1433*86400 &lt; 60, "2. 30s - &lt;1m",
    AC1433*86400 &lt; 300, "3. 1m - &lt;5m",
    AC1433*86400 &lt; 1800, "4. 5m - &lt;30m",
    TRUE, "5. &gt;= 30m"
),"6. Invalid (Order rejected)")</f>
        <v>6. Invalid (Order rejected)</v>
      </c>
    </row>
    <row r="1434" spans="1:30" hidden="1" x14ac:dyDescent="0.3">
      <c r="A1434" t="s">
        <v>8334</v>
      </c>
      <c r="B1434" t="s">
        <v>25</v>
      </c>
      <c r="C1434">
        <v>43729827</v>
      </c>
      <c r="D1434">
        <v>0</v>
      </c>
      <c r="E1434" t="s">
        <v>25</v>
      </c>
      <c r="F1434" t="s">
        <v>26</v>
      </c>
      <c r="G1434" t="s">
        <v>27</v>
      </c>
      <c r="H1434" t="s">
        <v>8335</v>
      </c>
      <c r="I1434" t="s">
        <v>8336</v>
      </c>
      <c r="J1434" t="s">
        <v>26</v>
      </c>
      <c r="K1434" t="s">
        <v>26</v>
      </c>
      <c r="L1434" t="s">
        <v>8337</v>
      </c>
      <c r="M1434" t="s">
        <v>25</v>
      </c>
      <c r="N1434" t="s">
        <v>3796</v>
      </c>
      <c r="O1434" t="s">
        <v>3797</v>
      </c>
      <c r="P1434" t="s">
        <v>4081</v>
      </c>
      <c r="Q1434" t="s">
        <v>4082</v>
      </c>
      <c r="R1434">
        <v>345276</v>
      </c>
      <c r="S1434">
        <v>0</v>
      </c>
      <c r="T1434">
        <v>345276</v>
      </c>
      <c r="U1434" t="s">
        <v>35</v>
      </c>
      <c r="V1434" t="s">
        <v>3798</v>
      </c>
      <c r="W1434" t="s">
        <v>4083</v>
      </c>
      <c r="X1434" s="4">
        <v>1</v>
      </c>
      <c r="Y1434" s="4"/>
      <c r="Z1434">
        <f t="shared" si="88"/>
        <v>8</v>
      </c>
      <c r="AA1434">
        <f t="shared" si="89"/>
        <v>19</v>
      </c>
      <c r="AB1434" s="5">
        <f t="shared" si="90"/>
        <v>0.31770833333575865</v>
      </c>
      <c r="AC1434" s="3">
        <f t="shared" si="91"/>
        <v>9.0254629627452232E-2</v>
      </c>
      <c r="AD1434" t="str" cm="1">
        <f t="array" ref="AD1434">IFERROR(_xlfn.IFS(
    AC1434="", "",
    AC1434*86400 &lt; 30, "1. 0s - &lt;30s",
    AC1434*86400 &lt; 60, "2. 30s - &lt;1m",
    AC1434*86400 &lt; 300, "3. 1m - &lt;5m",
    AC1434*86400 &lt; 1800, "4. 5m - &lt;30m",
    TRUE, "5. &gt;= 30m"
),"6. Invalid (Order rejected)")</f>
        <v>5. &gt;= 30m</v>
      </c>
    </row>
    <row r="1435" spans="1:30" hidden="1" x14ac:dyDescent="0.3">
      <c r="A1435" t="s">
        <v>8338</v>
      </c>
      <c r="B1435" t="s">
        <v>25</v>
      </c>
      <c r="C1435">
        <v>43729827</v>
      </c>
      <c r="D1435">
        <v>0</v>
      </c>
      <c r="E1435" t="s">
        <v>25</v>
      </c>
      <c r="F1435" t="s">
        <v>26</v>
      </c>
      <c r="G1435" t="s">
        <v>27</v>
      </c>
      <c r="H1435" t="s">
        <v>8339</v>
      </c>
      <c r="I1435" t="s">
        <v>8340</v>
      </c>
      <c r="J1435" t="s">
        <v>26</v>
      </c>
      <c r="K1435" t="s">
        <v>26</v>
      </c>
      <c r="L1435" t="s">
        <v>8341</v>
      </c>
      <c r="M1435" t="s">
        <v>25</v>
      </c>
      <c r="N1435" t="s">
        <v>4146</v>
      </c>
      <c r="O1435" t="s">
        <v>4147</v>
      </c>
      <c r="P1435" t="s">
        <v>8318</v>
      </c>
      <c r="Q1435" t="s">
        <v>8319</v>
      </c>
      <c r="R1435">
        <v>261684</v>
      </c>
      <c r="S1435">
        <v>0</v>
      </c>
      <c r="T1435">
        <v>261684</v>
      </c>
      <c r="U1435" t="s">
        <v>35</v>
      </c>
      <c r="V1435" t="s">
        <v>4150</v>
      </c>
      <c r="W1435" t="s">
        <v>4051</v>
      </c>
      <c r="X1435" s="4">
        <v>1</v>
      </c>
      <c r="Y1435" s="4"/>
      <c r="Z1435">
        <f t="shared" si="88"/>
        <v>8</v>
      </c>
      <c r="AA1435">
        <f t="shared" si="89"/>
        <v>19</v>
      </c>
      <c r="AB1435" s="5">
        <f t="shared" si="90"/>
        <v>0.31531250000261934</v>
      </c>
      <c r="AC1435" s="3">
        <f t="shared" si="91"/>
        <v>9.0266203704231884E-2</v>
      </c>
      <c r="AD1435" t="str" cm="1">
        <f t="array" ref="AD1435">IFERROR(_xlfn.IFS(
    AC1435="", "",
    AC1435*86400 &lt; 30, "1. 0s - &lt;30s",
    AC1435*86400 &lt; 60, "2. 30s - &lt;1m",
    AC1435*86400 &lt; 300, "3. 1m - &lt;5m",
    AC1435*86400 &lt; 1800, "4. 5m - &lt;30m",
    TRUE, "5. &gt;= 30m"
),"6. Invalid (Order rejected)")</f>
        <v>5. &gt;= 30m</v>
      </c>
    </row>
    <row r="1436" spans="1:30" hidden="1" x14ac:dyDescent="0.3">
      <c r="A1436" t="s">
        <v>8342</v>
      </c>
      <c r="B1436" t="s">
        <v>25</v>
      </c>
      <c r="C1436">
        <v>43729827</v>
      </c>
      <c r="D1436">
        <v>0</v>
      </c>
      <c r="E1436" t="s">
        <v>25</v>
      </c>
      <c r="F1436" t="s">
        <v>26</v>
      </c>
      <c r="G1436" t="s">
        <v>27</v>
      </c>
      <c r="H1436" t="s">
        <v>8343</v>
      </c>
      <c r="I1436" t="s">
        <v>8344</v>
      </c>
      <c r="J1436" t="s">
        <v>26</v>
      </c>
      <c r="K1436" t="s">
        <v>26</v>
      </c>
      <c r="L1436" t="s">
        <v>8345</v>
      </c>
      <c r="M1436" t="s">
        <v>25</v>
      </c>
      <c r="N1436" t="s">
        <v>8346</v>
      </c>
      <c r="O1436" t="s">
        <v>8347</v>
      </c>
      <c r="P1436" t="s">
        <v>4088</v>
      </c>
      <c r="Q1436" t="s">
        <v>4089</v>
      </c>
      <c r="R1436">
        <v>300456</v>
      </c>
      <c r="S1436">
        <v>0</v>
      </c>
      <c r="T1436">
        <v>300456</v>
      </c>
      <c r="U1436" t="s">
        <v>35</v>
      </c>
      <c r="V1436" t="s">
        <v>8348</v>
      </c>
      <c r="W1436" t="s">
        <v>4090</v>
      </c>
      <c r="X1436" s="4">
        <v>1</v>
      </c>
      <c r="Y1436" s="4"/>
      <c r="Z1436">
        <f t="shared" si="88"/>
        <v>8</v>
      </c>
      <c r="AA1436">
        <f t="shared" si="89"/>
        <v>19</v>
      </c>
      <c r="AB1436" s="5">
        <f t="shared" si="90"/>
        <v>0.31682870370423188</v>
      </c>
      <c r="AC1436" s="3">
        <f t="shared" si="91"/>
        <v>9.0254629627452232E-2</v>
      </c>
      <c r="AD1436" t="str" cm="1">
        <f t="array" ref="AD1436">IFERROR(_xlfn.IFS(
    AC1436="", "",
    AC1436*86400 &lt; 30, "1. 0s - &lt;30s",
    AC1436*86400 &lt; 60, "2. 30s - &lt;1m",
    AC1436*86400 &lt; 300, "3. 1m - &lt;5m",
    AC1436*86400 &lt; 1800, "4. 5m - &lt;30m",
    TRUE, "5. &gt;= 30m"
),"6. Invalid (Order rejected)")</f>
        <v>5. &gt;= 30m</v>
      </c>
    </row>
    <row r="1437" spans="1:30" hidden="1" x14ac:dyDescent="0.3">
      <c r="A1437" t="s">
        <v>8349</v>
      </c>
      <c r="B1437" t="s">
        <v>25</v>
      </c>
      <c r="C1437">
        <v>43729827</v>
      </c>
      <c r="D1437">
        <v>0</v>
      </c>
      <c r="E1437" t="s">
        <v>25</v>
      </c>
      <c r="F1437" t="s">
        <v>26</v>
      </c>
      <c r="G1437" t="s">
        <v>27</v>
      </c>
      <c r="H1437" t="s">
        <v>8350</v>
      </c>
      <c r="I1437" t="s">
        <v>8351</v>
      </c>
      <c r="J1437" t="s">
        <v>26</v>
      </c>
      <c r="K1437" t="s">
        <v>26</v>
      </c>
      <c r="L1437" t="s">
        <v>8352</v>
      </c>
      <c r="M1437" t="s">
        <v>25</v>
      </c>
      <c r="N1437" t="s">
        <v>4160</v>
      </c>
      <c r="O1437" t="s">
        <v>4161</v>
      </c>
      <c r="P1437" t="s">
        <v>4058</v>
      </c>
      <c r="Q1437" t="s">
        <v>4059</v>
      </c>
      <c r="R1437">
        <v>247860</v>
      </c>
      <c r="S1437">
        <v>0</v>
      </c>
      <c r="T1437">
        <v>247860</v>
      </c>
      <c r="U1437" t="s">
        <v>35</v>
      </c>
      <c r="V1437" t="s">
        <v>4162</v>
      </c>
      <c r="W1437" t="s">
        <v>4061</v>
      </c>
      <c r="X1437" s="4">
        <v>1</v>
      </c>
      <c r="Y1437" s="4"/>
      <c r="Z1437">
        <f t="shared" si="88"/>
        <v>8</v>
      </c>
      <c r="AA1437">
        <f t="shared" si="89"/>
        <v>19</v>
      </c>
      <c r="AB1437" s="5">
        <f t="shared" si="90"/>
        <v>0.31490740740991896</v>
      </c>
      <c r="AC1437" s="3">
        <f t="shared" si="91"/>
        <v>9.0254629627452232E-2</v>
      </c>
      <c r="AD1437" t="str" cm="1">
        <f t="array" ref="AD1437">IFERROR(_xlfn.IFS(
    AC1437="", "",
    AC1437*86400 &lt; 30, "1. 0s - &lt;30s",
    AC1437*86400 &lt; 60, "2. 30s - &lt;1m",
    AC1437*86400 &lt; 300, "3. 1m - &lt;5m",
    AC1437*86400 &lt; 1800, "4. 5m - &lt;30m",
    TRUE, "5. &gt;= 30m"
),"6. Invalid (Order rejected)")</f>
        <v>5. &gt;= 30m</v>
      </c>
    </row>
    <row r="1438" spans="1:30" x14ac:dyDescent="0.3">
      <c r="A1438" t="s">
        <v>8353</v>
      </c>
      <c r="B1438" t="s">
        <v>25</v>
      </c>
      <c r="C1438">
        <v>43729827</v>
      </c>
      <c r="D1438">
        <v>4179701</v>
      </c>
      <c r="E1438" t="s">
        <v>25</v>
      </c>
      <c r="F1438" t="s">
        <v>75</v>
      </c>
      <c r="G1438" t="s">
        <v>360</v>
      </c>
      <c r="H1438" t="s">
        <v>8354</v>
      </c>
      <c r="I1438" t="s">
        <v>8355</v>
      </c>
      <c r="J1438" t="s">
        <v>8356</v>
      </c>
      <c r="K1438" t="s">
        <v>26</v>
      </c>
      <c r="L1438" t="s">
        <v>25</v>
      </c>
      <c r="M1438" t="s">
        <v>25</v>
      </c>
      <c r="N1438" t="s">
        <v>8066</v>
      </c>
      <c r="O1438" t="s">
        <v>2379</v>
      </c>
      <c r="P1438" t="s">
        <v>8357</v>
      </c>
      <c r="Q1438" t="s">
        <v>8358</v>
      </c>
      <c r="R1438">
        <v>173988</v>
      </c>
      <c r="S1438">
        <v>142815</v>
      </c>
      <c r="T1438">
        <v>31173</v>
      </c>
      <c r="U1438" t="s">
        <v>35</v>
      </c>
      <c r="V1438" t="s">
        <v>2380</v>
      </c>
      <c r="W1438" t="s">
        <v>8359</v>
      </c>
      <c r="X1438" s="4">
        <v>1</v>
      </c>
      <c r="Y1438" s="4"/>
      <c r="Z1438">
        <f t="shared" si="88"/>
        <v>8</v>
      </c>
      <c r="AA1438">
        <f t="shared" si="89"/>
        <v>19</v>
      </c>
      <c r="AB1438" s="5">
        <f t="shared" si="90"/>
        <v>0.31978009259182727</v>
      </c>
      <c r="AC1438" s="3" t="str">
        <f t="shared" si="91"/>
        <v>Order rejected, no time available</v>
      </c>
      <c r="AD1438" t="str" cm="1">
        <f t="array" ref="AD1438">IFERROR(_xlfn.IFS(
    AC1438="", "",
    AC1438*86400 &lt; 30, "1. 0s - &lt;30s",
    AC1438*86400 &lt; 60, "2. 30s - &lt;1m",
    AC1438*86400 &lt; 300, "3. 1m - &lt;5m",
    AC1438*86400 &lt; 1800, "4. 5m - &lt;30m",
    TRUE, "5. &gt;= 30m"
),"6. Invalid (Order rejected)")</f>
        <v>6. Invalid (Order rejected)</v>
      </c>
    </row>
    <row r="1439" spans="1:30" hidden="1" x14ac:dyDescent="0.3">
      <c r="A1439" t="s">
        <v>8360</v>
      </c>
      <c r="B1439" t="s">
        <v>25</v>
      </c>
      <c r="C1439">
        <v>43729827</v>
      </c>
      <c r="D1439">
        <v>0</v>
      </c>
      <c r="E1439" t="s">
        <v>25</v>
      </c>
      <c r="F1439" t="s">
        <v>26</v>
      </c>
      <c r="G1439" t="s">
        <v>27</v>
      </c>
      <c r="H1439" t="s">
        <v>8361</v>
      </c>
      <c r="I1439" t="s">
        <v>8362</v>
      </c>
      <c r="J1439" t="s">
        <v>26</v>
      </c>
      <c r="K1439" t="s">
        <v>26</v>
      </c>
      <c r="L1439" t="s">
        <v>8363</v>
      </c>
      <c r="M1439" t="s">
        <v>25</v>
      </c>
      <c r="N1439" t="s">
        <v>3843</v>
      </c>
      <c r="O1439" t="s">
        <v>4200</v>
      </c>
      <c r="P1439" t="s">
        <v>2718</v>
      </c>
      <c r="Q1439" t="s">
        <v>8364</v>
      </c>
      <c r="R1439">
        <v>110916</v>
      </c>
      <c r="S1439">
        <v>0</v>
      </c>
      <c r="T1439">
        <v>110916</v>
      </c>
      <c r="U1439" t="s">
        <v>35</v>
      </c>
      <c r="V1439" t="s">
        <v>3847</v>
      </c>
      <c r="W1439" t="s">
        <v>2720</v>
      </c>
      <c r="X1439" s="4">
        <v>1</v>
      </c>
      <c r="Y1439" s="4"/>
      <c r="Z1439">
        <f t="shared" si="88"/>
        <v>8</v>
      </c>
      <c r="AA1439">
        <f t="shared" si="89"/>
        <v>19</v>
      </c>
      <c r="AB1439" s="5">
        <f t="shared" si="90"/>
        <v>0.32429398148087785</v>
      </c>
      <c r="AC1439" s="3">
        <f t="shared" si="91"/>
        <v>9.0254629627452232E-2</v>
      </c>
      <c r="AD1439" t="str" cm="1">
        <f t="array" ref="AD1439">IFERROR(_xlfn.IFS(
    AC1439="", "",
    AC1439*86400 &lt; 30, "1. 0s - &lt;30s",
    AC1439*86400 &lt; 60, "2. 30s - &lt;1m",
    AC1439*86400 &lt; 300, "3. 1m - &lt;5m",
    AC1439*86400 &lt; 1800, "4. 5m - &lt;30m",
    TRUE, "5. &gt;= 30m"
),"6. Invalid (Order rejected)")</f>
        <v>5. &gt;= 30m</v>
      </c>
    </row>
    <row r="1440" spans="1:30" hidden="1" x14ac:dyDescent="0.3">
      <c r="A1440" t="s">
        <v>8365</v>
      </c>
      <c r="B1440" t="s">
        <v>25</v>
      </c>
      <c r="C1440">
        <v>43729827</v>
      </c>
      <c r="D1440">
        <v>0</v>
      </c>
      <c r="E1440" t="s">
        <v>25</v>
      </c>
      <c r="F1440" t="s">
        <v>26</v>
      </c>
      <c r="G1440" t="s">
        <v>27</v>
      </c>
      <c r="H1440" t="s">
        <v>8366</v>
      </c>
      <c r="I1440" t="s">
        <v>8367</v>
      </c>
      <c r="J1440" t="s">
        <v>26</v>
      </c>
      <c r="K1440" t="s">
        <v>26</v>
      </c>
      <c r="L1440" t="s">
        <v>8368</v>
      </c>
      <c r="M1440" t="s">
        <v>25</v>
      </c>
      <c r="N1440" t="s">
        <v>8346</v>
      </c>
      <c r="O1440" t="s">
        <v>8347</v>
      </c>
      <c r="P1440" t="s">
        <v>4175</v>
      </c>
      <c r="Q1440" t="s">
        <v>4176</v>
      </c>
      <c r="R1440">
        <v>316656</v>
      </c>
      <c r="S1440">
        <v>0</v>
      </c>
      <c r="T1440">
        <v>316656</v>
      </c>
      <c r="U1440" t="s">
        <v>35</v>
      </c>
      <c r="V1440" t="s">
        <v>8348</v>
      </c>
      <c r="W1440" t="s">
        <v>4177</v>
      </c>
      <c r="X1440" s="4">
        <v>1</v>
      </c>
      <c r="Y1440" s="4"/>
      <c r="Z1440">
        <f t="shared" si="88"/>
        <v>8</v>
      </c>
      <c r="AA1440">
        <f t="shared" si="89"/>
        <v>19</v>
      </c>
      <c r="AB1440" s="5">
        <f t="shared" si="90"/>
        <v>0.31697916666598758</v>
      </c>
      <c r="AC1440" s="3">
        <f t="shared" si="91"/>
        <v>9.0254629627452232E-2</v>
      </c>
      <c r="AD1440" t="str" cm="1">
        <f t="array" ref="AD1440">IFERROR(_xlfn.IFS(
    AC1440="", "",
    AC1440*86400 &lt; 30, "1. 0s - &lt;30s",
    AC1440*86400 &lt; 60, "2. 30s - &lt;1m",
    AC1440*86400 &lt; 300, "3. 1m - &lt;5m",
    AC1440*86400 &lt; 1800, "4. 5m - &lt;30m",
    TRUE, "5. &gt;= 30m"
),"6. Invalid (Order rejected)")</f>
        <v>5. &gt;= 30m</v>
      </c>
    </row>
    <row r="1441" spans="1:30" hidden="1" x14ac:dyDescent="0.3">
      <c r="A1441" t="s">
        <v>8369</v>
      </c>
      <c r="B1441" t="s">
        <v>25</v>
      </c>
      <c r="C1441">
        <v>43729827</v>
      </c>
      <c r="D1441">
        <v>0</v>
      </c>
      <c r="E1441" t="s">
        <v>25</v>
      </c>
      <c r="F1441" t="s">
        <v>26</v>
      </c>
      <c r="G1441" t="s">
        <v>27</v>
      </c>
      <c r="H1441" t="s">
        <v>8370</v>
      </c>
      <c r="I1441" t="s">
        <v>8371</v>
      </c>
      <c r="J1441" t="s">
        <v>26</v>
      </c>
      <c r="K1441" t="s">
        <v>26</v>
      </c>
      <c r="L1441" t="s">
        <v>8372</v>
      </c>
      <c r="M1441" t="s">
        <v>25</v>
      </c>
      <c r="N1441" t="s">
        <v>3803</v>
      </c>
      <c r="O1441" t="s">
        <v>2493</v>
      </c>
      <c r="P1441" t="s">
        <v>4081</v>
      </c>
      <c r="Q1441" t="s">
        <v>4082</v>
      </c>
      <c r="R1441">
        <v>248076</v>
      </c>
      <c r="S1441">
        <v>0</v>
      </c>
      <c r="T1441">
        <v>248076</v>
      </c>
      <c r="U1441" t="s">
        <v>35</v>
      </c>
      <c r="V1441" t="s">
        <v>2494</v>
      </c>
      <c r="W1441" t="s">
        <v>4083</v>
      </c>
      <c r="X1441" s="4">
        <v>1</v>
      </c>
      <c r="Y1441" s="4"/>
      <c r="Z1441">
        <f t="shared" si="88"/>
        <v>8</v>
      </c>
      <c r="AA1441">
        <f t="shared" si="89"/>
        <v>19</v>
      </c>
      <c r="AB1441" s="5">
        <f t="shared" si="90"/>
        <v>0.32092592592380242</v>
      </c>
      <c r="AC1441" s="3">
        <f t="shared" si="91"/>
        <v>9.025462963472819E-2</v>
      </c>
      <c r="AD1441" t="str" cm="1">
        <f t="array" ref="AD1441">IFERROR(_xlfn.IFS(
    AC1441="", "",
    AC1441*86400 &lt; 30, "1. 0s - &lt;30s",
    AC1441*86400 &lt; 60, "2. 30s - &lt;1m",
    AC1441*86400 &lt; 300, "3. 1m - &lt;5m",
    AC1441*86400 &lt; 1800, "4. 5m - &lt;30m",
    TRUE, "5. &gt;= 30m"
),"6. Invalid (Order rejected)")</f>
        <v>5. &gt;= 30m</v>
      </c>
    </row>
    <row r="1442" spans="1:30" x14ac:dyDescent="0.3">
      <c r="A1442" t="s">
        <v>8373</v>
      </c>
      <c r="B1442" t="s">
        <v>25</v>
      </c>
      <c r="C1442">
        <v>43729827</v>
      </c>
      <c r="D1442">
        <v>2549905</v>
      </c>
      <c r="E1442" t="s">
        <v>25</v>
      </c>
      <c r="F1442" t="s">
        <v>75</v>
      </c>
      <c r="G1442" t="s">
        <v>360</v>
      </c>
      <c r="H1442" t="s">
        <v>8374</v>
      </c>
      <c r="I1442" t="s">
        <v>8375</v>
      </c>
      <c r="J1442" t="s">
        <v>8376</v>
      </c>
      <c r="K1442" t="s">
        <v>8377</v>
      </c>
      <c r="L1442" t="s">
        <v>25</v>
      </c>
      <c r="M1442" t="s">
        <v>25</v>
      </c>
      <c r="N1442" t="s">
        <v>987</v>
      </c>
      <c r="O1442" t="s">
        <v>988</v>
      </c>
      <c r="P1442" t="s">
        <v>4074</v>
      </c>
      <c r="Q1442" t="s">
        <v>4075</v>
      </c>
      <c r="R1442">
        <v>172476</v>
      </c>
      <c r="S1442">
        <v>133709</v>
      </c>
      <c r="T1442">
        <v>38767</v>
      </c>
      <c r="U1442" t="s">
        <v>35</v>
      </c>
      <c r="V1442" t="s">
        <v>991</v>
      </c>
      <c r="W1442" t="s">
        <v>4076</v>
      </c>
      <c r="X1442" s="4">
        <v>1</v>
      </c>
      <c r="Y1442" s="4"/>
      <c r="Z1442">
        <f t="shared" si="88"/>
        <v>8</v>
      </c>
      <c r="AA1442">
        <f t="shared" si="89"/>
        <v>19</v>
      </c>
      <c r="AB1442" s="5">
        <f t="shared" si="90"/>
        <v>0.31829861111327773</v>
      </c>
      <c r="AC1442" s="3" t="str">
        <f t="shared" si="91"/>
        <v>Order rejected, no time available</v>
      </c>
      <c r="AD1442" t="str" cm="1">
        <f t="array" ref="AD1442">IFERROR(_xlfn.IFS(
    AC1442="", "",
    AC1442*86400 &lt; 30, "1. 0s - &lt;30s",
    AC1442*86400 &lt; 60, "2. 30s - &lt;1m",
    AC1442*86400 &lt; 300, "3. 1m - &lt;5m",
    AC1442*86400 &lt; 1800, "4. 5m - &lt;30m",
    TRUE, "5. &gt;= 30m"
),"6. Invalid (Order rejected)")</f>
        <v>6. Invalid (Order rejected)</v>
      </c>
    </row>
    <row r="1443" spans="1:30" hidden="1" x14ac:dyDescent="0.3">
      <c r="A1443" t="s">
        <v>8378</v>
      </c>
      <c r="B1443" t="s">
        <v>25</v>
      </c>
      <c r="C1443">
        <v>43729827</v>
      </c>
      <c r="D1443">
        <v>0</v>
      </c>
      <c r="E1443" t="s">
        <v>25</v>
      </c>
      <c r="F1443" t="s">
        <v>26</v>
      </c>
      <c r="G1443" t="s">
        <v>27</v>
      </c>
      <c r="H1443" t="s">
        <v>8379</v>
      </c>
      <c r="I1443" t="s">
        <v>8380</v>
      </c>
      <c r="J1443" t="s">
        <v>26</v>
      </c>
      <c r="K1443" t="s">
        <v>26</v>
      </c>
      <c r="L1443" t="s">
        <v>8381</v>
      </c>
      <c r="M1443" t="s">
        <v>25</v>
      </c>
      <c r="N1443" t="s">
        <v>987</v>
      </c>
      <c r="O1443" t="s">
        <v>988</v>
      </c>
      <c r="P1443" t="s">
        <v>4097</v>
      </c>
      <c r="Q1443" t="s">
        <v>4098</v>
      </c>
      <c r="R1443">
        <v>171072</v>
      </c>
      <c r="S1443">
        <v>0</v>
      </c>
      <c r="T1443">
        <v>171072</v>
      </c>
      <c r="U1443" t="s">
        <v>35</v>
      </c>
      <c r="V1443" t="s">
        <v>991</v>
      </c>
      <c r="W1443" t="s">
        <v>4100</v>
      </c>
      <c r="X1443" s="4">
        <v>1</v>
      </c>
      <c r="Y1443" s="4"/>
      <c r="Z1443">
        <f t="shared" si="88"/>
        <v>8</v>
      </c>
      <c r="AA1443">
        <f t="shared" si="89"/>
        <v>19</v>
      </c>
      <c r="AB1443" s="5">
        <f t="shared" si="90"/>
        <v>0.31849537036760012</v>
      </c>
      <c r="AC1443" s="3">
        <f t="shared" si="91"/>
        <v>9.0266203704231884E-2</v>
      </c>
      <c r="AD1443" t="str" cm="1">
        <f t="array" ref="AD1443">IFERROR(_xlfn.IFS(
    AC1443="", "",
    AC1443*86400 &lt; 30, "1. 0s - &lt;30s",
    AC1443*86400 &lt; 60, "2. 30s - &lt;1m",
    AC1443*86400 &lt; 300, "3. 1m - &lt;5m",
    AC1443*86400 &lt; 1800, "4. 5m - &lt;30m",
    TRUE, "5. &gt;= 30m"
),"6. Invalid (Order rejected)")</f>
        <v>5. &gt;= 30m</v>
      </c>
    </row>
    <row r="1444" spans="1:30" hidden="1" x14ac:dyDescent="0.3">
      <c r="A1444" t="s">
        <v>8382</v>
      </c>
      <c r="B1444" t="s">
        <v>25</v>
      </c>
      <c r="C1444">
        <v>43729827</v>
      </c>
      <c r="D1444">
        <v>0</v>
      </c>
      <c r="E1444" t="s">
        <v>25</v>
      </c>
      <c r="F1444" t="s">
        <v>26</v>
      </c>
      <c r="G1444" t="s">
        <v>27</v>
      </c>
      <c r="H1444" t="s">
        <v>8383</v>
      </c>
      <c r="I1444" t="s">
        <v>8384</v>
      </c>
      <c r="J1444" t="s">
        <v>26</v>
      </c>
      <c r="K1444" t="s">
        <v>26</v>
      </c>
      <c r="L1444" t="s">
        <v>8385</v>
      </c>
      <c r="M1444" t="s">
        <v>25</v>
      </c>
      <c r="N1444" t="s">
        <v>4182</v>
      </c>
      <c r="O1444" t="s">
        <v>4183</v>
      </c>
      <c r="P1444" t="s">
        <v>4074</v>
      </c>
      <c r="Q1444" t="s">
        <v>4075</v>
      </c>
      <c r="R1444">
        <v>156600</v>
      </c>
      <c r="S1444">
        <v>0</v>
      </c>
      <c r="T1444">
        <v>156600</v>
      </c>
      <c r="U1444" t="s">
        <v>35</v>
      </c>
      <c r="V1444" t="s">
        <v>4184</v>
      </c>
      <c r="W1444" t="s">
        <v>4076</v>
      </c>
      <c r="X1444" s="4">
        <v>1</v>
      </c>
      <c r="Y1444" s="4"/>
      <c r="Z1444">
        <f t="shared" si="88"/>
        <v>8</v>
      </c>
      <c r="AA1444">
        <f t="shared" si="89"/>
        <v>19</v>
      </c>
      <c r="AB1444" s="5">
        <f t="shared" si="90"/>
        <v>0.32177083333226619</v>
      </c>
      <c r="AC1444" s="3">
        <f t="shared" si="91"/>
        <v>9.0266203704231884E-2</v>
      </c>
      <c r="AD1444" t="str" cm="1">
        <f t="array" ref="AD1444">IFERROR(_xlfn.IFS(
    AC1444="", "",
    AC1444*86400 &lt; 30, "1. 0s - &lt;30s",
    AC1444*86400 &lt; 60, "2. 30s - &lt;1m",
    AC1444*86400 &lt; 300, "3. 1m - &lt;5m",
    AC1444*86400 &lt; 1800, "4. 5m - &lt;30m",
    TRUE, "5. &gt;= 30m"
),"6. Invalid (Order rejected)")</f>
        <v>5. &gt;= 30m</v>
      </c>
    </row>
    <row r="1445" spans="1:30" hidden="1" x14ac:dyDescent="0.3">
      <c r="A1445" t="s">
        <v>8386</v>
      </c>
      <c r="B1445" t="s">
        <v>25</v>
      </c>
      <c r="C1445">
        <v>43729827</v>
      </c>
      <c r="D1445">
        <v>0</v>
      </c>
      <c r="E1445" t="s">
        <v>25</v>
      </c>
      <c r="F1445" t="s">
        <v>26</v>
      </c>
      <c r="G1445" t="s">
        <v>27</v>
      </c>
      <c r="H1445" t="s">
        <v>8387</v>
      </c>
      <c r="I1445" t="s">
        <v>8388</v>
      </c>
      <c r="J1445" t="s">
        <v>26</v>
      </c>
      <c r="K1445" t="s">
        <v>26</v>
      </c>
      <c r="L1445" t="s">
        <v>8389</v>
      </c>
      <c r="M1445" t="s">
        <v>25</v>
      </c>
      <c r="N1445" t="s">
        <v>4193</v>
      </c>
      <c r="O1445" t="s">
        <v>4194</v>
      </c>
      <c r="P1445" t="s">
        <v>3845</v>
      </c>
      <c r="Q1445" t="s">
        <v>3846</v>
      </c>
      <c r="R1445">
        <v>105732</v>
      </c>
      <c r="S1445">
        <v>0</v>
      </c>
      <c r="T1445">
        <v>105732</v>
      </c>
      <c r="U1445" t="s">
        <v>35</v>
      </c>
      <c r="V1445" t="s">
        <v>4195</v>
      </c>
      <c r="W1445" t="s">
        <v>3848</v>
      </c>
      <c r="X1445" s="4">
        <v>1</v>
      </c>
      <c r="Y1445" s="4"/>
      <c r="Z1445">
        <f t="shared" si="88"/>
        <v>8</v>
      </c>
      <c r="AA1445">
        <f t="shared" si="89"/>
        <v>19</v>
      </c>
      <c r="AB1445" s="5">
        <f t="shared" si="90"/>
        <v>0.32350694444176042</v>
      </c>
      <c r="AC1445" s="3">
        <f t="shared" si="91"/>
        <v>9.025462963472819E-2</v>
      </c>
      <c r="AD1445" t="str" cm="1">
        <f t="array" ref="AD1445">IFERROR(_xlfn.IFS(
    AC1445="", "",
    AC1445*86400 &lt; 30, "1. 0s - &lt;30s",
    AC1445*86400 &lt; 60, "2. 30s - &lt;1m",
    AC1445*86400 &lt; 300, "3. 1m - &lt;5m",
    AC1445*86400 &lt; 1800, "4. 5m - &lt;30m",
    TRUE, "5. &gt;= 30m"
),"6. Invalid (Order rejected)")</f>
        <v>5. &gt;= 30m</v>
      </c>
    </row>
    <row r="1446" spans="1:30" hidden="1" x14ac:dyDescent="0.3">
      <c r="A1446" t="s">
        <v>8390</v>
      </c>
      <c r="B1446" t="s">
        <v>25</v>
      </c>
      <c r="C1446">
        <v>43729827</v>
      </c>
      <c r="D1446">
        <v>3746341</v>
      </c>
      <c r="E1446" t="s">
        <v>25</v>
      </c>
      <c r="F1446" t="s">
        <v>75</v>
      </c>
      <c r="G1446" t="s">
        <v>76</v>
      </c>
      <c r="H1446" t="s">
        <v>8391</v>
      </c>
      <c r="I1446" t="s">
        <v>8392</v>
      </c>
      <c r="J1446" t="s">
        <v>8393</v>
      </c>
      <c r="K1446" t="s">
        <v>26</v>
      </c>
      <c r="L1446" t="s">
        <v>8394</v>
      </c>
      <c r="M1446" t="s">
        <v>25</v>
      </c>
      <c r="N1446" t="s">
        <v>8346</v>
      </c>
      <c r="O1446" t="s">
        <v>8347</v>
      </c>
      <c r="P1446" t="s">
        <v>4027</v>
      </c>
      <c r="Q1446" t="s">
        <v>4028</v>
      </c>
      <c r="R1446">
        <v>396792</v>
      </c>
      <c r="S1446">
        <v>325700</v>
      </c>
      <c r="T1446">
        <v>71092</v>
      </c>
      <c r="U1446" t="s">
        <v>35</v>
      </c>
      <c r="V1446" t="s">
        <v>8348</v>
      </c>
      <c r="W1446" t="s">
        <v>4030</v>
      </c>
      <c r="X1446" s="4">
        <v>1</v>
      </c>
      <c r="Y1446" s="4"/>
      <c r="Z1446">
        <f t="shared" si="88"/>
        <v>8</v>
      </c>
      <c r="AA1446">
        <f t="shared" si="89"/>
        <v>19</v>
      </c>
      <c r="AB1446" s="5">
        <f t="shared" si="90"/>
        <v>0.31666666666569654</v>
      </c>
      <c r="AC1446" s="3">
        <f t="shared" si="91"/>
        <v>1.4062499998544808E-2</v>
      </c>
      <c r="AD1446" t="str" cm="1">
        <f t="array" ref="AD1446">IFERROR(_xlfn.IFS(
    AC1446="", "",
    AC1446*86400 &lt; 30, "1. 0s - &lt;30s",
    AC1446*86400 &lt; 60, "2. 30s - &lt;1m",
    AC1446*86400 &lt; 300, "3. 1m - &lt;5m",
    AC1446*86400 &lt; 1800, "4. 5m - &lt;30m",
    TRUE, "5. &gt;= 30m"
),"6. Invalid (Order rejected)")</f>
        <v>4. 5m - &lt;30m</v>
      </c>
    </row>
    <row r="1447" spans="1:30" hidden="1" x14ac:dyDescent="0.3">
      <c r="A1447" t="s">
        <v>8395</v>
      </c>
      <c r="B1447" t="s">
        <v>25</v>
      </c>
      <c r="C1447">
        <v>43729827</v>
      </c>
      <c r="D1447">
        <v>0</v>
      </c>
      <c r="E1447" t="s">
        <v>25</v>
      </c>
      <c r="F1447" t="s">
        <v>26</v>
      </c>
      <c r="G1447" t="s">
        <v>27</v>
      </c>
      <c r="H1447" t="s">
        <v>8396</v>
      </c>
      <c r="I1447" t="s">
        <v>8397</v>
      </c>
      <c r="J1447" t="s">
        <v>26</v>
      </c>
      <c r="K1447" t="s">
        <v>26</v>
      </c>
      <c r="L1447" t="s">
        <v>8398</v>
      </c>
      <c r="M1447" t="s">
        <v>25</v>
      </c>
      <c r="N1447" t="s">
        <v>4219</v>
      </c>
      <c r="O1447" t="s">
        <v>1114</v>
      </c>
      <c r="P1447" t="s">
        <v>4058</v>
      </c>
      <c r="Q1447" t="s">
        <v>4059</v>
      </c>
      <c r="R1447">
        <v>242892</v>
      </c>
      <c r="S1447">
        <v>0</v>
      </c>
      <c r="T1447">
        <v>242892</v>
      </c>
      <c r="U1447" t="s">
        <v>35</v>
      </c>
      <c r="V1447" t="s">
        <v>1115</v>
      </c>
      <c r="W1447" t="s">
        <v>4061</v>
      </c>
      <c r="X1447" s="4">
        <v>1</v>
      </c>
      <c r="Y1447" s="4"/>
      <c r="Z1447">
        <f t="shared" si="88"/>
        <v>8</v>
      </c>
      <c r="AA1447">
        <f t="shared" si="89"/>
        <v>19</v>
      </c>
      <c r="AB1447" s="5">
        <f t="shared" si="90"/>
        <v>0.31894675926014315</v>
      </c>
      <c r="AC1447" s="3">
        <f t="shared" si="91"/>
        <v>9.0254629627452232E-2</v>
      </c>
      <c r="AD1447" t="str" cm="1">
        <f t="array" ref="AD1447">IFERROR(_xlfn.IFS(
    AC1447="", "",
    AC1447*86400 &lt; 30, "1. 0s - &lt;30s",
    AC1447*86400 &lt; 60, "2. 30s - &lt;1m",
    AC1447*86400 &lt; 300, "3. 1m - &lt;5m",
    AC1447*86400 &lt; 1800, "4. 5m - &lt;30m",
    TRUE, "5. &gt;= 30m"
),"6. Invalid (Order rejected)")</f>
        <v>5. &gt;= 30m</v>
      </c>
    </row>
    <row r="1448" spans="1:30" hidden="1" x14ac:dyDescent="0.3">
      <c r="A1448" t="s">
        <v>8399</v>
      </c>
      <c r="B1448" t="s">
        <v>25</v>
      </c>
      <c r="C1448">
        <v>43729827</v>
      </c>
      <c r="D1448">
        <v>0</v>
      </c>
      <c r="E1448" t="s">
        <v>25</v>
      </c>
      <c r="F1448" t="s">
        <v>26</v>
      </c>
      <c r="G1448" t="s">
        <v>27</v>
      </c>
      <c r="H1448" t="s">
        <v>8400</v>
      </c>
      <c r="I1448" t="s">
        <v>8401</v>
      </c>
      <c r="J1448" t="s">
        <v>26</v>
      </c>
      <c r="K1448" t="s">
        <v>26</v>
      </c>
      <c r="L1448" t="s">
        <v>8402</v>
      </c>
      <c r="M1448" t="s">
        <v>25</v>
      </c>
      <c r="N1448" t="s">
        <v>4182</v>
      </c>
      <c r="O1448" t="s">
        <v>4183</v>
      </c>
      <c r="P1448" t="s">
        <v>4039</v>
      </c>
      <c r="Q1448" t="s">
        <v>4040</v>
      </c>
      <c r="R1448">
        <v>138672</v>
      </c>
      <c r="S1448">
        <v>0</v>
      </c>
      <c r="T1448">
        <v>138672</v>
      </c>
      <c r="U1448" t="s">
        <v>35</v>
      </c>
      <c r="V1448" t="s">
        <v>4184</v>
      </c>
      <c r="W1448" t="s">
        <v>4041</v>
      </c>
      <c r="X1448" s="4">
        <v>1</v>
      </c>
      <c r="Y1448" s="4"/>
      <c r="Z1448">
        <f t="shared" si="88"/>
        <v>8</v>
      </c>
      <c r="AA1448">
        <f t="shared" si="89"/>
        <v>19</v>
      </c>
      <c r="AB1448" s="5">
        <f t="shared" si="90"/>
        <v>0.3216203703705105</v>
      </c>
      <c r="AC1448" s="3">
        <f t="shared" si="91"/>
        <v>1.1218749999970896</v>
      </c>
      <c r="AD1448" t="str" cm="1">
        <f t="array" ref="AD1448">IFERROR(_xlfn.IFS(
    AC1448="", "",
    AC1448*86400 &lt; 30, "1. 0s - &lt;30s",
    AC1448*86400 &lt; 60, "2. 30s - &lt;1m",
    AC1448*86400 &lt; 300, "3. 1m - &lt;5m",
    AC1448*86400 &lt; 1800, "4. 5m - &lt;30m",
    TRUE, "5. &gt;= 30m"
),"6. Invalid (Order rejected)")</f>
        <v>5. &gt;= 30m</v>
      </c>
    </row>
    <row r="1449" spans="1:30" x14ac:dyDescent="0.3">
      <c r="A1449" t="s">
        <v>8403</v>
      </c>
      <c r="B1449" t="s">
        <v>25</v>
      </c>
      <c r="C1449">
        <v>43729827</v>
      </c>
      <c r="D1449">
        <v>4438972</v>
      </c>
      <c r="E1449" t="s">
        <v>25</v>
      </c>
      <c r="F1449" t="s">
        <v>75</v>
      </c>
      <c r="G1449" t="s">
        <v>360</v>
      </c>
      <c r="H1449" t="s">
        <v>8404</v>
      </c>
      <c r="I1449" t="s">
        <v>8405</v>
      </c>
      <c r="J1449" t="s">
        <v>8406</v>
      </c>
      <c r="K1449" t="s">
        <v>26</v>
      </c>
      <c r="L1449" t="s">
        <v>25</v>
      </c>
      <c r="M1449" t="s">
        <v>25</v>
      </c>
      <c r="N1449" t="s">
        <v>3843</v>
      </c>
      <c r="O1449" t="s">
        <v>4200</v>
      </c>
      <c r="P1449" t="s">
        <v>2639</v>
      </c>
      <c r="Q1449" t="s">
        <v>2640</v>
      </c>
      <c r="R1449">
        <v>124200</v>
      </c>
      <c r="S1449">
        <v>96284</v>
      </c>
      <c r="T1449">
        <v>27916</v>
      </c>
      <c r="U1449" t="s">
        <v>35</v>
      </c>
      <c r="V1449" t="s">
        <v>3847</v>
      </c>
      <c r="W1449" t="s">
        <v>2641</v>
      </c>
      <c r="X1449" s="4">
        <v>1</v>
      </c>
      <c r="Y1449" s="4"/>
      <c r="Z1449">
        <f t="shared" si="88"/>
        <v>8</v>
      </c>
      <c r="AA1449">
        <f t="shared" si="89"/>
        <v>19</v>
      </c>
      <c r="AB1449" s="5">
        <f t="shared" si="90"/>
        <v>0.32376157407270512</v>
      </c>
      <c r="AC1449" s="3" t="str">
        <f t="shared" si="91"/>
        <v>Order rejected, no time available</v>
      </c>
      <c r="AD1449" t="str" cm="1">
        <f t="array" ref="AD1449">IFERROR(_xlfn.IFS(
    AC1449="", "",
    AC1449*86400 &lt; 30, "1. 0s - &lt;30s",
    AC1449*86400 &lt; 60, "2. 30s - &lt;1m",
    AC1449*86400 &lt; 300, "3. 1m - &lt;5m",
    AC1449*86400 &lt; 1800, "4. 5m - &lt;30m",
    TRUE, "5. &gt;= 30m"
),"6. Invalid (Order rejected)")</f>
        <v>6. Invalid (Order rejected)</v>
      </c>
    </row>
    <row r="1450" spans="1:30" hidden="1" x14ac:dyDescent="0.3">
      <c r="A1450" t="s">
        <v>8407</v>
      </c>
      <c r="B1450" t="s">
        <v>25</v>
      </c>
      <c r="C1450">
        <v>43729827</v>
      </c>
      <c r="D1450">
        <v>0</v>
      </c>
      <c r="E1450" t="s">
        <v>25</v>
      </c>
      <c r="F1450" t="s">
        <v>26</v>
      </c>
      <c r="G1450" t="s">
        <v>27</v>
      </c>
      <c r="H1450" t="s">
        <v>8408</v>
      </c>
      <c r="I1450" t="s">
        <v>8409</v>
      </c>
      <c r="J1450" t="s">
        <v>26</v>
      </c>
      <c r="K1450" t="s">
        <v>26</v>
      </c>
      <c r="L1450" t="s">
        <v>8410</v>
      </c>
      <c r="M1450" t="s">
        <v>25</v>
      </c>
      <c r="N1450" t="s">
        <v>987</v>
      </c>
      <c r="O1450" t="s">
        <v>988</v>
      </c>
      <c r="P1450" t="s">
        <v>4039</v>
      </c>
      <c r="Q1450" t="s">
        <v>4040</v>
      </c>
      <c r="R1450">
        <v>154116</v>
      </c>
      <c r="S1450">
        <v>0</v>
      </c>
      <c r="T1450">
        <v>154116</v>
      </c>
      <c r="U1450" t="s">
        <v>35</v>
      </c>
      <c r="V1450" t="s">
        <v>991</v>
      </c>
      <c r="W1450" t="s">
        <v>4041</v>
      </c>
      <c r="X1450" s="4">
        <v>1</v>
      </c>
      <c r="Y1450" s="4"/>
      <c r="Z1450">
        <f t="shared" si="88"/>
        <v>8</v>
      </c>
      <c r="AA1450">
        <f t="shared" si="89"/>
        <v>19</v>
      </c>
      <c r="AB1450" s="5">
        <f t="shared" si="90"/>
        <v>0.31815972222102573</v>
      </c>
      <c r="AC1450" s="3">
        <f t="shared" si="91"/>
        <v>0.11193287037167465</v>
      </c>
      <c r="AD1450" t="str" cm="1">
        <f t="array" ref="AD1450">IFERROR(_xlfn.IFS(
    AC1450="", "",
    AC1450*86400 &lt; 30, "1. 0s - &lt;30s",
    AC1450*86400 &lt; 60, "2. 30s - &lt;1m",
    AC1450*86400 &lt; 300, "3. 1m - &lt;5m",
    AC1450*86400 &lt; 1800, "4. 5m - &lt;30m",
    TRUE, "5. &gt;= 30m"
),"6. Invalid (Order rejected)")</f>
        <v>5. &gt;= 30m</v>
      </c>
    </row>
    <row r="1451" spans="1:30" hidden="1" x14ac:dyDescent="0.3">
      <c r="A1451" t="s">
        <v>8411</v>
      </c>
      <c r="B1451" t="s">
        <v>25</v>
      </c>
      <c r="C1451">
        <v>43729827</v>
      </c>
      <c r="D1451">
        <v>0</v>
      </c>
      <c r="E1451" t="s">
        <v>25</v>
      </c>
      <c r="F1451" t="s">
        <v>26</v>
      </c>
      <c r="G1451" t="s">
        <v>27</v>
      </c>
      <c r="H1451" t="s">
        <v>8412</v>
      </c>
      <c r="I1451" t="s">
        <v>8413</v>
      </c>
      <c r="J1451" t="s">
        <v>26</v>
      </c>
      <c r="K1451" t="s">
        <v>26</v>
      </c>
      <c r="L1451" t="s">
        <v>8414</v>
      </c>
      <c r="M1451" t="s">
        <v>25</v>
      </c>
      <c r="N1451" t="s">
        <v>8066</v>
      </c>
      <c r="O1451" t="s">
        <v>2379</v>
      </c>
      <c r="P1451" t="s">
        <v>4148</v>
      </c>
      <c r="Q1451" t="s">
        <v>4149</v>
      </c>
      <c r="R1451">
        <v>185868</v>
      </c>
      <c r="S1451">
        <v>0</v>
      </c>
      <c r="T1451">
        <v>185868</v>
      </c>
      <c r="U1451" t="s">
        <v>35</v>
      </c>
      <c r="V1451" t="s">
        <v>2380</v>
      </c>
      <c r="W1451" t="s">
        <v>4151</v>
      </c>
      <c r="X1451" s="4">
        <v>1</v>
      </c>
      <c r="Y1451" s="4"/>
      <c r="Z1451">
        <f t="shared" si="88"/>
        <v>8</v>
      </c>
      <c r="AA1451">
        <f t="shared" si="89"/>
        <v>19</v>
      </c>
      <c r="AB1451" s="5">
        <f t="shared" si="90"/>
        <v>0.31958333333022892</v>
      </c>
      <c r="AC1451" s="3">
        <f t="shared" si="91"/>
        <v>9.0266203704231884E-2</v>
      </c>
      <c r="AD1451" t="str" cm="1">
        <f t="array" ref="AD1451">IFERROR(_xlfn.IFS(
    AC1451="", "",
    AC1451*86400 &lt; 30, "1. 0s - &lt;30s",
    AC1451*86400 &lt; 60, "2. 30s - &lt;1m",
    AC1451*86400 &lt; 300, "3. 1m - &lt;5m",
    AC1451*86400 &lt; 1800, "4. 5m - &lt;30m",
    TRUE, "5. &gt;= 30m"
),"6. Invalid (Order rejected)")</f>
        <v>5. &gt;= 30m</v>
      </c>
    </row>
    <row r="1452" spans="1:30" hidden="1" x14ac:dyDescent="0.3">
      <c r="A1452" t="s">
        <v>8415</v>
      </c>
      <c r="B1452" t="s">
        <v>25</v>
      </c>
      <c r="C1452">
        <v>43729827</v>
      </c>
      <c r="D1452">
        <v>0</v>
      </c>
      <c r="E1452" t="s">
        <v>25</v>
      </c>
      <c r="F1452" t="s">
        <v>26</v>
      </c>
      <c r="G1452" t="s">
        <v>27</v>
      </c>
      <c r="H1452" t="s">
        <v>8416</v>
      </c>
      <c r="I1452" t="s">
        <v>8417</v>
      </c>
      <c r="J1452" t="s">
        <v>26</v>
      </c>
      <c r="K1452" t="s">
        <v>26</v>
      </c>
      <c r="L1452" t="s">
        <v>8418</v>
      </c>
      <c r="M1452" t="s">
        <v>25</v>
      </c>
      <c r="N1452" t="s">
        <v>3803</v>
      </c>
      <c r="O1452" t="s">
        <v>2493</v>
      </c>
      <c r="P1452" t="s">
        <v>8229</v>
      </c>
      <c r="Q1452" t="s">
        <v>8230</v>
      </c>
      <c r="R1452">
        <v>281016</v>
      </c>
      <c r="S1452">
        <v>0</v>
      </c>
      <c r="T1452">
        <v>281016</v>
      </c>
      <c r="U1452" t="s">
        <v>35</v>
      </c>
      <c r="V1452" t="s">
        <v>2494</v>
      </c>
      <c r="W1452" t="s">
        <v>8231</v>
      </c>
      <c r="X1452" s="4">
        <v>1</v>
      </c>
      <c r="Y1452" s="4"/>
      <c r="Z1452">
        <f t="shared" si="88"/>
        <v>8</v>
      </c>
      <c r="AA1452">
        <f t="shared" si="89"/>
        <v>19</v>
      </c>
      <c r="AB1452" s="5">
        <f t="shared" si="90"/>
        <v>0.32077546296204673</v>
      </c>
      <c r="AC1452" s="3">
        <f t="shared" si="91"/>
        <v>9.0578703704522923E-2</v>
      </c>
      <c r="AD1452" t="str" cm="1">
        <f t="array" ref="AD1452">IFERROR(_xlfn.IFS(
    AC1452="", "",
    AC1452*86400 &lt; 30, "1. 0s - &lt;30s",
    AC1452*86400 &lt; 60, "2. 30s - &lt;1m",
    AC1452*86400 &lt; 300, "3. 1m - &lt;5m",
    AC1452*86400 &lt; 1800, "4. 5m - &lt;30m",
    TRUE, "5. &gt;= 30m"
),"6. Invalid (Order rejected)")</f>
        <v>5. &gt;= 30m</v>
      </c>
    </row>
    <row r="1453" spans="1:30" hidden="1" x14ac:dyDescent="0.3">
      <c r="A1453" t="s">
        <v>8419</v>
      </c>
      <c r="B1453" t="s">
        <v>25</v>
      </c>
      <c r="C1453">
        <v>43729827</v>
      </c>
      <c r="D1453">
        <v>0</v>
      </c>
      <c r="E1453" t="s">
        <v>25</v>
      </c>
      <c r="F1453" t="s">
        <v>26</v>
      </c>
      <c r="G1453" t="s">
        <v>27</v>
      </c>
      <c r="H1453" t="s">
        <v>8420</v>
      </c>
      <c r="I1453" t="s">
        <v>8421</v>
      </c>
      <c r="J1453" t="s">
        <v>26</v>
      </c>
      <c r="K1453" t="s">
        <v>26</v>
      </c>
      <c r="L1453" t="s">
        <v>8422</v>
      </c>
      <c r="M1453" t="s">
        <v>25</v>
      </c>
      <c r="N1453" t="s">
        <v>4193</v>
      </c>
      <c r="O1453" t="s">
        <v>4194</v>
      </c>
      <c r="P1453" t="s">
        <v>8423</v>
      </c>
      <c r="Q1453" t="s">
        <v>2647</v>
      </c>
      <c r="R1453">
        <v>133380</v>
      </c>
      <c r="S1453">
        <v>0</v>
      </c>
      <c r="T1453">
        <v>133380</v>
      </c>
      <c r="U1453" t="s">
        <v>35</v>
      </c>
      <c r="V1453" t="s">
        <v>4195</v>
      </c>
      <c r="W1453" t="s">
        <v>2648</v>
      </c>
      <c r="X1453" s="4">
        <v>1</v>
      </c>
      <c r="Y1453" s="4"/>
      <c r="Z1453">
        <f t="shared" si="88"/>
        <v>8</v>
      </c>
      <c r="AA1453">
        <f t="shared" si="89"/>
        <v>19</v>
      </c>
      <c r="AB1453" s="5">
        <f t="shared" si="90"/>
        <v>0.32300925925665069</v>
      </c>
      <c r="AC1453" s="3">
        <f t="shared" si="91"/>
        <v>9.025462963472819E-2</v>
      </c>
      <c r="AD1453" t="str" cm="1">
        <f t="array" ref="AD1453">IFERROR(_xlfn.IFS(
    AC1453="", "",
    AC1453*86400 &lt; 30, "1. 0s - &lt;30s",
    AC1453*86400 &lt; 60, "2. 30s - &lt;1m",
    AC1453*86400 &lt; 300, "3. 1m - &lt;5m",
    AC1453*86400 &lt; 1800, "4. 5m - &lt;30m",
    TRUE, "5. &gt;= 30m"
),"6. Invalid (Order rejected)")</f>
        <v>5. &gt;= 30m</v>
      </c>
    </row>
    <row r="1454" spans="1:30" hidden="1" x14ac:dyDescent="0.3">
      <c r="A1454" t="s">
        <v>8424</v>
      </c>
      <c r="B1454" t="s">
        <v>25</v>
      </c>
      <c r="C1454">
        <v>43729827</v>
      </c>
      <c r="D1454">
        <v>0</v>
      </c>
      <c r="E1454" t="s">
        <v>25</v>
      </c>
      <c r="F1454" t="s">
        <v>26</v>
      </c>
      <c r="G1454" t="s">
        <v>27</v>
      </c>
      <c r="H1454" t="s">
        <v>8425</v>
      </c>
      <c r="I1454" t="s">
        <v>8426</v>
      </c>
      <c r="J1454" t="s">
        <v>26</v>
      </c>
      <c r="K1454" t="s">
        <v>26</v>
      </c>
      <c r="L1454" t="s">
        <v>8427</v>
      </c>
      <c r="M1454" t="s">
        <v>25</v>
      </c>
      <c r="N1454" t="s">
        <v>3843</v>
      </c>
      <c r="O1454" t="s">
        <v>4200</v>
      </c>
      <c r="P1454" t="s">
        <v>8428</v>
      </c>
      <c r="Q1454" t="s">
        <v>2705</v>
      </c>
      <c r="R1454">
        <v>125280</v>
      </c>
      <c r="S1454">
        <v>0</v>
      </c>
      <c r="T1454">
        <v>125280</v>
      </c>
      <c r="U1454" t="s">
        <v>35</v>
      </c>
      <c r="V1454" t="s">
        <v>3847</v>
      </c>
      <c r="W1454" t="s">
        <v>2706</v>
      </c>
      <c r="X1454" s="4">
        <v>1</v>
      </c>
      <c r="Y1454" s="4"/>
      <c r="Z1454">
        <f t="shared" si="88"/>
        <v>8</v>
      </c>
      <c r="AA1454">
        <f t="shared" si="89"/>
        <v>19</v>
      </c>
      <c r="AB1454" s="5">
        <f t="shared" si="90"/>
        <v>0.3240972222192795</v>
      </c>
      <c r="AC1454" s="3">
        <f t="shared" si="91"/>
        <v>9.0266203704231884E-2</v>
      </c>
      <c r="AD1454" t="str" cm="1">
        <f t="array" ref="AD1454">IFERROR(_xlfn.IFS(
    AC1454="", "",
    AC1454*86400 &lt; 30, "1. 0s - &lt;30s",
    AC1454*86400 &lt; 60, "2. 30s - &lt;1m",
    AC1454*86400 &lt; 300, "3. 1m - &lt;5m",
    AC1454*86400 &lt; 1800, "4. 5m - &lt;30m",
    TRUE, "5. &gt;= 30m"
),"6. Invalid (Order rejected)")</f>
        <v>5. &gt;= 30m</v>
      </c>
    </row>
    <row r="1455" spans="1:30" x14ac:dyDescent="0.3">
      <c r="A1455" t="s">
        <v>8429</v>
      </c>
      <c r="B1455" t="s">
        <v>3229</v>
      </c>
      <c r="C1455">
        <v>13373294</v>
      </c>
      <c r="D1455">
        <v>1168912</v>
      </c>
      <c r="E1455" t="s">
        <v>25</v>
      </c>
      <c r="F1455" t="s">
        <v>75</v>
      </c>
      <c r="G1455" t="s">
        <v>360</v>
      </c>
      <c r="H1455" t="s">
        <v>8430</v>
      </c>
      <c r="I1455" t="s">
        <v>8431</v>
      </c>
      <c r="J1455" t="s">
        <v>8432</v>
      </c>
      <c r="K1455" t="s">
        <v>26</v>
      </c>
      <c r="L1455" t="s">
        <v>25</v>
      </c>
      <c r="M1455" t="s">
        <v>25</v>
      </c>
      <c r="N1455" t="s">
        <v>8433</v>
      </c>
      <c r="O1455" t="s">
        <v>8434</v>
      </c>
      <c r="P1455" t="s">
        <v>8435</v>
      </c>
      <c r="Q1455" t="s">
        <v>8436</v>
      </c>
      <c r="R1455">
        <v>304992</v>
      </c>
      <c r="S1455">
        <v>236439</v>
      </c>
      <c r="T1455">
        <v>68553</v>
      </c>
      <c r="U1455" t="s">
        <v>35</v>
      </c>
      <c r="V1455" t="s">
        <v>8437</v>
      </c>
      <c r="W1455" t="s">
        <v>8438</v>
      </c>
      <c r="X1455" s="4">
        <v>1</v>
      </c>
      <c r="Y1455" s="4"/>
      <c r="Z1455">
        <f t="shared" si="88"/>
        <v>8</v>
      </c>
      <c r="AA1455">
        <f t="shared" si="89"/>
        <v>19</v>
      </c>
      <c r="AB1455" s="5">
        <f t="shared" si="90"/>
        <v>0.32673611111385981</v>
      </c>
      <c r="AC1455" s="3" t="str">
        <f t="shared" si="91"/>
        <v>Order rejected, no time available</v>
      </c>
      <c r="AD1455" t="str" cm="1">
        <f t="array" ref="AD1455">IFERROR(_xlfn.IFS(
    AC1455="", "",
    AC1455*86400 &lt; 30, "1. 0s - &lt;30s",
    AC1455*86400 &lt; 60, "2. 30s - &lt;1m",
    AC1455*86400 &lt; 300, "3. 1m - &lt;5m",
    AC1455*86400 &lt; 1800, "4. 5m - &lt;30m",
    TRUE, "5. &gt;= 30m"
),"6. Invalid (Order rejected)")</f>
        <v>6. Invalid (Order rejected)</v>
      </c>
    </row>
    <row r="1456" spans="1:30" hidden="1" x14ac:dyDescent="0.3">
      <c r="A1456" t="s">
        <v>8439</v>
      </c>
      <c r="B1456" t="s">
        <v>25</v>
      </c>
      <c r="C1456">
        <v>43729827</v>
      </c>
      <c r="D1456">
        <v>0</v>
      </c>
      <c r="E1456" t="s">
        <v>25</v>
      </c>
      <c r="F1456" t="s">
        <v>26</v>
      </c>
      <c r="G1456" t="s">
        <v>27</v>
      </c>
      <c r="H1456" t="s">
        <v>8440</v>
      </c>
      <c r="I1456" t="s">
        <v>8441</v>
      </c>
      <c r="J1456" t="s">
        <v>26</v>
      </c>
      <c r="K1456" t="s">
        <v>26</v>
      </c>
      <c r="L1456" t="s">
        <v>8442</v>
      </c>
      <c r="M1456" t="s">
        <v>25</v>
      </c>
      <c r="N1456" t="s">
        <v>3803</v>
      </c>
      <c r="O1456" t="s">
        <v>2493</v>
      </c>
      <c r="P1456" t="s">
        <v>3923</v>
      </c>
      <c r="Q1456" t="s">
        <v>3924</v>
      </c>
      <c r="R1456">
        <v>164268</v>
      </c>
      <c r="S1456">
        <v>0</v>
      </c>
      <c r="T1456">
        <v>164268</v>
      </c>
      <c r="U1456" t="s">
        <v>35</v>
      </c>
      <c r="V1456" t="s">
        <v>2494</v>
      </c>
      <c r="W1456" t="s">
        <v>3925</v>
      </c>
      <c r="X1456" s="4">
        <v>1</v>
      </c>
      <c r="Y1456" s="4"/>
      <c r="Z1456">
        <f t="shared" si="88"/>
        <v>8</v>
      </c>
      <c r="AA1456">
        <f t="shared" si="89"/>
        <v>19</v>
      </c>
      <c r="AB1456" s="5">
        <f t="shared" si="90"/>
        <v>0.32881944444670808</v>
      </c>
      <c r="AC1456" s="3">
        <f t="shared" si="91"/>
        <v>9.0277777773735579E-2</v>
      </c>
      <c r="AD1456" t="str" cm="1">
        <f t="array" ref="AD1456">IFERROR(_xlfn.IFS(
    AC1456="", "",
    AC1456*86400 &lt; 30, "1. 0s - &lt;30s",
    AC1456*86400 &lt; 60, "2. 30s - &lt;1m",
    AC1456*86400 &lt; 300, "3. 1m - &lt;5m",
    AC1456*86400 &lt; 1800, "4. 5m - &lt;30m",
    TRUE, "5. &gt;= 30m"
),"6. Invalid (Order rejected)")</f>
        <v>5. &gt;= 30m</v>
      </c>
    </row>
    <row r="1457" spans="1:30" x14ac:dyDescent="0.3">
      <c r="A1457" t="s">
        <v>8443</v>
      </c>
      <c r="B1457" t="s">
        <v>25</v>
      </c>
      <c r="C1457">
        <v>43729827</v>
      </c>
      <c r="D1457">
        <v>4438972</v>
      </c>
      <c r="E1457" t="s">
        <v>25</v>
      </c>
      <c r="F1457" t="s">
        <v>75</v>
      </c>
      <c r="G1457" t="s">
        <v>360</v>
      </c>
      <c r="H1457" t="s">
        <v>8298</v>
      </c>
      <c r="I1457" t="s">
        <v>8444</v>
      </c>
      <c r="J1457" t="s">
        <v>8445</v>
      </c>
      <c r="K1457" t="s">
        <v>26</v>
      </c>
      <c r="L1457" t="s">
        <v>25</v>
      </c>
      <c r="M1457" t="s">
        <v>25</v>
      </c>
      <c r="N1457" t="s">
        <v>8066</v>
      </c>
      <c r="O1457" t="s">
        <v>2379</v>
      </c>
      <c r="P1457" t="s">
        <v>4027</v>
      </c>
      <c r="Q1457" t="s">
        <v>4028</v>
      </c>
      <c r="R1457">
        <v>214164</v>
      </c>
      <c r="S1457">
        <v>166027</v>
      </c>
      <c r="T1457">
        <v>48137</v>
      </c>
      <c r="U1457" t="s">
        <v>35</v>
      </c>
      <c r="V1457" t="s">
        <v>2380</v>
      </c>
      <c r="W1457" t="s">
        <v>4030</v>
      </c>
      <c r="X1457" s="4">
        <v>1</v>
      </c>
      <c r="Y1457" s="4"/>
      <c r="Z1457">
        <f t="shared" si="88"/>
        <v>8</v>
      </c>
      <c r="AA1457">
        <f t="shared" si="89"/>
        <v>19</v>
      </c>
      <c r="AB1457" s="5">
        <f t="shared" si="90"/>
        <v>0.31994212963036261</v>
      </c>
      <c r="AC1457" s="3" t="str">
        <f t="shared" si="91"/>
        <v>Order rejected, no time available</v>
      </c>
      <c r="AD1457" t="str" cm="1">
        <f t="array" ref="AD1457">IFERROR(_xlfn.IFS(
    AC1457="", "",
    AC1457*86400 &lt; 30, "1. 0s - &lt;30s",
    AC1457*86400 &lt; 60, "2. 30s - &lt;1m",
    AC1457*86400 &lt; 300, "3. 1m - &lt;5m",
    AC1457*86400 &lt; 1800, "4. 5m - &lt;30m",
    TRUE, "5. &gt;= 30m"
),"6. Invalid (Order rejected)")</f>
        <v>6. Invalid (Order rejected)</v>
      </c>
    </row>
    <row r="1458" spans="1:30" hidden="1" x14ac:dyDescent="0.3">
      <c r="A1458" t="s">
        <v>8446</v>
      </c>
      <c r="B1458" t="s">
        <v>25</v>
      </c>
      <c r="C1458">
        <v>43729827</v>
      </c>
      <c r="D1458">
        <v>0</v>
      </c>
      <c r="E1458" t="s">
        <v>25</v>
      </c>
      <c r="F1458" t="s">
        <v>26</v>
      </c>
      <c r="G1458" t="s">
        <v>27</v>
      </c>
      <c r="H1458" t="s">
        <v>8447</v>
      </c>
      <c r="I1458" t="s">
        <v>8448</v>
      </c>
      <c r="J1458" t="s">
        <v>26</v>
      </c>
      <c r="K1458" t="s">
        <v>26</v>
      </c>
      <c r="L1458" t="s">
        <v>8449</v>
      </c>
      <c r="M1458" t="s">
        <v>25</v>
      </c>
      <c r="N1458" t="s">
        <v>4193</v>
      </c>
      <c r="O1458" t="s">
        <v>4194</v>
      </c>
      <c r="P1458" t="s">
        <v>2628</v>
      </c>
      <c r="Q1458" t="s">
        <v>3886</v>
      </c>
      <c r="R1458">
        <v>142236</v>
      </c>
      <c r="S1458">
        <v>0</v>
      </c>
      <c r="T1458">
        <v>142236</v>
      </c>
      <c r="U1458" t="s">
        <v>35</v>
      </c>
      <c r="V1458" t="s">
        <v>4195</v>
      </c>
      <c r="W1458" t="s">
        <v>2630</v>
      </c>
      <c r="X1458" s="4">
        <v>1</v>
      </c>
      <c r="Y1458" s="4"/>
      <c r="Z1458">
        <f t="shared" si="88"/>
        <v>8</v>
      </c>
      <c r="AA1458">
        <f t="shared" si="89"/>
        <v>19</v>
      </c>
      <c r="AB1458" s="5">
        <f t="shared" si="90"/>
        <v>0.32317129629518604</v>
      </c>
      <c r="AC1458" s="3">
        <f t="shared" si="91"/>
        <v>9.0254629627452232E-2</v>
      </c>
      <c r="AD1458" t="str" cm="1">
        <f t="array" ref="AD1458">IFERROR(_xlfn.IFS(
    AC1458="", "",
    AC1458*86400 &lt; 30, "1. 0s - &lt;30s",
    AC1458*86400 &lt; 60, "2. 30s - &lt;1m",
    AC1458*86400 &lt; 300, "3. 1m - &lt;5m",
    AC1458*86400 &lt; 1800, "4. 5m - &lt;30m",
    TRUE, "5. &gt;= 30m"
),"6. Invalid (Order rejected)")</f>
        <v>5. &gt;= 30m</v>
      </c>
    </row>
    <row r="1459" spans="1:30" x14ac:dyDescent="0.3">
      <c r="A1459" t="s">
        <v>8450</v>
      </c>
      <c r="B1459" t="s">
        <v>25</v>
      </c>
      <c r="C1459">
        <v>43729827</v>
      </c>
      <c r="D1459">
        <v>2936560</v>
      </c>
      <c r="E1459" t="s">
        <v>25</v>
      </c>
      <c r="F1459" t="s">
        <v>75</v>
      </c>
      <c r="G1459" t="s">
        <v>360</v>
      </c>
      <c r="H1459" t="s">
        <v>8451</v>
      </c>
      <c r="I1459" t="s">
        <v>8452</v>
      </c>
      <c r="J1459" t="s">
        <v>8453</v>
      </c>
      <c r="K1459" t="s">
        <v>8454</v>
      </c>
      <c r="L1459" t="s">
        <v>25</v>
      </c>
      <c r="M1459" t="s">
        <v>25</v>
      </c>
      <c r="N1459" t="s">
        <v>3834</v>
      </c>
      <c r="O1459" t="s">
        <v>3835</v>
      </c>
      <c r="P1459" t="s">
        <v>4105</v>
      </c>
      <c r="Q1459" t="s">
        <v>4106</v>
      </c>
      <c r="R1459">
        <v>135540</v>
      </c>
      <c r="S1459">
        <v>105075</v>
      </c>
      <c r="T1459">
        <v>30465</v>
      </c>
      <c r="U1459" t="s">
        <v>35</v>
      </c>
      <c r="V1459" t="s">
        <v>3838</v>
      </c>
      <c r="W1459" t="s">
        <v>4107</v>
      </c>
      <c r="X1459" s="4">
        <v>1</v>
      </c>
      <c r="Y1459" s="4"/>
      <c r="Z1459">
        <f t="shared" si="88"/>
        <v>8</v>
      </c>
      <c r="AA1459">
        <f t="shared" si="89"/>
        <v>19</v>
      </c>
      <c r="AB1459" s="5">
        <f t="shared" si="90"/>
        <v>0.32228009259415558</v>
      </c>
      <c r="AC1459" s="3" t="str">
        <f t="shared" si="91"/>
        <v>Order rejected, no time available</v>
      </c>
      <c r="AD1459" t="str" cm="1">
        <f t="array" ref="AD1459">IFERROR(_xlfn.IFS(
    AC1459="", "",
    AC1459*86400 &lt; 30, "1. 0s - &lt;30s",
    AC1459*86400 &lt; 60, "2. 30s - &lt;1m",
    AC1459*86400 &lt; 300, "3. 1m - &lt;5m",
    AC1459*86400 &lt; 1800, "4. 5m - &lt;30m",
    TRUE, "5. &gt;= 30m"
),"6. Invalid (Order rejected)")</f>
        <v>6. Invalid (Order rejected)</v>
      </c>
    </row>
    <row r="1460" spans="1:30" hidden="1" x14ac:dyDescent="0.3">
      <c r="A1460" t="s">
        <v>8455</v>
      </c>
      <c r="B1460" t="s">
        <v>3229</v>
      </c>
      <c r="C1460">
        <v>13373294</v>
      </c>
      <c r="D1460">
        <v>0</v>
      </c>
      <c r="E1460" t="s">
        <v>25</v>
      </c>
      <c r="F1460" t="s">
        <v>26</v>
      </c>
      <c r="G1460" t="s">
        <v>27</v>
      </c>
      <c r="H1460" t="s">
        <v>8456</v>
      </c>
      <c r="I1460" t="s">
        <v>8457</v>
      </c>
      <c r="J1460" t="s">
        <v>26</v>
      </c>
      <c r="K1460" t="s">
        <v>26</v>
      </c>
      <c r="L1460" t="s">
        <v>8458</v>
      </c>
      <c r="M1460" t="s">
        <v>25</v>
      </c>
      <c r="N1460" t="s">
        <v>8459</v>
      </c>
      <c r="O1460" t="s">
        <v>8460</v>
      </c>
      <c r="P1460" t="s">
        <v>8461</v>
      </c>
      <c r="Q1460" t="s">
        <v>8462</v>
      </c>
      <c r="R1460">
        <v>254988</v>
      </c>
      <c r="S1460">
        <v>0</v>
      </c>
      <c r="T1460">
        <v>254988</v>
      </c>
      <c r="U1460" t="s">
        <v>35</v>
      </c>
      <c r="V1460" t="s">
        <v>8463</v>
      </c>
      <c r="W1460" t="s">
        <v>8464</v>
      </c>
      <c r="X1460" s="4">
        <v>1</v>
      </c>
      <c r="Y1460" s="4"/>
      <c r="Z1460">
        <f t="shared" si="88"/>
        <v>8</v>
      </c>
      <c r="AA1460">
        <f t="shared" si="89"/>
        <v>19</v>
      </c>
      <c r="AB1460" s="5">
        <f t="shared" si="90"/>
        <v>0.33004629629431292</v>
      </c>
      <c r="AC1460" s="3">
        <f t="shared" si="91"/>
        <v>9.6782407410501037E-2</v>
      </c>
      <c r="AD1460" t="str" cm="1">
        <f t="array" ref="AD1460">IFERROR(_xlfn.IFS(
    AC1460="", "",
    AC1460*86400 &lt; 30, "1. 0s - &lt;30s",
    AC1460*86400 &lt; 60, "2. 30s - &lt;1m",
    AC1460*86400 &lt; 300, "3. 1m - &lt;5m",
    AC1460*86400 &lt; 1800, "4. 5m - &lt;30m",
    TRUE, "5. &gt;= 30m"
),"6. Invalid (Order rejected)")</f>
        <v>5. &gt;= 30m</v>
      </c>
    </row>
    <row r="1461" spans="1:30" x14ac:dyDescent="0.3">
      <c r="A1461" t="s">
        <v>8465</v>
      </c>
      <c r="B1461" t="s">
        <v>3229</v>
      </c>
      <c r="C1461">
        <v>13373294</v>
      </c>
      <c r="D1461">
        <v>4600281</v>
      </c>
      <c r="E1461" t="s">
        <v>25</v>
      </c>
      <c r="F1461" t="s">
        <v>75</v>
      </c>
      <c r="G1461" t="s">
        <v>360</v>
      </c>
      <c r="H1461" t="s">
        <v>8466</v>
      </c>
      <c r="I1461" t="s">
        <v>8467</v>
      </c>
      <c r="J1461" t="s">
        <v>8468</v>
      </c>
      <c r="K1461" t="s">
        <v>26</v>
      </c>
      <c r="L1461" t="s">
        <v>25</v>
      </c>
      <c r="M1461" t="s">
        <v>25</v>
      </c>
      <c r="N1461" t="s">
        <v>8469</v>
      </c>
      <c r="O1461" t="s">
        <v>8470</v>
      </c>
      <c r="P1461" t="s">
        <v>8471</v>
      </c>
      <c r="Q1461" t="s">
        <v>8472</v>
      </c>
      <c r="R1461">
        <v>516024</v>
      </c>
      <c r="S1461">
        <v>400038</v>
      </c>
      <c r="T1461">
        <v>115986</v>
      </c>
      <c r="U1461" t="s">
        <v>35</v>
      </c>
      <c r="V1461" t="s">
        <v>8473</v>
      </c>
      <c r="W1461" t="s">
        <v>8474</v>
      </c>
      <c r="X1461" s="4">
        <v>1</v>
      </c>
      <c r="Y1461" s="4"/>
      <c r="Z1461">
        <f t="shared" si="88"/>
        <v>8</v>
      </c>
      <c r="AA1461">
        <f t="shared" si="89"/>
        <v>19</v>
      </c>
      <c r="AB1461" s="5">
        <f t="shared" si="90"/>
        <v>0.32748842592263827</v>
      </c>
      <c r="AC1461" s="3" t="str">
        <f t="shared" si="91"/>
        <v>Order rejected, no time available</v>
      </c>
      <c r="AD1461" t="str" cm="1">
        <f t="array" ref="AD1461">IFERROR(_xlfn.IFS(
    AC1461="", "",
    AC1461*86400 &lt; 30, "1. 0s - &lt;30s",
    AC1461*86400 &lt; 60, "2. 30s - &lt;1m",
    AC1461*86400 &lt; 300, "3. 1m - &lt;5m",
    AC1461*86400 &lt; 1800, "4. 5m - &lt;30m",
    TRUE, "5. &gt;= 30m"
),"6. Invalid (Order rejected)")</f>
        <v>6. Invalid (Order rejected)</v>
      </c>
    </row>
    <row r="1462" spans="1:30" hidden="1" x14ac:dyDescent="0.3">
      <c r="A1462" t="s">
        <v>8475</v>
      </c>
      <c r="B1462" t="s">
        <v>3229</v>
      </c>
      <c r="C1462">
        <v>13373294</v>
      </c>
      <c r="D1462">
        <v>0</v>
      </c>
      <c r="E1462" t="s">
        <v>25</v>
      </c>
      <c r="F1462" t="s">
        <v>26</v>
      </c>
      <c r="G1462" t="s">
        <v>27</v>
      </c>
      <c r="H1462" t="s">
        <v>8476</v>
      </c>
      <c r="I1462" t="s">
        <v>8477</v>
      </c>
      <c r="J1462" t="s">
        <v>26</v>
      </c>
      <c r="K1462" t="s">
        <v>26</v>
      </c>
      <c r="L1462" t="s">
        <v>8478</v>
      </c>
      <c r="M1462" t="s">
        <v>25</v>
      </c>
      <c r="N1462" t="s">
        <v>8479</v>
      </c>
      <c r="O1462" t="s">
        <v>8480</v>
      </c>
      <c r="P1462" t="s">
        <v>8481</v>
      </c>
      <c r="Q1462" t="s">
        <v>8482</v>
      </c>
      <c r="R1462">
        <v>253800</v>
      </c>
      <c r="S1462">
        <v>0</v>
      </c>
      <c r="T1462">
        <v>253800</v>
      </c>
      <c r="U1462" t="s">
        <v>35</v>
      </c>
      <c r="V1462" t="s">
        <v>8483</v>
      </c>
      <c r="W1462" t="s">
        <v>8484</v>
      </c>
      <c r="X1462" s="4">
        <v>1</v>
      </c>
      <c r="Y1462" s="4"/>
      <c r="Z1462">
        <f t="shared" si="88"/>
        <v>8</v>
      </c>
      <c r="AA1462">
        <f t="shared" si="89"/>
        <v>19</v>
      </c>
      <c r="AB1462" s="5">
        <f t="shared" si="90"/>
        <v>0.33266203703533392</v>
      </c>
      <c r="AC1462" s="3">
        <f t="shared" si="91"/>
        <v>9.025462963472819E-2</v>
      </c>
      <c r="AD1462" t="str" cm="1">
        <f t="array" ref="AD1462">IFERROR(_xlfn.IFS(
    AC1462="", "",
    AC1462*86400 &lt; 30, "1. 0s - &lt;30s",
    AC1462*86400 &lt; 60, "2. 30s - &lt;1m",
    AC1462*86400 &lt; 300, "3. 1m - &lt;5m",
    AC1462*86400 &lt; 1800, "4. 5m - &lt;30m",
    TRUE, "5. &gt;= 30m"
),"6. Invalid (Order rejected)")</f>
        <v>5. &gt;= 30m</v>
      </c>
    </row>
    <row r="1463" spans="1:30" hidden="1" x14ac:dyDescent="0.3">
      <c r="A1463" t="s">
        <v>8485</v>
      </c>
      <c r="B1463" t="s">
        <v>25</v>
      </c>
      <c r="C1463">
        <v>43729827</v>
      </c>
      <c r="D1463">
        <v>0</v>
      </c>
      <c r="E1463" t="s">
        <v>25</v>
      </c>
      <c r="F1463" t="s">
        <v>26</v>
      </c>
      <c r="G1463" t="s">
        <v>27</v>
      </c>
      <c r="H1463" t="s">
        <v>8486</v>
      </c>
      <c r="I1463" t="s">
        <v>8487</v>
      </c>
      <c r="J1463" t="s">
        <v>26</v>
      </c>
      <c r="K1463" t="s">
        <v>26</v>
      </c>
      <c r="L1463" t="s">
        <v>8488</v>
      </c>
      <c r="M1463" t="s">
        <v>25</v>
      </c>
      <c r="N1463" t="s">
        <v>3803</v>
      </c>
      <c r="O1463" t="s">
        <v>2493</v>
      </c>
      <c r="P1463" t="s">
        <v>8489</v>
      </c>
      <c r="Q1463" t="s">
        <v>8490</v>
      </c>
      <c r="R1463">
        <v>204876</v>
      </c>
      <c r="S1463">
        <v>0</v>
      </c>
      <c r="T1463">
        <v>204876</v>
      </c>
      <c r="U1463" t="s">
        <v>35</v>
      </c>
      <c r="V1463" t="s">
        <v>2494</v>
      </c>
      <c r="W1463" t="s">
        <v>8491</v>
      </c>
      <c r="X1463" s="4">
        <v>1</v>
      </c>
      <c r="Y1463" s="4"/>
      <c r="Z1463">
        <f t="shared" si="88"/>
        <v>8</v>
      </c>
      <c r="AA1463">
        <f t="shared" si="89"/>
        <v>19</v>
      </c>
      <c r="AB1463" s="5">
        <f t="shared" si="90"/>
        <v>0.32906250000087311</v>
      </c>
      <c r="AC1463" s="3">
        <f t="shared" si="91"/>
        <v>9.0277777773735579E-2</v>
      </c>
      <c r="AD1463" t="str" cm="1">
        <f t="array" ref="AD1463">IFERROR(_xlfn.IFS(
    AC1463="", "",
    AC1463*86400 &lt; 30, "1. 0s - &lt;30s",
    AC1463*86400 &lt; 60, "2. 30s - &lt;1m",
    AC1463*86400 &lt; 300, "3. 1m - &lt;5m",
    AC1463*86400 &lt; 1800, "4. 5m - &lt;30m",
    TRUE, "5. &gt;= 30m"
),"6. Invalid (Order rejected)")</f>
        <v>5. &gt;= 30m</v>
      </c>
    </row>
    <row r="1464" spans="1:30" hidden="1" x14ac:dyDescent="0.3">
      <c r="A1464" t="s">
        <v>8492</v>
      </c>
      <c r="B1464" t="s">
        <v>25</v>
      </c>
      <c r="C1464">
        <v>43729827</v>
      </c>
      <c r="D1464">
        <v>2852976</v>
      </c>
      <c r="E1464" t="s">
        <v>25</v>
      </c>
      <c r="F1464" t="s">
        <v>75</v>
      </c>
      <c r="G1464" t="s">
        <v>76</v>
      </c>
      <c r="H1464" t="s">
        <v>8493</v>
      </c>
      <c r="I1464" t="s">
        <v>8494</v>
      </c>
      <c r="J1464" t="s">
        <v>8495</v>
      </c>
      <c r="K1464" t="s">
        <v>26</v>
      </c>
      <c r="L1464" t="s">
        <v>8496</v>
      </c>
      <c r="M1464" t="s">
        <v>25</v>
      </c>
      <c r="N1464" t="s">
        <v>3803</v>
      </c>
      <c r="O1464" t="s">
        <v>2493</v>
      </c>
      <c r="P1464" t="s">
        <v>3909</v>
      </c>
      <c r="Q1464" t="s">
        <v>3910</v>
      </c>
      <c r="R1464">
        <v>170856</v>
      </c>
      <c r="S1464">
        <v>140244</v>
      </c>
      <c r="T1464">
        <v>30612</v>
      </c>
      <c r="U1464" t="s">
        <v>35</v>
      </c>
      <c r="V1464" t="s">
        <v>2494</v>
      </c>
      <c r="W1464" t="s">
        <v>3911</v>
      </c>
      <c r="X1464" s="4">
        <v>1</v>
      </c>
      <c r="Y1464" s="4"/>
      <c r="Z1464">
        <f t="shared" si="88"/>
        <v>8</v>
      </c>
      <c r="AA1464">
        <f t="shared" si="89"/>
        <v>19</v>
      </c>
      <c r="AB1464" s="5">
        <f t="shared" si="90"/>
        <v>0.32956018518598285</v>
      </c>
      <c r="AC1464" s="3">
        <f t="shared" si="91"/>
        <v>3.6805555573664606E-3</v>
      </c>
      <c r="AD1464" t="str" cm="1">
        <f t="array" ref="AD1464">IFERROR(_xlfn.IFS(
    AC1464="", "",
    AC1464*86400 &lt; 30, "1. 0s - &lt;30s",
    AC1464*86400 &lt; 60, "2. 30s - &lt;1m",
    AC1464*86400 &lt; 300, "3. 1m - &lt;5m",
    AC1464*86400 &lt; 1800, "4. 5m - &lt;30m",
    TRUE, "5. &gt;= 30m"
),"6. Invalid (Order rejected)")</f>
        <v>4. 5m - &lt;30m</v>
      </c>
    </row>
    <row r="1465" spans="1:30" hidden="1" x14ac:dyDescent="0.3">
      <c r="A1465" t="s">
        <v>8497</v>
      </c>
      <c r="B1465" t="s">
        <v>25</v>
      </c>
      <c r="C1465">
        <v>43729827</v>
      </c>
      <c r="D1465">
        <v>0</v>
      </c>
      <c r="E1465" t="s">
        <v>25</v>
      </c>
      <c r="F1465" t="s">
        <v>26</v>
      </c>
      <c r="G1465" t="s">
        <v>27</v>
      </c>
      <c r="H1465" t="s">
        <v>8498</v>
      </c>
      <c r="I1465" t="s">
        <v>8499</v>
      </c>
      <c r="J1465" t="s">
        <v>26</v>
      </c>
      <c r="K1465" t="s">
        <v>26</v>
      </c>
      <c r="L1465" t="s">
        <v>8500</v>
      </c>
      <c r="M1465" t="s">
        <v>25</v>
      </c>
      <c r="N1465" t="s">
        <v>3765</v>
      </c>
      <c r="O1465" t="s">
        <v>3766</v>
      </c>
      <c r="P1465" t="s">
        <v>8489</v>
      </c>
      <c r="Q1465" t="s">
        <v>8490</v>
      </c>
      <c r="R1465">
        <v>208548</v>
      </c>
      <c r="S1465">
        <v>0</v>
      </c>
      <c r="T1465">
        <v>208548</v>
      </c>
      <c r="U1465" t="s">
        <v>35</v>
      </c>
      <c r="V1465" t="s">
        <v>3769</v>
      </c>
      <c r="W1465" t="s">
        <v>8491</v>
      </c>
      <c r="X1465" s="4">
        <v>1</v>
      </c>
      <c r="Y1465" s="4"/>
      <c r="Z1465">
        <f t="shared" si="88"/>
        <v>8</v>
      </c>
      <c r="AA1465">
        <f t="shared" si="89"/>
        <v>19</v>
      </c>
      <c r="AB1465" s="5">
        <f t="shared" si="90"/>
        <v>0.33214120370394085</v>
      </c>
      <c r="AC1465" s="3">
        <f t="shared" si="91"/>
        <v>9.0277777781011537E-2</v>
      </c>
      <c r="AD1465" t="str" cm="1">
        <f t="array" ref="AD1465">IFERROR(_xlfn.IFS(
    AC1465="", "",
    AC1465*86400 &lt; 30, "1. 0s - &lt;30s",
    AC1465*86400 &lt; 60, "2. 30s - &lt;1m",
    AC1465*86400 &lt; 300, "3. 1m - &lt;5m",
    AC1465*86400 &lt; 1800, "4. 5m - &lt;30m",
    TRUE, "5. &gt;= 30m"
),"6. Invalid (Order rejected)")</f>
        <v>5. &gt;= 30m</v>
      </c>
    </row>
    <row r="1466" spans="1:30" hidden="1" x14ac:dyDescent="0.3">
      <c r="A1466" t="s">
        <v>8501</v>
      </c>
      <c r="B1466" t="s">
        <v>3229</v>
      </c>
      <c r="C1466">
        <v>13373294</v>
      </c>
      <c r="D1466">
        <v>4411069</v>
      </c>
      <c r="E1466" t="s">
        <v>25</v>
      </c>
      <c r="F1466" t="s">
        <v>75</v>
      </c>
      <c r="G1466" t="s">
        <v>76</v>
      </c>
      <c r="H1466" t="s">
        <v>8502</v>
      </c>
      <c r="I1466" t="s">
        <v>8503</v>
      </c>
      <c r="J1466" t="s">
        <v>8504</v>
      </c>
      <c r="K1466" t="s">
        <v>26</v>
      </c>
      <c r="L1466" t="s">
        <v>8505</v>
      </c>
      <c r="M1466" t="s">
        <v>25</v>
      </c>
      <c r="N1466" t="s">
        <v>4269</v>
      </c>
      <c r="O1466" t="s">
        <v>4270</v>
      </c>
      <c r="P1466" t="s">
        <v>8506</v>
      </c>
      <c r="Q1466" t="s">
        <v>8507</v>
      </c>
      <c r="R1466">
        <v>319680</v>
      </c>
      <c r="S1466">
        <v>247826</v>
      </c>
      <c r="T1466">
        <v>71854</v>
      </c>
      <c r="U1466" t="s">
        <v>35</v>
      </c>
      <c r="V1466" t="s">
        <v>4273</v>
      </c>
      <c r="W1466" t="s">
        <v>8508</v>
      </c>
      <c r="X1466" s="4">
        <v>1</v>
      </c>
      <c r="Y1466" s="4"/>
      <c r="Z1466">
        <f t="shared" si="88"/>
        <v>8</v>
      </c>
      <c r="AA1466">
        <f t="shared" si="89"/>
        <v>19</v>
      </c>
      <c r="AB1466" s="5">
        <f t="shared" si="90"/>
        <v>0.32796296296146465</v>
      </c>
      <c r="AC1466" s="3">
        <f t="shared" si="91"/>
        <v>8.217592621804215E-4</v>
      </c>
      <c r="AD1466" t="str" cm="1">
        <f t="array" ref="AD1466">IFERROR(_xlfn.IFS(
    AC1466="", "",
    AC1466*86400 &lt; 30, "1. 0s - &lt;30s",
    AC1466*86400 &lt; 60, "2. 30s - &lt;1m",
    AC1466*86400 &lt; 300, "3. 1m - &lt;5m",
    AC1466*86400 &lt; 1800, "4. 5m - &lt;30m",
    TRUE, "5. &gt;= 30m"
),"6. Invalid (Order rejected)")</f>
        <v>3. 1m - &lt;5m</v>
      </c>
    </row>
    <row r="1467" spans="1:30" hidden="1" x14ac:dyDescent="0.3">
      <c r="A1467" t="s">
        <v>8509</v>
      </c>
      <c r="B1467" t="s">
        <v>25</v>
      </c>
      <c r="C1467">
        <v>43729827</v>
      </c>
      <c r="D1467">
        <v>0</v>
      </c>
      <c r="E1467" t="s">
        <v>25</v>
      </c>
      <c r="F1467" t="s">
        <v>26</v>
      </c>
      <c r="G1467" t="s">
        <v>27</v>
      </c>
      <c r="H1467" t="s">
        <v>8510</v>
      </c>
      <c r="I1467" t="s">
        <v>8511</v>
      </c>
      <c r="J1467" t="s">
        <v>26</v>
      </c>
      <c r="K1467" t="s">
        <v>26</v>
      </c>
      <c r="L1467" t="s">
        <v>8512</v>
      </c>
      <c r="M1467" t="s">
        <v>25</v>
      </c>
      <c r="N1467" t="s">
        <v>3803</v>
      </c>
      <c r="O1467" t="s">
        <v>2493</v>
      </c>
      <c r="P1467" t="s">
        <v>4357</v>
      </c>
      <c r="Q1467" t="s">
        <v>4358</v>
      </c>
      <c r="R1467">
        <v>146772</v>
      </c>
      <c r="S1467">
        <v>0</v>
      </c>
      <c r="T1467">
        <v>146772</v>
      </c>
      <c r="U1467" t="s">
        <v>35</v>
      </c>
      <c r="V1467" t="s">
        <v>2494</v>
      </c>
      <c r="W1467" t="s">
        <v>4359</v>
      </c>
      <c r="X1467" s="4">
        <v>1</v>
      </c>
      <c r="Y1467" s="4"/>
      <c r="Z1467">
        <f t="shared" si="88"/>
        <v>8</v>
      </c>
      <c r="AA1467">
        <f t="shared" si="89"/>
        <v>19</v>
      </c>
      <c r="AB1467" s="5">
        <f t="shared" si="90"/>
        <v>0.32980324074014788</v>
      </c>
      <c r="AC1467" s="3">
        <f t="shared" si="91"/>
        <v>9.0266203704231884E-2</v>
      </c>
      <c r="AD1467" t="str" cm="1">
        <f t="array" ref="AD1467">IFERROR(_xlfn.IFS(
    AC1467="", "",
    AC1467*86400 &lt; 30, "1. 0s - &lt;30s",
    AC1467*86400 &lt; 60, "2. 30s - &lt;1m",
    AC1467*86400 &lt; 300, "3. 1m - &lt;5m",
    AC1467*86400 &lt; 1800, "4. 5m - &lt;30m",
    TRUE, "5. &gt;= 30m"
),"6. Invalid (Order rejected)")</f>
        <v>5. &gt;= 30m</v>
      </c>
    </row>
    <row r="1468" spans="1:30" hidden="1" x14ac:dyDescent="0.3">
      <c r="A1468" t="s">
        <v>8513</v>
      </c>
      <c r="B1468" t="s">
        <v>25</v>
      </c>
      <c r="C1468">
        <v>43729827</v>
      </c>
      <c r="D1468">
        <v>0</v>
      </c>
      <c r="E1468" t="s">
        <v>25</v>
      </c>
      <c r="F1468" t="s">
        <v>26</v>
      </c>
      <c r="G1468" t="s">
        <v>27</v>
      </c>
      <c r="H1468" t="s">
        <v>8514</v>
      </c>
      <c r="I1468" t="s">
        <v>8515</v>
      </c>
      <c r="J1468" t="s">
        <v>26</v>
      </c>
      <c r="K1468" t="s">
        <v>26</v>
      </c>
      <c r="L1468" t="s">
        <v>8516</v>
      </c>
      <c r="M1468" t="s">
        <v>25</v>
      </c>
      <c r="N1468" t="s">
        <v>3803</v>
      </c>
      <c r="O1468" t="s">
        <v>2493</v>
      </c>
      <c r="P1468" t="s">
        <v>3962</v>
      </c>
      <c r="Q1468" t="s">
        <v>3963</v>
      </c>
      <c r="R1468">
        <v>141264</v>
      </c>
      <c r="S1468">
        <v>0</v>
      </c>
      <c r="T1468">
        <v>141264</v>
      </c>
      <c r="U1468" t="s">
        <v>35</v>
      </c>
      <c r="V1468" t="s">
        <v>2494</v>
      </c>
      <c r="W1468" t="s">
        <v>3964</v>
      </c>
      <c r="X1468" s="4">
        <v>1</v>
      </c>
      <c r="Y1468" s="4"/>
      <c r="Z1468">
        <f t="shared" si="88"/>
        <v>8</v>
      </c>
      <c r="AA1468">
        <f t="shared" si="89"/>
        <v>19</v>
      </c>
      <c r="AB1468" s="5">
        <f t="shared" si="90"/>
        <v>0.33129629629547708</v>
      </c>
      <c r="AC1468" s="3">
        <f t="shared" si="91"/>
        <v>9.0277777781011537E-2</v>
      </c>
      <c r="AD1468" t="str" cm="1">
        <f t="array" ref="AD1468">IFERROR(_xlfn.IFS(
    AC1468="", "",
    AC1468*86400 &lt; 30, "1. 0s - &lt;30s",
    AC1468*86400 &lt; 60, "2. 30s - &lt;1m",
    AC1468*86400 &lt; 300, "3. 1m - &lt;5m",
    AC1468*86400 &lt; 1800, "4. 5m - &lt;30m",
    TRUE, "5. &gt;= 30m"
),"6. Invalid (Order rejected)")</f>
        <v>5. &gt;= 30m</v>
      </c>
    </row>
    <row r="1469" spans="1:30" hidden="1" x14ac:dyDescent="0.3">
      <c r="A1469" t="s">
        <v>8517</v>
      </c>
      <c r="B1469" t="s">
        <v>25</v>
      </c>
      <c r="C1469">
        <v>43729827</v>
      </c>
      <c r="D1469">
        <v>0</v>
      </c>
      <c r="E1469" t="s">
        <v>25</v>
      </c>
      <c r="F1469" t="s">
        <v>26</v>
      </c>
      <c r="G1469" t="s">
        <v>27</v>
      </c>
      <c r="H1469" t="s">
        <v>8518</v>
      </c>
      <c r="I1469" t="s">
        <v>8519</v>
      </c>
      <c r="J1469" t="s">
        <v>26</v>
      </c>
      <c r="K1469" t="s">
        <v>26</v>
      </c>
      <c r="L1469" t="s">
        <v>8520</v>
      </c>
      <c r="M1469" t="s">
        <v>25</v>
      </c>
      <c r="N1469" t="s">
        <v>3765</v>
      </c>
      <c r="O1469" t="s">
        <v>3766</v>
      </c>
      <c r="P1469" t="s">
        <v>4357</v>
      </c>
      <c r="Q1469" t="s">
        <v>4358</v>
      </c>
      <c r="R1469">
        <v>151632</v>
      </c>
      <c r="S1469">
        <v>0</v>
      </c>
      <c r="T1469">
        <v>151632</v>
      </c>
      <c r="U1469" t="s">
        <v>35</v>
      </c>
      <c r="V1469" t="s">
        <v>3769</v>
      </c>
      <c r="W1469" t="s">
        <v>4359</v>
      </c>
      <c r="X1469" s="4">
        <v>1</v>
      </c>
      <c r="Y1469" s="4"/>
      <c r="Z1469">
        <f t="shared" si="88"/>
        <v>8</v>
      </c>
      <c r="AA1469">
        <f t="shared" si="89"/>
        <v>19</v>
      </c>
      <c r="AB1469" s="5">
        <f t="shared" si="90"/>
        <v>0.33262731481227092</v>
      </c>
      <c r="AC1469" s="3">
        <f t="shared" si="91"/>
        <v>9.0266203704231884E-2</v>
      </c>
      <c r="AD1469" t="str" cm="1">
        <f t="array" ref="AD1469">IFERROR(_xlfn.IFS(
    AC1469="", "",
    AC1469*86400 &lt; 30, "1. 0s - &lt;30s",
    AC1469*86400 &lt; 60, "2. 30s - &lt;1m",
    AC1469*86400 &lt; 300, "3. 1m - &lt;5m",
    AC1469*86400 &lt; 1800, "4. 5m - &lt;30m",
    TRUE, "5. &gt;= 30m"
),"6. Invalid (Order rejected)")</f>
        <v>5. &gt;= 30m</v>
      </c>
    </row>
    <row r="1470" spans="1:30" hidden="1" x14ac:dyDescent="0.3">
      <c r="A1470" t="s">
        <v>8521</v>
      </c>
      <c r="B1470" t="s">
        <v>25</v>
      </c>
      <c r="C1470">
        <v>43729827</v>
      </c>
      <c r="D1470">
        <v>0</v>
      </c>
      <c r="E1470" t="s">
        <v>25</v>
      </c>
      <c r="F1470" t="s">
        <v>26</v>
      </c>
      <c r="G1470" t="s">
        <v>27</v>
      </c>
      <c r="H1470" t="s">
        <v>8522</v>
      </c>
      <c r="I1470" t="s">
        <v>8523</v>
      </c>
      <c r="J1470" t="s">
        <v>26</v>
      </c>
      <c r="K1470" t="s">
        <v>26</v>
      </c>
      <c r="L1470" t="s">
        <v>8524</v>
      </c>
      <c r="M1470" t="s">
        <v>25</v>
      </c>
      <c r="N1470" t="s">
        <v>4301</v>
      </c>
      <c r="O1470" t="s">
        <v>4302</v>
      </c>
      <c r="P1470" t="s">
        <v>8489</v>
      </c>
      <c r="Q1470" t="s">
        <v>8490</v>
      </c>
      <c r="R1470">
        <v>211896</v>
      </c>
      <c r="S1470">
        <v>0</v>
      </c>
      <c r="T1470">
        <v>211896</v>
      </c>
      <c r="U1470" t="s">
        <v>35</v>
      </c>
      <c r="V1470" t="s">
        <v>4303</v>
      </c>
      <c r="W1470" t="s">
        <v>8491</v>
      </c>
      <c r="X1470" s="4">
        <v>1</v>
      </c>
      <c r="Y1470" s="4"/>
      <c r="Z1470">
        <f t="shared" si="88"/>
        <v>8</v>
      </c>
      <c r="AA1470">
        <f t="shared" si="89"/>
        <v>19</v>
      </c>
      <c r="AB1470" s="5">
        <f t="shared" si="90"/>
        <v>0.33435185185226146</v>
      </c>
      <c r="AC1470" s="3">
        <f t="shared" si="91"/>
        <v>9.0266203704231884E-2</v>
      </c>
      <c r="AD1470" t="str" cm="1">
        <f t="array" ref="AD1470">IFERROR(_xlfn.IFS(
    AC1470="", "",
    AC1470*86400 &lt; 30, "1. 0s - &lt;30s",
    AC1470*86400 &lt; 60, "2. 30s - &lt;1m",
    AC1470*86400 &lt; 300, "3. 1m - &lt;5m",
    AC1470*86400 &lt; 1800, "4. 5m - &lt;30m",
    TRUE, "5. &gt;= 30m"
),"6. Invalid (Order rejected)")</f>
        <v>5. &gt;= 30m</v>
      </c>
    </row>
    <row r="1471" spans="1:30" hidden="1" x14ac:dyDescent="0.3">
      <c r="A1471" t="s">
        <v>8525</v>
      </c>
      <c r="B1471" t="s">
        <v>25</v>
      </c>
      <c r="C1471">
        <v>43729827</v>
      </c>
      <c r="D1471">
        <v>0</v>
      </c>
      <c r="E1471" t="s">
        <v>25</v>
      </c>
      <c r="F1471" t="s">
        <v>26</v>
      </c>
      <c r="G1471" t="s">
        <v>27</v>
      </c>
      <c r="H1471" t="s">
        <v>8526</v>
      </c>
      <c r="I1471" t="s">
        <v>8527</v>
      </c>
      <c r="J1471" t="s">
        <v>26</v>
      </c>
      <c r="K1471" t="s">
        <v>26</v>
      </c>
      <c r="L1471" t="s">
        <v>8528</v>
      </c>
      <c r="M1471" t="s">
        <v>25</v>
      </c>
      <c r="N1471" t="s">
        <v>4301</v>
      </c>
      <c r="O1471" t="s">
        <v>4302</v>
      </c>
      <c r="P1471" t="s">
        <v>3176</v>
      </c>
      <c r="Q1471" t="s">
        <v>3177</v>
      </c>
      <c r="R1471">
        <v>178416</v>
      </c>
      <c r="S1471">
        <v>0</v>
      </c>
      <c r="T1471">
        <v>178416</v>
      </c>
      <c r="U1471" t="s">
        <v>35</v>
      </c>
      <c r="V1471" t="s">
        <v>4303</v>
      </c>
      <c r="W1471" t="s">
        <v>3178</v>
      </c>
      <c r="X1471" s="4">
        <v>1</v>
      </c>
      <c r="Y1471" s="4"/>
      <c r="Z1471">
        <f t="shared" si="88"/>
        <v>8</v>
      </c>
      <c r="AA1471">
        <f t="shared" si="89"/>
        <v>19</v>
      </c>
      <c r="AB1471" s="5">
        <f t="shared" si="90"/>
        <v>0.33450231481401715</v>
      </c>
      <c r="AC1471" s="3">
        <f t="shared" si="91"/>
        <v>9.0266203704231884E-2</v>
      </c>
      <c r="AD1471" t="str" cm="1">
        <f t="array" ref="AD1471">IFERROR(_xlfn.IFS(
    AC1471="", "",
    AC1471*86400 &lt; 30, "1. 0s - &lt;30s",
    AC1471*86400 &lt; 60, "2. 30s - &lt;1m",
    AC1471*86400 &lt; 300, "3. 1m - &lt;5m",
    AC1471*86400 &lt; 1800, "4. 5m - &lt;30m",
    TRUE, "5. &gt;= 30m"
),"6. Invalid (Order rejected)")</f>
        <v>5. &gt;= 30m</v>
      </c>
    </row>
    <row r="1472" spans="1:30" hidden="1" x14ac:dyDescent="0.3">
      <c r="A1472" t="s">
        <v>8529</v>
      </c>
      <c r="B1472" t="s">
        <v>25</v>
      </c>
      <c r="C1472">
        <v>43729827</v>
      </c>
      <c r="D1472">
        <v>0</v>
      </c>
      <c r="E1472" t="s">
        <v>25</v>
      </c>
      <c r="F1472" t="s">
        <v>26</v>
      </c>
      <c r="G1472" t="s">
        <v>27</v>
      </c>
      <c r="H1472" t="s">
        <v>8530</v>
      </c>
      <c r="I1472" t="s">
        <v>8531</v>
      </c>
      <c r="J1472" t="s">
        <v>26</v>
      </c>
      <c r="K1472" t="s">
        <v>26</v>
      </c>
      <c r="L1472" t="s">
        <v>8532</v>
      </c>
      <c r="M1472" t="s">
        <v>25</v>
      </c>
      <c r="N1472" t="s">
        <v>3765</v>
      </c>
      <c r="O1472" t="s">
        <v>3766</v>
      </c>
      <c r="P1472" t="s">
        <v>4235</v>
      </c>
      <c r="Q1472" t="s">
        <v>4236</v>
      </c>
      <c r="R1472">
        <v>136188</v>
      </c>
      <c r="S1472">
        <v>0</v>
      </c>
      <c r="T1472">
        <v>136188</v>
      </c>
      <c r="U1472" t="s">
        <v>35</v>
      </c>
      <c r="V1472" t="s">
        <v>3769</v>
      </c>
      <c r="W1472" t="s">
        <v>4237</v>
      </c>
      <c r="X1472" s="4">
        <v>1</v>
      </c>
      <c r="Y1472" s="4"/>
      <c r="Z1472">
        <f t="shared" si="88"/>
        <v>8</v>
      </c>
      <c r="AA1472">
        <f t="shared" si="89"/>
        <v>19</v>
      </c>
      <c r="AB1472" s="5">
        <f t="shared" si="90"/>
        <v>0.33277777778130258</v>
      </c>
      <c r="AC1472" s="3">
        <f t="shared" si="91"/>
        <v>9.0266203696955927E-2</v>
      </c>
      <c r="AD1472" t="str" cm="1">
        <f t="array" ref="AD1472">IFERROR(_xlfn.IFS(
    AC1472="", "",
    AC1472*86400 &lt; 30, "1. 0s - &lt;30s",
    AC1472*86400 &lt; 60, "2. 30s - &lt;1m",
    AC1472*86400 &lt; 300, "3. 1m - &lt;5m",
    AC1472*86400 &lt; 1800, "4. 5m - &lt;30m",
    TRUE, "5. &gt;= 30m"
),"6. Invalid (Order rejected)")</f>
        <v>5. &gt;= 30m</v>
      </c>
    </row>
    <row r="1473" spans="1:30" hidden="1" x14ac:dyDescent="0.3">
      <c r="A1473" t="s">
        <v>8533</v>
      </c>
      <c r="B1473" t="s">
        <v>25</v>
      </c>
      <c r="C1473">
        <v>43729827</v>
      </c>
      <c r="D1473">
        <v>0</v>
      </c>
      <c r="E1473" t="s">
        <v>25</v>
      </c>
      <c r="F1473" t="s">
        <v>26</v>
      </c>
      <c r="G1473" t="s">
        <v>27</v>
      </c>
      <c r="H1473" t="s">
        <v>8534</v>
      </c>
      <c r="I1473" t="s">
        <v>8535</v>
      </c>
      <c r="J1473" t="s">
        <v>26</v>
      </c>
      <c r="K1473" t="s">
        <v>26</v>
      </c>
      <c r="L1473" t="s">
        <v>8536</v>
      </c>
      <c r="M1473" t="s">
        <v>25</v>
      </c>
      <c r="N1473" t="s">
        <v>3765</v>
      </c>
      <c r="O1473" t="s">
        <v>3766</v>
      </c>
      <c r="P1473" t="s">
        <v>3962</v>
      </c>
      <c r="Q1473" t="s">
        <v>3963</v>
      </c>
      <c r="R1473">
        <v>160056</v>
      </c>
      <c r="S1473">
        <v>0</v>
      </c>
      <c r="T1473">
        <v>160056</v>
      </c>
      <c r="U1473" t="s">
        <v>35</v>
      </c>
      <c r="V1473" t="s">
        <v>3769</v>
      </c>
      <c r="W1473" t="s">
        <v>3964</v>
      </c>
      <c r="X1473" s="4">
        <v>1</v>
      </c>
      <c r="Y1473" s="4"/>
      <c r="Z1473">
        <f t="shared" si="88"/>
        <v>8</v>
      </c>
      <c r="AA1473">
        <f t="shared" si="89"/>
        <v>19</v>
      </c>
      <c r="AB1473" s="5">
        <f t="shared" si="90"/>
        <v>0.33351851852057735</v>
      </c>
      <c r="AC1473" s="3">
        <f t="shared" si="91"/>
        <v>9.0277777773735579E-2</v>
      </c>
      <c r="AD1473" t="str" cm="1">
        <f t="array" ref="AD1473">IFERROR(_xlfn.IFS(
    AC1473="", "",
    AC1473*86400 &lt; 30, "1. 0s - &lt;30s",
    AC1473*86400 &lt; 60, "2. 30s - &lt;1m",
    AC1473*86400 &lt; 300, "3. 1m - &lt;5m",
    AC1473*86400 &lt; 1800, "4. 5m - &lt;30m",
    TRUE, "5. &gt;= 30m"
),"6. Invalid (Order rejected)")</f>
        <v>5. &gt;= 30m</v>
      </c>
    </row>
    <row r="1474" spans="1:30" hidden="1" x14ac:dyDescent="0.3">
      <c r="A1474" t="s">
        <v>8537</v>
      </c>
      <c r="B1474" t="s">
        <v>3229</v>
      </c>
      <c r="C1474">
        <v>13373294</v>
      </c>
      <c r="D1474">
        <v>0</v>
      </c>
      <c r="E1474" t="s">
        <v>25</v>
      </c>
      <c r="F1474" t="s">
        <v>26</v>
      </c>
      <c r="G1474" t="s">
        <v>27</v>
      </c>
      <c r="H1474" t="s">
        <v>8538</v>
      </c>
      <c r="I1474" t="s">
        <v>8539</v>
      </c>
      <c r="J1474" t="s">
        <v>26</v>
      </c>
      <c r="K1474" t="s">
        <v>26</v>
      </c>
      <c r="L1474" t="s">
        <v>8540</v>
      </c>
      <c r="M1474" t="s">
        <v>25</v>
      </c>
      <c r="N1474" t="s">
        <v>8541</v>
      </c>
      <c r="O1474" t="s">
        <v>8542</v>
      </c>
      <c r="P1474" t="s">
        <v>8543</v>
      </c>
      <c r="Q1474" t="s">
        <v>8544</v>
      </c>
      <c r="R1474">
        <v>274212</v>
      </c>
      <c r="S1474">
        <v>0</v>
      </c>
      <c r="T1474">
        <v>274212</v>
      </c>
      <c r="U1474" t="s">
        <v>35</v>
      </c>
      <c r="V1474" t="s">
        <v>8545</v>
      </c>
      <c r="W1474" t="s">
        <v>8546</v>
      </c>
      <c r="X1474" s="4">
        <v>1</v>
      </c>
      <c r="Y1474" s="4"/>
      <c r="Z1474">
        <f t="shared" si="88"/>
        <v>8</v>
      </c>
      <c r="AA1474">
        <f t="shared" si="89"/>
        <v>19</v>
      </c>
      <c r="AB1474" s="5">
        <f t="shared" si="90"/>
        <v>0.33150462962657912</v>
      </c>
      <c r="AC1474" s="3">
        <f t="shared" si="91"/>
        <v>0.11672453703795327</v>
      </c>
      <c r="AD1474" t="str" cm="1">
        <f t="array" ref="AD1474">IFERROR(_xlfn.IFS(
    AC1474="", "",
    AC1474*86400 &lt; 30, "1. 0s - &lt;30s",
    AC1474*86400 &lt; 60, "2. 30s - &lt;1m",
    AC1474*86400 &lt; 300, "3. 1m - &lt;5m",
    AC1474*86400 &lt; 1800, "4. 5m - &lt;30m",
    TRUE, "5. &gt;= 30m"
),"6. Invalid (Order rejected)")</f>
        <v>5. &gt;= 30m</v>
      </c>
    </row>
    <row r="1475" spans="1:30" hidden="1" x14ac:dyDescent="0.3">
      <c r="A1475" t="s">
        <v>8547</v>
      </c>
      <c r="B1475" t="s">
        <v>25</v>
      </c>
      <c r="C1475">
        <v>43729827</v>
      </c>
      <c r="D1475">
        <v>0</v>
      </c>
      <c r="E1475" t="s">
        <v>25</v>
      </c>
      <c r="F1475" t="s">
        <v>26</v>
      </c>
      <c r="G1475" t="s">
        <v>27</v>
      </c>
      <c r="H1475" t="s">
        <v>8548</v>
      </c>
      <c r="I1475" t="s">
        <v>8549</v>
      </c>
      <c r="J1475" t="s">
        <v>26</v>
      </c>
      <c r="K1475" t="s">
        <v>26</v>
      </c>
      <c r="L1475" t="s">
        <v>8550</v>
      </c>
      <c r="M1475" t="s">
        <v>25</v>
      </c>
      <c r="N1475" t="s">
        <v>3765</v>
      </c>
      <c r="O1475" t="s">
        <v>3766</v>
      </c>
      <c r="P1475" t="s">
        <v>3909</v>
      </c>
      <c r="Q1475" t="s">
        <v>3910</v>
      </c>
      <c r="R1475">
        <v>175932</v>
      </c>
      <c r="S1475">
        <v>0</v>
      </c>
      <c r="T1475">
        <v>175932</v>
      </c>
      <c r="U1475" t="s">
        <v>35</v>
      </c>
      <c r="V1475" t="s">
        <v>3769</v>
      </c>
      <c r="W1475" t="s">
        <v>3911</v>
      </c>
      <c r="X1475" s="4">
        <v>1</v>
      </c>
      <c r="Y1475" s="4"/>
      <c r="Z1475">
        <f t="shared" ref="Z1475:Z1538" si="92">MONTH(H1475)</f>
        <v>8</v>
      </c>
      <c r="AA1475">
        <f t="shared" ref="AA1475:AA1538" si="93">DAY(H1475)</f>
        <v>19</v>
      </c>
      <c r="AB1475" s="5">
        <f t="shared" ref="AB1475:AB1538" si="94">MOD(H1475, 1)</f>
        <v>0.33244212962745223</v>
      </c>
      <c r="AC1475" s="3">
        <f t="shared" ref="AC1475:AC1538" si="95">IFERROR(IF(M1475="",L1475-H1475,M1475-H1475),"Order rejected, no time available")</f>
        <v>9.0266203704231884E-2</v>
      </c>
      <c r="AD1475" t="str" cm="1">
        <f t="array" ref="AD1475">IFERROR(_xlfn.IFS(
    AC1475="", "",
    AC1475*86400 &lt; 30, "1. 0s - &lt;30s",
    AC1475*86400 &lt; 60, "2. 30s - &lt;1m",
    AC1475*86400 &lt; 300, "3. 1m - &lt;5m",
    AC1475*86400 &lt; 1800, "4. 5m - &lt;30m",
    TRUE, "5. &gt;= 30m"
),"6. Invalid (Order rejected)")</f>
        <v>5. &gt;= 30m</v>
      </c>
    </row>
    <row r="1476" spans="1:30" hidden="1" x14ac:dyDescent="0.3">
      <c r="A1476" t="s">
        <v>8551</v>
      </c>
      <c r="B1476" t="s">
        <v>25</v>
      </c>
      <c r="C1476">
        <v>43729827</v>
      </c>
      <c r="D1476">
        <v>0</v>
      </c>
      <c r="E1476" t="s">
        <v>25</v>
      </c>
      <c r="F1476" t="s">
        <v>26</v>
      </c>
      <c r="G1476" t="s">
        <v>27</v>
      </c>
      <c r="H1476" t="s">
        <v>8552</v>
      </c>
      <c r="I1476" t="s">
        <v>8553</v>
      </c>
      <c r="J1476" t="s">
        <v>26</v>
      </c>
      <c r="K1476" t="s">
        <v>26</v>
      </c>
      <c r="L1476" t="s">
        <v>8554</v>
      </c>
      <c r="M1476" t="s">
        <v>25</v>
      </c>
      <c r="N1476" t="s">
        <v>3765</v>
      </c>
      <c r="O1476" t="s">
        <v>3766</v>
      </c>
      <c r="P1476" t="s">
        <v>3198</v>
      </c>
      <c r="Q1476" t="s">
        <v>3199</v>
      </c>
      <c r="R1476">
        <v>167076</v>
      </c>
      <c r="S1476">
        <v>0</v>
      </c>
      <c r="T1476">
        <v>167076</v>
      </c>
      <c r="U1476" t="s">
        <v>35</v>
      </c>
      <c r="V1476" t="s">
        <v>3769</v>
      </c>
      <c r="W1476" t="s">
        <v>3200</v>
      </c>
      <c r="X1476" s="4">
        <v>1</v>
      </c>
      <c r="Y1476" s="4"/>
      <c r="Z1476">
        <f t="shared" si="92"/>
        <v>8</v>
      </c>
      <c r="AA1476">
        <f t="shared" si="93"/>
        <v>19</v>
      </c>
      <c r="AB1476" s="5">
        <f t="shared" si="94"/>
        <v>0.33337962962832535</v>
      </c>
      <c r="AC1476" s="3">
        <f t="shared" si="95"/>
        <v>9.0277777781011537E-2</v>
      </c>
      <c r="AD1476" t="str" cm="1">
        <f t="array" ref="AD1476">IFERROR(_xlfn.IFS(
    AC1476="", "",
    AC1476*86400 &lt; 30, "1. 0s - &lt;30s",
    AC1476*86400 &lt; 60, "2. 30s - &lt;1m",
    AC1476*86400 &lt; 300, "3. 1m - &lt;5m",
    AC1476*86400 &lt; 1800, "4. 5m - &lt;30m",
    TRUE, "5. &gt;= 30m"
),"6. Invalid (Order rejected)")</f>
        <v>5. &gt;= 30m</v>
      </c>
    </row>
    <row r="1477" spans="1:30" hidden="1" x14ac:dyDescent="0.3">
      <c r="A1477" t="s">
        <v>8555</v>
      </c>
      <c r="B1477" t="s">
        <v>25</v>
      </c>
      <c r="C1477">
        <v>43729827</v>
      </c>
      <c r="D1477">
        <v>0</v>
      </c>
      <c r="E1477" t="s">
        <v>25</v>
      </c>
      <c r="F1477" t="s">
        <v>26</v>
      </c>
      <c r="G1477" t="s">
        <v>27</v>
      </c>
      <c r="H1477" t="s">
        <v>8556</v>
      </c>
      <c r="I1477" t="s">
        <v>8557</v>
      </c>
      <c r="J1477" t="s">
        <v>26</v>
      </c>
      <c r="K1477" t="s">
        <v>26</v>
      </c>
      <c r="L1477" t="s">
        <v>8558</v>
      </c>
      <c r="M1477" t="s">
        <v>25</v>
      </c>
      <c r="N1477" t="s">
        <v>4301</v>
      </c>
      <c r="O1477" t="s">
        <v>4302</v>
      </c>
      <c r="P1477" t="s">
        <v>3144</v>
      </c>
      <c r="Q1477" t="s">
        <v>3145</v>
      </c>
      <c r="R1477">
        <v>236628</v>
      </c>
      <c r="S1477">
        <v>0</v>
      </c>
      <c r="T1477">
        <v>236628</v>
      </c>
      <c r="U1477" t="s">
        <v>35</v>
      </c>
      <c r="V1477" t="s">
        <v>4303</v>
      </c>
      <c r="W1477" t="s">
        <v>3146</v>
      </c>
      <c r="X1477" s="4">
        <v>1</v>
      </c>
      <c r="Y1477" s="4"/>
      <c r="Z1477">
        <f t="shared" si="92"/>
        <v>8</v>
      </c>
      <c r="AA1477">
        <f t="shared" si="93"/>
        <v>19</v>
      </c>
      <c r="AB1477" s="5">
        <f t="shared" si="94"/>
        <v>0.33574074073840166</v>
      </c>
      <c r="AC1477" s="3">
        <f t="shared" si="95"/>
        <v>9.0277777781011537E-2</v>
      </c>
      <c r="AD1477" t="str" cm="1">
        <f t="array" ref="AD1477">IFERROR(_xlfn.IFS(
    AC1477="", "",
    AC1477*86400 &lt; 30, "1. 0s - &lt;30s",
    AC1477*86400 &lt; 60, "2. 30s - &lt;1m",
    AC1477*86400 &lt; 300, "3. 1m - &lt;5m",
    AC1477*86400 &lt; 1800, "4. 5m - &lt;30m",
    TRUE, "5. &gt;= 30m"
),"6. Invalid (Order rejected)")</f>
        <v>5. &gt;= 30m</v>
      </c>
    </row>
    <row r="1478" spans="1:30" hidden="1" x14ac:dyDescent="0.3">
      <c r="A1478" t="s">
        <v>8559</v>
      </c>
      <c r="B1478" t="s">
        <v>25</v>
      </c>
      <c r="C1478">
        <v>43729827</v>
      </c>
      <c r="D1478">
        <v>0</v>
      </c>
      <c r="E1478" t="s">
        <v>25</v>
      </c>
      <c r="F1478" t="s">
        <v>26</v>
      </c>
      <c r="G1478" t="s">
        <v>27</v>
      </c>
      <c r="H1478" t="s">
        <v>8560</v>
      </c>
      <c r="I1478" t="s">
        <v>8561</v>
      </c>
      <c r="J1478" t="s">
        <v>26</v>
      </c>
      <c r="K1478" t="s">
        <v>26</v>
      </c>
      <c r="L1478" t="s">
        <v>8562</v>
      </c>
      <c r="M1478" t="s">
        <v>25</v>
      </c>
      <c r="N1478" t="s">
        <v>4301</v>
      </c>
      <c r="O1478" t="s">
        <v>4302</v>
      </c>
      <c r="P1478" t="s">
        <v>4279</v>
      </c>
      <c r="Q1478" t="s">
        <v>4280</v>
      </c>
      <c r="R1478">
        <v>139860</v>
      </c>
      <c r="S1478">
        <v>0</v>
      </c>
      <c r="T1478">
        <v>139860</v>
      </c>
      <c r="U1478" t="s">
        <v>35</v>
      </c>
      <c r="V1478" t="s">
        <v>4303</v>
      </c>
      <c r="W1478" t="s">
        <v>4281</v>
      </c>
      <c r="X1478" s="4">
        <v>1</v>
      </c>
      <c r="Y1478" s="4"/>
      <c r="Z1478">
        <f t="shared" si="92"/>
        <v>8</v>
      </c>
      <c r="AA1478">
        <f t="shared" si="93"/>
        <v>19</v>
      </c>
      <c r="AB1478" s="5">
        <f t="shared" si="94"/>
        <v>0.33553240740729962</v>
      </c>
      <c r="AC1478" s="3">
        <f t="shared" si="95"/>
        <v>9.0266203704231884E-2</v>
      </c>
      <c r="AD1478" t="str" cm="1">
        <f t="array" ref="AD1478">IFERROR(_xlfn.IFS(
    AC1478="", "",
    AC1478*86400 &lt; 30, "1. 0s - &lt;30s",
    AC1478*86400 &lt; 60, "2. 30s - &lt;1m",
    AC1478*86400 &lt; 300, "3. 1m - &lt;5m",
    AC1478*86400 &lt; 1800, "4. 5m - &lt;30m",
    TRUE, "5. &gt;= 30m"
),"6. Invalid (Order rejected)")</f>
        <v>5. &gt;= 30m</v>
      </c>
    </row>
    <row r="1479" spans="1:30" x14ac:dyDescent="0.3">
      <c r="A1479" t="s">
        <v>8563</v>
      </c>
      <c r="B1479" t="s">
        <v>3229</v>
      </c>
      <c r="C1479">
        <v>13373294</v>
      </c>
      <c r="D1479">
        <v>3693683</v>
      </c>
      <c r="E1479" t="s">
        <v>25</v>
      </c>
      <c r="F1479" t="s">
        <v>75</v>
      </c>
      <c r="G1479" t="s">
        <v>360</v>
      </c>
      <c r="H1479" t="s">
        <v>8564</v>
      </c>
      <c r="I1479" t="s">
        <v>8565</v>
      </c>
      <c r="J1479" t="s">
        <v>8566</v>
      </c>
      <c r="K1479" t="s">
        <v>26</v>
      </c>
      <c r="L1479" t="s">
        <v>25</v>
      </c>
      <c r="M1479" t="s">
        <v>25</v>
      </c>
      <c r="N1479" t="s">
        <v>8567</v>
      </c>
      <c r="O1479" t="s">
        <v>8568</v>
      </c>
      <c r="P1479" t="s">
        <v>8569</v>
      </c>
      <c r="Q1479" t="s">
        <v>8570</v>
      </c>
      <c r="R1479">
        <v>346896</v>
      </c>
      <c r="S1479">
        <v>268925</v>
      </c>
      <c r="T1479">
        <v>77971</v>
      </c>
      <c r="U1479" t="s">
        <v>35</v>
      </c>
      <c r="V1479" t="s">
        <v>8571</v>
      </c>
      <c r="W1479" t="s">
        <v>8572</v>
      </c>
      <c r="X1479" s="4">
        <v>1</v>
      </c>
      <c r="Y1479" s="4"/>
      <c r="Z1479">
        <f t="shared" si="92"/>
        <v>8</v>
      </c>
      <c r="AA1479">
        <f t="shared" si="93"/>
        <v>19</v>
      </c>
      <c r="AB1479" s="5">
        <f t="shared" si="94"/>
        <v>0.34065972222015262</v>
      </c>
      <c r="AC1479" s="3" t="str">
        <f t="shared" si="95"/>
        <v>Order rejected, no time available</v>
      </c>
      <c r="AD1479" t="str" cm="1">
        <f t="array" ref="AD1479">IFERROR(_xlfn.IFS(
    AC1479="", "",
    AC1479*86400 &lt; 30, "1. 0s - &lt;30s",
    AC1479*86400 &lt; 60, "2. 30s - &lt;1m",
    AC1479*86400 &lt; 300, "3. 1m - &lt;5m",
    AC1479*86400 &lt; 1800, "4. 5m - &lt;30m",
    TRUE, "5. &gt;= 30m"
),"6. Invalid (Order rejected)")</f>
        <v>6. Invalid (Order rejected)</v>
      </c>
    </row>
    <row r="1480" spans="1:30" hidden="1" x14ac:dyDescent="0.3">
      <c r="A1480" t="s">
        <v>8573</v>
      </c>
      <c r="B1480" t="s">
        <v>25</v>
      </c>
      <c r="C1480">
        <v>23938356</v>
      </c>
      <c r="D1480">
        <v>3153255</v>
      </c>
      <c r="E1480" t="s">
        <v>4375</v>
      </c>
      <c r="F1480" t="s">
        <v>75</v>
      </c>
      <c r="G1480" t="s">
        <v>76</v>
      </c>
      <c r="H1480" t="s">
        <v>8574</v>
      </c>
      <c r="I1480" t="s">
        <v>8575</v>
      </c>
      <c r="J1480" t="s">
        <v>8576</v>
      </c>
      <c r="K1480" t="s">
        <v>26</v>
      </c>
      <c r="L1480" t="s">
        <v>8577</v>
      </c>
      <c r="M1480" t="s">
        <v>25</v>
      </c>
      <c r="N1480" t="s">
        <v>3994</v>
      </c>
      <c r="O1480" t="s">
        <v>3995</v>
      </c>
      <c r="P1480" t="s">
        <v>8578</v>
      </c>
      <c r="Q1480" t="s">
        <v>8579</v>
      </c>
      <c r="R1480">
        <v>613872</v>
      </c>
      <c r="S1480">
        <v>475893</v>
      </c>
      <c r="T1480">
        <v>137979</v>
      </c>
      <c r="U1480" t="s">
        <v>35</v>
      </c>
      <c r="V1480" t="s">
        <v>3996</v>
      </c>
      <c r="W1480" t="s">
        <v>8580</v>
      </c>
      <c r="X1480" s="4">
        <v>1</v>
      </c>
      <c r="Y1480" s="4"/>
      <c r="Z1480">
        <f t="shared" si="92"/>
        <v>8</v>
      </c>
      <c r="AA1480">
        <f t="shared" si="93"/>
        <v>19</v>
      </c>
      <c r="AB1480" s="5">
        <f t="shared" si="94"/>
        <v>0.34813657407357823</v>
      </c>
      <c r="AC1480" s="3">
        <f t="shared" si="95"/>
        <v>3.9351851592073217E-4</v>
      </c>
      <c r="AD1480" t="str" cm="1">
        <f t="array" ref="AD1480">IFERROR(_xlfn.IFS(
    AC1480="", "",
    AC1480*86400 &lt; 30, "1. 0s - &lt;30s",
    AC1480*86400 &lt; 60, "2. 30s - &lt;1m",
    AC1480*86400 &lt; 300, "3. 1m - &lt;5m",
    AC1480*86400 &lt; 1800, "4. 5m - &lt;30m",
    TRUE, "5. &gt;= 30m"
),"6. Invalid (Order rejected)")</f>
        <v>2. 30s - &lt;1m</v>
      </c>
    </row>
    <row r="1481" spans="1:30" x14ac:dyDescent="0.3">
      <c r="A1481" t="s">
        <v>8581</v>
      </c>
      <c r="B1481" t="s">
        <v>3229</v>
      </c>
      <c r="C1481">
        <v>13373294</v>
      </c>
      <c r="D1481">
        <v>4638982</v>
      </c>
      <c r="E1481" t="s">
        <v>25</v>
      </c>
      <c r="F1481" t="s">
        <v>75</v>
      </c>
      <c r="G1481" t="s">
        <v>360</v>
      </c>
      <c r="H1481" t="s">
        <v>8582</v>
      </c>
      <c r="I1481" t="s">
        <v>4396</v>
      </c>
      <c r="J1481" t="s">
        <v>8583</v>
      </c>
      <c r="K1481" t="s">
        <v>26</v>
      </c>
      <c r="L1481" t="s">
        <v>25</v>
      </c>
      <c r="M1481" t="s">
        <v>25</v>
      </c>
      <c r="N1481" t="s">
        <v>4368</v>
      </c>
      <c r="O1481" t="s">
        <v>4369</v>
      </c>
      <c r="P1481" t="s">
        <v>8584</v>
      </c>
      <c r="Q1481" t="s">
        <v>8585</v>
      </c>
      <c r="R1481">
        <v>450468</v>
      </c>
      <c r="S1481">
        <v>349217</v>
      </c>
      <c r="T1481">
        <v>101251</v>
      </c>
      <c r="U1481" t="s">
        <v>35</v>
      </c>
      <c r="V1481" t="s">
        <v>4372</v>
      </c>
      <c r="W1481" t="s">
        <v>8586</v>
      </c>
      <c r="X1481" s="4">
        <v>1</v>
      </c>
      <c r="Y1481" s="4"/>
      <c r="Z1481">
        <f t="shared" si="92"/>
        <v>8</v>
      </c>
      <c r="AA1481">
        <f t="shared" si="93"/>
        <v>19</v>
      </c>
      <c r="AB1481" s="5">
        <f t="shared" si="94"/>
        <v>0.34655092592583969</v>
      </c>
      <c r="AC1481" s="3" t="str">
        <f t="shared" si="95"/>
        <v>Order rejected, no time available</v>
      </c>
      <c r="AD1481" t="str" cm="1">
        <f t="array" ref="AD1481">IFERROR(_xlfn.IFS(
    AC1481="", "",
    AC1481*86400 &lt; 30, "1. 0s - &lt;30s",
    AC1481*86400 &lt; 60, "2. 30s - &lt;1m",
    AC1481*86400 &lt; 300, "3. 1m - &lt;5m",
    AC1481*86400 &lt; 1800, "4. 5m - &lt;30m",
    TRUE, "5. &gt;= 30m"
),"6. Invalid (Order rejected)")</f>
        <v>6. Invalid (Order rejected)</v>
      </c>
    </row>
    <row r="1482" spans="1:30" hidden="1" x14ac:dyDescent="0.3">
      <c r="A1482" t="s">
        <v>8587</v>
      </c>
      <c r="B1482" t="s">
        <v>25</v>
      </c>
      <c r="C1482">
        <v>23938356</v>
      </c>
      <c r="D1482">
        <v>4474001</v>
      </c>
      <c r="E1482" t="s">
        <v>4375</v>
      </c>
      <c r="F1482" t="s">
        <v>75</v>
      </c>
      <c r="G1482" t="s">
        <v>76</v>
      </c>
      <c r="H1482" t="s">
        <v>8588</v>
      </c>
      <c r="I1482" t="s">
        <v>8589</v>
      </c>
      <c r="J1482" t="s">
        <v>8590</v>
      </c>
      <c r="K1482" t="s">
        <v>26</v>
      </c>
      <c r="L1482" t="s">
        <v>8591</v>
      </c>
      <c r="M1482" t="s">
        <v>25</v>
      </c>
      <c r="N1482" t="s">
        <v>3994</v>
      </c>
      <c r="O1482" t="s">
        <v>3995</v>
      </c>
      <c r="P1482" t="s">
        <v>8592</v>
      </c>
      <c r="Q1482" t="s">
        <v>8593</v>
      </c>
      <c r="R1482">
        <v>589032</v>
      </c>
      <c r="S1482">
        <v>456636</v>
      </c>
      <c r="T1482">
        <v>132396</v>
      </c>
      <c r="U1482" t="s">
        <v>35</v>
      </c>
      <c r="V1482" t="s">
        <v>3996</v>
      </c>
      <c r="W1482" t="s">
        <v>8594</v>
      </c>
      <c r="X1482" s="4">
        <v>1</v>
      </c>
      <c r="Y1482" s="4"/>
      <c r="Z1482">
        <f t="shared" si="92"/>
        <v>8</v>
      </c>
      <c r="AA1482">
        <f t="shared" si="93"/>
        <v>19</v>
      </c>
      <c r="AB1482" s="5">
        <f t="shared" si="94"/>
        <v>0.34939814815152204</v>
      </c>
      <c r="AC1482" s="3">
        <f t="shared" si="95"/>
        <v>1.6203703125938773E-4</v>
      </c>
      <c r="AD1482" t="str" cm="1">
        <f t="array" ref="AD1482">IFERROR(_xlfn.IFS(
    AC1482="", "",
    AC1482*86400 &lt; 30, "1. 0s - &lt;30s",
    AC1482*86400 &lt; 60, "2. 30s - &lt;1m",
    AC1482*86400 &lt; 300, "3. 1m - &lt;5m",
    AC1482*86400 &lt; 1800, "4. 5m - &lt;30m",
    TRUE, "5. &gt;= 30m"
),"6. Invalid (Order rejected)")</f>
        <v>1. 0s - &lt;30s</v>
      </c>
    </row>
    <row r="1483" spans="1:30" hidden="1" x14ac:dyDescent="0.3">
      <c r="A1483" t="s">
        <v>8595</v>
      </c>
      <c r="B1483" t="s">
        <v>25</v>
      </c>
      <c r="C1483">
        <v>23938356</v>
      </c>
      <c r="D1483">
        <v>4537838</v>
      </c>
      <c r="E1483" t="s">
        <v>4375</v>
      </c>
      <c r="F1483" t="s">
        <v>75</v>
      </c>
      <c r="G1483" t="s">
        <v>76</v>
      </c>
      <c r="H1483" t="s">
        <v>8596</v>
      </c>
      <c r="I1483" t="s">
        <v>8597</v>
      </c>
      <c r="J1483" t="s">
        <v>8598</v>
      </c>
      <c r="K1483" t="s">
        <v>26</v>
      </c>
      <c r="L1483" t="s">
        <v>8599</v>
      </c>
      <c r="M1483" t="s">
        <v>25</v>
      </c>
      <c r="N1483" t="s">
        <v>3994</v>
      </c>
      <c r="O1483" t="s">
        <v>3995</v>
      </c>
      <c r="P1483" t="s">
        <v>8600</v>
      </c>
      <c r="Q1483" t="s">
        <v>8601</v>
      </c>
      <c r="R1483">
        <v>503172</v>
      </c>
      <c r="S1483">
        <v>390075</v>
      </c>
      <c r="T1483">
        <v>113097</v>
      </c>
      <c r="U1483" t="s">
        <v>35</v>
      </c>
      <c r="V1483" t="s">
        <v>3996</v>
      </c>
      <c r="W1483" t="s">
        <v>8602</v>
      </c>
      <c r="X1483" s="4">
        <v>1</v>
      </c>
      <c r="Y1483" s="4"/>
      <c r="Z1483">
        <f t="shared" si="92"/>
        <v>8</v>
      </c>
      <c r="AA1483">
        <f t="shared" si="93"/>
        <v>19</v>
      </c>
      <c r="AB1483" s="5">
        <f t="shared" si="94"/>
        <v>0.35052083332993789</v>
      </c>
      <c r="AC1483" s="3">
        <f t="shared" si="95"/>
        <v>3.0092593078734353E-4</v>
      </c>
      <c r="AD1483" t="str" cm="1">
        <f t="array" ref="AD1483">IFERROR(_xlfn.IFS(
    AC1483="", "",
    AC1483*86400 &lt; 30, "1. 0s - &lt;30s",
    AC1483*86400 &lt; 60, "2. 30s - &lt;1m",
    AC1483*86400 &lt; 300, "3. 1m - &lt;5m",
    AC1483*86400 &lt; 1800, "4. 5m - &lt;30m",
    TRUE, "5. &gt;= 30m"
),"6. Invalid (Order rejected)")</f>
        <v>1. 0s - &lt;30s</v>
      </c>
    </row>
    <row r="1484" spans="1:30" x14ac:dyDescent="0.3">
      <c r="A1484" t="s">
        <v>8603</v>
      </c>
      <c r="B1484" t="s">
        <v>25</v>
      </c>
      <c r="C1484">
        <v>23938356</v>
      </c>
      <c r="D1484">
        <v>3092718</v>
      </c>
      <c r="E1484" t="s">
        <v>8604</v>
      </c>
      <c r="F1484" t="s">
        <v>75</v>
      </c>
      <c r="G1484" t="s">
        <v>360</v>
      </c>
      <c r="H1484" t="s">
        <v>8605</v>
      </c>
      <c r="I1484" t="s">
        <v>8606</v>
      </c>
      <c r="J1484" t="s">
        <v>8607</v>
      </c>
      <c r="K1484" t="s">
        <v>26</v>
      </c>
      <c r="L1484" t="s">
        <v>25</v>
      </c>
      <c r="M1484" t="s">
        <v>25</v>
      </c>
      <c r="N1484" t="s">
        <v>3994</v>
      </c>
      <c r="O1484" t="s">
        <v>3995</v>
      </c>
      <c r="P1484" t="s">
        <v>8608</v>
      </c>
      <c r="Q1484" t="s">
        <v>8609</v>
      </c>
      <c r="R1484">
        <v>403704</v>
      </c>
      <c r="S1484">
        <v>312964</v>
      </c>
      <c r="T1484">
        <v>90740</v>
      </c>
      <c r="U1484" t="s">
        <v>35</v>
      </c>
      <c r="V1484" t="s">
        <v>3996</v>
      </c>
      <c r="W1484" t="s">
        <v>8610</v>
      </c>
      <c r="X1484" s="4">
        <v>1</v>
      </c>
      <c r="Y1484" s="4"/>
      <c r="Z1484">
        <f t="shared" si="92"/>
        <v>8</v>
      </c>
      <c r="AA1484">
        <f t="shared" si="93"/>
        <v>19</v>
      </c>
      <c r="AB1484" s="5">
        <f t="shared" si="94"/>
        <v>0.35167824073869269</v>
      </c>
      <c r="AC1484" s="3" t="str">
        <f t="shared" si="95"/>
        <v>Order rejected, no time available</v>
      </c>
      <c r="AD1484" t="str" cm="1">
        <f t="array" ref="AD1484">IFERROR(_xlfn.IFS(
    AC1484="", "",
    AC1484*86400 &lt; 30, "1. 0s - &lt;30s",
    AC1484*86400 &lt; 60, "2. 30s - &lt;1m",
    AC1484*86400 &lt; 300, "3. 1m - &lt;5m",
    AC1484*86400 &lt; 1800, "4. 5m - &lt;30m",
    TRUE, "5. &gt;= 30m"
),"6. Invalid (Order rejected)")</f>
        <v>6. Invalid (Order rejected)</v>
      </c>
    </row>
    <row r="1485" spans="1:30" hidden="1" x14ac:dyDescent="0.3">
      <c r="A1485" t="s">
        <v>8611</v>
      </c>
      <c r="B1485" t="s">
        <v>25</v>
      </c>
      <c r="C1485">
        <v>23938356</v>
      </c>
      <c r="D1485">
        <v>3153255</v>
      </c>
      <c r="E1485" t="s">
        <v>8181</v>
      </c>
      <c r="F1485" t="s">
        <v>75</v>
      </c>
      <c r="G1485" t="s">
        <v>76</v>
      </c>
      <c r="H1485" t="s">
        <v>8612</v>
      </c>
      <c r="I1485" t="s">
        <v>8613</v>
      </c>
      <c r="J1485" t="s">
        <v>8614</v>
      </c>
      <c r="K1485" t="s">
        <v>26</v>
      </c>
      <c r="L1485" t="s">
        <v>8615</v>
      </c>
      <c r="M1485" t="s">
        <v>25</v>
      </c>
      <c r="N1485" t="s">
        <v>3994</v>
      </c>
      <c r="O1485" t="s">
        <v>3995</v>
      </c>
      <c r="P1485" t="s">
        <v>780</v>
      </c>
      <c r="Q1485" t="s">
        <v>4388</v>
      </c>
      <c r="R1485">
        <v>499932</v>
      </c>
      <c r="S1485">
        <v>387563</v>
      </c>
      <c r="T1485">
        <v>112369</v>
      </c>
      <c r="U1485" t="s">
        <v>35</v>
      </c>
      <c r="V1485" t="s">
        <v>3996</v>
      </c>
      <c r="W1485" t="s">
        <v>4389</v>
      </c>
      <c r="X1485" s="4">
        <v>1</v>
      </c>
      <c r="Y1485" s="4"/>
      <c r="Z1485">
        <f t="shared" si="92"/>
        <v>8</v>
      </c>
      <c r="AA1485">
        <f t="shared" si="93"/>
        <v>19</v>
      </c>
      <c r="AB1485" s="5">
        <f t="shared" si="94"/>
        <v>0.35269675926247146</v>
      </c>
      <c r="AC1485" s="3">
        <f t="shared" si="95"/>
        <v>1.0879629626288079E-3</v>
      </c>
      <c r="AD1485" t="str" cm="1">
        <f t="array" ref="AD1485">IFERROR(_xlfn.IFS(
    AC1485="", "",
    AC1485*86400 &lt; 30, "1. 0s - &lt;30s",
    AC1485*86400 &lt; 60, "2. 30s - &lt;1m",
    AC1485*86400 &lt; 300, "3. 1m - &lt;5m",
    AC1485*86400 &lt; 1800, "4. 5m - &lt;30m",
    TRUE, "5. &gt;= 30m"
),"6. Invalid (Order rejected)")</f>
        <v>3. 1m - &lt;5m</v>
      </c>
    </row>
    <row r="1486" spans="1:30" hidden="1" x14ac:dyDescent="0.3">
      <c r="A1486" t="s">
        <v>8616</v>
      </c>
      <c r="B1486" t="s">
        <v>25</v>
      </c>
      <c r="C1486">
        <v>23938356</v>
      </c>
      <c r="D1486">
        <v>2945416</v>
      </c>
      <c r="E1486" t="s">
        <v>25</v>
      </c>
      <c r="F1486" t="s">
        <v>75</v>
      </c>
      <c r="G1486" t="s">
        <v>76</v>
      </c>
      <c r="H1486" t="s">
        <v>8617</v>
      </c>
      <c r="I1486" t="s">
        <v>8618</v>
      </c>
      <c r="J1486" t="s">
        <v>8619</v>
      </c>
      <c r="K1486" t="s">
        <v>26</v>
      </c>
      <c r="L1486" t="s">
        <v>8620</v>
      </c>
      <c r="M1486" t="s">
        <v>25</v>
      </c>
      <c r="N1486" t="s">
        <v>4426</v>
      </c>
      <c r="O1486" t="s">
        <v>4427</v>
      </c>
      <c r="P1486" t="s">
        <v>103</v>
      </c>
      <c r="Q1486" t="s">
        <v>104</v>
      </c>
      <c r="R1486">
        <v>184356</v>
      </c>
      <c r="S1486">
        <v>151326</v>
      </c>
      <c r="T1486">
        <v>33030</v>
      </c>
      <c r="U1486" t="s">
        <v>35</v>
      </c>
      <c r="V1486" t="s">
        <v>4430</v>
      </c>
      <c r="W1486" t="s">
        <v>8621</v>
      </c>
      <c r="X1486" s="4">
        <v>1</v>
      </c>
      <c r="Y1486" s="4"/>
      <c r="Z1486">
        <f t="shared" si="92"/>
        <v>8</v>
      </c>
      <c r="AA1486">
        <f t="shared" si="93"/>
        <v>19</v>
      </c>
      <c r="AB1486" s="5">
        <f t="shared" si="94"/>
        <v>0.35773148148291511</v>
      </c>
      <c r="AC1486" s="3">
        <f t="shared" si="95"/>
        <v>3.3564814657438546E-4</v>
      </c>
      <c r="AD1486" t="str" cm="1">
        <f t="array" ref="AD1486">IFERROR(_xlfn.IFS(
    AC1486="", "",
    AC1486*86400 &lt; 30, "1. 0s - &lt;30s",
    AC1486*86400 &lt; 60, "2. 30s - &lt;1m",
    AC1486*86400 &lt; 300, "3. 1m - &lt;5m",
    AC1486*86400 &lt; 1800, "4. 5m - &lt;30m",
    TRUE, "5. &gt;= 30m"
),"6. Invalid (Order rejected)")</f>
        <v>1. 0s - &lt;30s</v>
      </c>
    </row>
    <row r="1487" spans="1:30" hidden="1" x14ac:dyDescent="0.3">
      <c r="A1487" t="s">
        <v>8622</v>
      </c>
      <c r="B1487" t="s">
        <v>25</v>
      </c>
      <c r="C1487">
        <v>23938356</v>
      </c>
      <c r="D1487">
        <v>3442044</v>
      </c>
      <c r="E1487" t="s">
        <v>8604</v>
      </c>
      <c r="F1487" t="s">
        <v>75</v>
      </c>
      <c r="G1487" t="s">
        <v>76</v>
      </c>
      <c r="H1487" t="s">
        <v>8623</v>
      </c>
      <c r="I1487" t="s">
        <v>8624</v>
      </c>
      <c r="J1487" t="s">
        <v>8625</v>
      </c>
      <c r="K1487" t="s">
        <v>26</v>
      </c>
      <c r="L1487" t="s">
        <v>8626</v>
      </c>
      <c r="M1487" t="s">
        <v>25</v>
      </c>
      <c r="N1487" t="s">
        <v>4426</v>
      </c>
      <c r="O1487" t="s">
        <v>4427</v>
      </c>
      <c r="P1487" t="s">
        <v>351</v>
      </c>
      <c r="Q1487" t="s">
        <v>352</v>
      </c>
      <c r="R1487">
        <v>274968</v>
      </c>
      <c r="S1487">
        <v>213164</v>
      </c>
      <c r="T1487">
        <v>61804</v>
      </c>
      <c r="U1487" t="s">
        <v>35</v>
      </c>
      <c r="V1487" t="s">
        <v>4430</v>
      </c>
      <c r="W1487" t="s">
        <v>8627</v>
      </c>
      <c r="X1487" s="4">
        <v>1</v>
      </c>
      <c r="Y1487" s="4"/>
      <c r="Z1487">
        <f t="shared" si="92"/>
        <v>8</v>
      </c>
      <c r="AA1487">
        <f t="shared" si="93"/>
        <v>19</v>
      </c>
      <c r="AB1487" s="5">
        <f t="shared" si="94"/>
        <v>0.35523148148058681</v>
      </c>
      <c r="AC1487" s="3">
        <f t="shared" si="95"/>
        <v>3.4722222335403785E-4</v>
      </c>
      <c r="AD1487" t="str" cm="1">
        <f t="array" ref="AD1487">IFERROR(_xlfn.IFS(
    AC1487="", "",
    AC1487*86400 &lt; 30, "1. 0s - &lt;30s",
    AC1487*86400 &lt; 60, "2. 30s - &lt;1m",
    AC1487*86400 &lt; 300, "3. 1m - &lt;5m",
    AC1487*86400 &lt; 1800, "4. 5m - &lt;30m",
    TRUE, "5. &gt;= 30m"
),"6. Invalid (Order rejected)")</f>
        <v>2. 30s - &lt;1m</v>
      </c>
    </row>
    <row r="1488" spans="1:30" hidden="1" x14ac:dyDescent="0.3">
      <c r="A1488" t="s">
        <v>8628</v>
      </c>
      <c r="B1488" t="s">
        <v>3229</v>
      </c>
      <c r="C1488">
        <v>13373294</v>
      </c>
      <c r="D1488">
        <v>3653145</v>
      </c>
      <c r="E1488" t="s">
        <v>25</v>
      </c>
      <c r="F1488" t="s">
        <v>75</v>
      </c>
      <c r="G1488" t="s">
        <v>76</v>
      </c>
      <c r="H1488" t="s">
        <v>4466</v>
      </c>
      <c r="I1488" t="s">
        <v>8629</v>
      </c>
      <c r="J1488" t="s">
        <v>8630</v>
      </c>
      <c r="K1488" t="s">
        <v>26</v>
      </c>
      <c r="L1488" t="s">
        <v>8631</v>
      </c>
      <c r="M1488" t="s">
        <v>25</v>
      </c>
      <c r="N1488" t="s">
        <v>8632</v>
      </c>
      <c r="O1488" t="s">
        <v>8633</v>
      </c>
      <c r="P1488" t="s">
        <v>4417</v>
      </c>
      <c r="Q1488" t="s">
        <v>4418</v>
      </c>
      <c r="R1488">
        <v>176040</v>
      </c>
      <c r="S1488">
        <v>136472</v>
      </c>
      <c r="T1488">
        <v>39568</v>
      </c>
      <c r="U1488" t="s">
        <v>35</v>
      </c>
      <c r="V1488" t="s">
        <v>8634</v>
      </c>
      <c r="W1488" t="s">
        <v>4419</v>
      </c>
      <c r="X1488" s="4">
        <v>1</v>
      </c>
      <c r="Y1488" s="4"/>
      <c r="Z1488">
        <f t="shared" si="92"/>
        <v>8</v>
      </c>
      <c r="AA1488">
        <f t="shared" si="93"/>
        <v>19</v>
      </c>
      <c r="AB1488" s="5">
        <f t="shared" si="94"/>
        <v>0.35988425926188938</v>
      </c>
      <c r="AC1488" s="3">
        <f t="shared" si="95"/>
        <v>7.0833333302289248E-3</v>
      </c>
      <c r="AD1488" t="str" cm="1">
        <f t="array" ref="AD1488">IFERROR(_xlfn.IFS(
    AC1488="", "",
    AC1488*86400 &lt; 30, "1. 0s - &lt;30s",
    AC1488*86400 &lt; 60, "2. 30s - &lt;1m",
    AC1488*86400 &lt; 300, "3. 1m - &lt;5m",
    AC1488*86400 &lt; 1800, "4. 5m - &lt;30m",
    TRUE, "5. &gt;= 30m"
),"6. Invalid (Order rejected)")</f>
        <v>4. 5m - &lt;30m</v>
      </c>
    </row>
    <row r="1489" spans="1:30" x14ac:dyDescent="0.3">
      <c r="A1489" t="s">
        <v>8635</v>
      </c>
      <c r="B1489" t="s">
        <v>25</v>
      </c>
      <c r="C1489">
        <v>43740668</v>
      </c>
      <c r="D1489">
        <v>1644969</v>
      </c>
      <c r="E1489" t="s">
        <v>25</v>
      </c>
      <c r="F1489" t="s">
        <v>75</v>
      </c>
      <c r="G1489" t="s">
        <v>360</v>
      </c>
      <c r="H1489" t="s">
        <v>8636</v>
      </c>
      <c r="I1489" t="s">
        <v>8637</v>
      </c>
      <c r="J1489" t="s">
        <v>8638</v>
      </c>
      <c r="K1489" t="s">
        <v>26</v>
      </c>
      <c r="L1489" t="s">
        <v>25</v>
      </c>
      <c r="M1489" t="s">
        <v>25</v>
      </c>
      <c r="N1489" t="s">
        <v>8639</v>
      </c>
      <c r="O1489" t="s">
        <v>8640</v>
      </c>
      <c r="P1489" t="s">
        <v>8641</v>
      </c>
      <c r="Q1489" t="s">
        <v>8642</v>
      </c>
      <c r="R1489">
        <v>230904</v>
      </c>
      <c r="S1489">
        <v>179004</v>
      </c>
      <c r="T1489">
        <v>51900</v>
      </c>
      <c r="U1489" t="s">
        <v>35</v>
      </c>
      <c r="V1489" t="s">
        <v>8643</v>
      </c>
      <c r="W1489" t="s">
        <v>8644</v>
      </c>
      <c r="X1489" s="4">
        <v>1</v>
      </c>
      <c r="Y1489" s="4"/>
      <c r="Z1489">
        <f t="shared" si="92"/>
        <v>8</v>
      </c>
      <c r="AA1489">
        <f t="shared" si="93"/>
        <v>19</v>
      </c>
      <c r="AB1489" s="5">
        <f t="shared" si="94"/>
        <v>0.56589120370335877</v>
      </c>
      <c r="AC1489" s="3" t="str">
        <f t="shared" si="95"/>
        <v>Order rejected, no time available</v>
      </c>
      <c r="AD1489" t="str" cm="1">
        <f t="array" ref="AD1489">IFERROR(_xlfn.IFS(
    AC1489="", "",
    AC1489*86400 &lt; 30, "1. 0s - &lt;30s",
    AC1489*86400 &lt; 60, "2. 30s - &lt;1m",
    AC1489*86400 &lt; 300, "3. 1m - &lt;5m",
    AC1489*86400 &lt; 1800, "4. 5m - &lt;30m",
    TRUE, "5. &gt;= 30m"
),"6. Invalid (Order rejected)")</f>
        <v>6. Invalid (Order rejected)</v>
      </c>
    </row>
    <row r="1490" spans="1:30" hidden="1" x14ac:dyDescent="0.3">
      <c r="A1490" t="s">
        <v>8645</v>
      </c>
      <c r="B1490" t="s">
        <v>25</v>
      </c>
      <c r="C1490">
        <v>43740668</v>
      </c>
      <c r="D1490">
        <v>0</v>
      </c>
      <c r="E1490" t="s">
        <v>25</v>
      </c>
      <c r="F1490" t="s">
        <v>26</v>
      </c>
      <c r="G1490" t="s">
        <v>27</v>
      </c>
      <c r="H1490" t="s">
        <v>8646</v>
      </c>
      <c r="I1490" t="s">
        <v>8647</v>
      </c>
      <c r="J1490" t="s">
        <v>26</v>
      </c>
      <c r="K1490" t="s">
        <v>26</v>
      </c>
      <c r="L1490" t="s">
        <v>8648</v>
      </c>
      <c r="M1490" t="s">
        <v>25</v>
      </c>
      <c r="N1490" t="s">
        <v>8649</v>
      </c>
      <c r="O1490" t="s">
        <v>8650</v>
      </c>
      <c r="P1490" t="s">
        <v>8651</v>
      </c>
      <c r="Q1490" t="s">
        <v>8652</v>
      </c>
      <c r="R1490">
        <v>383616</v>
      </c>
      <c r="S1490">
        <v>0</v>
      </c>
      <c r="T1490">
        <v>383616</v>
      </c>
      <c r="U1490" t="s">
        <v>35</v>
      </c>
      <c r="V1490" t="s">
        <v>8653</v>
      </c>
      <c r="W1490" t="s">
        <v>8654</v>
      </c>
      <c r="X1490" s="4">
        <v>1</v>
      </c>
      <c r="Y1490" s="4"/>
      <c r="Z1490">
        <f t="shared" si="92"/>
        <v>8</v>
      </c>
      <c r="AA1490">
        <f t="shared" si="93"/>
        <v>19</v>
      </c>
      <c r="AB1490" s="5">
        <f t="shared" si="94"/>
        <v>0.56785879629751435</v>
      </c>
      <c r="AC1490" s="3">
        <f t="shared" si="95"/>
        <v>0.10666666666656965</v>
      </c>
      <c r="AD1490" t="str" cm="1">
        <f t="array" ref="AD1490">IFERROR(_xlfn.IFS(
    AC1490="", "",
    AC1490*86400 &lt; 30, "1. 0s - &lt;30s",
    AC1490*86400 &lt; 60, "2. 30s - &lt;1m",
    AC1490*86400 &lt; 300, "3. 1m - &lt;5m",
    AC1490*86400 &lt; 1800, "4. 5m - &lt;30m",
    TRUE, "5. &gt;= 30m"
),"6. Invalid (Order rejected)")</f>
        <v>5. &gt;= 30m</v>
      </c>
    </row>
    <row r="1491" spans="1:30" x14ac:dyDescent="0.3">
      <c r="A1491" t="s">
        <v>8655</v>
      </c>
      <c r="B1491" t="s">
        <v>25</v>
      </c>
      <c r="C1491">
        <v>43740668</v>
      </c>
      <c r="D1491">
        <v>4703771</v>
      </c>
      <c r="E1491" t="s">
        <v>25</v>
      </c>
      <c r="F1491" t="s">
        <v>75</v>
      </c>
      <c r="G1491" t="s">
        <v>360</v>
      </c>
      <c r="H1491" t="s">
        <v>8656</v>
      </c>
      <c r="I1491" t="s">
        <v>8657</v>
      </c>
      <c r="J1491" t="s">
        <v>8658</v>
      </c>
      <c r="K1491" t="s">
        <v>26</v>
      </c>
      <c r="L1491" t="s">
        <v>25</v>
      </c>
      <c r="M1491" t="s">
        <v>25</v>
      </c>
      <c r="N1491" t="s">
        <v>4530</v>
      </c>
      <c r="O1491" t="s">
        <v>4531</v>
      </c>
      <c r="P1491" t="s">
        <v>8659</v>
      </c>
      <c r="Q1491" t="s">
        <v>8660</v>
      </c>
      <c r="R1491">
        <v>414612</v>
      </c>
      <c r="S1491">
        <v>321420</v>
      </c>
      <c r="T1491">
        <v>93192</v>
      </c>
      <c r="U1491" t="s">
        <v>35</v>
      </c>
      <c r="V1491" t="s">
        <v>4534</v>
      </c>
      <c r="W1491" t="s">
        <v>8661</v>
      </c>
      <c r="X1491" s="4">
        <v>1</v>
      </c>
      <c r="Y1491" s="4"/>
      <c r="Z1491">
        <f t="shared" si="92"/>
        <v>8</v>
      </c>
      <c r="AA1491">
        <f t="shared" si="93"/>
        <v>19</v>
      </c>
      <c r="AB1491" s="5">
        <f t="shared" si="94"/>
        <v>0.83177083333430346</v>
      </c>
      <c r="AC1491" s="3" t="str">
        <f t="shared" si="95"/>
        <v>Order rejected, no time available</v>
      </c>
      <c r="AD1491" t="str" cm="1">
        <f t="array" ref="AD1491">IFERROR(_xlfn.IFS(
    AC1491="", "",
    AC1491*86400 &lt; 30, "1. 0s - &lt;30s",
    AC1491*86400 &lt; 60, "2. 30s - &lt;1m",
    AC1491*86400 &lt; 300, "3. 1m - &lt;5m",
    AC1491*86400 &lt; 1800, "4. 5m - &lt;30m",
    TRUE, "5. &gt;= 30m"
),"6. Invalid (Order rejected)")</f>
        <v>6. Invalid (Order rejected)</v>
      </c>
    </row>
    <row r="1492" spans="1:30" x14ac:dyDescent="0.3">
      <c r="A1492" t="s">
        <v>8662</v>
      </c>
      <c r="B1492" t="s">
        <v>25</v>
      </c>
      <c r="C1492">
        <v>43740668</v>
      </c>
      <c r="D1492">
        <v>4467390</v>
      </c>
      <c r="E1492" t="s">
        <v>8663</v>
      </c>
      <c r="F1492" t="s">
        <v>75</v>
      </c>
      <c r="G1492" t="s">
        <v>360</v>
      </c>
      <c r="H1492" t="s">
        <v>8664</v>
      </c>
      <c r="I1492" t="s">
        <v>8665</v>
      </c>
      <c r="J1492" t="s">
        <v>8666</v>
      </c>
      <c r="K1492" t="s">
        <v>26</v>
      </c>
      <c r="L1492" t="s">
        <v>25</v>
      </c>
      <c r="M1492" t="s">
        <v>25</v>
      </c>
      <c r="N1492" t="s">
        <v>8667</v>
      </c>
      <c r="O1492" t="s">
        <v>8668</v>
      </c>
      <c r="P1492" t="s">
        <v>8651</v>
      </c>
      <c r="Q1492" t="s">
        <v>8652</v>
      </c>
      <c r="R1492">
        <v>439344</v>
      </c>
      <c r="S1492">
        <v>340593</v>
      </c>
      <c r="T1492">
        <v>98751</v>
      </c>
      <c r="U1492" t="s">
        <v>35</v>
      </c>
      <c r="V1492" t="s">
        <v>8669</v>
      </c>
      <c r="W1492" t="s">
        <v>8654</v>
      </c>
      <c r="X1492" s="4">
        <v>1</v>
      </c>
      <c r="Y1492" s="4"/>
      <c r="Z1492">
        <f t="shared" si="92"/>
        <v>8</v>
      </c>
      <c r="AA1492">
        <f t="shared" si="93"/>
        <v>19</v>
      </c>
      <c r="AB1492" s="5">
        <f t="shared" si="94"/>
        <v>0.83362268518249039</v>
      </c>
      <c r="AC1492" s="3" t="str">
        <f t="shared" si="95"/>
        <v>Order rejected, no time available</v>
      </c>
      <c r="AD1492" t="str" cm="1">
        <f t="array" ref="AD1492">IFERROR(_xlfn.IFS(
    AC1492="", "",
    AC1492*86400 &lt; 30, "1. 0s - &lt;30s",
    AC1492*86400 &lt; 60, "2. 30s - &lt;1m",
    AC1492*86400 &lt; 300, "3. 1m - &lt;5m",
    AC1492*86400 &lt; 1800, "4. 5m - &lt;30m",
    TRUE, "5. &gt;= 30m"
),"6. Invalid (Order rejected)")</f>
        <v>6. Invalid (Order rejected)</v>
      </c>
    </row>
    <row r="1493" spans="1:30" hidden="1" x14ac:dyDescent="0.3">
      <c r="A1493" t="s">
        <v>8670</v>
      </c>
      <c r="B1493" t="s">
        <v>25</v>
      </c>
      <c r="C1493">
        <v>43740668</v>
      </c>
      <c r="D1493">
        <v>0</v>
      </c>
      <c r="E1493" t="s">
        <v>25</v>
      </c>
      <c r="F1493" t="s">
        <v>26</v>
      </c>
      <c r="G1493" t="s">
        <v>76</v>
      </c>
      <c r="H1493" t="s">
        <v>8671</v>
      </c>
      <c r="I1493" t="s">
        <v>8672</v>
      </c>
      <c r="J1493" t="s">
        <v>26</v>
      </c>
      <c r="K1493" t="s">
        <v>26</v>
      </c>
      <c r="L1493" t="s">
        <v>8673</v>
      </c>
      <c r="M1493" t="s">
        <v>25</v>
      </c>
      <c r="N1493" t="s">
        <v>8674</v>
      </c>
      <c r="O1493" t="s">
        <v>8675</v>
      </c>
      <c r="P1493" t="s">
        <v>8676</v>
      </c>
      <c r="Q1493" t="s">
        <v>8677</v>
      </c>
      <c r="R1493">
        <v>112428</v>
      </c>
      <c r="S1493">
        <v>0</v>
      </c>
      <c r="T1493">
        <v>112428</v>
      </c>
      <c r="U1493" t="s">
        <v>35</v>
      </c>
      <c r="V1493" t="s">
        <v>8678</v>
      </c>
      <c r="W1493" t="s">
        <v>8679</v>
      </c>
      <c r="X1493" s="4">
        <v>1</v>
      </c>
      <c r="Y1493" s="4"/>
      <c r="Z1493">
        <f t="shared" si="92"/>
        <v>8</v>
      </c>
      <c r="AA1493">
        <f t="shared" si="93"/>
        <v>19</v>
      </c>
      <c r="AB1493" s="5">
        <f t="shared" si="94"/>
        <v>0.96127314814657439</v>
      </c>
      <c r="AC1493" s="3">
        <f t="shared" si="95"/>
        <v>6.2500000058207661E-4</v>
      </c>
      <c r="AD1493" t="str" cm="1">
        <f t="array" ref="AD1493">IFERROR(_xlfn.IFS(
    AC1493="", "",
    AC1493*86400 &lt; 30, "1. 0s - &lt;30s",
    AC1493*86400 &lt; 60, "2. 30s - &lt;1m",
    AC1493*86400 &lt; 300, "3. 1m - &lt;5m",
    AC1493*86400 &lt; 1800, "4. 5m - &lt;30m",
    TRUE, "5. &gt;= 30m"
),"6. Invalid (Order rejected)")</f>
        <v>2. 30s - &lt;1m</v>
      </c>
    </row>
    <row r="1494" spans="1:30" hidden="1" x14ac:dyDescent="0.3">
      <c r="A1494" t="s">
        <v>8680</v>
      </c>
      <c r="B1494" t="s">
        <v>25</v>
      </c>
      <c r="C1494">
        <v>43756635</v>
      </c>
      <c r="D1494">
        <v>0</v>
      </c>
      <c r="E1494" t="s">
        <v>25</v>
      </c>
      <c r="F1494" t="s">
        <v>26</v>
      </c>
      <c r="G1494" t="s">
        <v>27</v>
      </c>
      <c r="H1494" t="s">
        <v>8681</v>
      </c>
      <c r="I1494" t="s">
        <v>8682</v>
      </c>
      <c r="J1494" t="s">
        <v>26</v>
      </c>
      <c r="K1494" t="s">
        <v>26</v>
      </c>
      <c r="L1494" t="s">
        <v>8683</v>
      </c>
      <c r="M1494" t="s">
        <v>25</v>
      </c>
      <c r="N1494" t="s">
        <v>4025</v>
      </c>
      <c r="O1494" t="s">
        <v>4026</v>
      </c>
      <c r="P1494" t="s">
        <v>8684</v>
      </c>
      <c r="Q1494" t="s">
        <v>8685</v>
      </c>
      <c r="R1494">
        <v>310824</v>
      </c>
      <c r="S1494">
        <v>0</v>
      </c>
      <c r="T1494">
        <v>310824</v>
      </c>
      <c r="U1494" t="s">
        <v>35</v>
      </c>
      <c r="V1494" t="s">
        <v>4029</v>
      </c>
      <c r="W1494" t="s">
        <v>8686</v>
      </c>
      <c r="X1494" s="4">
        <v>1</v>
      </c>
      <c r="Y1494" s="4"/>
      <c r="Z1494">
        <f t="shared" si="92"/>
        <v>8</v>
      </c>
      <c r="AA1494">
        <f t="shared" si="93"/>
        <v>20</v>
      </c>
      <c r="AB1494" s="5">
        <f t="shared" si="94"/>
        <v>0.29780092592409346</v>
      </c>
      <c r="AC1494" s="3">
        <f t="shared" si="95"/>
        <v>9.025462963472819E-2</v>
      </c>
      <c r="AD1494" t="str" cm="1">
        <f t="array" ref="AD1494">IFERROR(_xlfn.IFS(
    AC1494="", "",
    AC1494*86400 &lt; 30, "1. 0s - &lt;30s",
    AC1494*86400 &lt; 60, "2. 30s - &lt;1m",
    AC1494*86400 &lt; 300, "3. 1m - &lt;5m",
    AC1494*86400 &lt; 1800, "4. 5m - &lt;30m",
    TRUE, "5. &gt;= 30m"
),"6. Invalid (Order rejected)")</f>
        <v>5. &gt;= 30m</v>
      </c>
    </row>
    <row r="1495" spans="1:30" x14ac:dyDescent="0.3">
      <c r="A1495" t="s">
        <v>8687</v>
      </c>
      <c r="B1495" t="s">
        <v>25</v>
      </c>
      <c r="C1495">
        <v>43756635</v>
      </c>
      <c r="D1495">
        <v>4728170</v>
      </c>
      <c r="E1495" t="s">
        <v>25</v>
      </c>
      <c r="F1495" t="s">
        <v>75</v>
      </c>
      <c r="G1495" t="s">
        <v>360</v>
      </c>
      <c r="H1495" t="s">
        <v>8688</v>
      </c>
      <c r="I1495" t="s">
        <v>8689</v>
      </c>
      <c r="J1495" t="s">
        <v>8690</v>
      </c>
      <c r="K1495" t="s">
        <v>26</v>
      </c>
      <c r="L1495" t="s">
        <v>25</v>
      </c>
      <c r="M1495" t="s">
        <v>25</v>
      </c>
      <c r="N1495" t="s">
        <v>8691</v>
      </c>
      <c r="O1495" t="s">
        <v>8692</v>
      </c>
      <c r="P1495" t="s">
        <v>2833</v>
      </c>
      <c r="Q1495" t="s">
        <v>2834</v>
      </c>
      <c r="R1495">
        <v>337392</v>
      </c>
      <c r="S1495">
        <v>261557</v>
      </c>
      <c r="T1495">
        <v>75835</v>
      </c>
      <c r="U1495" t="s">
        <v>35</v>
      </c>
      <c r="V1495" t="s">
        <v>8693</v>
      </c>
      <c r="W1495" t="s">
        <v>2836</v>
      </c>
      <c r="X1495" s="4">
        <v>1</v>
      </c>
      <c r="Y1495" s="4"/>
      <c r="Z1495">
        <f t="shared" si="92"/>
        <v>8</v>
      </c>
      <c r="AA1495">
        <f t="shared" si="93"/>
        <v>20</v>
      </c>
      <c r="AB1495" s="5">
        <f t="shared" si="94"/>
        <v>0.29936342592554865</v>
      </c>
      <c r="AC1495" s="3" t="str">
        <f t="shared" si="95"/>
        <v>Order rejected, no time available</v>
      </c>
      <c r="AD1495" t="str" cm="1">
        <f t="array" ref="AD1495">IFERROR(_xlfn.IFS(
    AC1495="", "",
    AC1495*86400 &lt; 30, "1. 0s - &lt;30s",
    AC1495*86400 &lt; 60, "2. 30s - &lt;1m",
    AC1495*86400 &lt; 300, "3. 1m - &lt;5m",
    AC1495*86400 &lt; 1800, "4. 5m - &lt;30m",
    TRUE, "5. &gt;= 30m"
),"6. Invalid (Order rejected)")</f>
        <v>6. Invalid (Order rejected)</v>
      </c>
    </row>
    <row r="1496" spans="1:30" hidden="1" x14ac:dyDescent="0.3">
      <c r="A1496" t="s">
        <v>8694</v>
      </c>
      <c r="B1496" t="s">
        <v>25</v>
      </c>
      <c r="C1496">
        <v>43740668</v>
      </c>
      <c r="D1496">
        <v>0</v>
      </c>
      <c r="E1496" t="s">
        <v>25</v>
      </c>
      <c r="F1496" t="s">
        <v>26</v>
      </c>
      <c r="G1496" t="s">
        <v>27</v>
      </c>
      <c r="H1496" t="s">
        <v>8695</v>
      </c>
      <c r="I1496" t="s">
        <v>8696</v>
      </c>
      <c r="J1496" t="s">
        <v>26</v>
      </c>
      <c r="K1496" t="s">
        <v>26</v>
      </c>
      <c r="L1496" t="s">
        <v>8697</v>
      </c>
      <c r="M1496" t="s">
        <v>25</v>
      </c>
      <c r="N1496" t="s">
        <v>8698</v>
      </c>
      <c r="O1496" t="s">
        <v>8699</v>
      </c>
      <c r="P1496" t="s">
        <v>8700</v>
      </c>
      <c r="Q1496" t="s">
        <v>8701</v>
      </c>
      <c r="R1496">
        <v>207468</v>
      </c>
      <c r="S1496">
        <v>0</v>
      </c>
      <c r="T1496">
        <v>207468</v>
      </c>
      <c r="U1496" t="s">
        <v>35</v>
      </c>
      <c r="V1496" t="s">
        <v>8702</v>
      </c>
      <c r="W1496" t="s">
        <v>8703</v>
      </c>
      <c r="X1496" s="4">
        <v>1</v>
      </c>
      <c r="Y1496" s="4"/>
      <c r="Z1496">
        <f t="shared" si="92"/>
        <v>8</v>
      </c>
      <c r="AA1496">
        <f t="shared" si="93"/>
        <v>20</v>
      </c>
      <c r="AB1496" s="5">
        <f t="shared" si="94"/>
        <v>0.29371527778130258</v>
      </c>
      <c r="AC1496" s="3">
        <f t="shared" si="95"/>
        <v>8.9618055550090503E-2</v>
      </c>
      <c r="AD1496" t="str" cm="1">
        <f t="array" ref="AD1496">IFERROR(_xlfn.IFS(
    AC1496="", "",
    AC1496*86400 &lt; 30, "1. 0s - &lt;30s",
    AC1496*86400 &lt; 60, "2. 30s - &lt;1m",
    AC1496*86400 &lt; 300, "3. 1m - &lt;5m",
    AC1496*86400 &lt; 1800, "4. 5m - &lt;30m",
    TRUE, "5. &gt;= 30m"
),"6. Invalid (Order rejected)")</f>
        <v>5. &gt;= 30m</v>
      </c>
    </row>
    <row r="1497" spans="1:30" hidden="1" x14ac:dyDescent="0.3">
      <c r="A1497" t="s">
        <v>8704</v>
      </c>
      <c r="B1497" t="s">
        <v>25</v>
      </c>
      <c r="C1497">
        <v>43756635</v>
      </c>
      <c r="D1497">
        <v>0</v>
      </c>
      <c r="E1497" t="s">
        <v>25</v>
      </c>
      <c r="F1497" t="s">
        <v>26</v>
      </c>
      <c r="G1497" t="s">
        <v>27</v>
      </c>
      <c r="H1497" t="s">
        <v>8705</v>
      </c>
      <c r="I1497" t="s">
        <v>8706</v>
      </c>
      <c r="J1497" t="s">
        <v>26</v>
      </c>
      <c r="K1497" t="s">
        <v>26</v>
      </c>
      <c r="L1497" t="s">
        <v>8707</v>
      </c>
      <c r="M1497" t="s">
        <v>25</v>
      </c>
      <c r="N1497" t="s">
        <v>8691</v>
      </c>
      <c r="O1497" t="s">
        <v>8692</v>
      </c>
      <c r="P1497" t="s">
        <v>4649</v>
      </c>
      <c r="Q1497" t="s">
        <v>4650</v>
      </c>
      <c r="R1497">
        <v>210924</v>
      </c>
      <c r="S1497">
        <v>0</v>
      </c>
      <c r="T1497">
        <v>210924</v>
      </c>
      <c r="U1497" t="s">
        <v>35</v>
      </c>
      <c r="V1497" t="s">
        <v>8693</v>
      </c>
      <c r="W1497" t="s">
        <v>4651</v>
      </c>
      <c r="X1497" s="4">
        <v>1</v>
      </c>
      <c r="Y1497" s="4"/>
      <c r="Z1497">
        <f t="shared" si="92"/>
        <v>8</v>
      </c>
      <c r="AA1497">
        <f t="shared" si="93"/>
        <v>20</v>
      </c>
      <c r="AB1497" s="5">
        <f t="shared" si="94"/>
        <v>0.29974537037196569</v>
      </c>
      <c r="AC1497" s="3">
        <f t="shared" si="95"/>
        <v>9.5347222217242233E-2</v>
      </c>
      <c r="AD1497" t="str" cm="1">
        <f t="array" ref="AD1497">IFERROR(_xlfn.IFS(
    AC1497="", "",
    AC1497*86400 &lt; 30, "1. 0s - &lt;30s",
    AC1497*86400 &lt; 60, "2. 30s - &lt;1m",
    AC1497*86400 &lt; 300, "3. 1m - &lt;5m",
    AC1497*86400 &lt; 1800, "4. 5m - &lt;30m",
    TRUE, "5. &gt;= 30m"
),"6. Invalid (Order rejected)")</f>
        <v>5. &gt;= 30m</v>
      </c>
    </row>
    <row r="1498" spans="1:30" hidden="1" x14ac:dyDescent="0.3">
      <c r="A1498" t="s">
        <v>8708</v>
      </c>
      <c r="B1498" t="s">
        <v>25</v>
      </c>
      <c r="C1498">
        <v>43756635</v>
      </c>
      <c r="D1498">
        <v>0</v>
      </c>
      <c r="E1498" t="s">
        <v>25</v>
      </c>
      <c r="F1498" t="s">
        <v>26</v>
      </c>
      <c r="G1498" t="s">
        <v>27</v>
      </c>
      <c r="H1498" t="s">
        <v>8709</v>
      </c>
      <c r="I1498" t="s">
        <v>8710</v>
      </c>
      <c r="J1498" t="s">
        <v>26</v>
      </c>
      <c r="K1498" t="s">
        <v>26</v>
      </c>
      <c r="L1498" t="s">
        <v>8711</v>
      </c>
      <c r="M1498" t="s">
        <v>25</v>
      </c>
      <c r="N1498" t="s">
        <v>4603</v>
      </c>
      <c r="O1498" t="s">
        <v>4604</v>
      </c>
      <c r="P1498" t="s">
        <v>8712</v>
      </c>
      <c r="Q1498" t="s">
        <v>8713</v>
      </c>
      <c r="R1498">
        <v>182628</v>
      </c>
      <c r="S1498">
        <v>0</v>
      </c>
      <c r="T1498">
        <v>182628</v>
      </c>
      <c r="U1498" t="s">
        <v>35</v>
      </c>
      <c r="V1498" t="s">
        <v>4607</v>
      </c>
      <c r="W1498" t="s">
        <v>8714</v>
      </c>
      <c r="X1498" s="4">
        <v>1</v>
      </c>
      <c r="Y1498" s="4"/>
      <c r="Z1498">
        <f t="shared" si="92"/>
        <v>8</v>
      </c>
      <c r="AA1498">
        <f t="shared" si="93"/>
        <v>20</v>
      </c>
      <c r="AB1498" s="5">
        <f t="shared" si="94"/>
        <v>0.30362268518365454</v>
      </c>
      <c r="AC1498" s="3">
        <f t="shared" si="95"/>
        <v>9.025462963472819E-2</v>
      </c>
      <c r="AD1498" t="str" cm="1">
        <f t="array" ref="AD1498">IFERROR(_xlfn.IFS(
    AC1498="", "",
    AC1498*86400 &lt; 30, "1. 0s - &lt;30s",
    AC1498*86400 &lt; 60, "2. 30s - &lt;1m",
    AC1498*86400 &lt; 300, "3. 1m - &lt;5m",
    AC1498*86400 &lt; 1800, "4. 5m - &lt;30m",
    TRUE, "5. &gt;= 30m"
),"6. Invalid (Order rejected)")</f>
        <v>5. &gt;= 30m</v>
      </c>
    </row>
    <row r="1499" spans="1:30" hidden="1" x14ac:dyDescent="0.3">
      <c r="A1499" t="s">
        <v>8715</v>
      </c>
      <c r="B1499" t="s">
        <v>25</v>
      </c>
      <c r="C1499">
        <v>43740668</v>
      </c>
      <c r="D1499">
        <v>0</v>
      </c>
      <c r="E1499" t="s">
        <v>8716</v>
      </c>
      <c r="F1499" t="s">
        <v>26</v>
      </c>
      <c r="G1499" t="s">
        <v>27</v>
      </c>
      <c r="H1499" t="s">
        <v>8717</v>
      </c>
      <c r="I1499" t="s">
        <v>8718</v>
      </c>
      <c r="J1499" t="s">
        <v>26</v>
      </c>
      <c r="K1499" t="s">
        <v>26</v>
      </c>
      <c r="L1499" t="s">
        <v>8719</v>
      </c>
      <c r="M1499" t="s">
        <v>25</v>
      </c>
      <c r="N1499" t="s">
        <v>8720</v>
      </c>
      <c r="O1499" t="s">
        <v>8721</v>
      </c>
      <c r="P1499" t="s">
        <v>8722</v>
      </c>
      <c r="Q1499" t="s">
        <v>8723</v>
      </c>
      <c r="R1499">
        <v>241164</v>
      </c>
      <c r="S1499">
        <v>0</v>
      </c>
      <c r="T1499">
        <v>241164</v>
      </c>
      <c r="U1499" t="s">
        <v>35</v>
      </c>
      <c r="V1499" t="s">
        <v>2189</v>
      </c>
      <c r="W1499" t="s">
        <v>8724</v>
      </c>
      <c r="X1499" s="4">
        <v>1</v>
      </c>
      <c r="Y1499" s="4"/>
      <c r="Z1499">
        <f t="shared" si="92"/>
        <v>8</v>
      </c>
      <c r="AA1499">
        <f t="shared" si="93"/>
        <v>20</v>
      </c>
      <c r="AB1499" s="5">
        <f t="shared" si="94"/>
        <v>0.29776620370103046</v>
      </c>
      <c r="AC1499" s="3">
        <f t="shared" si="95"/>
        <v>8.9733796296059154E-2</v>
      </c>
      <c r="AD1499" t="str" cm="1">
        <f t="array" ref="AD1499">IFERROR(_xlfn.IFS(
    AC1499="", "",
    AC1499*86400 &lt; 30, "1. 0s - &lt;30s",
    AC1499*86400 &lt; 60, "2. 30s - &lt;1m",
    AC1499*86400 &lt; 300, "3. 1m - &lt;5m",
    AC1499*86400 &lt; 1800, "4. 5m - &lt;30m",
    TRUE, "5. &gt;= 30m"
),"6. Invalid (Order rejected)")</f>
        <v>5. &gt;= 30m</v>
      </c>
    </row>
    <row r="1500" spans="1:30" hidden="1" x14ac:dyDescent="0.3">
      <c r="A1500" t="s">
        <v>8725</v>
      </c>
      <c r="B1500" t="s">
        <v>25</v>
      </c>
      <c r="C1500">
        <v>43756635</v>
      </c>
      <c r="D1500">
        <v>0</v>
      </c>
      <c r="E1500" t="s">
        <v>25</v>
      </c>
      <c r="F1500" t="s">
        <v>26</v>
      </c>
      <c r="G1500" t="s">
        <v>27</v>
      </c>
      <c r="H1500" t="s">
        <v>8726</v>
      </c>
      <c r="I1500" t="s">
        <v>8727</v>
      </c>
      <c r="J1500" t="s">
        <v>26</v>
      </c>
      <c r="K1500" t="s">
        <v>26</v>
      </c>
      <c r="L1500" t="s">
        <v>8728</v>
      </c>
      <c r="M1500" t="s">
        <v>25</v>
      </c>
      <c r="N1500" t="s">
        <v>1349</v>
      </c>
      <c r="O1500" t="s">
        <v>1350</v>
      </c>
      <c r="P1500" t="s">
        <v>8729</v>
      </c>
      <c r="Q1500" t="s">
        <v>5002</v>
      </c>
      <c r="R1500">
        <v>162756</v>
      </c>
      <c r="S1500">
        <v>0</v>
      </c>
      <c r="T1500">
        <v>162756</v>
      </c>
      <c r="U1500" t="s">
        <v>35</v>
      </c>
      <c r="V1500" t="s">
        <v>1353</v>
      </c>
      <c r="W1500" t="s">
        <v>8730</v>
      </c>
      <c r="X1500" s="4">
        <v>1</v>
      </c>
      <c r="Y1500" s="4"/>
      <c r="Z1500">
        <f t="shared" si="92"/>
        <v>8</v>
      </c>
      <c r="AA1500">
        <f t="shared" si="93"/>
        <v>20</v>
      </c>
      <c r="AB1500" s="5">
        <f t="shared" si="94"/>
        <v>0.30620370370161254</v>
      </c>
      <c r="AC1500" s="3">
        <f t="shared" si="95"/>
        <v>9.0266203704231884E-2</v>
      </c>
      <c r="AD1500" t="str" cm="1">
        <f t="array" ref="AD1500">IFERROR(_xlfn.IFS(
    AC1500="", "",
    AC1500*86400 &lt; 30, "1. 0s - &lt;30s",
    AC1500*86400 &lt; 60, "2. 30s - &lt;1m",
    AC1500*86400 &lt; 300, "3. 1m - &lt;5m",
    AC1500*86400 &lt; 1800, "4. 5m - &lt;30m",
    TRUE, "5. &gt;= 30m"
),"6. Invalid (Order rejected)")</f>
        <v>5. &gt;= 30m</v>
      </c>
    </row>
    <row r="1501" spans="1:30" hidden="1" x14ac:dyDescent="0.3">
      <c r="A1501" t="s">
        <v>8731</v>
      </c>
      <c r="B1501" t="s">
        <v>25</v>
      </c>
      <c r="C1501">
        <v>43756635</v>
      </c>
      <c r="D1501">
        <v>0</v>
      </c>
      <c r="E1501" t="s">
        <v>25</v>
      </c>
      <c r="F1501" t="s">
        <v>26</v>
      </c>
      <c r="G1501" t="s">
        <v>27</v>
      </c>
      <c r="H1501" t="s">
        <v>8732</v>
      </c>
      <c r="I1501" t="s">
        <v>8733</v>
      </c>
      <c r="J1501" t="s">
        <v>26</v>
      </c>
      <c r="K1501" t="s">
        <v>26</v>
      </c>
      <c r="L1501" t="s">
        <v>8734</v>
      </c>
      <c r="M1501" t="s">
        <v>25</v>
      </c>
      <c r="N1501" t="s">
        <v>2811</v>
      </c>
      <c r="O1501" t="s">
        <v>2812</v>
      </c>
      <c r="P1501" t="s">
        <v>8735</v>
      </c>
      <c r="Q1501" t="s">
        <v>8736</v>
      </c>
      <c r="R1501">
        <v>269676</v>
      </c>
      <c r="S1501">
        <v>0</v>
      </c>
      <c r="T1501">
        <v>269676</v>
      </c>
      <c r="U1501" t="s">
        <v>35</v>
      </c>
      <c r="V1501" t="s">
        <v>2813</v>
      </c>
      <c r="W1501" t="s">
        <v>8737</v>
      </c>
      <c r="X1501" s="4">
        <v>1</v>
      </c>
      <c r="Y1501" s="4"/>
      <c r="Z1501">
        <f t="shared" si="92"/>
        <v>8</v>
      </c>
      <c r="AA1501">
        <f t="shared" si="93"/>
        <v>20</v>
      </c>
      <c r="AB1501" s="5">
        <f t="shared" si="94"/>
        <v>0.30709490740991896</v>
      </c>
      <c r="AC1501" s="3">
        <f t="shared" si="95"/>
        <v>9.0266203704231884E-2</v>
      </c>
      <c r="AD1501" t="str" cm="1">
        <f t="array" ref="AD1501">IFERROR(_xlfn.IFS(
    AC1501="", "",
    AC1501*86400 &lt; 30, "1. 0s - &lt;30s",
    AC1501*86400 &lt; 60, "2. 30s - &lt;1m",
    AC1501*86400 &lt; 300, "3. 1m - &lt;5m",
    AC1501*86400 &lt; 1800, "4. 5m - &lt;30m",
    TRUE, "5. &gt;= 30m"
),"6. Invalid (Order rejected)")</f>
        <v>5. &gt;= 30m</v>
      </c>
    </row>
    <row r="1502" spans="1:30" x14ac:dyDescent="0.3">
      <c r="A1502" t="s">
        <v>8738</v>
      </c>
      <c r="B1502" t="s">
        <v>25</v>
      </c>
      <c r="C1502">
        <v>43740668</v>
      </c>
      <c r="D1502">
        <v>3008767</v>
      </c>
      <c r="E1502" t="s">
        <v>25</v>
      </c>
      <c r="F1502" t="s">
        <v>75</v>
      </c>
      <c r="G1502" t="s">
        <v>360</v>
      </c>
      <c r="H1502" t="s">
        <v>8739</v>
      </c>
      <c r="I1502" t="s">
        <v>8740</v>
      </c>
      <c r="J1502" t="s">
        <v>8741</v>
      </c>
      <c r="K1502" t="s">
        <v>26</v>
      </c>
      <c r="L1502" t="s">
        <v>25</v>
      </c>
      <c r="M1502" t="s">
        <v>25</v>
      </c>
      <c r="N1502" t="s">
        <v>8742</v>
      </c>
      <c r="O1502" t="s">
        <v>8743</v>
      </c>
      <c r="P1502" t="s">
        <v>8744</v>
      </c>
      <c r="Q1502" t="s">
        <v>8745</v>
      </c>
      <c r="R1502">
        <v>232524</v>
      </c>
      <c r="S1502">
        <v>180260</v>
      </c>
      <c r="T1502">
        <v>52264</v>
      </c>
      <c r="U1502" t="s">
        <v>35</v>
      </c>
      <c r="V1502" t="s">
        <v>8746</v>
      </c>
      <c r="W1502" t="s">
        <v>8747</v>
      </c>
      <c r="X1502" s="4">
        <v>1</v>
      </c>
      <c r="Y1502" s="4"/>
      <c r="Z1502">
        <f t="shared" si="92"/>
        <v>8</v>
      </c>
      <c r="AA1502">
        <f t="shared" si="93"/>
        <v>20</v>
      </c>
      <c r="AB1502" s="5">
        <f t="shared" si="94"/>
        <v>0.30744212962599704</v>
      </c>
      <c r="AC1502" s="3" t="str">
        <f t="shared" si="95"/>
        <v>Order rejected, no time available</v>
      </c>
      <c r="AD1502" t="str" cm="1">
        <f t="array" ref="AD1502">IFERROR(_xlfn.IFS(
    AC1502="", "",
    AC1502*86400 &lt; 30, "1. 0s - &lt;30s",
    AC1502*86400 &lt; 60, "2. 30s - &lt;1m",
    AC1502*86400 &lt; 300, "3. 1m - &lt;5m",
    AC1502*86400 &lt; 1800, "4. 5m - &lt;30m",
    TRUE, "5. &gt;= 30m"
),"6. Invalid (Order rejected)")</f>
        <v>6. Invalid (Order rejected)</v>
      </c>
    </row>
    <row r="1503" spans="1:30" hidden="1" x14ac:dyDescent="0.3">
      <c r="A1503" t="s">
        <v>8748</v>
      </c>
      <c r="B1503" t="s">
        <v>25</v>
      </c>
      <c r="C1503">
        <v>43756635</v>
      </c>
      <c r="D1503">
        <v>0</v>
      </c>
      <c r="E1503" t="s">
        <v>25</v>
      </c>
      <c r="F1503" t="s">
        <v>26</v>
      </c>
      <c r="G1503" t="s">
        <v>27</v>
      </c>
      <c r="H1503" t="s">
        <v>8749</v>
      </c>
      <c r="I1503" t="s">
        <v>8750</v>
      </c>
      <c r="J1503" t="s">
        <v>26</v>
      </c>
      <c r="K1503" t="s">
        <v>26</v>
      </c>
      <c r="L1503" t="s">
        <v>8751</v>
      </c>
      <c r="M1503" t="s">
        <v>25</v>
      </c>
      <c r="N1503" t="s">
        <v>4603</v>
      </c>
      <c r="O1503" t="s">
        <v>4604</v>
      </c>
      <c r="P1503" t="s">
        <v>8752</v>
      </c>
      <c r="Q1503" t="s">
        <v>8753</v>
      </c>
      <c r="R1503">
        <v>185328</v>
      </c>
      <c r="S1503">
        <v>0</v>
      </c>
      <c r="T1503">
        <v>185328</v>
      </c>
      <c r="U1503" t="s">
        <v>35</v>
      </c>
      <c r="V1503" t="s">
        <v>4607</v>
      </c>
      <c r="W1503" t="s">
        <v>8754</v>
      </c>
      <c r="X1503" s="4">
        <v>1</v>
      </c>
      <c r="Y1503" s="4"/>
      <c r="Z1503">
        <f t="shared" si="92"/>
        <v>8</v>
      </c>
      <c r="AA1503">
        <f t="shared" si="93"/>
        <v>20</v>
      </c>
      <c r="AB1503" s="5">
        <f t="shared" si="94"/>
        <v>0.30315972222160781</v>
      </c>
      <c r="AC1503" s="3">
        <f t="shared" si="95"/>
        <v>9.0266203704231884E-2</v>
      </c>
      <c r="AD1503" t="str" cm="1">
        <f t="array" ref="AD1503">IFERROR(_xlfn.IFS(
    AC1503="", "",
    AC1503*86400 &lt; 30, "1. 0s - &lt;30s",
    AC1503*86400 &lt; 60, "2. 30s - &lt;1m",
    AC1503*86400 &lt; 300, "3. 1m - &lt;5m",
    AC1503*86400 &lt; 1800, "4. 5m - &lt;30m",
    TRUE, "5. &gt;= 30m"
),"6. Invalid (Order rejected)")</f>
        <v>5. &gt;= 30m</v>
      </c>
    </row>
    <row r="1504" spans="1:30" hidden="1" x14ac:dyDescent="0.3">
      <c r="A1504" t="s">
        <v>8755</v>
      </c>
      <c r="B1504" t="s">
        <v>25</v>
      </c>
      <c r="C1504">
        <v>43756635</v>
      </c>
      <c r="D1504">
        <v>0</v>
      </c>
      <c r="E1504" t="s">
        <v>25</v>
      </c>
      <c r="F1504" t="s">
        <v>26</v>
      </c>
      <c r="G1504" t="s">
        <v>27</v>
      </c>
      <c r="H1504" t="s">
        <v>8756</v>
      </c>
      <c r="I1504" t="s">
        <v>8757</v>
      </c>
      <c r="J1504" t="s">
        <v>26</v>
      </c>
      <c r="K1504" t="s">
        <v>26</v>
      </c>
      <c r="L1504" t="s">
        <v>8758</v>
      </c>
      <c r="M1504" t="s">
        <v>25</v>
      </c>
      <c r="N1504" t="s">
        <v>1911</v>
      </c>
      <c r="O1504" t="s">
        <v>1912</v>
      </c>
      <c r="P1504" t="s">
        <v>4586</v>
      </c>
      <c r="Q1504" t="s">
        <v>4587</v>
      </c>
      <c r="R1504">
        <v>236520</v>
      </c>
      <c r="S1504">
        <v>0</v>
      </c>
      <c r="T1504">
        <v>236520</v>
      </c>
      <c r="U1504" t="s">
        <v>35</v>
      </c>
      <c r="V1504" t="s">
        <v>1915</v>
      </c>
      <c r="W1504" t="s">
        <v>4588</v>
      </c>
      <c r="X1504" s="4">
        <v>1</v>
      </c>
      <c r="Y1504" s="4"/>
      <c r="Z1504">
        <f t="shared" si="92"/>
        <v>8</v>
      </c>
      <c r="AA1504">
        <f t="shared" si="93"/>
        <v>20</v>
      </c>
      <c r="AB1504" s="5">
        <f t="shared" si="94"/>
        <v>0.30652777777868323</v>
      </c>
      <c r="AC1504" s="3">
        <f t="shared" si="95"/>
        <v>9.0266203704231884E-2</v>
      </c>
      <c r="AD1504" t="str" cm="1">
        <f t="array" ref="AD1504">IFERROR(_xlfn.IFS(
    AC1504="", "",
    AC1504*86400 &lt; 30, "1. 0s - &lt;30s",
    AC1504*86400 &lt; 60, "2. 30s - &lt;1m",
    AC1504*86400 &lt; 300, "3. 1m - &lt;5m",
    AC1504*86400 &lt; 1800, "4. 5m - &lt;30m",
    TRUE, "5. &gt;= 30m"
),"6. Invalid (Order rejected)")</f>
        <v>5. &gt;= 30m</v>
      </c>
    </row>
    <row r="1505" spans="1:30" hidden="1" x14ac:dyDescent="0.3">
      <c r="A1505" t="s">
        <v>8759</v>
      </c>
      <c r="B1505" t="s">
        <v>25</v>
      </c>
      <c r="C1505">
        <v>43756635</v>
      </c>
      <c r="D1505">
        <v>0</v>
      </c>
      <c r="E1505" t="s">
        <v>25</v>
      </c>
      <c r="F1505" t="s">
        <v>26</v>
      </c>
      <c r="G1505" t="s">
        <v>27</v>
      </c>
      <c r="H1505" t="s">
        <v>8760</v>
      </c>
      <c r="I1505" t="s">
        <v>8761</v>
      </c>
      <c r="J1505" t="s">
        <v>26</v>
      </c>
      <c r="K1505" t="s">
        <v>26</v>
      </c>
      <c r="L1505" t="s">
        <v>8762</v>
      </c>
      <c r="M1505" t="s">
        <v>25</v>
      </c>
      <c r="N1505" t="s">
        <v>2877</v>
      </c>
      <c r="O1505" t="s">
        <v>2878</v>
      </c>
      <c r="P1505" t="s">
        <v>4666</v>
      </c>
      <c r="Q1505" t="s">
        <v>4667</v>
      </c>
      <c r="R1505">
        <v>232632</v>
      </c>
      <c r="S1505">
        <v>0</v>
      </c>
      <c r="T1505">
        <v>232632</v>
      </c>
      <c r="U1505" t="s">
        <v>35</v>
      </c>
      <c r="V1505" t="s">
        <v>2879</v>
      </c>
      <c r="W1505" t="s">
        <v>4669</v>
      </c>
      <c r="X1505" s="4">
        <v>1</v>
      </c>
      <c r="Y1505" s="4"/>
      <c r="Z1505">
        <f t="shared" si="92"/>
        <v>8</v>
      </c>
      <c r="AA1505">
        <f t="shared" si="93"/>
        <v>20</v>
      </c>
      <c r="AB1505" s="5">
        <f t="shared" si="94"/>
        <v>0.307372685187147</v>
      </c>
      <c r="AC1505" s="3">
        <f t="shared" si="95"/>
        <v>9.0266203704231884E-2</v>
      </c>
      <c r="AD1505" t="str" cm="1">
        <f t="array" ref="AD1505">IFERROR(_xlfn.IFS(
    AC1505="", "",
    AC1505*86400 &lt; 30, "1. 0s - &lt;30s",
    AC1505*86400 &lt; 60, "2. 30s - &lt;1m",
    AC1505*86400 &lt; 300, "3. 1m - &lt;5m",
    AC1505*86400 &lt; 1800, "4. 5m - &lt;30m",
    TRUE, "5. &gt;= 30m"
),"6. Invalid (Order rejected)")</f>
        <v>5. &gt;= 30m</v>
      </c>
    </row>
    <row r="1506" spans="1:30" hidden="1" x14ac:dyDescent="0.3">
      <c r="A1506" t="s">
        <v>8763</v>
      </c>
      <c r="B1506" t="s">
        <v>25</v>
      </c>
      <c r="C1506">
        <v>43756635</v>
      </c>
      <c r="D1506">
        <v>0</v>
      </c>
      <c r="E1506" t="s">
        <v>25</v>
      </c>
      <c r="F1506" t="s">
        <v>26</v>
      </c>
      <c r="G1506" t="s">
        <v>27</v>
      </c>
      <c r="H1506" t="s">
        <v>8764</v>
      </c>
      <c r="I1506" t="s">
        <v>8765</v>
      </c>
      <c r="J1506" t="s">
        <v>26</v>
      </c>
      <c r="K1506" t="s">
        <v>26</v>
      </c>
      <c r="L1506" t="s">
        <v>8766</v>
      </c>
      <c r="M1506" t="s">
        <v>25</v>
      </c>
      <c r="N1506" t="s">
        <v>8691</v>
      </c>
      <c r="O1506" t="s">
        <v>8692</v>
      </c>
      <c r="P1506" t="s">
        <v>8735</v>
      </c>
      <c r="Q1506" t="s">
        <v>8736</v>
      </c>
      <c r="R1506">
        <v>265680</v>
      </c>
      <c r="S1506">
        <v>0</v>
      </c>
      <c r="T1506">
        <v>265680</v>
      </c>
      <c r="U1506" t="s">
        <v>35</v>
      </c>
      <c r="V1506" t="s">
        <v>8693</v>
      </c>
      <c r="W1506" t="s">
        <v>8737</v>
      </c>
      <c r="X1506" s="4">
        <v>1</v>
      </c>
      <c r="Y1506" s="4"/>
      <c r="Z1506">
        <f t="shared" si="92"/>
        <v>8</v>
      </c>
      <c r="AA1506">
        <f t="shared" si="93"/>
        <v>20</v>
      </c>
      <c r="AB1506" s="5">
        <f t="shared" si="94"/>
        <v>0.30024305555707542</v>
      </c>
      <c r="AC1506" s="3">
        <f t="shared" si="95"/>
        <v>9.0254629627452232E-2</v>
      </c>
      <c r="AD1506" t="str" cm="1">
        <f t="array" ref="AD1506">IFERROR(_xlfn.IFS(
    AC1506="", "",
    AC1506*86400 &lt; 30, "1. 0s - &lt;30s",
    AC1506*86400 &lt; 60, "2. 30s - &lt;1m",
    AC1506*86400 &lt; 300, "3. 1m - &lt;5m",
    AC1506*86400 &lt; 1800, "4. 5m - &lt;30m",
    TRUE, "5. &gt;= 30m"
),"6. Invalid (Order rejected)")</f>
        <v>5. &gt;= 30m</v>
      </c>
    </row>
    <row r="1507" spans="1:30" hidden="1" x14ac:dyDescent="0.3">
      <c r="A1507" t="s">
        <v>8767</v>
      </c>
      <c r="B1507" t="s">
        <v>25</v>
      </c>
      <c r="C1507">
        <v>43756635</v>
      </c>
      <c r="D1507">
        <v>0</v>
      </c>
      <c r="E1507" t="s">
        <v>25</v>
      </c>
      <c r="F1507" t="s">
        <v>26</v>
      </c>
      <c r="G1507" t="s">
        <v>27</v>
      </c>
      <c r="H1507" t="s">
        <v>8768</v>
      </c>
      <c r="I1507" t="s">
        <v>8769</v>
      </c>
      <c r="J1507" t="s">
        <v>26</v>
      </c>
      <c r="K1507" t="s">
        <v>26</v>
      </c>
      <c r="L1507" t="s">
        <v>8770</v>
      </c>
      <c r="M1507" t="s">
        <v>25</v>
      </c>
      <c r="N1507" t="s">
        <v>8691</v>
      </c>
      <c r="O1507" t="s">
        <v>8692</v>
      </c>
      <c r="P1507" t="s">
        <v>4666</v>
      </c>
      <c r="Q1507" t="s">
        <v>4667</v>
      </c>
      <c r="R1507">
        <v>291708</v>
      </c>
      <c r="S1507">
        <v>0</v>
      </c>
      <c r="T1507">
        <v>291708</v>
      </c>
      <c r="U1507" t="s">
        <v>35</v>
      </c>
      <c r="V1507" t="s">
        <v>8693</v>
      </c>
      <c r="W1507" t="s">
        <v>4669</v>
      </c>
      <c r="X1507" s="4">
        <v>1</v>
      </c>
      <c r="Y1507" s="4"/>
      <c r="Z1507">
        <f t="shared" si="92"/>
        <v>8</v>
      </c>
      <c r="AA1507">
        <f t="shared" si="93"/>
        <v>20</v>
      </c>
      <c r="AB1507" s="5">
        <f t="shared" si="94"/>
        <v>0.30064814814977581</v>
      </c>
      <c r="AC1507" s="3">
        <f t="shared" si="95"/>
        <v>0.16880787036643596</v>
      </c>
      <c r="AD1507" t="str" cm="1">
        <f t="array" ref="AD1507">IFERROR(_xlfn.IFS(
    AC1507="", "",
    AC1507*86400 &lt; 30, "1. 0s - &lt;30s",
    AC1507*86400 &lt; 60, "2. 30s - &lt;1m",
    AC1507*86400 &lt; 300, "3. 1m - &lt;5m",
    AC1507*86400 &lt; 1800, "4. 5m - &lt;30m",
    TRUE, "5. &gt;= 30m"
),"6. Invalid (Order rejected)")</f>
        <v>5. &gt;= 30m</v>
      </c>
    </row>
    <row r="1508" spans="1:30" hidden="1" x14ac:dyDescent="0.3">
      <c r="A1508" t="s">
        <v>8771</v>
      </c>
      <c r="B1508" t="s">
        <v>25</v>
      </c>
      <c r="C1508">
        <v>43756635</v>
      </c>
      <c r="D1508">
        <v>0</v>
      </c>
      <c r="E1508" t="s">
        <v>25</v>
      </c>
      <c r="F1508" t="s">
        <v>26</v>
      </c>
      <c r="G1508" t="s">
        <v>27</v>
      </c>
      <c r="H1508" t="s">
        <v>8772</v>
      </c>
      <c r="I1508" t="s">
        <v>8773</v>
      </c>
      <c r="J1508" t="s">
        <v>26</v>
      </c>
      <c r="K1508" t="s">
        <v>26</v>
      </c>
      <c r="L1508" t="s">
        <v>8774</v>
      </c>
      <c r="M1508" t="s">
        <v>25</v>
      </c>
      <c r="N1508" t="s">
        <v>4603</v>
      </c>
      <c r="O1508" t="s">
        <v>4604</v>
      </c>
      <c r="P1508" t="s">
        <v>4697</v>
      </c>
      <c r="Q1508" t="s">
        <v>4698</v>
      </c>
      <c r="R1508">
        <v>290520</v>
      </c>
      <c r="S1508">
        <v>0</v>
      </c>
      <c r="T1508">
        <v>290520</v>
      </c>
      <c r="U1508" t="s">
        <v>35</v>
      </c>
      <c r="V1508" t="s">
        <v>4607</v>
      </c>
      <c r="W1508" t="s">
        <v>4700</v>
      </c>
      <c r="X1508" s="4">
        <v>1</v>
      </c>
      <c r="Y1508" s="4"/>
      <c r="Z1508">
        <f t="shared" si="92"/>
        <v>8</v>
      </c>
      <c r="AA1508">
        <f t="shared" si="93"/>
        <v>20</v>
      </c>
      <c r="AB1508" s="5">
        <f t="shared" si="94"/>
        <v>0.30174768518190831</v>
      </c>
      <c r="AC1508" s="3">
        <f t="shared" si="95"/>
        <v>9.025462963472819E-2</v>
      </c>
      <c r="AD1508" t="str" cm="1">
        <f t="array" ref="AD1508">IFERROR(_xlfn.IFS(
    AC1508="", "",
    AC1508*86400 &lt; 30, "1. 0s - &lt;30s",
    AC1508*86400 &lt; 60, "2. 30s - &lt;1m",
    AC1508*86400 &lt; 300, "3. 1m - &lt;5m",
    AC1508*86400 &lt; 1800, "4. 5m - &lt;30m",
    TRUE, "5. &gt;= 30m"
),"6. Invalid (Order rejected)")</f>
        <v>5. &gt;= 30m</v>
      </c>
    </row>
    <row r="1509" spans="1:30" x14ac:dyDescent="0.3">
      <c r="A1509" t="s">
        <v>8775</v>
      </c>
      <c r="B1509" t="s">
        <v>25</v>
      </c>
      <c r="C1509">
        <v>43740668</v>
      </c>
      <c r="D1509">
        <v>3122706</v>
      </c>
      <c r="E1509" t="s">
        <v>25</v>
      </c>
      <c r="F1509" t="s">
        <v>75</v>
      </c>
      <c r="G1509" t="s">
        <v>360</v>
      </c>
      <c r="H1509" t="s">
        <v>8776</v>
      </c>
      <c r="I1509" t="s">
        <v>8777</v>
      </c>
      <c r="J1509" t="s">
        <v>8778</v>
      </c>
      <c r="K1509" t="s">
        <v>26</v>
      </c>
      <c r="L1509" t="s">
        <v>25</v>
      </c>
      <c r="M1509" t="s">
        <v>25</v>
      </c>
      <c r="N1509" t="s">
        <v>8779</v>
      </c>
      <c r="O1509" t="s">
        <v>8780</v>
      </c>
      <c r="P1509" t="s">
        <v>8781</v>
      </c>
      <c r="Q1509" t="s">
        <v>8782</v>
      </c>
      <c r="R1509">
        <v>243756</v>
      </c>
      <c r="S1509">
        <v>188967</v>
      </c>
      <c r="T1509">
        <v>54789</v>
      </c>
      <c r="U1509" t="s">
        <v>35</v>
      </c>
      <c r="V1509" t="s">
        <v>8783</v>
      </c>
      <c r="W1509" t="s">
        <v>8784</v>
      </c>
      <c r="X1509" s="4">
        <v>1</v>
      </c>
      <c r="Y1509" s="4"/>
      <c r="Z1509">
        <f t="shared" si="92"/>
        <v>8</v>
      </c>
      <c r="AA1509">
        <f t="shared" si="93"/>
        <v>20</v>
      </c>
      <c r="AB1509" s="5">
        <f t="shared" si="94"/>
        <v>0.30932870370452292</v>
      </c>
      <c r="AC1509" s="3" t="str">
        <f t="shared" si="95"/>
        <v>Order rejected, no time available</v>
      </c>
      <c r="AD1509" t="str" cm="1">
        <f t="array" ref="AD1509">IFERROR(_xlfn.IFS(
    AC1509="", "",
    AC1509*86400 &lt; 30, "1. 0s - &lt;30s",
    AC1509*86400 &lt; 60, "2. 30s - &lt;1m",
    AC1509*86400 &lt; 300, "3. 1m - &lt;5m",
    AC1509*86400 &lt; 1800, "4. 5m - &lt;30m",
    TRUE, "5. &gt;= 30m"
),"6. Invalid (Order rejected)")</f>
        <v>6. Invalid (Order rejected)</v>
      </c>
    </row>
    <row r="1510" spans="1:30" hidden="1" x14ac:dyDescent="0.3">
      <c r="A1510" t="s">
        <v>8785</v>
      </c>
      <c r="B1510" t="s">
        <v>25</v>
      </c>
      <c r="C1510">
        <v>43756635</v>
      </c>
      <c r="D1510">
        <v>2852976</v>
      </c>
      <c r="E1510" t="s">
        <v>25</v>
      </c>
      <c r="F1510" t="s">
        <v>75</v>
      </c>
      <c r="G1510" t="s">
        <v>76</v>
      </c>
      <c r="H1510" t="s">
        <v>8786</v>
      </c>
      <c r="I1510" t="s">
        <v>8787</v>
      </c>
      <c r="J1510" t="s">
        <v>8788</v>
      </c>
      <c r="K1510" t="s">
        <v>26</v>
      </c>
      <c r="L1510" t="s">
        <v>8789</v>
      </c>
      <c r="M1510" t="s">
        <v>25</v>
      </c>
      <c r="N1510" t="s">
        <v>4664</v>
      </c>
      <c r="O1510" t="s">
        <v>4665</v>
      </c>
      <c r="P1510" t="s">
        <v>8735</v>
      </c>
      <c r="Q1510" t="s">
        <v>8736</v>
      </c>
      <c r="R1510">
        <v>231768</v>
      </c>
      <c r="S1510">
        <v>190243</v>
      </c>
      <c r="T1510">
        <v>41525</v>
      </c>
      <c r="U1510" t="s">
        <v>35</v>
      </c>
      <c r="V1510" t="s">
        <v>4668</v>
      </c>
      <c r="W1510" t="s">
        <v>8737</v>
      </c>
      <c r="X1510" s="4">
        <v>1</v>
      </c>
      <c r="Y1510" s="4"/>
      <c r="Z1510">
        <f t="shared" si="92"/>
        <v>8</v>
      </c>
      <c r="AA1510">
        <f t="shared" si="93"/>
        <v>20</v>
      </c>
      <c r="AB1510" s="5">
        <f t="shared" si="94"/>
        <v>0.31131944444496185</v>
      </c>
      <c r="AC1510" s="3">
        <f t="shared" si="95"/>
        <v>8.2407407389837317E-3</v>
      </c>
      <c r="AD1510" t="str" cm="1">
        <f t="array" ref="AD1510">IFERROR(_xlfn.IFS(
    AC1510="", "",
    AC1510*86400 &lt; 30, "1. 0s - &lt;30s",
    AC1510*86400 &lt; 60, "2. 30s - &lt;1m",
    AC1510*86400 &lt; 300, "3. 1m - &lt;5m",
    AC1510*86400 &lt; 1800, "4. 5m - &lt;30m",
    TRUE, "5. &gt;= 30m"
),"6. Invalid (Order rejected)")</f>
        <v>4. 5m - &lt;30m</v>
      </c>
    </row>
    <row r="1511" spans="1:30" x14ac:dyDescent="0.3">
      <c r="A1511" t="s">
        <v>8790</v>
      </c>
      <c r="B1511" t="s">
        <v>25</v>
      </c>
      <c r="C1511">
        <v>43756635</v>
      </c>
      <c r="D1511">
        <v>4361679</v>
      </c>
      <c r="E1511" t="s">
        <v>25</v>
      </c>
      <c r="F1511" t="s">
        <v>75</v>
      </c>
      <c r="G1511" t="s">
        <v>360</v>
      </c>
      <c r="H1511" t="s">
        <v>8791</v>
      </c>
      <c r="I1511" t="s">
        <v>8792</v>
      </c>
      <c r="J1511" t="s">
        <v>8793</v>
      </c>
      <c r="K1511" t="s">
        <v>26</v>
      </c>
      <c r="L1511" t="s">
        <v>25</v>
      </c>
      <c r="M1511" t="s">
        <v>25</v>
      </c>
      <c r="N1511" t="s">
        <v>2877</v>
      </c>
      <c r="O1511" t="s">
        <v>2878</v>
      </c>
      <c r="P1511" t="s">
        <v>4697</v>
      </c>
      <c r="Q1511" t="s">
        <v>4698</v>
      </c>
      <c r="R1511">
        <v>290088</v>
      </c>
      <c r="S1511">
        <v>224885</v>
      </c>
      <c r="T1511">
        <v>65203</v>
      </c>
      <c r="U1511" t="s">
        <v>35</v>
      </c>
      <c r="V1511" t="s">
        <v>2879</v>
      </c>
      <c r="W1511" t="s">
        <v>4700</v>
      </c>
      <c r="X1511" s="4">
        <v>1</v>
      </c>
      <c r="Y1511" s="4"/>
      <c r="Z1511">
        <f t="shared" si="92"/>
        <v>8</v>
      </c>
      <c r="AA1511">
        <f t="shared" si="93"/>
        <v>20</v>
      </c>
      <c r="AB1511" s="5">
        <f t="shared" si="94"/>
        <v>0.30751157407212304</v>
      </c>
      <c r="AC1511" s="3" t="str">
        <f t="shared" si="95"/>
        <v>Order rejected, no time available</v>
      </c>
      <c r="AD1511" t="str" cm="1">
        <f t="array" ref="AD1511">IFERROR(_xlfn.IFS(
    AC1511="", "",
    AC1511*86400 &lt; 30, "1. 0s - &lt;30s",
    AC1511*86400 &lt; 60, "2. 30s - &lt;1m",
    AC1511*86400 &lt; 300, "3. 1m - &lt;5m",
    AC1511*86400 &lt; 1800, "4. 5m - &lt;30m",
    TRUE, "5. &gt;= 30m"
),"6. Invalid (Order rejected)")</f>
        <v>6. Invalid (Order rejected)</v>
      </c>
    </row>
    <row r="1512" spans="1:30" hidden="1" x14ac:dyDescent="0.3">
      <c r="A1512" t="s">
        <v>8794</v>
      </c>
      <c r="B1512" t="s">
        <v>25</v>
      </c>
      <c r="C1512">
        <v>43756635</v>
      </c>
      <c r="D1512">
        <v>0</v>
      </c>
      <c r="E1512" t="s">
        <v>25</v>
      </c>
      <c r="F1512" t="s">
        <v>26</v>
      </c>
      <c r="G1512" t="s">
        <v>27</v>
      </c>
      <c r="H1512" t="s">
        <v>8795</v>
      </c>
      <c r="I1512" t="s">
        <v>8796</v>
      </c>
      <c r="J1512" t="s">
        <v>26</v>
      </c>
      <c r="K1512" t="s">
        <v>26</v>
      </c>
      <c r="L1512" t="s">
        <v>8797</v>
      </c>
      <c r="M1512" t="s">
        <v>25</v>
      </c>
      <c r="N1512" t="s">
        <v>4656</v>
      </c>
      <c r="O1512" t="s">
        <v>4657</v>
      </c>
      <c r="P1512" t="s">
        <v>4649</v>
      </c>
      <c r="Q1512" t="s">
        <v>4650</v>
      </c>
      <c r="R1512">
        <v>200988</v>
      </c>
      <c r="S1512">
        <v>0</v>
      </c>
      <c r="T1512">
        <v>200988</v>
      </c>
      <c r="U1512" t="s">
        <v>35</v>
      </c>
      <c r="V1512" t="s">
        <v>4658</v>
      </c>
      <c r="W1512" t="s">
        <v>4651</v>
      </c>
      <c r="X1512" s="4">
        <v>1</v>
      </c>
      <c r="Y1512" s="4"/>
      <c r="Z1512">
        <f t="shared" si="92"/>
        <v>8</v>
      </c>
      <c r="AA1512">
        <f t="shared" si="93"/>
        <v>20</v>
      </c>
      <c r="AB1512" s="5">
        <f t="shared" si="94"/>
        <v>0.31092592592904111</v>
      </c>
      <c r="AC1512" s="3">
        <f t="shared" si="95"/>
        <v>9.0254629627452232E-2</v>
      </c>
      <c r="AD1512" t="str" cm="1">
        <f t="array" ref="AD1512">IFERROR(_xlfn.IFS(
    AC1512="", "",
    AC1512*86400 &lt; 30, "1. 0s - &lt;30s",
    AC1512*86400 &lt; 60, "2. 30s - &lt;1m",
    AC1512*86400 &lt; 300, "3. 1m - &lt;5m",
    AC1512*86400 &lt; 1800, "4. 5m - &lt;30m",
    TRUE, "5. &gt;= 30m"
),"6. Invalid (Order rejected)")</f>
        <v>5. &gt;= 30m</v>
      </c>
    </row>
    <row r="1513" spans="1:30" hidden="1" x14ac:dyDescent="0.3">
      <c r="A1513" t="s">
        <v>8798</v>
      </c>
      <c r="B1513" t="s">
        <v>25</v>
      </c>
      <c r="C1513">
        <v>43756635</v>
      </c>
      <c r="D1513">
        <v>0</v>
      </c>
      <c r="E1513" t="s">
        <v>25</v>
      </c>
      <c r="F1513" t="s">
        <v>26</v>
      </c>
      <c r="G1513" t="s">
        <v>27</v>
      </c>
      <c r="H1513" t="s">
        <v>8706</v>
      </c>
      <c r="I1513" t="s">
        <v>8799</v>
      </c>
      <c r="J1513" t="s">
        <v>26</v>
      </c>
      <c r="K1513" t="s">
        <v>26</v>
      </c>
      <c r="L1513" t="s">
        <v>8800</v>
      </c>
      <c r="M1513" t="s">
        <v>25</v>
      </c>
      <c r="N1513" t="s">
        <v>1911</v>
      </c>
      <c r="O1513" t="s">
        <v>1912</v>
      </c>
      <c r="P1513" t="s">
        <v>2833</v>
      </c>
      <c r="Q1513" t="s">
        <v>2834</v>
      </c>
      <c r="R1513">
        <v>240516</v>
      </c>
      <c r="S1513">
        <v>0</v>
      </c>
      <c r="T1513">
        <v>240516</v>
      </c>
      <c r="U1513" t="s">
        <v>35</v>
      </c>
      <c r="V1513" t="s">
        <v>1915</v>
      </c>
      <c r="W1513" t="s">
        <v>2836</v>
      </c>
      <c r="X1513" s="4">
        <v>1</v>
      </c>
      <c r="Y1513" s="4"/>
      <c r="Z1513">
        <f t="shared" si="92"/>
        <v>8</v>
      </c>
      <c r="AA1513">
        <f t="shared" si="93"/>
        <v>20</v>
      </c>
      <c r="AB1513" s="5">
        <f t="shared" si="94"/>
        <v>0.30667824074043892</v>
      </c>
      <c r="AC1513" s="3">
        <f t="shared" si="95"/>
        <v>9.0254629627452232E-2</v>
      </c>
      <c r="AD1513" t="str" cm="1">
        <f t="array" ref="AD1513">IFERROR(_xlfn.IFS(
    AC1513="", "",
    AC1513*86400 &lt; 30, "1. 0s - &lt;30s",
    AC1513*86400 &lt; 60, "2. 30s - &lt;1m",
    AC1513*86400 &lt; 300, "3. 1m - &lt;5m",
    AC1513*86400 &lt; 1800, "4. 5m - &lt;30m",
    TRUE, "5. &gt;= 30m"
),"6. Invalid (Order rejected)")</f>
        <v>5. &gt;= 30m</v>
      </c>
    </row>
    <row r="1514" spans="1:30" hidden="1" x14ac:dyDescent="0.3">
      <c r="A1514" t="s">
        <v>8801</v>
      </c>
      <c r="B1514" t="s">
        <v>25</v>
      </c>
      <c r="C1514">
        <v>43756635</v>
      </c>
      <c r="D1514">
        <v>0</v>
      </c>
      <c r="E1514" t="s">
        <v>25</v>
      </c>
      <c r="F1514" t="s">
        <v>26</v>
      </c>
      <c r="G1514" t="s">
        <v>27</v>
      </c>
      <c r="H1514" t="s">
        <v>8802</v>
      </c>
      <c r="I1514" t="s">
        <v>8803</v>
      </c>
      <c r="J1514" t="s">
        <v>26</v>
      </c>
      <c r="K1514" t="s">
        <v>26</v>
      </c>
      <c r="L1514" t="s">
        <v>8804</v>
      </c>
      <c r="M1514" t="s">
        <v>25</v>
      </c>
      <c r="N1514" t="s">
        <v>2046</v>
      </c>
      <c r="O1514" t="s">
        <v>2047</v>
      </c>
      <c r="P1514" t="s">
        <v>8805</v>
      </c>
      <c r="Q1514" t="s">
        <v>8806</v>
      </c>
      <c r="R1514">
        <v>259632</v>
      </c>
      <c r="S1514">
        <v>0</v>
      </c>
      <c r="T1514">
        <v>259632</v>
      </c>
      <c r="U1514" t="s">
        <v>35</v>
      </c>
      <c r="V1514" t="s">
        <v>4794</v>
      </c>
      <c r="W1514" t="s">
        <v>4808</v>
      </c>
      <c r="X1514" s="4">
        <v>1</v>
      </c>
      <c r="Y1514" s="4"/>
      <c r="Z1514">
        <f t="shared" si="92"/>
        <v>8</v>
      </c>
      <c r="AA1514">
        <f t="shared" si="93"/>
        <v>20</v>
      </c>
      <c r="AB1514" s="5">
        <f t="shared" si="94"/>
        <v>0.31357638888584916</v>
      </c>
      <c r="AC1514" s="3">
        <f t="shared" si="95"/>
        <v>9.025462963472819E-2</v>
      </c>
      <c r="AD1514" t="str" cm="1">
        <f t="array" ref="AD1514">IFERROR(_xlfn.IFS(
    AC1514="", "",
    AC1514*86400 &lt; 30, "1. 0s - &lt;30s",
    AC1514*86400 &lt; 60, "2. 30s - &lt;1m",
    AC1514*86400 &lt; 300, "3. 1m - &lt;5m",
    AC1514*86400 &lt; 1800, "4. 5m - &lt;30m",
    TRUE, "5. &gt;= 30m"
),"6. Invalid (Order rejected)")</f>
        <v>5. &gt;= 30m</v>
      </c>
    </row>
    <row r="1515" spans="1:30" hidden="1" x14ac:dyDescent="0.3">
      <c r="A1515" t="s">
        <v>8807</v>
      </c>
      <c r="B1515" t="s">
        <v>25</v>
      </c>
      <c r="C1515">
        <v>43756635</v>
      </c>
      <c r="D1515">
        <v>0</v>
      </c>
      <c r="E1515" t="s">
        <v>25</v>
      </c>
      <c r="F1515" t="s">
        <v>26</v>
      </c>
      <c r="G1515" t="s">
        <v>27</v>
      </c>
      <c r="H1515" t="s">
        <v>8808</v>
      </c>
      <c r="I1515" t="s">
        <v>4767</v>
      </c>
      <c r="J1515" t="s">
        <v>26</v>
      </c>
      <c r="K1515" t="s">
        <v>26</v>
      </c>
      <c r="L1515" t="s">
        <v>8809</v>
      </c>
      <c r="M1515" t="s">
        <v>25</v>
      </c>
      <c r="N1515" t="s">
        <v>1349</v>
      </c>
      <c r="O1515" t="s">
        <v>1350</v>
      </c>
      <c r="P1515" t="s">
        <v>1511</v>
      </c>
      <c r="Q1515" t="s">
        <v>1512</v>
      </c>
      <c r="R1515">
        <v>281016</v>
      </c>
      <c r="S1515">
        <v>0</v>
      </c>
      <c r="T1515">
        <v>281016</v>
      </c>
      <c r="U1515" t="s">
        <v>35</v>
      </c>
      <c r="V1515" t="s">
        <v>1353</v>
      </c>
      <c r="W1515" t="s">
        <v>1513</v>
      </c>
      <c r="X1515" s="4">
        <v>1</v>
      </c>
      <c r="Y1515" s="4"/>
      <c r="Z1515">
        <f t="shared" si="92"/>
        <v>8</v>
      </c>
      <c r="AA1515">
        <f t="shared" si="93"/>
        <v>20</v>
      </c>
      <c r="AB1515" s="5">
        <f t="shared" si="94"/>
        <v>0.30508101851592073</v>
      </c>
      <c r="AC1515" s="3">
        <f t="shared" si="95"/>
        <v>9.025462963472819E-2</v>
      </c>
      <c r="AD1515" t="str" cm="1">
        <f t="array" ref="AD1515">IFERROR(_xlfn.IFS(
    AC1515="", "",
    AC1515*86400 &lt; 30, "1. 0s - &lt;30s",
    AC1515*86400 &lt; 60, "2. 30s - &lt;1m",
    AC1515*86400 &lt; 300, "3. 1m - &lt;5m",
    AC1515*86400 &lt; 1800, "4. 5m - &lt;30m",
    TRUE, "5. &gt;= 30m"
),"6. Invalid (Order rejected)")</f>
        <v>5. &gt;= 30m</v>
      </c>
    </row>
    <row r="1516" spans="1:30" hidden="1" x14ac:dyDescent="0.3">
      <c r="A1516" t="s">
        <v>8810</v>
      </c>
      <c r="B1516" t="s">
        <v>25</v>
      </c>
      <c r="C1516">
        <v>43756635</v>
      </c>
      <c r="D1516">
        <v>0</v>
      </c>
      <c r="E1516" t="s">
        <v>25</v>
      </c>
      <c r="F1516" t="s">
        <v>26</v>
      </c>
      <c r="G1516" t="s">
        <v>27</v>
      </c>
      <c r="H1516" t="s">
        <v>8811</v>
      </c>
      <c r="I1516" t="s">
        <v>8812</v>
      </c>
      <c r="J1516" t="s">
        <v>26</v>
      </c>
      <c r="K1516" t="s">
        <v>26</v>
      </c>
      <c r="L1516" t="s">
        <v>8813</v>
      </c>
      <c r="M1516" t="s">
        <v>25</v>
      </c>
      <c r="N1516" t="s">
        <v>1848</v>
      </c>
      <c r="O1516" t="s">
        <v>1849</v>
      </c>
      <c r="P1516" t="s">
        <v>8814</v>
      </c>
      <c r="Q1516" t="s">
        <v>8815</v>
      </c>
      <c r="R1516">
        <v>160812</v>
      </c>
      <c r="S1516">
        <v>0</v>
      </c>
      <c r="T1516">
        <v>160812</v>
      </c>
      <c r="U1516" t="s">
        <v>35</v>
      </c>
      <c r="V1516" t="s">
        <v>1852</v>
      </c>
      <c r="W1516" t="s">
        <v>8816</v>
      </c>
      <c r="X1516" s="4">
        <v>1</v>
      </c>
      <c r="Y1516" s="4"/>
      <c r="Z1516">
        <f t="shared" si="92"/>
        <v>8</v>
      </c>
      <c r="AA1516">
        <f t="shared" si="93"/>
        <v>20</v>
      </c>
      <c r="AB1516" s="5">
        <f t="shared" si="94"/>
        <v>0.30840277778042946</v>
      </c>
      <c r="AC1516" s="3">
        <f t="shared" si="95"/>
        <v>9.0254629627452232E-2</v>
      </c>
      <c r="AD1516" t="str" cm="1">
        <f t="array" ref="AD1516">IFERROR(_xlfn.IFS(
    AC1516="", "",
    AC1516*86400 &lt; 30, "1. 0s - &lt;30s",
    AC1516*86400 &lt; 60, "2. 30s - &lt;1m",
    AC1516*86400 &lt; 300, "3. 1m - &lt;5m",
    AC1516*86400 &lt; 1800, "4. 5m - &lt;30m",
    TRUE, "5. &gt;= 30m"
),"6. Invalid (Order rejected)")</f>
        <v>5. &gt;= 30m</v>
      </c>
    </row>
    <row r="1517" spans="1:30" hidden="1" x14ac:dyDescent="0.3">
      <c r="A1517" t="s">
        <v>8817</v>
      </c>
      <c r="B1517" t="s">
        <v>25</v>
      </c>
      <c r="C1517">
        <v>43756635</v>
      </c>
      <c r="D1517">
        <v>0</v>
      </c>
      <c r="E1517" t="s">
        <v>25</v>
      </c>
      <c r="F1517" t="s">
        <v>26</v>
      </c>
      <c r="G1517" t="s">
        <v>27</v>
      </c>
      <c r="H1517" t="s">
        <v>8818</v>
      </c>
      <c r="I1517" t="s">
        <v>8819</v>
      </c>
      <c r="J1517" t="s">
        <v>26</v>
      </c>
      <c r="K1517" t="s">
        <v>26</v>
      </c>
      <c r="L1517" t="s">
        <v>8820</v>
      </c>
      <c r="M1517" t="s">
        <v>25</v>
      </c>
      <c r="N1517" t="s">
        <v>4991</v>
      </c>
      <c r="O1517" t="s">
        <v>4992</v>
      </c>
      <c r="P1517" t="s">
        <v>8821</v>
      </c>
      <c r="Q1517" t="s">
        <v>8822</v>
      </c>
      <c r="R1517">
        <v>136620</v>
      </c>
      <c r="S1517">
        <v>0</v>
      </c>
      <c r="T1517">
        <v>136620</v>
      </c>
      <c r="U1517" t="s">
        <v>35</v>
      </c>
      <c r="V1517" t="s">
        <v>4995</v>
      </c>
      <c r="W1517" t="s">
        <v>8823</v>
      </c>
      <c r="X1517" s="4">
        <v>1</v>
      </c>
      <c r="Y1517" s="4"/>
      <c r="Z1517">
        <f t="shared" si="92"/>
        <v>8</v>
      </c>
      <c r="AA1517">
        <f t="shared" si="93"/>
        <v>20</v>
      </c>
      <c r="AB1517" s="5">
        <f t="shared" si="94"/>
        <v>0.31262731481547235</v>
      </c>
      <c r="AC1517" s="3">
        <f t="shared" si="95"/>
        <v>0.15174768518772908</v>
      </c>
      <c r="AD1517" t="str" cm="1">
        <f t="array" ref="AD1517">IFERROR(_xlfn.IFS(
    AC1517="", "",
    AC1517*86400 &lt; 30, "1. 0s - &lt;30s",
    AC1517*86400 &lt; 60, "2. 30s - &lt;1m",
    AC1517*86400 &lt; 300, "3. 1m - &lt;5m",
    AC1517*86400 &lt; 1800, "4. 5m - &lt;30m",
    TRUE, "5. &gt;= 30m"
),"6. Invalid (Order rejected)")</f>
        <v>5. &gt;= 30m</v>
      </c>
    </row>
    <row r="1518" spans="1:30" x14ac:dyDescent="0.3">
      <c r="A1518" t="s">
        <v>8824</v>
      </c>
      <c r="B1518" t="s">
        <v>25</v>
      </c>
      <c r="C1518">
        <v>43756635</v>
      </c>
      <c r="D1518">
        <v>4179701</v>
      </c>
      <c r="E1518" t="s">
        <v>25</v>
      </c>
      <c r="F1518" t="s">
        <v>75</v>
      </c>
      <c r="G1518" t="s">
        <v>360</v>
      </c>
      <c r="H1518" t="s">
        <v>8825</v>
      </c>
      <c r="I1518" t="s">
        <v>8826</v>
      </c>
      <c r="J1518" t="s">
        <v>8827</v>
      </c>
      <c r="K1518" t="s">
        <v>26</v>
      </c>
      <c r="L1518" t="s">
        <v>25</v>
      </c>
      <c r="M1518" t="s">
        <v>25</v>
      </c>
      <c r="N1518" t="s">
        <v>4742</v>
      </c>
      <c r="O1518" t="s">
        <v>4743</v>
      </c>
      <c r="P1518" t="s">
        <v>4586</v>
      </c>
      <c r="Q1518" t="s">
        <v>4587</v>
      </c>
      <c r="R1518">
        <v>307692</v>
      </c>
      <c r="S1518">
        <v>252564</v>
      </c>
      <c r="T1518">
        <v>55128</v>
      </c>
      <c r="U1518" t="s">
        <v>35</v>
      </c>
      <c r="V1518" t="s">
        <v>4744</v>
      </c>
      <c r="W1518" t="s">
        <v>4588</v>
      </c>
      <c r="X1518" s="4">
        <v>1</v>
      </c>
      <c r="Y1518" s="4"/>
      <c r="Z1518">
        <f t="shared" si="92"/>
        <v>8</v>
      </c>
      <c r="AA1518">
        <f t="shared" si="93"/>
        <v>20</v>
      </c>
      <c r="AB1518" s="5">
        <f t="shared" si="94"/>
        <v>0.31489583333313931</v>
      </c>
      <c r="AC1518" s="3" t="str">
        <f t="shared" si="95"/>
        <v>Order rejected, no time available</v>
      </c>
      <c r="AD1518" t="str" cm="1">
        <f t="array" ref="AD1518">IFERROR(_xlfn.IFS(
    AC1518="", "",
    AC1518*86400 &lt; 30, "1. 0s - &lt;30s",
    AC1518*86400 &lt; 60, "2. 30s - &lt;1m",
    AC1518*86400 &lt; 300, "3. 1m - &lt;5m",
    AC1518*86400 &lt; 1800, "4. 5m - &lt;30m",
    TRUE, "5. &gt;= 30m"
),"6. Invalid (Order rejected)")</f>
        <v>6. Invalid (Order rejected)</v>
      </c>
    </row>
    <row r="1519" spans="1:30" hidden="1" x14ac:dyDescent="0.3">
      <c r="A1519" t="s">
        <v>8828</v>
      </c>
      <c r="B1519" t="s">
        <v>25</v>
      </c>
      <c r="C1519">
        <v>43756635</v>
      </c>
      <c r="D1519">
        <v>0</v>
      </c>
      <c r="E1519" t="s">
        <v>25</v>
      </c>
      <c r="F1519" t="s">
        <v>26</v>
      </c>
      <c r="G1519" t="s">
        <v>27</v>
      </c>
      <c r="H1519" t="s">
        <v>8829</v>
      </c>
      <c r="I1519" t="s">
        <v>8830</v>
      </c>
      <c r="J1519" t="s">
        <v>26</v>
      </c>
      <c r="K1519" t="s">
        <v>26</v>
      </c>
      <c r="L1519" t="s">
        <v>8831</v>
      </c>
      <c r="M1519" t="s">
        <v>25</v>
      </c>
      <c r="N1519" t="s">
        <v>4732</v>
      </c>
      <c r="O1519" t="s">
        <v>4733</v>
      </c>
      <c r="P1519" t="s">
        <v>8832</v>
      </c>
      <c r="Q1519" t="s">
        <v>8833</v>
      </c>
      <c r="R1519">
        <v>158220</v>
      </c>
      <c r="S1519">
        <v>0</v>
      </c>
      <c r="T1519">
        <v>158220</v>
      </c>
      <c r="U1519" t="s">
        <v>35</v>
      </c>
      <c r="V1519" t="s">
        <v>4736</v>
      </c>
      <c r="W1519" t="s">
        <v>8834</v>
      </c>
      <c r="X1519" s="4">
        <v>1</v>
      </c>
      <c r="Y1519" s="4"/>
      <c r="Z1519">
        <f t="shared" si="92"/>
        <v>8</v>
      </c>
      <c r="AA1519">
        <f t="shared" si="93"/>
        <v>20</v>
      </c>
      <c r="AB1519" s="5">
        <f t="shared" si="94"/>
        <v>0.30907407407357823</v>
      </c>
      <c r="AC1519" s="3">
        <f t="shared" si="95"/>
        <v>9.0266203704231884E-2</v>
      </c>
      <c r="AD1519" t="str" cm="1">
        <f t="array" ref="AD1519">IFERROR(_xlfn.IFS(
    AC1519="", "",
    AC1519*86400 &lt; 30, "1. 0s - &lt;30s",
    AC1519*86400 &lt; 60, "2. 30s - &lt;1m",
    AC1519*86400 &lt; 300, "3. 1m - &lt;5m",
    AC1519*86400 &lt; 1800, "4. 5m - &lt;30m",
    TRUE, "5. &gt;= 30m"
),"6. Invalid (Order rejected)")</f>
        <v>5. &gt;= 30m</v>
      </c>
    </row>
    <row r="1520" spans="1:30" hidden="1" x14ac:dyDescent="0.3">
      <c r="A1520" t="s">
        <v>8835</v>
      </c>
      <c r="B1520" t="s">
        <v>25</v>
      </c>
      <c r="C1520">
        <v>43756635</v>
      </c>
      <c r="D1520">
        <v>0</v>
      </c>
      <c r="E1520" t="s">
        <v>25</v>
      </c>
      <c r="F1520" t="s">
        <v>26</v>
      </c>
      <c r="G1520" t="s">
        <v>27</v>
      </c>
      <c r="H1520" t="s">
        <v>8836</v>
      </c>
      <c r="I1520" t="s">
        <v>8837</v>
      </c>
      <c r="J1520" t="s">
        <v>26</v>
      </c>
      <c r="K1520" t="s">
        <v>26</v>
      </c>
      <c r="L1520" t="s">
        <v>8838</v>
      </c>
      <c r="M1520" t="s">
        <v>25</v>
      </c>
      <c r="N1520" t="s">
        <v>1716</v>
      </c>
      <c r="O1520" t="s">
        <v>1717</v>
      </c>
      <c r="P1520" t="s">
        <v>8839</v>
      </c>
      <c r="Q1520" t="s">
        <v>8840</v>
      </c>
      <c r="R1520">
        <v>209628</v>
      </c>
      <c r="S1520">
        <v>0</v>
      </c>
      <c r="T1520">
        <v>209628</v>
      </c>
      <c r="U1520" t="s">
        <v>35</v>
      </c>
      <c r="V1520" t="s">
        <v>1720</v>
      </c>
      <c r="W1520" t="s">
        <v>8841</v>
      </c>
      <c r="X1520" s="4">
        <v>1</v>
      </c>
      <c r="Y1520" s="4"/>
      <c r="Z1520">
        <f t="shared" si="92"/>
        <v>8</v>
      </c>
      <c r="AA1520">
        <f t="shared" si="93"/>
        <v>20</v>
      </c>
      <c r="AB1520" s="5">
        <f t="shared" si="94"/>
        <v>0.31648148148087785</v>
      </c>
      <c r="AC1520" s="3">
        <f t="shared" si="95"/>
        <v>9.0254629627452232E-2</v>
      </c>
      <c r="AD1520" t="str" cm="1">
        <f t="array" ref="AD1520">IFERROR(_xlfn.IFS(
    AC1520="", "",
    AC1520*86400 &lt; 30, "1. 0s - &lt;30s",
    AC1520*86400 &lt; 60, "2. 30s - &lt;1m",
    AC1520*86400 &lt; 300, "3. 1m - &lt;5m",
    AC1520*86400 &lt; 1800, "4. 5m - &lt;30m",
    TRUE, "5. &gt;= 30m"
),"6. Invalid (Order rejected)")</f>
        <v>5. &gt;= 30m</v>
      </c>
    </row>
    <row r="1521" spans="1:30" hidden="1" x14ac:dyDescent="0.3">
      <c r="A1521" t="s">
        <v>8842</v>
      </c>
      <c r="B1521" t="s">
        <v>25</v>
      </c>
      <c r="C1521">
        <v>43740668</v>
      </c>
      <c r="D1521">
        <v>0</v>
      </c>
      <c r="E1521" t="s">
        <v>25</v>
      </c>
      <c r="F1521" t="s">
        <v>26</v>
      </c>
      <c r="G1521" t="s">
        <v>27</v>
      </c>
      <c r="H1521" t="s">
        <v>8843</v>
      </c>
      <c r="I1521" t="s">
        <v>8844</v>
      </c>
      <c r="J1521" t="s">
        <v>26</v>
      </c>
      <c r="K1521" t="s">
        <v>26</v>
      </c>
      <c r="L1521" t="s">
        <v>8845</v>
      </c>
      <c r="M1521" t="s">
        <v>25</v>
      </c>
      <c r="N1521" t="s">
        <v>8846</v>
      </c>
      <c r="O1521" t="s">
        <v>8847</v>
      </c>
      <c r="P1521" t="s">
        <v>8848</v>
      </c>
      <c r="Q1521" t="s">
        <v>8849</v>
      </c>
      <c r="R1521">
        <v>224100</v>
      </c>
      <c r="S1521">
        <v>0</v>
      </c>
      <c r="T1521">
        <v>224100</v>
      </c>
      <c r="U1521" t="s">
        <v>35</v>
      </c>
      <c r="V1521" t="s">
        <v>8850</v>
      </c>
      <c r="W1521" t="s">
        <v>8851</v>
      </c>
      <c r="X1521" s="4">
        <v>1</v>
      </c>
      <c r="Y1521" s="4"/>
      <c r="Z1521">
        <f t="shared" si="92"/>
        <v>8</v>
      </c>
      <c r="AA1521">
        <f t="shared" si="93"/>
        <v>20</v>
      </c>
      <c r="AB1521" s="5">
        <f t="shared" si="94"/>
        <v>0.31008101852057735</v>
      </c>
      <c r="AC1521" s="3">
        <f t="shared" si="95"/>
        <v>8.9918981480877846E-2</v>
      </c>
      <c r="AD1521" t="str" cm="1">
        <f t="array" ref="AD1521">IFERROR(_xlfn.IFS(
    AC1521="", "",
    AC1521*86400 &lt; 30, "1. 0s - &lt;30s",
    AC1521*86400 &lt; 60, "2. 30s - &lt;1m",
    AC1521*86400 &lt; 300, "3. 1m - &lt;5m",
    AC1521*86400 &lt; 1800, "4. 5m - &lt;30m",
    TRUE, "5. &gt;= 30m"
),"6. Invalid (Order rejected)")</f>
        <v>5. &gt;= 30m</v>
      </c>
    </row>
    <row r="1522" spans="1:30" hidden="1" x14ac:dyDescent="0.3">
      <c r="A1522" t="s">
        <v>8852</v>
      </c>
      <c r="B1522" t="s">
        <v>25</v>
      </c>
      <c r="C1522">
        <v>43756635</v>
      </c>
      <c r="D1522">
        <v>0</v>
      </c>
      <c r="E1522" t="s">
        <v>25</v>
      </c>
      <c r="F1522" t="s">
        <v>26</v>
      </c>
      <c r="G1522" t="s">
        <v>27</v>
      </c>
      <c r="H1522" t="s">
        <v>8853</v>
      </c>
      <c r="I1522" t="s">
        <v>8854</v>
      </c>
      <c r="J1522" t="s">
        <v>26</v>
      </c>
      <c r="K1522" t="s">
        <v>26</v>
      </c>
      <c r="L1522" t="s">
        <v>8855</v>
      </c>
      <c r="M1522" t="s">
        <v>25</v>
      </c>
      <c r="N1522" t="s">
        <v>4991</v>
      </c>
      <c r="O1522" t="s">
        <v>4992</v>
      </c>
      <c r="P1522" t="s">
        <v>8856</v>
      </c>
      <c r="Q1522" t="s">
        <v>8857</v>
      </c>
      <c r="R1522">
        <v>212220</v>
      </c>
      <c r="S1522">
        <v>0</v>
      </c>
      <c r="T1522">
        <v>212220</v>
      </c>
      <c r="U1522" t="s">
        <v>35</v>
      </c>
      <c r="V1522" t="s">
        <v>4995</v>
      </c>
      <c r="W1522" t="s">
        <v>8858</v>
      </c>
      <c r="X1522" s="4">
        <v>1</v>
      </c>
      <c r="Y1522" s="4"/>
      <c r="Z1522">
        <f t="shared" si="92"/>
        <v>8</v>
      </c>
      <c r="AA1522">
        <f t="shared" si="93"/>
        <v>20</v>
      </c>
      <c r="AB1522" s="5">
        <f t="shared" si="94"/>
        <v>0.312430555553874</v>
      </c>
      <c r="AC1522" s="3">
        <f t="shared" si="95"/>
        <v>9.025462963472819E-2</v>
      </c>
      <c r="AD1522" t="str" cm="1">
        <f t="array" ref="AD1522">IFERROR(_xlfn.IFS(
    AC1522="", "",
    AC1522*86400 &lt; 30, "1. 0s - &lt;30s",
    AC1522*86400 &lt; 60, "2. 30s - &lt;1m",
    AC1522*86400 &lt; 300, "3. 1m - &lt;5m",
    AC1522*86400 &lt; 1800, "4. 5m - &lt;30m",
    TRUE, "5. &gt;= 30m"
),"6. Invalid (Order rejected)")</f>
        <v>5. &gt;= 30m</v>
      </c>
    </row>
    <row r="1523" spans="1:30" hidden="1" x14ac:dyDescent="0.3">
      <c r="A1523" t="s">
        <v>8859</v>
      </c>
      <c r="B1523" t="s">
        <v>25</v>
      </c>
      <c r="C1523">
        <v>43756635</v>
      </c>
      <c r="D1523">
        <v>0</v>
      </c>
      <c r="E1523" t="s">
        <v>25</v>
      </c>
      <c r="F1523" t="s">
        <v>26</v>
      </c>
      <c r="G1523" t="s">
        <v>27</v>
      </c>
      <c r="H1523" t="s">
        <v>8860</v>
      </c>
      <c r="I1523" t="s">
        <v>8861</v>
      </c>
      <c r="J1523" t="s">
        <v>26</v>
      </c>
      <c r="K1523" t="s">
        <v>26</v>
      </c>
      <c r="L1523" t="s">
        <v>8862</v>
      </c>
      <c r="M1523" t="s">
        <v>25</v>
      </c>
      <c r="N1523" t="s">
        <v>8863</v>
      </c>
      <c r="O1523" t="s">
        <v>8864</v>
      </c>
      <c r="P1523" t="s">
        <v>4666</v>
      </c>
      <c r="Q1523" t="s">
        <v>4667</v>
      </c>
      <c r="R1523">
        <v>272052</v>
      </c>
      <c r="S1523">
        <v>0</v>
      </c>
      <c r="T1523">
        <v>272052</v>
      </c>
      <c r="U1523" t="s">
        <v>35</v>
      </c>
      <c r="V1523" t="s">
        <v>8865</v>
      </c>
      <c r="W1523" t="s">
        <v>4669</v>
      </c>
      <c r="X1523" s="4">
        <v>1</v>
      </c>
      <c r="Y1523" s="4"/>
      <c r="Z1523">
        <f t="shared" si="92"/>
        <v>8</v>
      </c>
      <c r="AA1523">
        <f t="shared" si="93"/>
        <v>20</v>
      </c>
      <c r="AB1523" s="5">
        <f t="shared" si="94"/>
        <v>0.31576388888788642</v>
      </c>
      <c r="AC1523" s="3">
        <f t="shared" si="95"/>
        <v>9.0254629627452232E-2</v>
      </c>
      <c r="AD1523" t="str" cm="1">
        <f t="array" ref="AD1523">IFERROR(_xlfn.IFS(
    AC1523="", "",
    AC1523*86400 &lt; 30, "1. 0s - &lt;30s",
    AC1523*86400 &lt; 60, "2. 30s - &lt;1m",
    AC1523*86400 &lt; 300, "3. 1m - &lt;5m",
    AC1523*86400 &lt; 1800, "4. 5m - &lt;30m",
    TRUE, "5. &gt;= 30m"
),"6. Invalid (Order rejected)")</f>
        <v>5. &gt;= 30m</v>
      </c>
    </row>
    <row r="1524" spans="1:30" hidden="1" x14ac:dyDescent="0.3">
      <c r="A1524" t="s">
        <v>8866</v>
      </c>
      <c r="B1524" t="s">
        <v>25</v>
      </c>
      <c r="C1524">
        <v>43756635</v>
      </c>
      <c r="D1524">
        <v>0</v>
      </c>
      <c r="E1524" t="s">
        <v>25</v>
      </c>
      <c r="F1524" t="s">
        <v>26</v>
      </c>
      <c r="G1524" t="s">
        <v>27</v>
      </c>
      <c r="H1524" t="s">
        <v>8867</v>
      </c>
      <c r="I1524" t="s">
        <v>8868</v>
      </c>
      <c r="J1524" t="s">
        <v>26</v>
      </c>
      <c r="K1524" t="s">
        <v>26</v>
      </c>
      <c r="L1524" t="s">
        <v>8869</v>
      </c>
      <c r="M1524" t="s">
        <v>25</v>
      </c>
      <c r="N1524" t="s">
        <v>4681</v>
      </c>
      <c r="O1524" t="s">
        <v>4682</v>
      </c>
      <c r="P1524" t="s">
        <v>4749</v>
      </c>
      <c r="Q1524" t="s">
        <v>4750</v>
      </c>
      <c r="R1524">
        <v>208548</v>
      </c>
      <c r="S1524">
        <v>0</v>
      </c>
      <c r="T1524">
        <v>208548</v>
      </c>
      <c r="U1524" t="s">
        <v>35</v>
      </c>
      <c r="V1524" t="s">
        <v>4683</v>
      </c>
      <c r="W1524" t="s">
        <v>4751</v>
      </c>
      <c r="X1524" s="4">
        <v>1</v>
      </c>
      <c r="Y1524" s="4"/>
      <c r="Z1524">
        <f t="shared" si="92"/>
        <v>8</v>
      </c>
      <c r="AA1524">
        <f t="shared" si="93"/>
        <v>20</v>
      </c>
      <c r="AB1524" s="5">
        <f t="shared" si="94"/>
        <v>0.30972222222044365</v>
      </c>
      <c r="AC1524" s="3">
        <f t="shared" si="95"/>
        <v>9.025462963472819E-2</v>
      </c>
      <c r="AD1524" t="str" cm="1">
        <f t="array" ref="AD1524">IFERROR(_xlfn.IFS(
    AC1524="", "",
    AC1524*86400 &lt; 30, "1. 0s - &lt;30s",
    AC1524*86400 &lt; 60, "2. 30s - &lt;1m",
    AC1524*86400 &lt; 300, "3. 1m - &lt;5m",
    AC1524*86400 &lt; 1800, "4. 5m - &lt;30m",
    TRUE, "5. &gt;= 30m"
),"6. Invalid (Order rejected)")</f>
        <v>5. &gt;= 30m</v>
      </c>
    </row>
    <row r="1525" spans="1:30" hidden="1" x14ac:dyDescent="0.3">
      <c r="A1525" t="s">
        <v>8870</v>
      </c>
      <c r="B1525" t="s">
        <v>25</v>
      </c>
      <c r="C1525">
        <v>43756635</v>
      </c>
      <c r="D1525">
        <v>0</v>
      </c>
      <c r="E1525" t="s">
        <v>25</v>
      </c>
      <c r="F1525" t="s">
        <v>26</v>
      </c>
      <c r="G1525" t="s">
        <v>27</v>
      </c>
      <c r="H1525" t="s">
        <v>8871</v>
      </c>
      <c r="I1525" t="s">
        <v>8872</v>
      </c>
      <c r="J1525" t="s">
        <v>26</v>
      </c>
      <c r="K1525" t="s">
        <v>26</v>
      </c>
      <c r="L1525" t="s">
        <v>8873</v>
      </c>
      <c r="M1525" t="s">
        <v>25</v>
      </c>
      <c r="N1525" t="s">
        <v>4705</v>
      </c>
      <c r="O1525" t="s">
        <v>4706</v>
      </c>
      <c r="P1525" t="s">
        <v>8874</v>
      </c>
      <c r="Q1525" t="s">
        <v>8875</v>
      </c>
      <c r="R1525">
        <v>169452</v>
      </c>
      <c r="S1525">
        <v>0</v>
      </c>
      <c r="T1525">
        <v>169452</v>
      </c>
      <c r="U1525" t="s">
        <v>35</v>
      </c>
      <c r="V1525" t="s">
        <v>4709</v>
      </c>
      <c r="W1525" t="s">
        <v>8876</v>
      </c>
      <c r="X1525" s="4">
        <v>1</v>
      </c>
      <c r="Y1525" s="4"/>
      <c r="Z1525">
        <f t="shared" si="92"/>
        <v>8</v>
      </c>
      <c r="AA1525">
        <f t="shared" si="93"/>
        <v>20</v>
      </c>
      <c r="AB1525" s="5">
        <f t="shared" si="94"/>
        <v>0.31304398148495238</v>
      </c>
      <c r="AC1525" s="3">
        <f t="shared" si="95"/>
        <v>9.0266203696955927E-2</v>
      </c>
      <c r="AD1525" t="str" cm="1">
        <f t="array" ref="AD1525">IFERROR(_xlfn.IFS(
    AC1525="", "",
    AC1525*86400 &lt; 30, "1. 0s - &lt;30s",
    AC1525*86400 &lt; 60, "2. 30s - &lt;1m",
    AC1525*86400 &lt; 300, "3. 1m - &lt;5m",
    AC1525*86400 &lt; 1800, "4. 5m - &lt;30m",
    TRUE, "5. &gt;= 30m"
),"6. Invalid (Order rejected)")</f>
        <v>5. &gt;= 30m</v>
      </c>
    </row>
    <row r="1526" spans="1:30" hidden="1" x14ac:dyDescent="0.3">
      <c r="A1526" t="s">
        <v>8877</v>
      </c>
      <c r="B1526" t="s">
        <v>25</v>
      </c>
      <c r="C1526">
        <v>43756635</v>
      </c>
      <c r="D1526">
        <v>0</v>
      </c>
      <c r="E1526" t="s">
        <v>25</v>
      </c>
      <c r="F1526" t="s">
        <v>26</v>
      </c>
      <c r="G1526" t="s">
        <v>27</v>
      </c>
      <c r="H1526" t="s">
        <v>8878</v>
      </c>
      <c r="I1526" t="s">
        <v>8879</v>
      </c>
      <c r="J1526" t="s">
        <v>26</v>
      </c>
      <c r="K1526" t="s">
        <v>26</v>
      </c>
      <c r="L1526" t="s">
        <v>8880</v>
      </c>
      <c r="M1526" t="s">
        <v>25</v>
      </c>
      <c r="N1526" t="s">
        <v>8863</v>
      </c>
      <c r="O1526" t="s">
        <v>8864</v>
      </c>
      <c r="P1526" t="s">
        <v>8735</v>
      </c>
      <c r="Q1526" t="s">
        <v>8736</v>
      </c>
      <c r="R1526">
        <v>246564</v>
      </c>
      <c r="S1526">
        <v>0</v>
      </c>
      <c r="T1526">
        <v>246564</v>
      </c>
      <c r="U1526" t="s">
        <v>35</v>
      </c>
      <c r="V1526" t="s">
        <v>8865</v>
      </c>
      <c r="W1526" t="s">
        <v>8737</v>
      </c>
      <c r="X1526" s="4">
        <v>1</v>
      </c>
      <c r="Y1526" s="4"/>
      <c r="Z1526">
        <f t="shared" si="92"/>
        <v>8</v>
      </c>
      <c r="AA1526">
        <f t="shared" si="93"/>
        <v>20</v>
      </c>
      <c r="AB1526" s="5">
        <f t="shared" si="94"/>
        <v>0.31563657407241408</v>
      </c>
      <c r="AC1526" s="3">
        <f t="shared" si="95"/>
        <v>9.025462963472819E-2</v>
      </c>
      <c r="AD1526" t="str" cm="1">
        <f t="array" ref="AD1526">IFERROR(_xlfn.IFS(
    AC1526="", "",
    AC1526*86400 &lt; 30, "1. 0s - &lt;30s",
    AC1526*86400 &lt; 60, "2. 30s - &lt;1m",
    AC1526*86400 &lt; 300, "3. 1m - &lt;5m",
    AC1526*86400 &lt; 1800, "4. 5m - &lt;30m",
    TRUE, "5. &gt;= 30m"
),"6. Invalid (Order rejected)")</f>
        <v>5. &gt;= 30m</v>
      </c>
    </row>
    <row r="1527" spans="1:30" hidden="1" x14ac:dyDescent="0.3">
      <c r="A1527" t="s">
        <v>8881</v>
      </c>
      <c r="B1527" t="s">
        <v>25</v>
      </c>
      <c r="C1527">
        <v>43756635</v>
      </c>
      <c r="D1527">
        <v>0</v>
      </c>
      <c r="E1527" t="s">
        <v>25</v>
      </c>
      <c r="F1527" t="s">
        <v>26</v>
      </c>
      <c r="G1527" t="s">
        <v>27</v>
      </c>
      <c r="H1527" t="s">
        <v>8882</v>
      </c>
      <c r="I1527" t="s">
        <v>8883</v>
      </c>
      <c r="J1527" t="s">
        <v>26</v>
      </c>
      <c r="K1527" t="s">
        <v>26</v>
      </c>
      <c r="L1527" t="s">
        <v>8884</v>
      </c>
      <c r="M1527" t="s">
        <v>25</v>
      </c>
      <c r="N1527" t="s">
        <v>1642</v>
      </c>
      <c r="O1527" t="s">
        <v>1643</v>
      </c>
      <c r="P1527" t="s">
        <v>4674</v>
      </c>
      <c r="Q1527" t="s">
        <v>4675</v>
      </c>
      <c r="R1527">
        <v>261900</v>
      </c>
      <c r="S1527">
        <v>0</v>
      </c>
      <c r="T1527">
        <v>261900</v>
      </c>
      <c r="U1527" t="s">
        <v>35</v>
      </c>
      <c r="V1527" t="s">
        <v>1646</v>
      </c>
      <c r="W1527" t="s">
        <v>4676</v>
      </c>
      <c r="X1527" s="4">
        <v>1</v>
      </c>
      <c r="Y1527" s="4"/>
      <c r="Z1527">
        <f t="shared" si="92"/>
        <v>8</v>
      </c>
      <c r="AA1527">
        <f t="shared" si="93"/>
        <v>20</v>
      </c>
      <c r="AB1527" s="5">
        <f t="shared" si="94"/>
        <v>0.3190740740756155</v>
      </c>
      <c r="AC1527" s="3">
        <f t="shared" si="95"/>
        <v>0.18260416666453239</v>
      </c>
      <c r="AD1527" t="str" cm="1">
        <f t="array" ref="AD1527">IFERROR(_xlfn.IFS(
    AC1527="", "",
    AC1527*86400 &lt; 30, "1. 0s - &lt;30s",
    AC1527*86400 &lt; 60, "2. 30s - &lt;1m",
    AC1527*86400 &lt; 300, "3. 1m - &lt;5m",
    AC1527*86400 &lt; 1800, "4. 5m - &lt;30m",
    TRUE, "5. &gt;= 30m"
),"6. Invalid (Order rejected)")</f>
        <v>5. &gt;= 30m</v>
      </c>
    </row>
    <row r="1528" spans="1:30" x14ac:dyDescent="0.3">
      <c r="A1528" t="s">
        <v>8885</v>
      </c>
      <c r="B1528" t="s">
        <v>25</v>
      </c>
      <c r="C1528">
        <v>43756635</v>
      </c>
      <c r="D1528">
        <v>3275435</v>
      </c>
      <c r="E1528" t="s">
        <v>25</v>
      </c>
      <c r="F1528" t="s">
        <v>75</v>
      </c>
      <c r="G1528" t="s">
        <v>360</v>
      </c>
      <c r="H1528" t="s">
        <v>8886</v>
      </c>
      <c r="I1528" t="s">
        <v>8887</v>
      </c>
      <c r="J1528" t="s">
        <v>8888</v>
      </c>
      <c r="K1528" t="s">
        <v>26</v>
      </c>
      <c r="L1528" t="s">
        <v>25</v>
      </c>
      <c r="M1528" t="s">
        <v>25</v>
      </c>
      <c r="N1528" t="s">
        <v>2992</v>
      </c>
      <c r="O1528" t="s">
        <v>2993</v>
      </c>
      <c r="P1528" t="s">
        <v>2833</v>
      </c>
      <c r="Q1528" t="s">
        <v>2834</v>
      </c>
      <c r="R1528">
        <v>260604</v>
      </c>
      <c r="S1528">
        <v>202028</v>
      </c>
      <c r="T1528">
        <v>58576</v>
      </c>
      <c r="U1528" t="s">
        <v>35</v>
      </c>
      <c r="V1528" t="s">
        <v>2994</v>
      </c>
      <c r="W1528" t="s">
        <v>2836</v>
      </c>
      <c r="X1528" s="4">
        <v>1</v>
      </c>
      <c r="Y1528" s="4"/>
      <c r="Z1528">
        <f t="shared" si="92"/>
        <v>8</v>
      </c>
      <c r="AA1528">
        <f t="shared" si="93"/>
        <v>20</v>
      </c>
      <c r="AB1528" s="5">
        <f t="shared" si="94"/>
        <v>0.32025462963065365</v>
      </c>
      <c r="AC1528" s="3" t="str">
        <f t="shared" si="95"/>
        <v>Order rejected, no time available</v>
      </c>
      <c r="AD1528" t="str" cm="1">
        <f t="array" ref="AD1528">IFERROR(_xlfn.IFS(
    AC1528="", "",
    AC1528*86400 &lt; 30, "1. 0s - &lt;30s",
    AC1528*86400 &lt; 60, "2. 30s - &lt;1m",
    AC1528*86400 &lt; 300, "3. 1m - &lt;5m",
    AC1528*86400 &lt; 1800, "4. 5m - &lt;30m",
    TRUE, "5. &gt;= 30m"
),"6. Invalid (Order rejected)")</f>
        <v>6. Invalid (Order rejected)</v>
      </c>
    </row>
    <row r="1529" spans="1:30" hidden="1" x14ac:dyDescent="0.3">
      <c r="A1529" t="s">
        <v>8889</v>
      </c>
      <c r="B1529" t="s">
        <v>25</v>
      </c>
      <c r="C1529">
        <v>43756635</v>
      </c>
      <c r="D1529">
        <v>0</v>
      </c>
      <c r="E1529" t="s">
        <v>25</v>
      </c>
      <c r="F1529" t="s">
        <v>26</v>
      </c>
      <c r="G1529" t="s">
        <v>27</v>
      </c>
      <c r="H1529" t="s">
        <v>8890</v>
      </c>
      <c r="I1529" t="s">
        <v>8891</v>
      </c>
      <c r="J1529" t="s">
        <v>26</v>
      </c>
      <c r="K1529" t="s">
        <v>26</v>
      </c>
      <c r="L1529" t="s">
        <v>8892</v>
      </c>
      <c r="M1529" t="s">
        <v>25</v>
      </c>
      <c r="N1529" t="s">
        <v>4817</v>
      </c>
      <c r="O1529" t="s">
        <v>4818</v>
      </c>
      <c r="P1529" t="s">
        <v>4749</v>
      </c>
      <c r="Q1529" t="s">
        <v>4750</v>
      </c>
      <c r="R1529">
        <v>203472</v>
      </c>
      <c r="S1529">
        <v>0</v>
      </c>
      <c r="T1529">
        <v>203472</v>
      </c>
      <c r="U1529" t="s">
        <v>35</v>
      </c>
      <c r="V1529" t="s">
        <v>4821</v>
      </c>
      <c r="W1529" t="s">
        <v>4751</v>
      </c>
      <c r="X1529" s="4">
        <v>1</v>
      </c>
      <c r="Y1529" s="4"/>
      <c r="Z1529">
        <f t="shared" si="92"/>
        <v>8</v>
      </c>
      <c r="AA1529">
        <f t="shared" si="93"/>
        <v>20</v>
      </c>
      <c r="AB1529" s="5">
        <f t="shared" si="94"/>
        <v>0.31408564814773854</v>
      </c>
      <c r="AC1529" s="3">
        <f t="shared" si="95"/>
        <v>9.0254629627452232E-2</v>
      </c>
      <c r="AD1529" t="str" cm="1">
        <f t="array" ref="AD1529">IFERROR(_xlfn.IFS(
    AC1529="", "",
    AC1529*86400 &lt; 30, "1. 0s - &lt;30s",
    AC1529*86400 &lt; 60, "2. 30s - &lt;1m",
    AC1529*86400 &lt; 300, "3. 1m - &lt;5m",
    AC1529*86400 &lt; 1800, "4. 5m - &lt;30m",
    TRUE, "5. &gt;= 30m"
),"6. Invalid (Order rejected)")</f>
        <v>5. &gt;= 30m</v>
      </c>
    </row>
    <row r="1530" spans="1:30" hidden="1" x14ac:dyDescent="0.3">
      <c r="A1530" t="s">
        <v>8893</v>
      </c>
      <c r="B1530" t="s">
        <v>25</v>
      </c>
      <c r="C1530">
        <v>43756635</v>
      </c>
      <c r="D1530">
        <v>0</v>
      </c>
      <c r="E1530" t="s">
        <v>25</v>
      </c>
      <c r="F1530" t="s">
        <v>26</v>
      </c>
      <c r="G1530" t="s">
        <v>27</v>
      </c>
      <c r="H1530" t="s">
        <v>8894</v>
      </c>
      <c r="I1530" t="s">
        <v>8895</v>
      </c>
      <c r="J1530" t="s">
        <v>26</v>
      </c>
      <c r="K1530" t="s">
        <v>26</v>
      </c>
      <c r="L1530" t="s">
        <v>8896</v>
      </c>
      <c r="M1530" t="s">
        <v>25</v>
      </c>
      <c r="N1530" t="s">
        <v>8863</v>
      </c>
      <c r="O1530" t="s">
        <v>8864</v>
      </c>
      <c r="P1530" t="s">
        <v>4649</v>
      </c>
      <c r="Q1530" t="s">
        <v>4650</v>
      </c>
      <c r="R1530">
        <v>262980</v>
      </c>
      <c r="S1530">
        <v>0</v>
      </c>
      <c r="T1530">
        <v>262980</v>
      </c>
      <c r="U1530" t="s">
        <v>35</v>
      </c>
      <c r="V1530" t="s">
        <v>8865</v>
      </c>
      <c r="W1530" t="s">
        <v>4651</v>
      </c>
      <c r="X1530" s="4">
        <v>1</v>
      </c>
      <c r="Y1530" s="4"/>
      <c r="Z1530">
        <f t="shared" si="92"/>
        <v>8</v>
      </c>
      <c r="AA1530">
        <f t="shared" si="93"/>
        <v>20</v>
      </c>
      <c r="AB1530" s="5">
        <f t="shared" si="94"/>
        <v>0.31547453703387873</v>
      </c>
      <c r="AC1530" s="3">
        <f t="shared" si="95"/>
        <v>1.1263310185240698</v>
      </c>
      <c r="AD1530" t="str" cm="1">
        <f t="array" ref="AD1530">IFERROR(_xlfn.IFS(
    AC1530="", "",
    AC1530*86400 &lt; 30, "1. 0s - &lt;30s",
    AC1530*86400 &lt; 60, "2. 30s - &lt;1m",
    AC1530*86400 &lt; 300, "3. 1m - &lt;5m",
    AC1530*86400 &lt; 1800, "4. 5m - &lt;30m",
    TRUE, "5. &gt;= 30m"
),"6. Invalid (Order rejected)")</f>
        <v>5. &gt;= 30m</v>
      </c>
    </row>
    <row r="1531" spans="1:30" hidden="1" x14ac:dyDescent="0.3">
      <c r="A1531" t="s">
        <v>8897</v>
      </c>
      <c r="B1531" t="s">
        <v>25</v>
      </c>
      <c r="C1531">
        <v>43756635</v>
      </c>
      <c r="D1531">
        <v>2852976</v>
      </c>
      <c r="E1531" t="s">
        <v>25</v>
      </c>
      <c r="F1531" t="s">
        <v>75</v>
      </c>
      <c r="G1531" t="s">
        <v>76</v>
      </c>
      <c r="H1531" t="s">
        <v>8898</v>
      </c>
      <c r="I1531" t="s">
        <v>8899</v>
      </c>
      <c r="J1531" t="s">
        <v>8900</v>
      </c>
      <c r="K1531" t="s">
        <v>26</v>
      </c>
      <c r="L1531" t="s">
        <v>8901</v>
      </c>
      <c r="M1531" t="s">
        <v>25</v>
      </c>
      <c r="N1531" t="s">
        <v>2258</v>
      </c>
      <c r="O1531" t="s">
        <v>8902</v>
      </c>
      <c r="P1531" t="s">
        <v>8903</v>
      </c>
      <c r="Q1531" t="s">
        <v>8904</v>
      </c>
      <c r="R1531">
        <v>250884</v>
      </c>
      <c r="S1531">
        <v>205934</v>
      </c>
      <c r="T1531">
        <v>44950</v>
      </c>
      <c r="U1531" t="s">
        <v>35</v>
      </c>
      <c r="V1531" t="s">
        <v>8905</v>
      </c>
      <c r="W1531" t="s">
        <v>4801</v>
      </c>
      <c r="X1531" s="4">
        <v>1</v>
      </c>
      <c r="Y1531" s="4"/>
      <c r="Z1531">
        <f t="shared" si="92"/>
        <v>8</v>
      </c>
      <c r="AA1531">
        <f t="shared" si="93"/>
        <v>20</v>
      </c>
      <c r="AB1531" s="5">
        <f t="shared" si="94"/>
        <v>0.32122685185458977</v>
      </c>
      <c r="AC1531" s="3">
        <f t="shared" si="95"/>
        <v>1.7407407402060926E-2</v>
      </c>
      <c r="AD1531" t="str" cm="1">
        <f t="array" ref="AD1531">IFERROR(_xlfn.IFS(
    AC1531="", "",
    AC1531*86400 &lt; 30, "1. 0s - &lt;30s",
    AC1531*86400 &lt; 60, "2. 30s - &lt;1m",
    AC1531*86400 &lt; 300, "3. 1m - &lt;5m",
    AC1531*86400 &lt; 1800, "4. 5m - &lt;30m",
    TRUE, "5. &gt;= 30m"
),"6. Invalid (Order rejected)")</f>
        <v>4. 5m - &lt;30m</v>
      </c>
    </row>
    <row r="1532" spans="1:30" hidden="1" x14ac:dyDescent="0.3">
      <c r="A1532" t="s">
        <v>8906</v>
      </c>
      <c r="B1532" t="s">
        <v>25</v>
      </c>
      <c r="C1532">
        <v>43756635</v>
      </c>
      <c r="D1532">
        <v>0</v>
      </c>
      <c r="E1532" t="s">
        <v>25</v>
      </c>
      <c r="F1532" t="s">
        <v>26</v>
      </c>
      <c r="G1532" t="s">
        <v>27</v>
      </c>
      <c r="H1532" t="s">
        <v>8907</v>
      </c>
      <c r="I1532" t="s">
        <v>8908</v>
      </c>
      <c r="J1532" t="s">
        <v>26</v>
      </c>
      <c r="K1532" t="s">
        <v>26</v>
      </c>
      <c r="L1532" t="s">
        <v>8909</v>
      </c>
      <c r="M1532" t="s">
        <v>25</v>
      </c>
      <c r="N1532" t="s">
        <v>1716</v>
      </c>
      <c r="O1532" t="s">
        <v>1717</v>
      </c>
      <c r="P1532" t="s">
        <v>4697</v>
      </c>
      <c r="Q1532" t="s">
        <v>4698</v>
      </c>
      <c r="R1532">
        <v>287280</v>
      </c>
      <c r="S1532">
        <v>0</v>
      </c>
      <c r="T1532">
        <v>287280</v>
      </c>
      <c r="U1532" t="s">
        <v>35</v>
      </c>
      <c r="V1532" t="s">
        <v>1720</v>
      </c>
      <c r="W1532" t="s">
        <v>4700</v>
      </c>
      <c r="X1532" s="4">
        <v>1</v>
      </c>
      <c r="Y1532" s="4"/>
      <c r="Z1532">
        <f t="shared" si="92"/>
        <v>8</v>
      </c>
      <c r="AA1532">
        <f t="shared" si="93"/>
        <v>20</v>
      </c>
      <c r="AB1532" s="5">
        <f t="shared" si="94"/>
        <v>0.31605324074189411</v>
      </c>
      <c r="AC1532" s="3">
        <f t="shared" si="95"/>
        <v>0.14160879629343981</v>
      </c>
      <c r="AD1532" t="str" cm="1">
        <f t="array" ref="AD1532">IFERROR(_xlfn.IFS(
    AC1532="", "",
    AC1532*86400 &lt; 30, "1. 0s - &lt;30s",
    AC1532*86400 &lt; 60, "2. 30s - &lt;1m",
    AC1532*86400 &lt; 300, "3. 1m - &lt;5m",
    AC1532*86400 &lt; 1800, "4. 5m - &lt;30m",
    TRUE, "5. &gt;= 30m"
),"6. Invalid (Order rejected)")</f>
        <v>5. &gt;= 30m</v>
      </c>
    </row>
    <row r="1533" spans="1:30" hidden="1" x14ac:dyDescent="0.3">
      <c r="A1533" t="s">
        <v>8910</v>
      </c>
      <c r="B1533" t="s">
        <v>25</v>
      </c>
      <c r="C1533">
        <v>43756635</v>
      </c>
      <c r="D1533">
        <v>0</v>
      </c>
      <c r="E1533" t="s">
        <v>25</v>
      </c>
      <c r="F1533" t="s">
        <v>26</v>
      </c>
      <c r="G1533" t="s">
        <v>27</v>
      </c>
      <c r="H1533" t="s">
        <v>8911</v>
      </c>
      <c r="I1533" t="s">
        <v>8912</v>
      </c>
      <c r="J1533" t="s">
        <v>26</v>
      </c>
      <c r="K1533" t="s">
        <v>26</v>
      </c>
      <c r="L1533" t="s">
        <v>8913</v>
      </c>
      <c r="M1533" t="s">
        <v>25</v>
      </c>
      <c r="N1533" t="s">
        <v>4872</v>
      </c>
      <c r="O1533" t="s">
        <v>4873</v>
      </c>
      <c r="P1533" t="s">
        <v>3102</v>
      </c>
      <c r="Q1533" t="s">
        <v>3103</v>
      </c>
      <c r="R1533">
        <v>173124</v>
      </c>
      <c r="S1533">
        <v>0</v>
      </c>
      <c r="T1533">
        <v>173124</v>
      </c>
      <c r="U1533" t="s">
        <v>35</v>
      </c>
      <c r="V1533" t="s">
        <v>4874</v>
      </c>
      <c r="W1533" t="s">
        <v>3104</v>
      </c>
      <c r="X1533" s="4">
        <v>1</v>
      </c>
      <c r="Y1533" s="4"/>
      <c r="Z1533">
        <f t="shared" si="92"/>
        <v>8</v>
      </c>
      <c r="AA1533">
        <f t="shared" si="93"/>
        <v>20</v>
      </c>
      <c r="AB1533" s="5">
        <f t="shared" si="94"/>
        <v>0.32203703703999054</v>
      </c>
      <c r="AC1533" s="3">
        <f t="shared" si="95"/>
        <v>9.0254629627452232E-2</v>
      </c>
      <c r="AD1533" t="str" cm="1">
        <f t="array" ref="AD1533">IFERROR(_xlfn.IFS(
    AC1533="", "",
    AC1533*86400 &lt; 30, "1. 0s - &lt;30s",
    AC1533*86400 &lt; 60, "2. 30s - &lt;1m",
    AC1533*86400 &lt; 300, "3. 1m - &lt;5m",
    AC1533*86400 &lt; 1800, "4. 5m - &lt;30m",
    TRUE, "5. &gt;= 30m"
),"6. Invalid (Order rejected)")</f>
        <v>5. &gt;= 30m</v>
      </c>
    </row>
    <row r="1534" spans="1:30" x14ac:dyDescent="0.3">
      <c r="A1534" t="s">
        <v>8914</v>
      </c>
      <c r="B1534" t="s">
        <v>25</v>
      </c>
      <c r="C1534">
        <v>43756635</v>
      </c>
      <c r="D1534">
        <v>4724857</v>
      </c>
      <c r="E1534" t="s">
        <v>25</v>
      </c>
      <c r="F1534" t="s">
        <v>75</v>
      </c>
      <c r="G1534" t="s">
        <v>360</v>
      </c>
      <c r="H1534" t="s">
        <v>8915</v>
      </c>
      <c r="I1534" t="s">
        <v>8916</v>
      </c>
      <c r="J1534" t="s">
        <v>8917</v>
      </c>
      <c r="K1534" t="s">
        <v>26</v>
      </c>
      <c r="L1534" t="s">
        <v>25</v>
      </c>
      <c r="M1534" t="s">
        <v>25</v>
      </c>
      <c r="N1534" t="s">
        <v>4872</v>
      </c>
      <c r="O1534" t="s">
        <v>4873</v>
      </c>
      <c r="P1534" t="s">
        <v>56</v>
      </c>
      <c r="Q1534" t="s">
        <v>57</v>
      </c>
      <c r="R1534">
        <v>124740</v>
      </c>
      <c r="S1534">
        <v>96702</v>
      </c>
      <c r="T1534">
        <v>28038</v>
      </c>
      <c r="U1534" t="s">
        <v>35</v>
      </c>
      <c r="V1534" t="s">
        <v>4874</v>
      </c>
      <c r="W1534" t="s">
        <v>58</v>
      </c>
      <c r="X1534" s="4">
        <v>1</v>
      </c>
      <c r="Y1534" s="4"/>
      <c r="Z1534">
        <f t="shared" si="92"/>
        <v>8</v>
      </c>
      <c r="AA1534">
        <f t="shared" si="93"/>
        <v>20</v>
      </c>
      <c r="AB1534" s="5">
        <f t="shared" si="94"/>
        <v>0.32223379629431292</v>
      </c>
      <c r="AC1534" s="3" t="str">
        <f t="shared" si="95"/>
        <v>Order rejected, no time available</v>
      </c>
      <c r="AD1534" t="str" cm="1">
        <f t="array" ref="AD1534">IFERROR(_xlfn.IFS(
    AC1534="", "",
    AC1534*86400 &lt; 30, "1. 0s - &lt;30s",
    AC1534*86400 &lt; 60, "2. 30s - &lt;1m",
    AC1534*86400 &lt; 300, "3. 1m - &lt;5m",
    AC1534*86400 &lt; 1800, "4. 5m - &lt;30m",
    TRUE, "5. &gt;= 30m"
),"6. Invalid (Order rejected)")</f>
        <v>6. Invalid (Order rejected)</v>
      </c>
    </row>
    <row r="1535" spans="1:30" x14ac:dyDescent="0.3">
      <c r="A1535" t="s">
        <v>8918</v>
      </c>
      <c r="B1535" t="s">
        <v>25</v>
      </c>
      <c r="C1535">
        <v>43756635</v>
      </c>
      <c r="D1535">
        <v>2716957</v>
      </c>
      <c r="E1535" t="s">
        <v>25</v>
      </c>
      <c r="F1535" t="s">
        <v>75</v>
      </c>
      <c r="G1535" t="s">
        <v>360</v>
      </c>
      <c r="H1535" t="s">
        <v>8919</v>
      </c>
      <c r="I1535" t="s">
        <v>8920</v>
      </c>
      <c r="J1535" t="s">
        <v>8921</v>
      </c>
      <c r="K1535" t="s">
        <v>26</v>
      </c>
      <c r="L1535" t="s">
        <v>25</v>
      </c>
      <c r="M1535" t="s">
        <v>25</v>
      </c>
      <c r="N1535" t="s">
        <v>2258</v>
      </c>
      <c r="O1535" t="s">
        <v>8902</v>
      </c>
      <c r="P1535" t="s">
        <v>8922</v>
      </c>
      <c r="Q1535" t="s">
        <v>8923</v>
      </c>
      <c r="R1535">
        <v>187812</v>
      </c>
      <c r="S1535">
        <v>145598</v>
      </c>
      <c r="T1535">
        <v>42214</v>
      </c>
      <c r="U1535" t="s">
        <v>35</v>
      </c>
      <c r="V1535" t="s">
        <v>8905</v>
      </c>
      <c r="W1535" t="s">
        <v>8841</v>
      </c>
      <c r="X1535" s="4">
        <v>1</v>
      </c>
      <c r="Y1535" s="4"/>
      <c r="Z1535">
        <f t="shared" si="92"/>
        <v>8</v>
      </c>
      <c r="AA1535">
        <f t="shared" si="93"/>
        <v>20</v>
      </c>
      <c r="AB1535" s="5">
        <f t="shared" si="94"/>
        <v>0.32137731481634546</v>
      </c>
      <c r="AC1535" s="3" t="str">
        <f t="shared" si="95"/>
        <v>Order rejected, no time available</v>
      </c>
      <c r="AD1535" t="str" cm="1">
        <f t="array" ref="AD1535">IFERROR(_xlfn.IFS(
    AC1535="", "",
    AC1535*86400 &lt; 30, "1. 0s - &lt;30s",
    AC1535*86400 &lt; 60, "2. 30s - &lt;1m",
    AC1535*86400 &lt; 300, "3. 1m - &lt;5m",
    AC1535*86400 &lt; 1800, "4. 5m - &lt;30m",
    TRUE, "5. &gt;= 30m"
),"6. Invalid (Order rejected)")</f>
        <v>6. Invalid (Order rejected)</v>
      </c>
    </row>
    <row r="1536" spans="1:30" x14ac:dyDescent="0.3">
      <c r="A1536" t="s">
        <v>8924</v>
      </c>
      <c r="B1536" t="s">
        <v>25</v>
      </c>
      <c r="C1536">
        <v>43756635</v>
      </c>
      <c r="D1536">
        <v>3695521</v>
      </c>
      <c r="E1536" t="s">
        <v>25</v>
      </c>
      <c r="F1536" t="s">
        <v>75</v>
      </c>
      <c r="G1536" t="s">
        <v>360</v>
      </c>
      <c r="H1536" t="s">
        <v>8925</v>
      </c>
      <c r="I1536" t="s">
        <v>8926</v>
      </c>
      <c r="J1536" t="s">
        <v>8927</v>
      </c>
      <c r="K1536" t="s">
        <v>26</v>
      </c>
      <c r="L1536" t="s">
        <v>25</v>
      </c>
      <c r="M1536" t="s">
        <v>25</v>
      </c>
      <c r="N1536" t="s">
        <v>4872</v>
      </c>
      <c r="O1536" t="s">
        <v>4873</v>
      </c>
      <c r="P1536" t="s">
        <v>89</v>
      </c>
      <c r="Q1536" t="s">
        <v>90</v>
      </c>
      <c r="R1536">
        <v>191268</v>
      </c>
      <c r="S1536">
        <v>148277</v>
      </c>
      <c r="T1536">
        <v>42991</v>
      </c>
      <c r="U1536" t="s">
        <v>35</v>
      </c>
      <c r="V1536" t="s">
        <v>4874</v>
      </c>
      <c r="W1536" t="s">
        <v>91</v>
      </c>
      <c r="X1536" s="4">
        <v>1</v>
      </c>
      <c r="Y1536" s="4"/>
      <c r="Z1536">
        <f t="shared" si="92"/>
        <v>8</v>
      </c>
      <c r="AA1536">
        <f t="shared" si="93"/>
        <v>20</v>
      </c>
      <c r="AB1536" s="5">
        <f t="shared" si="94"/>
        <v>0.3216898148166365</v>
      </c>
      <c r="AC1536" s="3" t="str">
        <f t="shared" si="95"/>
        <v>Order rejected, no time available</v>
      </c>
      <c r="AD1536" t="str" cm="1">
        <f t="array" ref="AD1536">IFERROR(_xlfn.IFS(
    AC1536="", "",
    AC1536*86400 &lt; 30, "1. 0s - &lt;30s",
    AC1536*86400 &lt; 60, "2. 30s - &lt;1m",
    AC1536*86400 &lt; 300, "3. 1m - &lt;5m",
    AC1536*86400 &lt; 1800, "4. 5m - &lt;30m",
    TRUE, "5. &gt;= 30m"
),"6. Invalid (Order rejected)")</f>
        <v>6. Invalid (Order rejected)</v>
      </c>
    </row>
    <row r="1537" spans="1:30" hidden="1" x14ac:dyDescent="0.3">
      <c r="A1537" t="s">
        <v>8928</v>
      </c>
      <c r="B1537" t="s">
        <v>25</v>
      </c>
      <c r="C1537">
        <v>43756635</v>
      </c>
      <c r="D1537">
        <v>0</v>
      </c>
      <c r="E1537" t="s">
        <v>25</v>
      </c>
      <c r="F1537" t="s">
        <v>26</v>
      </c>
      <c r="G1537" t="s">
        <v>27</v>
      </c>
      <c r="H1537" t="s">
        <v>8929</v>
      </c>
      <c r="I1537" t="s">
        <v>8930</v>
      </c>
      <c r="J1537" t="s">
        <v>26</v>
      </c>
      <c r="K1537" t="s">
        <v>26</v>
      </c>
      <c r="L1537" t="s">
        <v>8931</v>
      </c>
      <c r="M1537" t="s">
        <v>25</v>
      </c>
      <c r="N1537" t="s">
        <v>4844</v>
      </c>
      <c r="O1537" t="s">
        <v>4845</v>
      </c>
      <c r="P1537" t="s">
        <v>56</v>
      </c>
      <c r="Q1537" t="s">
        <v>57</v>
      </c>
      <c r="R1537">
        <v>229824</v>
      </c>
      <c r="S1537">
        <v>0</v>
      </c>
      <c r="T1537">
        <v>229824</v>
      </c>
      <c r="U1537" t="s">
        <v>35</v>
      </c>
      <c r="V1537" t="s">
        <v>4846</v>
      </c>
      <c r="W1537" t="s">
        <v>58</v>
      </c>
      <c r="X1537" s="4">
        <v>1</v>
      </c>
      <c r="Y1537" s="4"/>
      <c r="Z1537">
        <f t="shared" si="92"/>
        <v>8</v>
      </c>
      <c r="AA1537">
        <f t="shared" si="93"/>
        <v>20</v>
      </c>
      <c r="AB1537" s="5">
        <f t="shared" si="94"/>
        <v>0.32458333333488554</v>
      </c>
      <c r="AC1537" s="3">
        <f t="shared" si="95"/>
        <v>9.0266203704231884E-2</v>
      </c>
      <c r="AD1537" t="str" cm="1">
        <f t="array" ref="AD1537">IFERROR(_xlfn.IFS(
    AC1537="", "",
    AC1537*86400 &lt; 30, "1. 0s - &lt;30s",
    AC1537*86400 &lt; 60, "2. 30s - &lt;1m",
    AC1537*86400 &lt; 300, "3. 1m - &lt;5m",
    AC1537*86400 &lt; 1800, "4. 5m - &lt;30m",
    TRUE, "5. &gt;= 30m"
),"6. Invalid (Order rejected)")</f>
        <v>5. &gt;= 30m</v>
      </c>
    </row>
    <row r="1538" spans="1:30" x14ac:dyDescent="0.3">
      <c r="A1538" t="s">
        <v>8932</v>
      </c>
      <c r="B1538" t="s">
        <v>25</v>
      </c>
      <c r="C1538">
        <v>43756635</v>
      </c>
      <c r="D1538">
        <v>4808007</v>
      </c>
      <c r="E1538" t="s">
        <v>25</v>
      </c>
      <c r="F1538" t="s">
        <v>75</v>
      </c>
      <c r="G1538" t="s">
        <v>360</v>
      </c>
      <c r="H1538" t="s">
        <v>8933</v>
      </c>
      <c r="I1538" t="s">
        <v>8934</v>
      </c>
      <c r="J1538" t="s">
        <v>8935</v>
      </c>
      <c r="K1538" t="s">
        <v>26</v>
      </c>
      <c r="L1538" t="s">
        <v>25</v>
      </c>
      <c r="M1538" t="s">
        <v>25</v>
      </c>
      <c r="N1538" t="s">
        <v>2992</v>
      </c>
      <c r="O1538" t="s">
        <v>2993</v>
      </c>
      <c r="P1538" t="s">
        <v>8735</v>
      </c>
      <c r="Q1538" t="s">
        <v>8736</v>
      </c>
      <c r="R1538">
        <v>271404</v>
      </c>
      <c r="S1538">
        <v>210401</v>
      </c>
      <c r="T1538">
        <v>61003</v>
      </c>
      <c r="U1538" t="s">
        <v>35</v>
      </c>
      <c r="V1538" t="s">
        <v>2994</v>
      </c>
      <c r="W1538" t="s">
        <v>8737</v>
      </c>
      <c r="X1538" s="4">
        <v>1</v>
      </c>
      <c r="Y1538" s="4"/>
      <c r="Z1538">
        <f t="shared" si="92"/>
        <v>8</v>
      </c>
      <c r="AA1538">
        <f t="shared" si="93"/>
        <v>20</v>
      </c>
      <c r="AB1538" s="5">
        <f t="shared" si="94"/>
        <v>0.32055555555416504</v>
      </c>
      <c r="AC1538" s="3" t="str">
        <f t="shared" si="95"/>
        <v>Order rejected, no time available</v>
      </c>
      <c r="AD1538" t="str" cm="1">
        <f t="array" ref="AD1538">IFERROR(_xlfn.IFS(
    AC1538="", "",
    AC1538*86400 &lt; 30, "1. 0s - &lt;30s",
    AC1538*86400 &lt; 60, "2. 30s - &lt;1m",
    AC1538*86400 &lt; 300, "3. 1m - &lt;5m",
    AC1538*86400 &lt; 1800, "4. 5m - &lt;30m",
    TRUE, "5. &gt;= 30m"
),"6. Invalid (Order rejected)")</f>
        <v>6. Invalid (Order rejected)</v>
      </c>
    </row>
    <row r="1539" spans="1:30" hidden="1" x14ac:dyDescent="0.3">
      <c r="A1539" t="s">
        <v>8936</v>
      </c>
      <c r="B1539" t="s">
        <v>25</v>
      </c>
      <c r="C1539">
        <v>43756635</v>
      </c>
      <c r="D1539">
        <v>0</v>
      </c>
      <c r="E1539" t="s">
        <v>25</v>
      </c>
      <c r="F1539" t="s">
        <v>26</v>
      </c>
      <c r="G1539" t="s">
        <v>27</v>
      </c>
      <c r="H1539" t="s">
        <v>8937</v>
      </c>
      <c r="I1539" t="s">
        <v>8938</v>
      </c>
      <c r="J1539" t="s">
        <v>26</v>
      </c>
      <c r="K1539" t="s">
        <v>26</v>
      </c>
      <c r="L1539" t="s">
        <v>8939</v>
      </c>
      <c r="M1539" t="s">
        <v>25</v>
      </c>
      <c r="N1539" t="s">
        <v>4844</v>
      </c>
      <c r="O1539" t="s">
        <v>4845</v>
      </c>
      <c r="P1539" t="s">
        <v>180</v>
      </c>
      <c r="Q1539" t="s">
        <v>181</v>
      </c>
      <c r="R1539">
        <v>165348</v>
      </c>
      <c r="S1539">
        <v>0</v>
      </c>
      <c r="T1539">
        <v>165348</v>
      </c>
      <c r="U1539" t="s">
        <v>35</v>
      </c>
      <c r="V1539" t="s">
        <v>4846</v>
      </c>
      <c r="W1539" t="s">
        <v>182</v>
      </c>
      <c r="X1539" s="4">
        <v>1</v>
      </c>
      <c r="Y1539" s="4"/>
      <c r="Z1539">
        <f t="shared" ref="Z1539:Z1602" si="96">MONTH(H1539)</f>
        <v>8</v>
      </c>
      <c r="AA1539">
        <f t="shared" ref="AA1539:AA1602" si="97">DAY(H1539)</f>
        <v>20</v>
      </c>
      <c r="AB1539" s="5">
        <f t="shared" ref="AB1539:AB1602" si="98">MOD(H1539, 1)</f>
        <v>0.32443287037312984</v>
      </c>
      <c r="AC1539" s="3">
        <f t="shared" ref="AC1539:AC1602" si="99">IFERROR(IF(M1539="",L1539-H1539,M1539-H1539),"Order rejected, no time available")</f>
        <v>9.0254629627452232E-2</v>
      </c>
      <c r="AD1539" t="str" cm="1">
        <f t="array" ref="AD1539">IFERROR(_xlfn.IFS(
    AC1539="", "",
    AC1539*86400 &lt; 30, "1. 0s - &lt;30s",
    AC1539*86400 &lt; 60, "2. 30s - &lt;1m",
    AC1539*86400 &lt; 300, "3. 1m - &lt;5m",
    AC1539*86400 &lt; 1800, "4. 5m - &lt;30m",
    TRUE, "5. &gt;= 30m"
),"6. Invalid (Order rejected)")</f>
        <v>5. &gt;= 30m</v>
      </c>
    </row>
    <row r="1540" spans="1:30" hidden="1" x14ac:dyDescent="0.3">
      <c r="A1540" t="s">
        <v>8940</v>
      </c>
      <c r="B1540" t="s">
        <v>25</v>
      </c>
      <c r="C1540">
        <v>43756635</v>
      </c>
      <c r="D1540">
        <v>0</v>
      </c>
      <c r="E1540" t="s">
        <v>25</v>
      </c>
      <c r="F1540" t="s">
        <v>26</v>
      </c>
      <c r="G1540" t="s">
        <v>27</v>
      </c>
      <c r="H1540" t="s">
        <v>8941</v>
      </c>
      <c r="I1540" t="s">
        <v>8942</v>
      </c>
      <c r="J1540" t="s">
        <v>26</v>
      </c>
      <c r="K1540" t="s">
        <v>26</v>
      </c>
      <c r="L1540" t="s">
        <v>8943</v>
      </c>
      <c r="M1540" t="s">
        <v>25</v>
      </c>
      <c r="N1540" t="s">
        <v>1664</v>
      </c>
      <c r="O1540" t="s">
        <v>1665</v>
      </c>
      <c r="P1540" t="s">
        <v>4749</v>
      </c>
      <c r="Q1540" t="s">
        <v>4750</v>
      </c>
      <c r="R1540">
        <v>192132</v>
      </c>
      <c r="S1540">
        <v>0</v>
      </c>
      <c r="T1540">
        <v>192132</v>
      </c>
      <c r="U1540" t="s">
        <v>35</v>
      </c>
      <c r="V1540" t="s">
        <v>1668</v>
      </c>
      <c r="W1540" t="s">
        <v>4751</v>
      </c>
      <c r="X1540" s="4">
        <v>1</v>
      </c>
      <c r="Y1540" s="4"/>
      <c r="Z1540">
        <f t="shared" si="96"/>
        <v>8</v>
      </c>
      <c r="AA1540">
        <f t="shared" si="97"/>
        <v>20</v>
      </c>
      <c r="AB1540" s="5">
        <f t="shared" si="98"/>
        <v>0.31940972222218988</v>
      </c>
      <c r="AC1540" s="3">
        <f t="shared" si="99"/>
        <v>0.12591435185458977</v>
      </c>
      <c r="AD1540" t="str" cm="1">
        <f t="array" ref="AD1540">IFERROR(_xlfn.IFS(
    AC1540="", "",
    AC1540*86400 &lt; 30, "1. 0s - &lt;30s",
    AC1540*86400 &lt; 60, "2. 30s - &lt;1m",
    AC1540*86400 &lt; 300, "3. 1m - &lt;5m",
    AC1540*86400 &lt; 1800, "4. 5m - &lt;30m",
    TRUE, "5. &gt;= 30m"
),"6. Invalid (Order rejected)")</f>
        <v>5. &gt;= 30m</v>
      </c>
    </row>
    <row r="1541" spans="1:30" hidden="1" x14ac:dyDescent="0.3">
      <c r="A1541" t="s">
        <v>8944</v>
      </c>
      <c r="B1541" t="s">
        <v>25</v>
      </c>
      <c r="C1541">
        <v>43756635</v>
      </c>
      <c r="D1541">
        <v>2852976</v>
      </c>
      <c r="E1541" t="s">
        <v>25</v>
      </c>
      <c r="F1541" t="s">
        <v>75</v>
      </c>
      <c r="G1541" t="s">
        <v>76</v>
      </c>
      <c r="H1541" t="s">
        <v>8945</v>
      </c>
      <c r="I1541" t="s">
        <v>8946</v>
      </c>
      <c r="J1541" t="s">
        <v>8947</v>
      </c>
      <c r="K1541" t="s">
        <v>26</v>
      </c>
      <c r="L1541" t="s">
        <v>8948</v>
      </c>
      <c r="M1541" t="s">
        <v>25</v>
      </c>
      <c r="N1541" t="s">
        <v>2258</v>
      </c>
      <c r="O1541" t="s">
        <v>8902</v>
      </c>
      <c r="P1541" t="s">
        <v>4697</v>
      </c>
      <c r="Q1541" t="s">
        <v>4698</v>
      </c>
      <c r="R1541">
        <v>301320</v>
      </c>
      <c r="S1541">
        <v>247333</v>
      </c>
      <c r="T1541">
        <v>53987</v>
      </c>
      <c r="U1541" t="s">
        <v>35</v>
      </c>
      <c r="V1541" t="s">
        <v>8905</v>
      </c>
      <c r="W1541" t="s">
        <v>4700</v>
      </c>
      <c r="X1541" s="4">
        <v>1</v>
      </c>
      <c r="Y1541" s="4"/>
      <c r="Z1541">
        <f t="shared" si="96"/>
        <v>8</v>
      </c>
      <c r="AA1541">
        <f t="shared" si="97"/>
        <v>20</v>
      </c>
      <c r="AB1541" s="5">
        <f t="shared" si="98"/>
        <v>0.32106481481605442</v>
      </c>
      <c r="AC1541" s="3">
        <f t="shared" si="99"/>
        <v>2.2858796291984618E-2</v>
      </c>
      <c r="AD1541" t="str" cm="1">
        <f t="array" ref="AD1541">IFERROR(_xlfn.IFS(
    AC1541="", "",
    AC1541*86400 &lt; 30, "1. 0s - &lt;30s",
    AC1541*86400 &lt; 60, "2. 30s - &lt;1m",
    AC1541*86400 &lt; 300, "3. 1m - &lt;5m",
    AC1541*86400 &lt; 1800, "4. 5m - &lt;30m",
    TRUE, "5. &gt;= 30m"
),"6. Invalid (Order rejected)")</f>
        <v>5. &gt;= 30m</v>
      </c>
    </row>
    <row r="1542" spans="1:30" hidden="1" x14ac:dyDescent="0.3">
      <c r="A1542" t="s">
        <v>8949</v>
      </c>
      <c r="B1542" t="s">
        <v>25</v>
      </c>
      <c r="C1542">
        <v>43756635</v>
      </c>
      <c r="D1542">
        <v>0</v>
      </c>
      <c r="E1542" t="s">
        <v>25</v>
      </c>
      <c r="F1542" t="s">
        <v>26</v>
      </c>
      <c r="G1542" t="s">
        <v>27</v>
      </c>
      <c r="H1542" t="s">
        <v>8950</v>
      </c>
      <c r="I1542" t="s">
        <v>8951</v>
      </c>
      <c r="J1542" t="s">
        <v>26</v>
      </c>
      <c r="K1542" t="s">
        <v>26</v>
      </c>
      <c r="L1542" t="s">
        <v>8952</v>
      </c>
      <c r="M1542" t="s">
        <v>25</v>
      </c>
      <c r="N1542" t="s">
        <v>4883</v>
      </c>
      <c r="O1542" t="s">
        <v>4884</v>
      </c>
      <c r="P1542" t="s">
        <v>89</v>
      </c>
      <c r="Q1542" t="s">
        <v>90</v>
      </c>
      <c r="R1542">
        <v>177012</v>
      </c>
      <c r="S1542">
        <v>0</v>
      </c>
      <c r="T1542">
        <v>177012</v>
      </c>
      <c r="U1542" t="s">
        <v>35</v>
      </c>
      <c r="V1542" t="s">
        <v>4885</v>
      </c>
      <c r="W1542" t="s">
        <v>91</v>
      </c>
      <c r="X1542" s="4">
        <v>1</v>
      </c>
      <c r="Y1542" s="4"/>
      <c r="Z1542">
        <f t="shared" si="96"/>
        <v>8</v>
      </c>
      <c r="AA1542">
        <f t="shared" si="97"/>
        <v>20</v>
      </c>
      <c r="AB1542" s="5">
        <f t="shared" si="98"/>
        <v>0.32559027777460869</v>
      </c>
      <c r="AC1542" s="3">
        <f t="shared" si="99"/>
        <v>0.11002314815414138</v>
      </c>
      <c r="AD1542" t="str" cm="1">
        <f t="array" ref="AD1542">IFERROR(_xlfn.IFS(
    AC1542="", "",
    AC1542*86400 &lt; 30, "1. 0s - &lt;30s",
    AC1542*86400 &lt; 60, "2. 30s - &lt;1m",
    AC1542*86400 &lt; 300, "3. 1m - &lt;5m",
    AC1542*86400 &lt; 1800, "4. 5m - &lt;30m",
    TRUE, "5. &gt;= 30m"
),"6. Invalid (Order rejected)")</f>
        <v>5. &gt;= 30m</v>
      </c>
    </row>
    <row r="1543" spans="1:30" hidden="1" x14ac:dyDescent="0.3">
      <c r="A1543" t="s">
        <v>8953</v>
      </c>
      <c r="B1543" t="s">
        <v>25</v>
      </c>
      <c r="C1543">
        <v>43756635</v>
      </c>
      <c r="D1543">
        <v>0</v>
      </c>
      <c r="E1543" t="s">
        <v>25</v>
      </c>
      <c r="F1543" t="s">
        <v>26</v>
      </c>
      <c r="G1543" t="s">
        <v>27</v>
      </c>
      <c r="H1543" t="s">
        <v>8954</v>
      </c>
      <c r="I1543" t="s">
        <v>8955</v>
      </c>
      <c r="J1543" t="s">
        <v>26</v>
      </c>
      <c r="K1543" t="s">
        <v>26</v>
      </c>
      <c r="L1543" t="s">
        <v>8956</v>
      </c>
      <c r="M1543" t="s">
        <v>25</v>
      </c>
      <c r="N1543" t="s">
        <v>4844</v>
      </c>
      <c r="O1543" t="s">
        <v>4845</v>
      </c>
      <c r="P1543" t="s">
        <v>3865</v>
      </c>
      <c r="Q1543" t="s">
        <v>3866</v>
      </c>
      <c r="R1543">
        <v>170856</v>
      </c>
      <c r="S1543">
        <v>0</v>
      </c>
      <c r="T1543">
        <v>170856</v>
      </c>
      <c r="U1543" t="s">
        <v>35</v>
      </c>
      <c r="V1543" t="s">
        <v>4846</v>
      </c>
      <c r="W1543" t="s">
        <v>3868</v>
      </c>
      <c r="X1543" s="4">
        <v>1</v>
      </c>
      <c r="Y1543" s="4"/>
      <c r="Z1543">
        <f t="shared" si="96"/>
        <v>8</v>
      </c>
      <c r="AA1543">
        <f t="shared" si="97"/>
        <v>20</v>
      </c>
      <c r="AB1543" s="5">
        <f t="shared" si="98"/>
        <v>0.32377314814948477</v>
      </c>
      <c r="AC1543" s="3">
        <f t="shared" si="99"/>
        <v>9.0266203704231884E-2</v>
      </c>
      <c r="AD1543" t="str" cm="1">
        <f t="array" ref="AD1543">IFERROR(_xlfn.IFS(
    AC1543="", "",
    AC1543*86400 &lt; 30, "1. 0s - &lt;30s",
    AC1543*86400 &lt; 60, "2. 30s - &lt;1m",
    AC1543*86400 &lt; 300, "3. 1m - &lt;5m",
    AC1543*86400 &lt; 1800, "4. 5m - &lt;30m",
    TRUE, "5. &gt;= 30m"
),"6. Invalid (Order rejected)")</f>
        <v>5. &gt;= 30m</v>
      </c>
    </row>
    <row r="1544" spans="1:30" hidden="1" x14ac:dyDescent="0.3">
      <c r="A1544" t="s">
        <v>8957</v>
      </c>
      <c r="B1544" t="s">
        <v>25</v>
      </c>
      <c r="C1544">
        <v>43756635</v>
      </c>
      <c r="D1544">
        <v>0</v>
      </c>
      <c r="E1544" t="s">
        <v>25</v>
      </c>
      <c r="F1544" t="s">
        <v>26</v>
      </c>
      <c r="G1544" t="s">
        <v>27</v>
      </c>
      <c r="H1544" t="s">
        <v>8958</v>
      </c>
      <c r="I1544" t="s">
        <v>8959</v>
      </c>
      <c r="J1544" t="s">
        <v>26</v>
      </c>
      <c r="K1544" t="s">
        <v>26</v>
      </c>
      <c r="L1544" t="s">
        <v>8960</v>
      </c>
      <c r="M1544" t="s">
        <v>25</v>
      </c>
      <c r="N1544" t="s">
        <v>4844</v>
      </c>
      <c r="O1544" t="s">
        <v>4845</v>
      </c>
      <c r="P1544" t="s">
        <v>103</v>
      </c>
      <c r="Q1544" t="s">
        <v>104</v>
      </c>
      <c r="R1544">
        <v>188028</v>
      </c>
      <c r="S1544">
        <v>0</v>
      </c>
      <c r="T1544">
        <v>188028</v>
      </c>
      <c r="U1544" t="s">
        <v>35</v>
      </c>
      <c r="V1544" t="s">
        <v>4846</v>
      </c>
      <c r="W1544" t="s">
        <v>105</v>
      </c>
      <c r="X1544" s="4">
        <v>1</v>
      </c>
      <c r="Y1544" s="4"/>
      <c r="Z1544">
        <f t="shared" si="96"/>
        <v>8</v>
      </c>
      <c r="AA1544">
        <f t="shared" si="97"/>
        <v>20</v>
      </c>
      <c r="AB1544" s="5">
        <f t="shared" si="98"/>
        <v>0.32428240740409819</v>
      </c>
      <c r="AC1544" s="3">
        <f t="shared" si="99"/>
        <v>9.025462963472819E-2</v>
      </c>
      <c r="AD1544" t="str" cm="1">
        <f t="array" ref="AD1544">IFERROR(_xlfn.IFS(
    AC1544="", "",
    AC1544*86400 &lt; 30, "1. 0s - &lt;30s",
    AC1544*86400 &lt; 60, "2. 30s - &lt;1m",
    AC1544*86400 &lt; 300, "3. 1m - &lt;5m",
    AC1544*86400 &lt; 1800, "4. 5m - &lt;30m",
    TRUE, "5. &gt;= 30m"
),"6. Invalid (Order rejected)")</f>
        <v>5. &gt;= 30m</v>
      </c>
    </row>
    <row r="1545" spans="1:30" hidden="1" x14ac:dyDescent="0.3">
      <c r="A1545" t="s">
        <v>8961</v>
      </c>
      <c r="B1545" t="s">
        <v>25</v>
      </c>
      <c r="C1545">
        <v>43756635</v>
      </c>
      <c r="D1545">
        <v>0</v>
      </c>
      <c r="E1545" t="s">
        <v>25</v>
      </c>
      <c r="F1545" t="s">
        <v>26</v>
      </c>
      <c r="G1545" t="s">
        <v>27</v>
      </c>
      <c r="H1545" t="s">
        <v>8962</v>
      </c>
      <c r="I1545" t="s">
        <v>8963</v>
      </c>
      <c r="J1545" t="s">
        <v>26</v>
      </c>
      <c r="K1545" t="s">
        <v>26</v>
      </c>
      <c r="L1545" t="s">
        <v>8964</v>
      </c>
      <c r="M1545" t="s">
        <v>25</v>
      </c>
      <c r="N1545" t="s">
        <v>4834</v>
      </c>
      <c r="O1545" t="s">
        <v>4835</v>
      </c>
      <c r="P1545" t="s">
        <v>103</v>
      </c>
      <c r="Q1545" t="s">
        <v>104</v>
      </c>
      <c r="R1545">
        <v>164700</v>
      </c>
      <c r="S1545">
        <v>0</v>
      </c>
      <c r="T1545">
        <v>164700</v>
      </c>
      <c r="U1545" t="s">
        <v>35</v>
      </c>
      <c r="V1545" t="s">
        <v>3847</v>
      </c>
      <c r="W1545" t="s">
        <v>105</v>
      </c>
      <c r="X1545" s="4">
        <v>1</v>
      </c>
      <c r="Y1545" s="4"/>
      <c r="Z1545">
        <f t="shared" si="96"/>
        <v>8</v>
      </c>
      <c r="AA1545">
        <f t="shared" si="97"/>
        <v>20</v>
      </c>
      <c r="AB1545" s="5">
        <f t="shared" si="98"/>
        <v>0.32266203704057261</v>
      </c>
      <c r="AC1545" s="3">
        <f t="shared" si="99"/>
        <v>9.0254629627452232E-2</v>
      </c>
      <c r="AD1545" t="str" cm="1">
        <f t="array" ref="AD1545">IFERROR(_xlfn.IFS(
    AC1545="", "",
    AC1545*86400 &lt; 30, "1. 0s - &lt;30s",
    AC1545*86400 &lt; 60, "2. 30s - &lt;1m",
    AC1545*86400 &lt; 300, "3. 1m - &lt;5m",
    AC1545*86400 &lt; 1800, "4. 5m - &lt;30m",
    TRUE, "5. &gt;= 30m"
),"6. Invalid (Order rejected)")</f>
        <v>5. &gt;= 30m</v>
      </c>
    </row>
    <row r="1546" spans="1:30" hidden="1" x14ac:dyDescent="0.3">
      <c r="A1546" t="s">
        <v>8965</v>
      </c>
      <c r="B1546" t="s">
        <v>25</v>
      </c>
      <c r="C1546">
        <v>43756635</v>
      </c>
      <c r="D1546">
        <v>0</v>
      </c>
      <c r="E1546" t="s">
        <v>25</v>
      </c>
      <c r="F1546" t="s">
        <v>26</v>
      </c>
      <c r="G1546" t="s">
        <v>27</v>
      </c>
      <c r="H1546" t="s">
        <v>8966</v>
      </c>
      <c r="I1546" t="s">
        <v>8967</v>
      </c>
      <c r="J1546" t="s">
        <v>26</v>
      </c>
      <c r="K1546" t="s">
        <v>26</v>
      </c>
      <c r="L1546" t="s">
        <v>8968</v>
      </c>
      <c r="M1546" t="s">
        <v>25</v>
      </c>
      <c r="N1546" t="s">
        <v>4834</v>
      </c>
      <c r="O1546" t="s">
        <v>4835</v>
      </c>
      <c r="P1546" t="s">
        <v>3865</v>
      </c>
      <c r="Q1546" t="s">
        <v>3866</v>
      </c>
      <c r="R1546">
        <v>148176</v>
      </c>
      <c r="S1546">
        <v>0</v>
      </c>
      <c r="T1546">
        <v>148176</v>
      </c>
      <c r="U1546" t="s">
        <v>35</v>
      </c>
      <c r="V1546" t="s">
        <v>3847</v>
      </c>
      <c r="W1546" t="s">
        <v>3868</v>
      </c>
      <c r="X1546" s="4">
        <v>1</v>
      </c>
      <c r="Y1546" s="4"/>
      <c r="Z1546">
        <f t="shared" si="96"/>
        <v>8</v>
      </c>
      <c r="AA1546">
        <f t="shared" si="97"/>
        <v>20</v>
      </c>
      <c r="AB1546" s="5">
        <f t="shared" si="98"/>
        <v>0.32319444444146939</v>
      </c>
      <c r="AC1546" s="3">
        <f t="shared" si="99"/>
        <v>9.0266203704231884E-2</v>
      </c>
      <c r="AD1546" t="str" cm="1">
        <f t="array" ref="AD1546">IFERROR(_xlfn.IFS(
    AC1546="", "",
    AC1546*86400 &lt; 30, "1. 0s - &lt;30s",
    AC1546*86400 &lt; 60, "2. 30s - &lt;1m",
    AC1546*86400 &lt; 300, "3. 1m - &lt;5m",
    AC1546*86400 &lt; 1800, "4. 5m - &lt;30m",
    TRUE, "5. &gt;= 30m"
),"6. Invalid (Order rejected)")</f>
        <v>5. &gt;= 30m</v>
      </c>
    </row>
    <row r="1547" spans="1:30" hidden="1" x14ac:dyDescent="0.3">
      <c r="A1547" t="s">
        <v>8969</v>
      </c>
      <c r="B1547" t="s">
        <v>25</v>
      </c>
      <c r="C1547">
        <v>43756635</v>
      </c>
      <c r="D1547">
        <v>2852976</v>
      </c>
      <c r="E1547" t="s">
        <v>25</v>
      </c>
      <c r="F1547" t="s">
        <v>75</v>
      </c>
      <c r="G1547" t="s">
        <v>76</v>
      </c>
      <c r="H1547" t="s">
        <v>8970</v>
      </c>
      <c r="I1547" t="s">
        <v>8971</v>
      </c>
      <c r="J1547" t="s">
        <v>8966</v>
      </c>
      <c r="K1547" t="s">
        <v>26</v>
      </c>
      <c r="L1547" t="s">
        <v>8972</v>
      </c>
      <c r="M1547" t="s">
        <v>25</v>
      </c>
      <c r="N1547" t="s">
        <v>1664</v>
      </c>
      <c r="O1547" t="s">
        <v>1665</v>
      </c>
      <c r="P1547" t="s">
        <v>8973</v>
      </c>
      <c r="Q1547" t="s">
        <v>8974</v>
      </c>
      <c r="R1547">
        <v>248292</v>
      </c>
      <c r="S1547">
        <v>203806</v>
      </c>
      <c r="T1547">
        <v>44486</v>
      </c>
      <c r="U1547" t="s">
        <v>35</v>
      </c>
      <c r="V1547" t="s">
        <v>1668</v>
      </c>
      <c r="W1547" t="s">
        <v>4822</v>
      </c>
      <c r="X1547" s="4">
        <v>1</v>
      </c>
      <c r="Y1547" s="4"/>
      <c r="Z1547">
        <f t="shared" si="96"/>
        <v>8</v>
      </c>
      <c r="AA1547">
        <f t="shared" si="97"/>
        <v>20</v>
      </c>
      <c r="AB1547" s="5">
        <f t="shared" si="98"/>
        <v>0.31957175926072523</v>
      </c>
      <c r="AC1547" s="3">
        <f t="shared" si="99"/>
        <v>4.8726851819083095E-3</v>
      </c>
      <c r="AD1547" t="str" cm="1">
        <f t="array" ref="AD1547">IFERROR(_xlfn.IFS(
    AC1547="", "",
    AC1547*86400 &lt; 30, "1. 0s - &lt;30s",
    AC1547*86400 &lt; 60, "2. 30s - &lt;1m",
    AC1547*86400 &lt; 300, "3. 1m - &lt;5m",
    AC1547*86400 &lt; 1800, "4. 5m - &lt;30m",
    TRUE, "5. &gt;= 30m"
),"6. Invalid (Order rejected)")</f>
        <v>4. 5m - &lt;30m</v>
      </c>
    </row>
    <row r="1548" spans="1:30" hidden="1" x14ac:dyDescent="0.3">
      <c r="A1548" t="s">
        <v>8975</v>
      </c>
      <c r="B1548" t="s">
        <v>25</v>
      </c>
      <c r="C1548">
        <v>43756635</v>
      </c>
      <c r="D1548">
        <v>0</v>
      </c>
      <c r="E1548" t="s">
        <v>25</v>
      </c>
      <c r="F1548" t="s">
        <v>26</v>
      </c>
      <c r="G1548" t="s">
        <v>27</v>
      </c>
      <c r="H1548" t="s">
        <v>8976</v>
      </c>
      <c r="I1548" t="s">
        <v>8977</v>
      </c>
      <c r="J1548" t="s">
        <v>26</v>
      </c>
      <c r="K1548" t="s">
        <v>26</v>
      </c>
      <c r="L1548" t="s">
        <v>8978</v>
      </c>
      <c r="M1548" t="s">
        <v>25</v>
      </c>
      <c r="N1548" t="s">
        <v>4883</v>
      </c>
      <c r="O1548" t="s">
        <v>4884</v>
      </c>
      <c r="P1548" t="s">
        <v>103</v>
      </c>
      <c r="Q1548" t="s">
        <v>104</v>
      </c>
      <c r="R1548">
        <v>194616</v>
      </c>
      <c r="S1548">
        <v>0</v>
      </c>
      <c r="T1548">
        <v>194616</v>
      </c>
      <c r="U1548" t="s">
        <v>35</v>
      </c>
      <c r="V1548" t="s">
        <v>4885</v>
      </c>
      <c r="W1548" t="s">
        <v>105</v>
      </c>
      <c r="X1548" s="4">
        <v>1</v>
      </c>
      <c r="Y1548" s="4"/>
      <c r="Z1548">
        <f t="shared" si="96"/>
        <v>8</v>
      </c>
      <c r="AA1548">
        <f t="shared" si="97"/>
        <v>20</v>
      </c>
      <c r="AB1548" s="5">
        <f t="shared" si="98"/>
        <v>0.32635416666744277</v>
      </c>
      <c r="AC1548" s="3">
        <f t="shared" si="99"/>
        <v>0.15931712962628808</v>
      </c>
      <c r="AD1548" t="str" cm="1">
        <f t="array" ref="AD1548">IFERROR(_xlfn.IFS(
    AC1548="", "",
    AC1548*86400 &lt; 30, "1. 0s - &lt;30s",
    AC1548*86400 &lt; 60, "2. 30s - &lt;1m",
    AC1548*86400 &lt; 300, "3. 1m - &lt;5m",
    AC1548*86400 &lt; 1800, "4. 5m - &lt;30m",
    TRUE, "5. &gt;= 30m"
),"6. Invalid (Order rejected)")</f>
        <v>5. &gt;= 30m</v>
      </c>
    </row>
    <row r="1549" spans="1:30" hidden="1" x14ac:dyDescent="0.3">
      <c r="A1549" t="s">
        <v>8979</v>
      </c>
      <c r="B1549" t="s">
        <v>25</v>
      </c>
      <c r="C1549">
        <v>43756635</v>
      </c>
      <c r="D1549">
        <v>0</v>
      </c>
      <c r="E1549" t="s">
        <v>25</v>
      </c>
      <c r="F1549" t="s">
        <v>26</v>
      </c>
      <c r="G1549" t="s">
        <v>27</v>
      </c>
      <c r="H1549" t="s">
        <v>8980</v>
      </c>
      <c r="I1549" t="s">
        <v>8981</v>
      </c>
      <c r="J1549" t="s">
        <v>26</v>
      </c>
      <c r="K1549" t="s">
        <v>26</v>
      </c>
      <c r="L1549" t="s">
        <v>8982</v>
      </c>
      <c r="M1549" t="s">
        <v>25</v>
      </c>
      <c r="N1549" t="s">
        <v>4844</v>
      </c>
      <c r="O1549" t="s">
        <v>4845</v>
      </c>
      <c r="P1549" t="s">
        <v>147</v>
      </c>
      <c r="Q1549" t="s">
        <v>148</v>
      </c>
      <c r="R1549">
        <v>185760</v>
      </c>
      <c r="S1549">
        <v>0</v>
      </c>
      <c r="T1549">
        <v>185760</v>
      </c>
      <c r="U1549" t="s">
        <v>35</v>
      </c>
      <c r="V1549" t="s">
        <v>4846</v>
      </c>
      <c r="W1549" t="s">
        <v>149</v>
      </c>
      <c r="X1549" s="4">
        <v>1</v>
      </c>
      <c r="Y1549" s="4"/>
      <c r="Z1549">
        <f t="shared" si="96"/>
        <v>8</v>
      </c>
      <c r="AA1549">
        <f t="shared" si="97"/>
        <v>20</v>
      </c>
      <c r="AB1549" s="5">
        <f t="shared" si="98"/>
        <v>0.32393518518802011</v>
      </c>
      <c r="AC1549" s="3">
        <f t="shared" si="99"/>
        <v>9.0254629627452232E-2</v>
      </c>
      <c r="AD1549" t="str" cm="1">
        <f t="array" ref="AD1549">IFERROR(_xlfn.IFS(
    AC1549="", "",
    AC1549*86400 &lt; 30, "1. 0s - &lt;30s",
    AC1549*86400 &lt; 60, "2. 30s - &lt;1m",
    AC1549*86400 &lt; 300, "3. 1m - &lt;5m",
    AC1549*86400 &lt; 1800, "4. 5m - &lt;30m",
    TRUE, "5. &gt;= 30m"
),"6. Invalid (Order rejected)")</f>
        <v>5. &gt;= 30m</v>
      </c>
    </row>
    <row r="1550" spans="1:30" hidden="1" x14ac:dyDescent="0.3">
      <c r="A1550" t="s">
        <v>8983</v>
      </c>
      <c r="B1550" t="s">
        <v>25</v>
      </c>
      <c r="C1550">
        <v>43756635</v>
      </c>
      <c r="D1550">
        <v>0</v>
      </c>
      <c r="E1550" t="s">
        <v>25</v>
      </c>
      <c r="F1550" t="s">
        <v>26</v>
      </c>
      <c r="G1550" t="s">
        <v>27</v>
      </c>
      <c r="H1550" t="s">
        <v>8984</v>
      </c>
      <c r="I1550" t="s">
        <v>8985</v>
      </c>
      <c r="J1550" t="s">
        <v>26</v>
      </c>
      <c r="K1550" t="s">
        <v>26</v>
      </c>
      <c r="L1550" t="s">
        <v>8986</v>
      </c>
      <c r="M1550" t="s">
        <v>25</v>
      </c>
      <c r="N1550" t="s">
        <v>4844</v>
      </c>
      <c r="O1550" t="s">
        <v>4845</v>
      </c>
      <c r="P1550" t="s">
        <v>42</v>
      </c>
      <c r="Q1550" t="s">
        <v>43</v>
      </c>
      <c r="R1550">
        <v>158760</v>
      </c>
      <c r="S1550">
        <v>0</v>
      </c>
      <c r="T1550">
        <v>158760</v>
      </c>
      <c r="U1550" t="s">
        <v>35</v>
      </c>
      <c r="V1550" t="s">
        <v>4846</v>
      </c>
      <c r="W1550" t="s">
        <v>44</v>
      </c>
      <c r="X1550" s="4">
        <v>1</v>
      </c>
      <c r="Y1550" s="4"/>
      <c r="Z1550">
        <f t="shared" si="96"/>
        <v>8</v>
      </c>
      <c r="AA1550">
        <f t="shared" si="97"/>
        <v>20</v>
      </c>
      <c r="AB1550" s="5">
        <f t="shared" si="98"/>
        <v>0.32412037037283881</v>
      </c>
      <c r="AC1550" s="3">
        <f t="shared" si="99"/>
        <v>9.0266203704231884E-2</v>
      </c>
      <c r="AD1550" t="str" cm="1">
        <f t="array" ref="AD1550">IFERROR(_xlfn.IFS(
    AC1550="", "",
    AC1550*86400 &lt; 30, "1. 0s - &lt;30s",
    AC1550*86400 &lt; 60, "2. 30s - &lt;1m",
    AC1550*86400 &lt; 300, "3. 1m - &lt;5m",
    AC1550*86400 &lt; 1800, "4. 5m - &lt;30m",
    TRUE, "5. &gt;= 30m"
),"6. Invalid (Order rejected)")</f>
        <v>5. &gt;= 30m</v>
      </c>
    </row>
    <row r="1551" spans="1:30" hidden="1" x14ac:dyDescent="0.3">
      <c r="A1551" t="s">
        <v>8987</v>
      </c>
      <c r="B1551" t="s">
        <v>25</v>
      </c>
      <c r="C1551">
        <v>43756635</v>
      </c>
      <c r="D1551">
        <v>0</v>
      </c>
      <c r="E1551" t="s">
        <v>25</v>
      </c>
      <c r="F1551" t="s">
        <v>26</v>
      </c>
      <c r="G1551" t="s">
        <v>27</v>
      </c>
      <c r="H1551" t="s">
        <v>8988</v>
      </c>
      <c r="I1551" t="s">
        <v>8989</v>
      </c>
      <c r="J1551" t="s">
        <v>26</v>
      </c>
      <c r="K1551" t="s">
        <v>26</v>
      </c>
      <c r="L1551" t="s">
        <v>8990</v>
      </c>
      <c r="M1551" t="s">
        <v>25</v>
      </c>
      <c r="N1551" t="s">
        <v>4883</v>
      </c>
      <c r="O1551" t="s">
        <v>4884</v>
      </c>
      <c r="P1551" t="s">
        <v>96</v>
      </c>
      <c r="Q1551" t="s">
        <v>97</v>
      </c>
      <c r="R1551">
        <v>164268</v>
      </c>
      <c r="S1551">
        <v>0</v>
      </c>
      <c r="T1551">
        <v>164268</v>
      </c>
      <c r="U1551" t="s">
        <v>35</v>
      </c>
      <c r="V1551" t="s">
        <v>4885</v>
      </c>
      <c r="W1551" t="s">
        <v>98</v>
      </c>
      <c r="X1551" s="4">
        <v>1</v>
      </c>
      <c r="Y1551" s="4"/>
      <c r="Z1551">
        <f t="shared" si="96"/>
        <v>8</v>
      </c>
      <c r="AA1551">
        <f t="shared" si="97"/>
        <v>20</v>
      </c>
      <c r="AB1551" s="5">
        <f t="shared" si="98"/>
        <v>0.32576388888992369</v>
      </c>
      <c r="AC1551" s="3">
        <f t="shared" si="99"/>
        <v>9.0254629627452232E-2</v>
      </c>
      <c r="AD1551" t="str" cm="1">
        <f t="array" ref="AD1551">IFERROR(_xlfn.IFS(
    AC1551="", "",
    AC1551*86400 &lt; 30, "1. 0s - &lt;30s",
    AC1551*86400 &lt; 60, "2. 30s - &lt;1m",
    AC1551*86400 &lt; 300, "3. 1m - &lt;5m",
    AC1551*86400 &lt; 1800, "4. 5m - &lt;30m",
    TRUE, "5. &gt;= 30m"
),"6. Invalid (Order rejected)")</f>
        <v>5. &gt;= 30m</v>
      </c>
    </row>
    <row r="1552" spans="1:30" x14ac:dyDescent="0.3">
      <c r="A1552" t="s">
        <v>8991</v>
      </c>
      <c r="B1552" t="s">
        <v>25</v>
      </c>
      <c r="C1552">
        <v>43756635</v>
      </c>
      <c r="D1552">
        <v>1046579</v>
      </c>
      <c r="E1552" t="s">
        <v>25</v>
      </c>
      <c r="F1552" t="s">
        <v>75</v>
      </c>
      <c r="G1552" t="s">
        <v>360</v>
      </c>
      <c r="H1552" t="s">
        <v>8992</v>
      </c>
      <c r="I1552" t="s">
        <v>8993</v>
      </c>
      <c r="J1552" t="s">
        <v>8994</v>
      </c>
      <c r="K1552" t="s">
        <v>26</v>
      </c>
      <c r="L1552" t="s">
        <v>25</v>
      </c>
      <c r="M1552" t="s">
        <v>25</v>
      </c>
      <c r="N1552" t="s">
        <v>4883</v>
      </c>
      <c r="O1552" t="s">
        <v>4884</v>
      </c>
      <c r="P1552" t="s">
        <v>180</v>
      </c>
      <c r="Q1552" t="s">
        <v>181</v>
      </c>
      <c r="R1552">
        <v>150444</v>
      </c>
      <c r="S1552">
        <v>116629</v>
      </c>
      <c r="T1552">
        <v>33815</v>
      </c>
      <c r="U1552" t="s">
        <v>35</v>
      </c>
      <c r="V1552" t="s">
        <v>4885</v>
      </c>
      <c r="W1552" t="s">
        <v>182</v>
      </c>
      <c r="X1552" s="4">
        <v>1</v>
      </c>
      <c r="Y1552" s="4"/>
      <c r="Z1552">
        <f t="shared" si="96"/>
        <v>8</v>
      </c>
      <c r="AA1552">
        <f t="shared" si="97"/>
        <v>20</v>
      </c>
      <c r="AB1552" s="5">
        <f t="shared" si="98"/>
        <v>0.32621527777519077</v>
      </c>
      <c r="AC1552" s="3" t="str">
        <f t="shared" si="99"/>
        <v>Order rejected, no time available</v>
      </c>
      <c r="AD1552" t="str" cm="1">
        <f t="array" ref="AD1552">IFERROR(_xlfn.IFS(
    AC1552="", "",
    AC1552*86400 &lt; 30, "1. 0s - &lt;30s",
    AC1552*86400 &lt; 60, "2. 30s - &lt;1m",
    AC1552*86400 &lt; 300, "3. 1m - &lt;5m",
    AC1552*86400 &lt; 1800, "4. 5m - &lt;30m",
    TRUE, "5. &gt;= 30m"
),"6. Invalid (Order rejected)")</f>
        <v>6. Invalid (Order rejected)</v>
      </c>
    </row>
    <row r="1553" spans="1:30" hidden="1" x14ac:dyDescent="0.3">
      <c r="A1553" t="s">
        <v>8995</v>
      </c>
      <c r="B1553" t="s">
        <v>25</v>
      </c>
      <c r="C1553">
        <v>43783789</v>
      </c>
      <c r="D1553">
        <v>3746341</v>
      </c>
      <c r="E1553" t="s">
        <v>25</v>
      </c>
      <c r="F1553" t="s">
        <v>75</v>
      </c>
      <c r="G1553" t="s">
        <v>76</v>
      </c>
      <c r="H1553" t="s">
        <v>8996</v>
      </c>
      <c r="I1553" t="s">
        <v>8997</v>
      </c>
      <c r="J1553" t="s">
        <v>8998</v>
      </c>
      <c r="K1553" t="s">
        <v>8999</v>
      </c>
      <c r="L1553" t="s">
        <v>9000</v>
      </c>
      <c r="M1553" t="s">
        <v>25</v>
      </c>
      <c r="N1553" t="s">
        <v>4914</v>
      </c>
      <c r="O1553" t="s">
        <v>4915</v>
      </c>
      <c r="P1553" t="s">
        <v>9001</v>
      </c>
      <c r="Q1553" t="s">
        <v>9002</v>
      </c>
      <c r="R1553">
        <v>301644</v>
      </c>
      <c r="S1553">
        <v>247599</v>
      </c>
      <c r="T1553">
        <v>54045</v>
      </c>
      <c r="U1553" t="s">
        <v>35</v>
      </c>
      <c r="V1553" t="s">
        <v>4918</v>
      </c>
      <c r="W1553" t="s">
        <v>9003</v>
      </c>
      <c r="X1553" s="4">
        <v>1</v>
      </c>
      <c r="Y1553" s="4"/>
      <c r="Z1553">
        <f t="shared" si="96"/>
        <v>8</v>
      </c>
      <c r="AA1553">
        <f t="shared" si="97"/>
        <v>21</v>
      </c>
      <c r="AB1553" s="5">
        <f t="shared" si="98"/>
        <v>0.30373842592234723</v>
      </c>
      <c r="AC1553" s="3">
        <f t="shared" si="99"/>
        <v>5.2546296356013045E-3</v>
      </c>
      <c r="AD1553" t="str" cm="1">
        <f t="array" ref="AD1553">IFERROR(_xlfn.IFS(
    AC1553="", "",
    AC1553*86400 &lt; 30, "1. 0s - &lt;30s",
    AC1553*86400 &lt; 60, "2. 30s - &lt;1m",
    AC1553*86400 &lt; 300, "3. 1m - &lt;5m",
    AC1553*86400 &lt; 1800, "4. 5m - &lt;30m",
    TRUE, "5. &gt;= 30m"
),"6. Invalid (Order rejected)")</f>
        <v>4. 5m - &lt;30m</v>
      </c>
    </row>
    <row r="1554" spans="1:30" hidden="1" x14ac:dyDescent="0.3">
      <c r="A1554" t="s">
        <v>9004</v>
      </c>
      <c r="B1554" t="s">
        <v>25</v>
      </c>
      <c r="C1554">
        <v>43783789</v>
      </c>
      <c r="D1554">
        <v>0</v>
      </c>
      <c r="E1554" t="s">
        <v>25</v>
      </c>
      <c r="F1554" t="s">
        <v>26</v>
      </c>
      <c r="G1554" t="s">
        <v>27</v>
      </c>
      <c r="H1554" t="s">
        <v>9005</v>
      </c>
      <c r="I1554" t="s">
        <v>9006</v>
      </c>
      <c r="J1554" t="s">
        <v>26</v>
      </c>
      <c r="K1554" t="s">
        <v>26</v>
      </c>
      <c r="L1554" t="s">
        <v>9007</v>
      </c>
      <c r="M1554" t="s">
        <v>25</v>
      </c>
      <c r="N1554" t="s">
        <v>2801</v>
      </c>
      <c r="O1554" t="s">
        <v>2802</v>
      </c>
      <c r="P1554" t="s">
        <v>4967</v>
      </c>
      <c r="Q1554" t="s">
        <v>4968</v>
      </c>
      <c r="R1554">
        <v>270216</v>
      </c>
      <c r="S1554">
        <v>0</v>
      </c>
      <c r="T1554">
        <v>270216</v>
      </c>
      <c r="U1554" t="s">
        <v>35</v>
      </c>
      <c r="V1554" t="s">
        <v>2805</v>
      </c>
      <c r="W1554" t="s">
        <v>4970</v>
      </c>
      <c r="X1554" s="4">
        <v>1</v>
      </c>
      <c r="Y1554" s="4"/>
      <c r="Z1554">
        <f t="shared" si="96"/>
        <v>8</v>
      </c>
      <c r="AA1554">
        <f t="shared" si="97"/>
        <v>21</v>
      </c>
      <c r="AB1554" s="5">
        <f t="shared" si="98"/>
        <v>0.30587962963181781</v>
      </c>
      <c r="AC1554" s="3">
        <f t="shared" si="99"/>
        <v>9.0266203704231884E-2</v>
      </c>
      <c r="AD1554" t="str" cm="1">
        <f t="array" ref="AD1554">IFERROR(_xlfn.IFS(
    AC1554="", "",
    AC1554*86400 &lt; 30, "1. 0s - &lt;30s",
    AC1554*86400 &lt; 60, "2. 30s - &lt;1m",
    AC1554*86400 &lt; 300, "3. 1m - &lt;5m",
    AC1554*86400 &lt; 1800, "4. 5m - &lt;30m",
    TRUE, "5. &gt;= 30m"
),"6. Invalid (Order rejected)")</f>
        <v>5. &gt;= 30m</v>
      </c>
    </row>
    <row r="1555" spans="1:30" hidden="1" x14ac:dyDescent="0.3">
      <c r="A1555" t="s">
        <v>9008</v>
      </c>
      <c r="B1555" t="s">
        <v>25</v>
      </c>
      <c r="C1555">
        <v>43783789</v>
      </c>
      <c r="D1555">
        <v>0</v>
      </c>
      <c r="E1555" t="s">
        <v>25</v>
      </c>
      <c r="F1555" t="s">
        <v>26</v>
      </c>
      <c r="G1555" t="s">
        <v>27</v>
      </c>
      <c r="H1555" t="s">
        <v>9009</v>
      </c>
      <c r="I1555" t="s">
        <v>9010</v>
      </c>
      <c r="J1555" t="s">
        <v>26</v>
      </c>
      <c r="K1555" t="s">
        <v>26</v>
      </c>
      <c r="L1555" t="s">
        <v>9011</v>
      </c>
      <c r="M1555" t="s">
        <v>25</v>
      </c>
      <c r="N1555" t="s">
        <v>2801</v>
      </c>
      <c r="O1555" t="s">
        <v>2802</v>
      </c>
      <c r="P1555" t="s">
        <v>9012</v>
      </c>
      <c r="Q1555" t="s">
        <v>9013</v>
      </c>
      <c r="R1555">
        <v>177012</v>
      </c>
      <c r="S1555">
        <v>0</v>
      </c>
      <c r="T1555">
        <v>177012</v>
      </c>
      <c r="U1555" t="s">
        <v>35</v>
      </c>
      <c r="V1555" t="s">
        <v>2805</v>
      </c>
      <c r="W1555" t="s">
        <v>1937</v>
      </c>
      <c r="X1555" s="4">
        <v>1</v>
      </c>
      <c r="Y1555" s="4"/>
      <c r="Z1555">
        <f t="shared" si="96"/>
        <v>8</v>
      </c>
      <c r="AA1555">
        <f t="shared" si="97"/>
        <v>21</v>
      </c>
      <c r="AB1555" s="5">
        <f t="shared" si="98"/>
        <v>0.30756944444146939</v>
      </c>
      <c r="AC1555" s="3">
        <f t="shared" si="99"/>
        <v>9.0266203704231884E-2</v>
      </c>
      <c r="AD1555" t="str" cm="1">
        <f t="array" ref="AD1555">IFERROR(_xlfn.IFS(
    AC1555="", "",
    AC1555*86400 &lt; 30, "1. 0s - &lt;30s",
    AC1555*86400 &lt; 60, "2. 30s - &lt;1m",
    AC1555*86400 &lt; 300, "3. 1m - &lt;5m",
    AC1555*86400 &lt; 1800, "4. 5m - &lt;30m",
    TRUE, "5. &gt;= 30m"
),"6. Invalid (Order rejected)")</f>
        <v>5. &gt;= 30m</v>
      </c>
    </row>
    <row r="1556" spans="1:30" hidden="1" x14ac:dyDescent="0.3">
      <c r="A1556" t="s">
        <v>9014</v>
      </c>
      <c r="B1556" t="s">
        <v>25</v>
      </c>
      <c r="C1556">
        <v>43783789</v>
      </c>
      <c r="D1556">
        <v>0</v>
      </c>
      <c r="E1556" t="s">
        <v>25</v>
      </c>
      <c r="F1556" t="s">
        <v>26</v>
      </c>
      <c r="G1556" t="s">
        <v>27</v>
      </c>
      <c r="H1556" t="s">
        <v>8999</v>
      </c>
      <c r="I1556" t="s">
        <v>9015</v>
      </c>
      <c r="J1556" t="s">
        <v>26</v>
      </c>
      <c r="K1556" t="s">
        <v>26</v>
      </c>
      <c r="L1556" t="s">
        <v>9016</v>
      </c>
      <c r="M1556" t="s">
        <v>25</v>
      </c>
      <c r="N1556" t="s">
        <v>2801</v>
      </c>
      <c r="O1556" t="s">
        <v>2802</v>
      </c>
      <c r="P1556" t="s">
        <v>5041</v>
      </c>
      <c r="Q1556" t="s">
        <v>5042</v>
      </c>
      <c r="R1556">
        <v>347976</v>
      </c>
      <c r="S1556">
        <v>0</v>
      </c>
      <c r="T1556">
        <v>347976</v>
      </c>
      <c r="U1556" t="s">
        <v>35</v>
      </c>
      <c r="V1556" t="s">
        <v>2805</v>
      </c>
      <c r="W1556" t="s">
        <v>5043</v>
      </c>
      <c r="X1556" s="4">
        <v>1</v>
      </c>
      <c r="Y1556" s="4"/>
      <c r="Z1556">
        <f t="shared" si="96"/>
        <v>8</v>
      </c>
      <c r="AA1556">
        <f t="shared" si="97"/>
        <v>21</v>
      </c>
      <c r="AB1556" s="5">
        <f t="shared" si="98"/>
        <v>0.30643518518627388</v>
      </c>
      <c r="AC1556" s="3">
        <f t="shared" si="99"/>
        <v>0.15778935184789589</v>
      </c>
      <c r="AD1556" t="str" cm="1">
        <f t="array" ref="AD1556">IFERROR(_xlfn.IFS(
    AC1556="", "",
    AC1556*86400 &lt; 30, "1. 0s - &lt;30s",
    AC1556*86400 &lt; 60, "2. 30s - &lt;1m",
    AC1556*86400 &lt; 300, "3. 1m - &lt;5m",
    AC1556*86400 &lt; 1800, "4. 5m - &lt;30m",
    TRUE, "5. &gt;= 30m"
),"6. Invalid (Order rejected)")</f>
        <v>5. &gt;= 30m</v>
      </c>
    </row>
    <row r="1557" spans="1:30" hidden="1" x14ac:dyDescent="0.3">
      <c r="A1557" t="s">
        <v>9017</v>
      </c>
      <c r="B1557" t="s">
        <v>25</v>
      </c>
      <c r="C1557">
        <v>43783789</v>
      </c>
      <c r="D1557">
        <v>0</v>
      </c>
      <c r="E1557" t="s">
        <v>25</v>
      </c>
      <c r="F1557" t="s">
        <v>26</v>
      </c>
      <c r="G1557" t="s">
        <v>27</v>
      </c>
      <c r="H1557" t="s">
        <v>9018</v>
      </c>
      <c r="I1557" t="s">
        <v>9019</v>
      </c>
      <c r="J1557" t="s">
        <v>26</v>
      </c>
      <c r="K1557" t="s">
        <v>26</v>
      </c>
      <c r="L1557" t="s">
        <v>9020</v>
      </c>
      <c r="M1557" t="s">
        <v>25</v>
      </c>
      <c r="N1557" t="s">
        <v>2801</v>
      </c>
      <c r="O1557" t="s">
        <v>2802</v>
      </c>
      <c r="P1557" t="s">
        <v>5128</v>
      </c>
      <c r="Q1557" t="s">
        <v>5129</v>
      </c>
      <c r="R1557">
        <v>211788</v>
      </c>
      <c r="S1557">
        <v>0</v>
      </c>
      <c r="T1557">
        <v>211788</v>
      </c>
      <c r="U1557" t="s">
        <v>35</v>
      </c>
      <c r="V1557" t="s">
        <v>2805</v>
      </c>
      <c r="W1557" t="s">
        <v>5130</v>
      </c>
      <c r="X1557" s="4">
        <v>1</v>
      </c>
      <c r="Y1557" s="4"/>
      <c r="Z1557">
        <f t="shared" si="96"/>
        <v>8</v>
      </c>
      <c r="AA1557">
        <f t="shared" si="97"/>
        <v>21</v>
      </c>
      <c r="AB1557" s="5">
        <f t="shared" si="98"/>
        <v>0.30612268518598285</v>
      </c>
      <c r="AC1557" s="3">
        <f t="shared" si="99"/>
        <v>9.0266203704231884E-2</v>
      </c>
      <c r="AD1557" t="str" cm="1">
        <f t="array" ref="AD1557">IFERROR(_xlfn.IFS(
    AC1557="", "",
    AC1557*86400 &lt; 30, "1. 0s - &lt;30s",
    AC1557*86400 &lt; 60, "2. 30s - &lt;1m",
    AC1557*86400 &lt; 300, "3. 1m - &lt;5m",
    AC1557*86400 &lt; 1800, "4. 5m - &lt;30m",
    TRUE, "5. &gt;= 30m"
),"6. Invalid (Order rejected)")</f>
        <v>5. &gt;= 30m</v>
      </c>
    </row>
    <row r="1558" spans="1:30" hidden="1" x14ac:dyDescent="0.3">
      <c r="A1558" t="s">
        <v>9021</v>
      </c>
      <c r="B1558" t="s">
        <v>25</v>
      </c>
      <c r="C1558">
        <v>43783789</v>
      </c>
      <c r="D1558">
        <v>0</v>
      </c>
      <c r="E1558" t="s">
        <v>25</v>
      </c>
      <c r="F1558" t="s">
        <v>26</v>
      </c>
      <c r="G1558" t="s">
        <v>27</v>
      </c>
      <c r="H1558" t="s">
        <v>9022</v>
      </c>
      <c r="I1558" t="s">
        <v>9023</v>
      </c>
      <c r="J1558" t="s">
        <v>26</v>
      </c>
      <c r="K1558" t="s">
        <v>26</v>
      </c>
      <c r="L1558" t="s">
        <v>9024</v>
      </c>
      <c r="M1558" t="s">
        <v>25</v>
      </c>
      <c r="N1558" t="s">
        <v>2801</v>
      </c>
      <c r="O1558" t="s">
        <v>2802</v>
      </c>
      <c r="P1558" t="s">
        <v>9025</v>
      </c>
      <c r="Q1558" t="s">
        <v>9026</v>
      </c>
      <c r="R1558">
        <v>171504</v>
      </c>
      <c r="S1558">
        <v>0</v>
      </c>
      <c r="T1558">
        <v>171504</v>
      </c>
      <c r="U1558" t="s">
        <v>35</v>
      </c>
      <c r="V1558" t="s">
        <v>2805</v>
      </c>
      <c r="W1558" t="s">
        <v>5022</v>
      </c>
      <c r="X1558" s="4">
        <v>1</v>
      </c>
      <c r="Y1558" s="4"/>
      <c r="Z1558">
        <f t="shared" si="96"/>
        <v>8</v>
      </c>
      <c r="AA1558">
        <f t="shared" si="97"/>
        <v>21</v>
      </c>
      <c r="AB1558" s="5">
        <f t="shared" si="98"/>
        <v>0.3087152777807205</v>
      </c>
      <c r="AC1558" s="3">
        <f t="shared" si="99"/>
        <v>0.12239583332848269</v>
      </c>
      <c r="AD1558" t="str" cm="1">
        <f t="array" ref="AD1558">IFERROR(_xlfn.IFS(
    AC1558="", "",
    AC1558*86400 &lt; 30, "1. 0s - &lt;30s",
    AC1558*86400 &lt; 60, "2. 30s - &lt;1m",
    AC1558*86400 &lt; 300, "3. 1m - &lt;5m",
    AC1558*86400 &lt; 1800, "4. 5m - &lt;30m",
    TRUE, "5. &gt;= 30m"
),"6. Invalid (Order rejected)")</f>
        <v>5. &gt;= 30m</v>
      </c>
    </row>
    <row r="1559" spans="1:30" hidden="1" x14ac:dyDescent="0.3">
      <c r="A1559" t="s">
        <v>9027</v>
      </c>
      <c r="B1559" t="s">
        <v>25</v>
      </c>
      <c r="C1559">
        <v>43783789</v>
      </c>
      <c r="D1559">
        <v>0</v>
      </c>
      <c r="E1559" t="s">
        <v>25</v>
      </c>
      <c r="F1559" t="s">
        <v>26</v>
      </c>
      <c r="G1559" t="s">
        <v>27</v>
      </c>
      <c r="H1559" t="s">
        <v>9028</v>
      </c>
      <c r="I1559" t="s">
        <v>9029</v>
      </c>
      <c r="J1559" t="s">
        <v>26</v>
      </c>
      <c r="K1559" t="s">
        <v>26</v>
      </c>
      <c r="L1559" t="s">
        <v>9030</v>
      </c>
      <c r="M1559" t="s">
        <v>25</v>
      </c>
      <c r="N1559" t="s">
        <v>1911</v>
      </c>
      <c r="O1559" t="s">
        <v>1912</v>
      </c>
      <c r="P1559" t="s">
        <v>1411</v>
      </c>
      <c r="Q1559" t="s">
        <v>1412</v>
      </c>
      <c r="R1559">
        <v>217296</v>
      </c>
      <c r="S1559">
        <v>0</v>
      </c>
      <c r="T1559">
        <v>217296</v>
      </c>
      <c r="U1559" t="s">
        <v>35</v>
      </c>
      <c r="V1559" t="s">
        <v>1915</v>
      </c>
      <c r="W1559" t="s">
        <v>1414</v>
      </c>
      <c r="X1559" s="4">
        <v>1</v>
      </c>
      <c r="Y1559" s="4"/>
      <c r="Z1559">
        <f t="shared" si="96"/>
        <v>8</v>
      </c>
      <c r="AA1559">
        <f t="shared" si="97"/>
        <v>21</v>
      </c>
      <c r="AB1559" s="5">
        <f t="shared" si="98"/>
        <v>0.30915509258920792</v>
      </c>
      <c r="AC1559" s="3">
        <f t="shared" si="99"/>
        <v>9.0266203704231884E-2</v>
      </c>
      <c r="AD1559" t="str" cm="1">
        <f t="array" ref="AD1559">IFERROR(_xlfn.IFS(
    AC1559="", "",
    AC1559*86400 &lt; 30, "1. 0s - &lt;30s",
    AC1559*86400 &lt; 60, "2. 30s - &lt;1m",
    AC1559*86400 &lt; 300, "3. 1m - &lt;5m",
    AC1559*86400 &lt; 1800, "4. 5m - &lt;30m",
    TRUE, "5. &gt;= 30m"
),"6. Invalid (Order rejected)")</f>
        <v>5. &gt;= 30m</v>
      </c>
    </row>
    <row r="1560" spans="1:30" hidden="1" x14ac:dyDescent="0.3">
      <c r="A1560" t="s">
        <v>9031</v>
      </c>
      <c r="B1560" t="s">
        <v>25</v>
      </c>
      <c r="C1560">
        <v>43783789</v>
      </c>
      <c r="D1560">
        <v>0</v>
      </c>
      <c r="E1560" t="s">
        <v>25</v>
      </c>
      <c r="F1560" t="s">
        <v>26</v>
      </c>
      <c r="G1560" t="s">
        <v>27</v>
      </c>
      <c r="H1560" t="s">
        <v>9032</v>
      </c>
      <c r="I1560" t="s">
        <v>9033</v>
      </c>
      <c r="J1560" t="s">
        <v>26</v>
      </c>
      <c r="K1560" t="s">
        <v>26</v>
      </c>
      <c r="L1560" t="s">
        <v>9034</v>
      </c>
      <c r="M1560" t="s">
        <v>25</v>
      </c>
      <c r="N1560" t="s">
        <v>2801</v>
      </c>
      <c r="O1560" t="s">
        <v>2802</v>
      </c>
      <c r="P1560" t="s">
        <v>9035</v>
      </c>
      <c r="Q1560" t="s">
        <v>9036</v>
      </c>
      <c r="R1560">
        <v>249048</v>
      </c>
      <c r="S1560">
        <v>0</v>
      </c>
      <c r="T1560">
        <v>249048</v>
      </c>
      <c r="U1560" t="s">
        <v>35</v>
      </c>
      <c r="V1560" t="s">
        <v>2805</v>
      </c>
      <c r="W1560" t="s">
        <v>9037</v>
      </c>
      <c r="X1560" s="4">
        <v>1</v>
      </c>
      <c r="Y1560" s="4"/>
      <c r="Z1560">
        <f t="shared" si="96"/>
        <v>8</v>
      </c>
      <c r="AA1560">
        <f t="shared" si="97"/>
        <v>21</v>
      </c>
      <c r="AB1560" s="5">
        <f t="shared" si="98"/>
        <v>0.30831018518802011</v>
      </c>
      <c r="AC1560" s="3">
        <f t="shared" si="99"/>
        <v>0.10458333333372138</v>
      </c>
      <c r="AD1560" t="str" cm="1">
        <f t="array" ref="AD1560">IFERROR(_xlfn.IFS(
    AC1560="", "",
    AC1560*86400 &lt; 30, "1. 0s - &lt;30s",
    AC1560*86400 &lt; 60, "2. 30s - &lt;1m",
    AC1560*86400 &lt; 300, "3. 1m - &lt;5m",
    AC1560*86400 &lt; 1800, "4. 5m - &lt;30m",
    TRUE, "5. &gt;= 30m"
),"6. Invalid (Order rejected)")</f>
        <v>5. &gt;= 30m</v>
      </c>
    </row>
    <row r="1561" spans="1:30" hidden="1" x14ac:dyDescent="0.3">
      <c r="A1561" t="s">
        <v>9038</v>
      </c>
      <c r="B1561" t="s">
        <v>25</v>
      </c>
      <c r="C1561">
        <v>43783789</v>
      </c>
      <c r="D1561">
        <v>0</v>
      </c>
      <c r="E1561" t="s">
        <v>25</v>
      </c>
      <c r="F1561" t="s">
        <v>26</v>
      </c>
      <c r="G1561" t="s">
        <v>27</v>
      </c>
      <c r="H1561" t="s">
        <v>9039</v>
      </c>
      <c r="I1561" t="s">
        <v>9040</v>
      </c>
      <c r="J1561" t="s">
        <v>26</v>
      </c>
      <c r="K1561" t="s">
        <v>26</v>
      </c>
      <c r="L1561" t="s">
        <v>9041</v>
      </c>
      <c r="M1561" t="s">
        <v>25</v>
      </c>
      <c r="N1561" t="s">
        <v>4742</v>
      </c>
      <c r="O1561" t="s">
        <v>4743</v>
      </c>
      <c r="P1561" t="s">
        <v>4967</v>
      </c>
      <c r="Q1561" t="s">
        <v>4968</v>
      </c>
      <c r="R1561">
        <v>252396</v>
      </c>
      <c r="S1561">
        <v>0</v>
      </c>
      <c r="T1561">
        <v>252396</v>
      </c>
      <c r="U1561" t="s">
        <v>35</v>
      </c>
      <c r="V1561" t="s">
        <v>4744</v>
      </c>
      <c r="W1561" t="s">
        <v>4970</v>
      </c>
      <c r="X1561" s="4">
        <v>1</v>
      </c>
      <c r="Y1561" s="4"/>
      <c r="Z1561">
        <f t="shared" si="96"/>
        <v>8</v>
      </c>
      <c r="AA1561">
        <f t="shared" si="97"/>
        <v>21</v>
      </c>
      <c r="AB1561" s="5">
        <f t="shared" si="98"/>
        <v>0.31710648148145992</v>
      </c>
      <c r="AC1561" s="3">
        <f t="shared" si="99"/>
        <v>9.0266203704231884E-2</v>
      </c>
      <c r="AD1561" t="str" cm="1">
        <f t="array" ref="AD1561">IFERROR(_xlfn.IFS(
    AC1561="", "",
    AC1561*86400 &lt; 30, "1. 0s - &lt;30s",
    AC1561*86400 &lt; 60, "2. 30s - &lt;1m",
    AC1561*86400 &lt; 300, "3. 1m - &lt;5m",
    AC1561*86400 &lt; 1800, "4. 5m - &lt;30m",
    TRUE, "5. &gt;= 30m"
),"6. Invalid (Order rejected)")</f>
        <v>5. &gt;= 30m</v>
      </c>
    </row>
    <row r="1562" spans="1:30" hidden="1" x14ac:dyDescent="0.3">
      <c r="A1562" t="s">
        <v>9042</v>
      </c>
      <c r="B1562" t="s">
        <v>25</v>
      </c>
      <c r="C1562">
        <v>43783789</v>
      </c>
      <c r="D1562">
        <v>0</v>
      </c>
      <c r="E1562" t="s">
        <v>25</v>
      </c>
      <c r="F1562" t="s">
        <v>26</v>
      </c>
      <c r="G1562" t="s">
        <v>27</v>
      </c>
      <c r="H1562" t="s">
        <v>9043</v>
      </c>
      <c r="I1562" t="s">
        <v>9044</v>
      </c>
      <c r="J1562" t="s">
        <v>26</v>
      </c>
      <c r="K1562" t="s">
        <v>26</v>
      </c>
      <c r="L1562" t="s">
        <v>9045</v>
      </c>
      <c r="M1562" t="s">
        <v>25</v>
      </c>
      <c r="N1562" t="s">
        <v>1911</v>
      </c>
      <c r="O1562" t="s">
        <v>1912</v>
      </c>
      <c r="P1562" t="s">
        <v>4929</v>
      </c>
      <c r="Q1562" t="s">
        <v>4930</v>
      </c>
      <c r="R1562">
        <v>249264</v>
      </c>
      <c r="S1562">
        <v>0</v>
      </c>
      <c r="T1562">
        <v>249264</v>
      </c>
      <c r="U1562" t="s">
        <v>35</v>
      </c>
      <c r="V1562" t="s">
        <v>1915</v>
      </c>
      <c r="W1562" t="s">
        <v>4931</v>
      </c>
      <c r="X1562" s="4">
        <v>1</v>
      </c>
      <c r="Y1562" s="4"/>
      <c r="Z1562">
        <f t="shared" si="96"/>
        <v>8</v>
      </c>
      <c r="AA1562">
        <f t="shared" si="97"/>
        <v>21</v>
      </c>
      <c r="AB1562" s="5">
        <f t="shared" si="98"/>
        <v>0.30901620370423188</v>
      </c>
      <c r="AC1562" s="3">
        <f t="shared" si="99"/>
        <v>9.0266203704231884E-2</v>
      </c>
      <c r="AD1562" t="str" cm="1">
        <f t="array" ref="AD1562">IFERROR(_xlfn.IFS(
    AC1562="", "",
    AC1562*86400 &lt; 30, "1. 0s - &lt;30s",
    AC1562*86400 &lt; 60, "2. 30s - &lt;1m",
    AC1562*86400 &lt; 300, "3. 1m - &lt;5m",
    AC1562*86400 &lt; 1800, "4. 5m - &lt;30m",
    TRUE, "5. &gt;= 30m"
),"6. Invalid (Order rejected)")</f>
        <v>5. &gt;= 30m</v>
      </c>
    </row>
    <row r="1563" spans="1:30" hidden="1" x14ac:dyDescent="0.3">
      <c r="A1563" t="s">
        <v>9046</v>
      </c>
      <c r="B1563" t="s">
        <v>25</v>
      </c>
      <c r="C1563">
        <v>43783789</v>
      </c>
      <c r="D1563">
        <v>3746341</v>
      </c>
      <c r="E1563" t="s">
        <v>25</v>
      </c>
      <c r="F1563" t="s">
        <v>75</v>
      </c>
      <c r="G1563" t="s">
        <v>76</v>
      </c>
      <c r="H1563" t="s">
        <v>9047</v>
      </c>
      <c r="I1563" t="s">
        <v>9048</v>
      </c>
      <c r="J1563" t="s">
        <v>9049</v>
      </c>
      <c r="K1563" t="s">
        <v>26</v>
      </c>
      <c r="L1563" t="s">
        <v>9050</v>
      </c>
      <c r="M1563" t="s">
        <v>25</v>
      </c>
      <c r="N1563" t="s">
        <v>4965</v>
      </c>
      <c r="O1563" t="s">
        <v>4966</v>
      </c>
      <c r="P1563" t="s">
        <v>5027</v>
      </c>
      <c r="Q1563" t="s">
        <v>5028</v>
      </c>
      <c r="R1563">
        <v>219240</v>
      </c>
      <c r="S1563">
        <v>179959</v>
      </c>
      <c r="T1563">
        <v>39281</v>
      </c>
      <c r="U1563" t="s">
        <v>35</v>
      </c>
      <c r="V1563" t="s">
        <v>4969</v>
      </c>
      <c r="W1563" t="s">
        <v>5029</v>
      </c>
      <c r="X1563" s="4">
        <v>1</v>
      </c>
      <c r="Y1563" s="4"/>
      <c r="Z1563">
        <f t="shared" si="96"/>
        <v>8</v>
      </c>
      <c r="AA1563">
        <f t="shared" si="97"/>
        <v>21</v>
      </c>
      <c r="AB1563" s="5">
        <f t="shared" si="98"/>
        <v>0.30966435185109731</v>
      </c>
      <c r="AC1563" s="3">
        <f t="shared" si="99"/>
        <v>3.2418981485534459E-2</v>
      </c>
      <c r="AD1563" t="str" cm="1">
        <f t="array" ref="AD1563">IFERROR(_xlfn.IFS(
    AC1563="", "",
    AC1563*86400 &lt; 30, "1. 0s - &lt;30s",
    AC1563*86400 &lt; 60, "2. 30s - &lt;1m",
    AC1563*86400 &lt; 300, "3. 1m - &lt;5m",
    AC1563*86400 &lt; 1800, "4. 5m - &lt;30m",
    TRUE, "5. &gt;= 30m"
),"6. Invalid (Order rejected)")</f>
        <v>5. &gt;= 30m</v>
      </c>
    </row>
    <row r="1564" spans="1:30" hidden="1" x14ac:dyDescent="0.3">
      <c r="A1564" t="s">
        <v>9051</v>
      </c>
      <c r="B1564" t="s">
        <v>25</v>
      </c>
      <c r="C1564">
        <v>43783789</v>
      </c>
      <c r="D1564">
        <v>0</v>
      </c>
      <c r="E1564" t="s">
        <v>25</v>
      </c>
      <c r="F1564" t="s">
        <v>26</v>
      </c>
      <c r="G1564" t="s">
        <v>27</v>
      </c>
      <c r="H1564" t="s">
        <v>9052</v>
      </c>
      <c r="I1564" t="s">
        <v>9053</v>
      </c>
      <c r="J1564" t="s">
        <v>26</v>
      </c>
      <c r="K1564" t="s">
        <v>26</v>
      </c>
      <c r="L1564" t="s">
        <v>9054</v>
      </c>
      <c r="M1564" t="s">
        <v>25</v>
      </c>
      <c r="N1564" t="s">
        <v>2801</v>
      </c>
      <c r="O1564" t="s">
        <v>2802</v>
      </c>
      <c r="P1564" t="s">
        <v>5027</v>
      </c>
      <c r="Q1564" t="s">
        <v>5028</v>
      </c>
      <c r="R1564">
        <v>286524</v>
      </c>
      <c r="S1564">
        <v>0</v>
      </c>
      <c r="T1564">
        <v>286524</v>
      </c>
      <c r="U1564" t="s">
        <v>35</v>
      </c>
      <c r="V1564" t="s">
        <v>2805</v>
      </c>
      <c r="W1564" t="s">
        <v>5029</v>
      </c>
      <c r="X1564" s="4">
        <v>1</v>
      </c>
      <c r="Y1564" s="4"/>
      <c r="Z1564">
        <f t="shared" si="96"/>
        <v>8</v>
      </c>
      <c r="AA1564">
        <f t="shared" si="97"/>
        <v>21</v>
      </c>
      <c r="AB1564" s="5">
        <f t="shared" si="98"/>
        <v>0.30555555555474712</v>
      </c>
      <c r="AC1564" s="3">
        <f t="shared" si="99"/>
        <v>0.17900462963007158</v>
      </c>
      <c r="AD1564" t="str" cm="1">
        <f t="array" ref="AD1564">IFERROR(_xlfn.IFS(
    AC1564="", "",
    AC1564*86400 &lt; 30, "1. 0s - &lt;30s",
    AC1564*86400 &lt; 60, "2. 30s - &lt;1m",
    AC1564*86400 &lt; 300, "3. 1m - &lt;5m",
    AC1564*86400 &lt; 1800, "4. 5m - &lt;30m",
    TRUE, "5. &gt;= 30m"
),"6. Invalid (Order rejected)")</f>
        <v>5. &gt;= 30m</v>
      </c>
    </row>
    <row r="1565" spans="1:30" hidden="1" x14ac:dyDescent="0.3">
      <c r="A1565" t="s">
        <v>9055</v>
      </c>
      <c r="B1565" t="s">
        <v>25</v>
      </c>
      <c r="C1565">
        <v>43783789</v>
      </c>
      <c r="D1565">
        <v>0</v>
      </c>
      <c r="E1565" t="s">
        <v>25</v>
      </c>
      <c r="F1565" t="s">
        <v>26</v>
      </c>
      <c r="G1565" t="s">
        <v>27</v>
      </c>
      <c r="H1565" t="s">
        <v>9056</v>
      </c>
      <c r="I1565" t="s">
        <v>9057</v>
      </c>
      <c r="J1565" t="s">
        <v>26</v>
      </c>
      <c r="K1565" t="s">
        <v>26</v>
      </c>
      <c r="L1565" t="s">
        <v>9058</v>
      </c>
      <c r="M1565" t="s">
        <v>25</v>
      </c>
      <c r="N1565" t="s">
        <v>1378</v>
      </c>
      <c r="O1565" t="s">
        <v>1379</v>
      </c>
      <c r="P1565" t="s">
        <v>9059</v>
      </c>
      <c r="Q1565" t="s">
        <v>9060</v>
      </c>
      <c r="R1565">
        <v>168480</v>
      </c>
      <c r="S1565">
        <v>0</v>
      </c>
      <c r="T1565">
        <v>168480</v>
      </c>
      <c r="U1565" t="s">
        <v>35</v>
      </c>
      <c r="V1565" t="s">
        <v>1382</v>
      </c>
      <c r="W1565" t="s">
        <v>9061</v>
      </c>
      <c r="X1565" s="4">
        <v>1</v>
      </c>
      <c r="Y1565" s="4"/>
      <c r="Z1565">
        <f t="shared" si="96"/>
        <v>8</v>
      </c>
      <c r="AA1565">
        <f t="shared" si="97"/>
        <v>21</v>
      </c>
      <c r="AB1565" s="5">
        <f t="shared" si="98"/>
        <v>0.31232638889196096</v>
      </c>
      <c r="AC1565" s="3">
        <f t="shared" si="99"/>
        <v>9.0266203704231884E-2</v>
      </c>
      <c r="AD1565" t="str" cm="1">
        <f t="array" ref="AD1565">IFERROR(_xlfn.IFS(
    AC1565="", "",
    AC1565*86400 &lt; 30, "1. 0s - &lt;30s",
    AC1565*86400 &lt; 60, "2. 30s - &lt;1m",
    AC1565*86400 &lt; 300, "3. 1m - &lt;5m",
    AC1565*86400 &lt; 1800, "4. 5m - &lt;30m",
    TRUE, "5. &gt;= 30m"
),"6. Invalid (Order rejected)")</f>
        <v>5. &gt;= 30m</v>
      </c>
    </row>
    <row r="1566" spans="1:30" hidden="1" x14ac:dyDescent="0.3">
      <c r="A1566" t="s">
        <v>9062</v>
      </c>
      <c r="B1566" t="s">
        <v>25</v>
      </c>
      <c r="C1566">
        <v>43783789</v>
      </c>
      <c r="D1566">
        <v>0</v>
      </c>
      <c r="E1566" t="s">
        <v>25</v>
      </c>
      <c r="F1566" t="s">
        <v>26</v>
      </c>
      <c r="G1566" t="s">
        <v>27</v>
      </c>
      <c r="H1566" t="s">
        <v>9063</v>
      </c>
      <c r="I1566" t="s">
        <v>9064</v>
      </c>
      <c r="J1566" t="s">
        <v>26</v>
      </c>
      <c r="K1566" t="s">
        <v>26</v>
      </c>
      <c r="L1566" t="s">
        <v>9065</v>
      </c>
      <c r="M1566" t="s">
        <v>25</v>
      </c>
      <c r="N1566" t="s">
        <v>4732</v>
      </c>
      <c r="O1566" t="s">
        <v>4733</v>
      </c>
      <c r="P1566" t="s">
        <v>5128</v>
      </c>
      <c r="Q1566" t="s">
        <v>5129</v>
      </c>
      <c r="R1566">
        <v>277020</v>
      </c>
      <c r="S1566">
        <v>0</v>
      </c>
      <c r="T1566">
        <v>277020</v>
      </c>
      <c r="U1566" t="s">
        <v>35</v>
      </c>
      <c r="V1566" t="s">
        <v>4736</v>
      </c>
      <c r="W1566" t="s">
        <v>5130</v>
      </c>
      <c r="X1566" s="4">
        <v>1</v>
      </c>
      <c r="Y1566" s="4"/>
      <c r="Z1566">
        <f t="shared" si="96"/>
        <v>8</v>
      </c>
      <c r="AA1566">
        <f t="shared" si="97"/>
        <v>21</v>
      </c>
      <c r="AB1566" s="5">
        <f t="shared" si="98"/>
        <v>0.31371527777810115</v>
      </c>
      <c r="AC1566" s="3">
        <f t="shared" si="99"/>
        <v>9.0266203704231884E-2</v>
      </c>
      <c r="AD1566" t="str" cm="1">
        <f t="array" ref="AD1566">IFERROR(_xlfn.IFS(
    AC1566="", "",
    AC1566*86400 &lt; 30, "1. 0s - &lt;30s",
    AC1566*86400 &lt; 60, "2. 30s - &lt;1m",
    AC1566*86400 &lt; 300, "3. 1m - &lt;5m",
    AC1566*86400 &lt; 1800, "4. 5m - &lt;30m",
    TRUE, "5. &gt;= 30m"
),"6. Invalid (Order rejected)")</f>
        <v>5. &gt;= 30m</v>
      </c>
    </row>
    <row r="1567" spans="1:30" hidden="1" x14ac:dyDescent="0.3">
      <c r="A1567" t="s">
        <v>9066</v>
      </c>
      <c r="B1567" t="s">
        <v>25</v>
      </c>
      <c r="C1567">
        <v>43783789</v>
      </c>
      <c r="D1567">
        <v>0</v>
      </c>
      <c r="E1567" t="s">
        <v>25</v>
      </c>
      <c r="F1567" t="s">
        <v>26</v>
      </c>
      <c r="G1567" t="s">
        <v>27</v>
      </c>
      <c r="H1567" t="s">
        <v>9067</v>
      </c>
      <c r="I1567" t="s">
        <v>9068</v>
      </c>
      <c r="J1567" t="s">
        <v>26</v>
      </c>
      <c r="K1567" t="s">
        <v>26</v>
      </c>
      <c r="L1567" t="s">
        <v>9069</v>
      </c>
      <c r="M1567" t="s">
        <v>25</v>
      </c>
      <c r="N1567" t="s">
        <v>5048</v>
      </c>
      <c r="O1567" t="s">
        <v>5049</v>
      </c>
      <c r="P1567" t="s">
        <v>9070</v>
      </c>
      <c r="Q1567" t="s">
        <v>9071</v>
      </c>
      <c r="R1567">
        <v>205956</v>
      </c>
      <c r="S1567">
        <v>0</v>
      </c>
      <c r="T1567">
        <v>205956</v>
      </c>
      <c r="U1567" t="s">
        <v>35</v>
      </c>
      <c r="V1567" t="s">
        <v>5052</v>
      </c>
      <c r="W1567" t="s">
        <v>5118</v>
      </c>
      <c r="X1567" s="4">
        <v>1</v>
      </c>
      <c r="Y1567" s="4"/>
      <c r="Z1567">
        <f t="shared" si="96"/>
        <v>8</v>
      </c>
      <c r="AA1567">
        <f t="shared" si="97"/>
        <v>21</v>
      </c>
      <c r="AB1567" s="5">
        <f t="shared" si="98"/>
        <v>0.31464120370219462</v>
      </c>
      <c r="AC1567" s="3">
        <f t="shared" si="99"/>
        <v>9.0266203704231884E-2</v>
      </c>
      <c r="AD1567" t="str" cm="1">
        <f t="array" ref="AD1567">IFERROR(_xlfn.IFS(
    AC1567="", "",
    AC1567*86400 &lt; 30, "1. 0s - &lt;30s",
    AC1567*86400 &lt; 60, "2. 30s - &lt;1m",
    AC1567*86400 &lt; 300, "3. 1m - &lt;5m",
    AC1567*86400 &lt; 1800, "4. 5m - &lt;30m",
    TRUE, "5. &gt;= 30m"
),"6. Invalid (Order rejected)")</f>
        <v>5. &gt;= 30m</v>
      </c>
    </row>
    <row r="1568" spans="1:30" hidden="1" x14ac:dyDescent="0.3">
      <c r="A1568" t="s">
        <v>9072</v>
      </c>
      <c r="B1568" t="s">
        <v>25</v>
      </c>
      <c r="C1568">
        <v>43783789</v>
      </c>
      <c r="D1568">
        <v>0</v>
      </c>
      <c r="E1568" t="s">
        <v>25</v>
      </c>
      <c r="F1568" t="s">
        <v>26</v>
      </c>
      <c r="G1568" t="s">
        <v>27</v>
      </c>
      <c r="H1568" t="s">
        <v>9073</v>
      </c>
      <c r="I1568" t="s">
        <v>9074</v>
      </c>
      <c r="J1568" t="s">
        <v>26</v>
      </c>
      <c r="K1568" t="s">
        <v>26</v>
      </c>
      <c r="L1568" t="s">
        <v>9075</v>
      </c>
      <c r="M1568" t="s">
        <v>25</v>
      </c>
      <c r="N1568" t="s">
        <v>4991</v>
      </c>
      <c r="O1568" t="s">
        <v>4992</v>
      </c>
      <c r="P1568" t="s">
        <v>9076</v>
      </c>
      <c r="Q1568" t="s">
        <v>9077</v>
      </c>
      <c r="R1568">
        <v>119016</v>
      </c>
      <c r="S1568">
        <v>0</v>
      </c>
      <c r="T1568">
        <v>119016</v>
      </c>
      <c r="U1568" t="s">
        <v>35</v>
      </c>
      <c r="V1568" t="s">
        <v>4995</v>
      </c>
      <c r="W1568" t="s">
        <v>9078</v>
      </c>
      <c r="X1568" s="4">
        <v>1</v>
      </c>
      <c r="Y1568" s="4"/>
      <c r="Z1568">
        <f t="shared" si="96"/>
        <v>8</v>
      </c>
      <c r="AA1568">
        <f t="shared" si="97"/>
        <v>21</v>
      </c>
      <c r="AB1568" s="5">
        <f t="shared" si="98"/>
        <v>0.31582175925723277</v>
      </c>
      <c r="AC1568" s="3">
        <f t="shared" si="99"/>
        <v>9.0266203704231884E-2</v>
      </c>
      <c r="AD1568" t="str" cm="1">
        <f t="array" ref="AD1568">IFERROR(_xlfn.IFS(
    AC1568="", "",
    AC1568*86400 &lt; 30, "1. 0s - &lt;30s",
    AC1568*86400 &lt; 60, "2. 30s - &lt;1m",
    AC1568*86400 &lt; 300, "3. 1m - &lt;5m",
    AC1568*86400 &lt; 1800, "4. 5m - &lt;30m",
    TRUE, "5. &gt;= 30m"
),"6. Invalid (Order rejected)")</f>
        <v>5. &gt;= 30m</v>
      </c>
    </row>
    <row r="1569" spans="1:30" hidden="1" x14ac:dyDescent="0.3">
      <c r="A1569" t="s">
        <v>9079</v>
      </c>
      <c r="B1569" t="s">
        <v>25</v>
      </c>
      <c r="C1569">
        <v>43783789</v>
      </c>
      <c r="D1569">
        <v>0</v>
      </c>
      <c r="E1569" t="s">
        <v>25</v>
      </c>
      <c r="F1569" t="s">
        <v>26</v>
      </c>
      <c r="G1569" t="s">
        <v>27</v>
      </c>
      <c r="H1569" t="s">
        <v>9080</v>
      </c>
      <c r="I1569" t="s">
        <v>9081</v>
      </c>
      <c r="J1569" t="s">
        <v>26</v>
      </c>
      <c r="K1569" t="s">
        <v>26</v>
      </c>
      <c r="L1569" t="s">
        <v>9082</v>
      </c>
      <c r="M1569" t="s">
        <v>25</v>
      </c>
      <c r="N1569" t="s">
        <v>4965</v>
      </c>
      <c r="O1569" t="s">
        <v>4966</v>
      </c>
      <c r="P1569" t="s">
        <v>5128</v>
      </c>
      <c r="Q1569" t="s">
        <v>5129</v>
      </c>
      <c r="R1569">
        <v>210168</v>
      </c>
      <c r="S1569">
        <v>0</v>
      </c>
      <c r="T1569">
        <v>210168</v>
      </c>
      <c r="U1569" t="s">
        <v>35</v>
      </c>
      <c r="V1569" t="s">
        <v>4969</v>
      </c>
      <c r="W1569" t="s">
        <v>5130</v>
      </c>
      <c r="X1569" s="4">
        <v>1</v>
      </c>
      <c r="Y1569" s="4"/>
      <c r="Z1569">
        <f t="shared" si="96"/>
        <v>8</v>
      </c>
      <c r="AA1569">
        <f t="shared" si="97"/>
        <v>21</v>
      </c>
      <c r="AB1569" s="5">
        <f t="shared" si="98"/>
        <v>0.30994212962832535</v>
      </c>
      <c r="AC1569" s="3">
        <f t="shared" si="99"/>
        <v>9.0266203704231884E-2</v>
      </c>
      <c r="AD1569" t="str" cm="1">
        <f t="array" ref="AD1569">IFERROR(_xlfn.IFS(
    AC1569="", "",
    AC1569*86400 &lt; 30, "1. 0s - &lt;30s",
    AC1569*86400 &lt; 60, "2. 30s - &lt;1m",
    AC1569*86400 &lt; 300, "3. 1m - &lt;5m",
    AC1569*86400 &lt; 1800, "4. 5m - &lt;30m",
    TRUE, "5. &gt;= 30m"
),"6. Invalid (Order rejected)")</f>
        <v>5. &gt;= 30m</v>
      </c>
    </row>
    <row r="1570" spans="1:30" hidden="1" x14ac:dyDescent="0.3">
      <c r="A1570" t="s">
        <v>9083</v>
      </c>
      <c r="B1570" t="s">
        <v>25</v>
      </c>
      <c r="C1570">
        <v>43783789</v>
      </c>
      <c r="D1570">
        <v>0</v>
      </c>
      <c r="E1570" t="s">
        <v>25</v>
      </c>
      <c r="F1570" t="s">
        <v>26</v>
      </c>
      <c r="G1570" t="s">
        <v>27</v>
      </c>
      <c r="H1570" t="s">
        <v>9084</v>
      </c>
      <c r="I1570" t="s">
        <v>9085</v>
      </c>
      <c r="J1570" t="s">
        <v>26</v>
      </c>
      <c r="K1570" t="s">
        <v>26</v>
      </c>
      <c r="L1570" t="s">
        <v>9086</v>
      </c>
      <c r="M1570" t="s">
        <v>25</v>
      </c>
      <c r="N1570" t="s">
        <v>2801</v>
      </c>
      <c r="O1570" t="s">
        <v>2802</v>
      </c>
      <c r="P1570" t="s">
        <v>9087</v>
      </c>
      <c r="Q1570" t="s">
        <v>9088</v>
      </c>
      <c r="R1570">
        <v>182628</v>
      </c>
      <c r="S1570">
        <v>0</v>
      </c>
      <c r="T1570">
        <v>182628</v>
      </c>
      <c r="U1570" t="s">
        <v>35</v>
      </c>
      <c r="V1570" t="s">
        <v>2805</v>
      </c>
      <c r="W1570" t="s">
        <v>9089</v>
      </c>
      <c r="X1570" s="4">
        <v>1</v>
      </c>
      <c r="Y1570" s="4"/>
      <c r="Z1570">
        <f t="shared" si="96"/>
        <v>8</v>
      </c>
      <c r="AA1570">
        <f t="shared" si="97"/>
        <v>21</v>
      </c>
      <c r="AB1570" s="5">
        <f t="shared" si="98"/>
        <v>0.30810185184964212</v>
      </c>
      <c r="AC1570" s="3">
        <f t="shared" si="99"/>
        <v>9.0266203704231884E-2</v>
      </c>
      <c r="AD1570" t="str" cm="1">
        <f t="array" ref="AD1570">IFERROR(_xlfn.IFS(
    AC1570="", "",
    AC1570*86400 &lt; 30, "1. 0s - &lt;30s",
    AC1570*86400 &lt; 60, "2. 30s - &lt;1m",
    AC1570*86400 &lt; 300, "3. 1m - &lt;5m",
    AC1570*86400 &lt; 1800, "4. 5m - &lt;30m",
    TRUE, "5. &gt;= 30m"
),"6. Invalid (Order rejected)")</f>
        <v>5. &gt;= 30m</v>
      </c>
    </row>
    <row r="1571" spans="1:30" hidden="1" x14ac:dyDescent="0.3">
      <c r="A1571" t="s">
        <v>9090</v>
      </c>
      <c r="B1571" t="s">
        <v>25</v>
      </c>
      <c r="C1571">
        <v>43783789</v>
      </c>
      <c r="D1571">
        <v>2852976</v>
      </c>
      <c r="E1571" t="s">
        <v>25</v>
      </c>
      <c r="F1571" t="s">
        <v>75</v>
      </c>
      <c r="G1571" t="s">
        <v>76</v>
      </c>
      <c r="H1571" t="s">
        <v>9091</v>
      </c>
      <c r="I1571" t="s">
        <v>9092</v>
      </c>
      <c r="J1571" t="s">
        <v>9093</v>
      </c>
      <c r="K1571" t="s">
        <v>26</v>
      </c>
      <c r="L1571" t="s">
        <v>9094</v>
      </c>
      <c r="M1571" t="s">
        <v>25</v>
      </c>
      <c r="N1571" t="s">
        <v>2999</v>
      </c>
      <c r="O1571" t="s">
        <v>3000</v>
      </c>
      <c r="P1571" t="s">
        <v>5041</v>
      </c>
      <c r="Q1571" t="s">
        <v>5042</v>
      </c>
      <c r="R1571">
        <v>329616</v>
      </c>
      <c r="S1571">
        <v>270560</v>
      </c>
      <c r="T1571">
        <v>59056</v>
      </c>
      <c r="U1571" t="s">
        <v>35</v>
      </c>
      <c r="V1571" t="s">
        <v>3003</v>
      </c>
      <c r="W1571" t="s">
        <v>5043</v>
      </c>
      <c r="X1571" s="4">
        <v>1</v>
      </c>
      <c r="Y1571" s="4"/>
      <c r="Z1571">
        <f t="shared" si="96"/>
        <v>8</v>
      </c>
      <c r="AA1571">
        <f t="shared" si="97"/>
        <v>21</v>
      </c>
      <c r="AB1571" s="5">
        <f t="shared" si="98"/>
        <v>0.31045138889021473</v>
      </c>
      <c r="AC1571" s="3">
        <f t="shared" si="99"/>
        <v>3.2430555555038154E-2</v>
      </c>
      <c r="AD1571" t="str" cm="1">
        <f t="array" ref="AD1571">IFERROR(_xlfn.IFS(
    AC1571="", "",
    AC1571*86400 &lt; 30, "1. 0s - &lt;30s",
    AC1571*86400 &lt; 60, "2. 30s - &lt;1m",
    AC1571*86400 &lt; 300, "3. 1m - &lt;5m",
    AC1571*86400 &lt; 1800, "4. 5m - &lt;30m",
    TRUE, "5. &gt;= 30m"
),"6. Invalid (Order rejected)")</f>
        <v>5. &gt;= 30m</v>
      </c>
    </row>
    <row r="1572" spans="1:30" hidden="1" x14ac:dyDescent="0.3">
      <c r="A1572" t="s">
        <v>9095</v>
      </c>
      <c r="B1572" t="s">
        <v>25</v>
      </c>
      <c r="C1572">
        <v>43783789</v>
      </c>
      <c r="D1572">
        <v>0</v>
      </c>
      <c r="E1572" t="s">
        <v>25</v>
      </c>
      <c r="F1572" t="s">
        <v>26</v>
      </c>
      <c r="G1572" t="s">
        <v>27</v>
      </c>
      <c r="H1572" t="s">
        <v>9096</v>
      </c>
      <c r="I1572" t="s">
        <v>9097</v>
      </c>
      <c r="J1572" t="s">
        <v>26</v>
      </c>
      <c r="K1572" t="s">
        <v>26</v>
      </c>
      <c r="L1572" t="s">
        <v>9098</v>
      </c>
      <c r="M1572" t="s">
        <v>25</v>
      </c>
      <c r="N1572" t="s">
        <v>4681</v>
      </c>
      <c r="O1572" t="s">
        <v>4682</v>
      </c>
      <c r="P1572" t="s">
        <v>4937</v>
      </c>
      <c r="Q1572" t="s">
        <v>4938</v>
      </c>
      <c r="R1572">
        <v>283716</v>
      </c>
      <c r="S1572">
        <v>0</v>
      </c>
      <c r="T1572">
        <v>283716</v>
      </c>
      <c r="U1572" t="s">
        <v>35</v>
      </c>
      <c r="V1572" t="s">
        <v>4683</v>
      </c>
      <c r="W1572" t="s">
        <v>4939</v>
      </c>
      <c r="X1572" s="4">
        <v>1</v>
      </c>
      <c r="Y1572" s="4"/>
      <c r="Z1572">
        <f t="shared" si="96"/>
        <v>8</v>
      </c>
      <c r="AA1572">
        <f t="shared" si="97"/>
        <v>21</v>
      </c>
      <c r="AB1572" s="5">
        <f t="shared" si="98"/>
        <v>0.31413194444758119</v>
      </c>
      <c r="AC1572" s="3">
        <f t="shared" si="99"/>
        <v>9.0266203696955927E-2</v>
      </c>
      <c r="AD1572" t="str" cm="1">
        <f t="array" ref="AD1572">IFERROR(_xlfn.IFS(
    AC1572="", "",
    AC1572*86400 &lt; 30, "1. 0s - &lt;30s",
    AC1572*86400 &lt; 60, "2. 30s - &lt;1m",
    AC1572*86400 &lt; 300, "3. 1m - &lt;5m",
    AC1572*86400 &lt; 1800, "4. 5m - &lt;30m",
    TRUE, "5. &gt;= 30m"
),"6. Invalid (Order rejected)")</f>
        <v>5. &gt;= 30m</v>
      </c>
    </row>
    <row r="1573" spans="1:30" hidden="1" x14ac:dyDescent="0.3">
      <c r="A1573" t="s">
        <v>9099</v>
      </c>
      <c r="B1573" t="s">
        <v>25</v>
      </c>
      <c r="C1573">
        <v>43783789</v>
      </c>
      <c r="D1573">
        <v>0</v>
      </c>
      <c r="E1573" t="s">
        <v>25</v>
      </c>
      <c r="F1573" t="s">
        <v>26</v>
      </c>
      <c r="G1573" t="s">
        <v>27</v>
      </c>
      <c r="H1573" t="s">
        <v>9100</v>
      </c>
      <c r="I1573" t="s">
        <v>9101</v>
      </c>
      <c r="J1573" t="s">
        <v>26</v>
      </c>
      <c r="K1573" t="s">
        <v>26</v>
      </c>
      <c r="L1573" t="s">
        <v>9102</v>
      </c>
      <c r="M1573" t="s">
        <v>25</v>
      </c>
      <c r="N1573" t="s">
        <v>9103</v>
      </c>
      <c r="O1573" t="s">
        <v>9104</v>
      </c>
      <c r="P1573" t="s">
        <v>9105</v>
      </c>
      <c r="Q1573" t="s">
        <v>9106</v>
      </c>
      <c r="R1573">
        <v>149796</v>
      </c>
      <c r="S1573">
        <v>0</v>
      </c>
      <c r="T1573">
        <v>149796</v>
      </c>
      <c r="U1573" t="s">
        <v>35</v>
      </c>
      <c r="V1573" t="s">
        <v>9107</v>
      </c>
      <c r="W1573" t="s">
        <v>9108</v>
      </c>
      <c r="X1573" s="4">
        <v>1</v>
      </c>
      <c r="Y1573" s="4"/>
      <c r="Z1573">
        <f t="shared" si="96"/>
        <v>8</v>
      </c>
      <c r="AA1573">
        <f t="shared" si="97"/>
        <v>21</v>
      </c>
      <c r="AB1573" s="5">
        <f t="shared" si="98"/>
        <v>0.31836805555212777</v>
      </c>
      <c r="AC1573" s="3">
        <f t="shared" si="99"/>
        <v>9.0266203704231884E-2</v>
      </c>
      <c r="AD1573" t="str" cm="1">
        <f t="array" ref="AD1573">IFERROR(_xlfn.IFS(
    AC1573="", "",
    AC1573*86400 &lt; 30, "1. 0s - &lt;30s",
    AC1573*86400 &lt; 60, "2. 30s - &lt;1m",
    AC1573*86400 &lt; 300, "3. 1m - &lt;5m",
    AC1573*86400 &lt; 1800, "4. 5m - &lt;30m",
    TRUE, "5. &gt;= 30m"
),"6. Invalid (Order rejected)")</f>
        <v>5. &gt;= 30m</v>
      </c>
    </row>
    <row r="1574" spans="1:30" hidden="1" x14ac:dyDescent="0.3">
      <c r="A1574" t="s">
        <v>9109</v>
      </c>
      <c r="B1574" t="s">
        <v>25</v>
      </c>
      <c r="C1574">
        <v>43783789</v>
      </c>
      <c r="D1574">
        <v>0</v>
      </c>
      <c r="E1574" t="s">
        <v>25</v>
      </c>
      <c r="F1574" t="s">
        <v>26</v>
      </c>
      <c r="G1574" t="s">
        <v>27</v>
      </c>
      <c r="H1574" t="s">
        <v>9110</v>
      </c>
      <c r="I1574" t="s">
        <v>9111</v>
      </c>
      <c r="J1574" t="s">
        <v>26</v>
      </c>
      <c r="K1574" t="s">
        <v>26</v>
      </c>
      <c r="L1574" t="s">
        <v>9112</v>
      </c>
      <c r="M1574" t="s">
        <v>25</v>
      </c>
      <c r="N1574" t="s">
        <v>5102</v>
      </c>
      <c r="O1574" t="s">
        <v>5103</v>
      </c>
      <c r="P1574" t="s">
        <v>9113</v>
      </c>
      <c r="Q1574" t="s">
        <v>9114</v>
      </c>
      <c r="R1574">
        <v>144288</v>
      </c>
      <c r="S1574">
        <v>0</v>
      </c>
      <c r="T1574">
        <v>144288</v>
      </c>
      <c r="U1574" t="s">
        <v>35</v>
      </c>
      <c r="V1574" t="s">
        <v>5106</v>
      </c>
      <c r="W1574" t="s">
        <v>9115</v>
      </c>
      <c r="X1574" s="4">
        <v>1</v>
      </c>
      <c r="Y1574" s="4"/>
      <c r="Z1574">
        <f t="shared" si="96"/>
        <v>8</v>
      </c>
      <c r="AA1574">
        <f t="shared" si="97"/>
        <v>21</v>
      </c>
      <c r="AB1574" s="5">
        <f t="shared" si="98"/>
        <v>0.31922453703737119</v>
      </c>
      <c r="AC1574" s="3">
        <f t="shared" si="99"/>
        <v>9.0266203704231884E-2</v>
      </c>
      <c r="AD1574" t="str" cm="1">
        <f t="array" ref="AD1574">IFERROR(_xlfn.IFS(
    AC1574="", "",
    AC1574*86400 &lt; 30, "1. 0s - &lt;30s",
    AC1574*86400 &lt; 60, "2. 30s - &lt;1m",
    AC1574*86400 &lt; 300, "3. 1m - &lt;5m",
    AC1574*86400 &lt; 1800, "4. 5m - &lt;30m",
    TRUE, "5. &gt;= 30m"
),"6. Invalid (Order rejected)")</f>
        <v>5. &gt;= 30m</v>
      </c>
    </row>
    <row r="1575" spans="1:30" hidden="1" x14ac:dyDescent="0.3">
      <c r="A1575" t="s">
        <v>9116</v>
      </c>
      <c r="B1575" t="s">
        <v>25</v>
      </c>
      <c r="C1575">
        <v>43783789</v>
      </c>
      <c r="D1575">
        <v>0</v>
      </c>
      <c r="E1575" t="s">
        <v>25</v>
      </c>
      <c r="F1575" t="s">
        <v>26</v>
      </c>
      <c r="G1575" t="s">
        <v>27</v>
      </c>
      <c r="H1575" t="s">
        <v>9117</v>
      </c>
      <c r="I1575" t="s">
        <v>9118</v>
      </c>
      <c r="J1575" t="s">
        <v>26</v>
      </c>
      <c r="K1575" t="s">
        <v>26</v>
      </c>
      <c r="L1575" t="s">
        <v>9119</v>
      </c>
      <c r="M1575" t="s">
        <v>25</v>
      </c>
      <c r="N1575" t="s">
        <v>2801</v>
      </c>
      <c r="O1575" t="s">
        <v>2802</v>
      </c>
      <c r="P1575" t="s">
        <v>9120</v>
      </c>
      <c r="Q1575" t="s">
        <v>9121</v>
      </c>
      <c r="R1575">
        <v>184356</v>
      </c>
      <c r="S1575">
        <v>0</v>
      </c>
      <c r="T1575">
        <v>184356</v>
      </c>
      <c r="U1575" t="s">
        <v>35</v>
      </c>
      <c r="V1575" t="s">
        <v>2805</v>
      </c>
      <c r="W1575" t="s">
        <v>9122</v>
      </c>
      <c r="X1575" s="4">
        <v>1</v>
      </c>
      <c r="Y1575" s="4"/>
      <c r="Z1575">
        <f t="shared" si="96"/>
        <v>8</v>
      </c>
      <c r="AA1575">
        <f t="shared" si="97"/>
        <v>21</v>
      </c>
      <c r="AB1575" s="5">
        <f t="shared" si="98"/>
        <v>0.3085069444423425</v>
      </c>
      <c r="AC1575" s="3">
        <f t="shared" si="99"/>
        <v>0.12203703703562496</v>
      </c>
      <c r="AD1575" t="str" cm="1">
        <f t="array" ref="AD1575">IFERROR(_xlfn.IFS(
    AC1575="", "",
    AC1575*86400 &lt; 30, "1. 0s - &lt;30s",
    AC1575*86400 &lt; 60, "2. 30s - &lt;1m",
    AC1575*86400 &lt; 300, "3. 1m - &lt;5m",
    AC1575*86400 &lt; 1800, "4. 5m - &lt;30m",
    TRUE, "5. &gt;= 30m"
),"6. Invalid (Order rejected)")</f>
        <v>5. &gt;= 30m</v>
      </c>
    </row>
    <row r="1576" spans="1:30" x14ac:dyDescent="0.3">
      <c r="A1576" t="s">
        <v>9123</v>
      </c>
      <c r="B1576" t="s">
        <v>25</v>
      </c>
      <c r="C1576">
        <v>43783789</v>
      </c>
      <c r="D1576">
        <v>4758904</v>
      </c>
      <c r="E1576" t="s">
        <v>25</v>
      </c>
      <c r="F1576" t="s">
        <v>75</v>
      </c>
      <c r="G1576" t="s">
        <v>360</v>
      </c>
      <c r="H1576" t="s">
        <v>9124</v>
      </c>
      <c r="I1576" t="s">
        <v>9125</v>
      </c>
      <c r="J1576" t="s">
        <v>9126</v>
      </c>
      <c r="K1576" t="s">
        <v>26</v>
      </c>
      <c r="L1576" t="s">
        <v>25</v>
      </c>
      <c r="M1576" t="s">
        <v>25</v>
      </c>
      <c r="N1576" t="s">
        <v>1911</v>
      </c>
      <c r="O1576" t="s">
        <v>1912</v>
      </c>
      <c r="P1576" t="s">
        <v>4948</v>
      </c>
      <c r="Q1576" t="s">
        <v>4949</v>
      </c>
      <c r="R1576">
        <v>300024</v>
      </c>
      <c r="S1576">
        <v>232588</v>
      </c>
      <c r="T1576">
        <v>67436</v>
      </c>
      <c r="U1576" t="s">
        <v>35</v>
      </c>
      <c r="V1576" t="s">
        <v>1915</v>
      </c>
      <c r="W1576" t="s">
        <v>4950</v>
      </c>
      <c r="X1576" s="4">
        <v>1</v>
      </c>
      <c r="Y1576" s="4"/>
      <c r="Z1576">
        <f t="shared" si="96"/>
        <v>8</v>
      </c>
      <c r="AA1576">
        <f t="shared" si="97"/>
        <v>21</v>
      </c>
      <c r="AB1576" s="5">
        <f t="shared" si="98"/>
        <v>0.30928240740468027</v>
      </c>
      <c r="AC1576" s="3" t="str">
        <f t="shared" si="99"/>
        <v>Order rejected, no time available</v>
      </c>
      <c r="AD1576" t="str" cm="1">
        <f t="array" ref="AD1576">IFERROR(_xlfn.IFS(
    AC1576="", "",
    AC1576*86400 &lt; 30, "1. 0s - &lt;30s",
    AC1576*86400 &lt; 60, "2. 30s - &lt;1m",
    AC1576*86400 &lt; 300, "3. 1m - &lt;5m",
    AC1576*86400 &lt; 1800, "4. 5m - &lt;30m",
    TRUE, "5. &gt;= 30m"
),"6. Invalid (Order rejected)")</f>
        <v>6. Invalid (Order rejected)</v>
      </c>
    </row>
    <row r="1577" spans="1:30" hidden="1" x14ac:dyDescent="0.3">
      <c r="A1577" t="s">
        <v>9127</v>
      </c>
      <c r="B1577" t="s">
        <v>25</v>
      </c>
      <c r="C1577">
        <v>43783789</v>
      </c>
      <c r="D1577">
        <v>0</v>
      </c>
      <c r="E1577" t="s">
        <v>25</v>
      </c>
      <c r="F1577" t="s">
        <v>26</v>
      </c>
      <c r="G1577" t="s">
        <v>27</v>
      </c>
      <c r="H1577" t="s">
        <v>9128</v>
      </c>
      <c r="I1577" t="s">
        <v>9129</v>
      </c>
      <c r="J1577" t="s">
        <v>26</v>
      </c>
      <c r="K1577" t="s">
        <v>26</v>
      </c>
      <c r="L1577" t="s">
        <v>9130</v>
      </c>
      <c r="M1577" t="s">
        <v>25</v>
      </c>
      <c r="N1577" t="s">
        <v>1390</v>
      </c>
      <c r="O1577" t="s">
        <v>1391</v>
      </c>
      <c r="P1577" t="s">
        <v>1411</v>
      </c>
      <c r="Q1577" t="s">
        <v>1412</v>
      </c>
      <c r="R1577">
        <v>218916</v>
      </c>
      <c r="S1577">
        <v>0</v>
      </c>
      <c r="T1577">
        <v>218916</v>
      </c>
      <c r="U1577" t="s">
        <v>35</v>
      </c>
      <c r="V1577" t="s">
        <v>1394</v>
      </c>
      <c r="W1577" t="s">
        <v>1414</v>
      </c>
      <c r="X1577" s="4">
        <v>1</v>
      </c>
      <c r="Y1577" s="4"/>
      <c r="Z1577">
        <f t="shared" si="96"/>
        <v>8</v>
      </c>
      <c r="AA1577">
        <f t="shared" si="97"/>
        <v>21</v>
      </c>
      <c r="AB1577" s="5">
        <f t="shared" si="98"/>
        <v>0.31295138888526708</v>
      </c>
      <c r="AC1577" s="3">
        <f t="shared" si="99"/>
        <v>9.0266203704231884E-2</v>
      </c>
      <c r="AD1577" t="str" cm="1">
        <f t="array" ref="AD1577">IFERROR(_xlfn.IFS(
    AC1577="", "",
    AC1577*86400 &lt; 30, "1. 0s - &lt;30s",
    AC1577*86400 &lt; 60, "2. 30s - &lt;1m",
    AC1577*86400 &lt; 300, "3. 1m - &lt;5m",
    AC1577*86400 &lt; 1800, "4. 5m - &lt;30m",
    TRUE, "5. &gt;= 30m"
),"6. Invalid (Order rejected)")</f>
        <v>5. &gt;= 30m</v>
      </c>
    </row>
    <row r="1578" spans="1:30" hidden="1" x14ac:dyDescent="0.3">
      <c r="A1578" t="s">
        <v>9131</v>
      </c>
      <c r="B1578" t="s">
        <v>25</v>
      </c>
      <c r="C1578">
        <v>43783789</v>
      </c>
      <c r="D1578">
        <v>0</v>
      </c>
      <c r="E1578" t="s">
        <v>25</v>
      </c>
      <c r="F1578" t="s">
        <v>26</v>
      </c>
      <c r="G1578" t="s">
        <v>27</v>
      </c>
      <c r="H1578" t="s">
        <v>9132</v>
      </c>
      <c r="I1578" t="s">
        <v>9133</v>
      </c>
      <c r="J1578" t="s">
        <v>26</v>
      </c>
      <c r="K1578" t="s">
        <v>26</v>
      </c>
      <c r="L1578" t="s">
        <v>9134</v>
      </c>
      <c r="M1578" t="s">
        <v>25</v>
      </c>
      <c r="N1578" t="s">
        <v>2046</v>
      </c>
      <c r="O1578" t="s">
        <v>2047</v>
      </c>
      <c r="P1578" t="s">
        <v>4937</v>
      </c>
      <c r="Q1578" t="s">
        <v>4938</v>
      </c>
      <c r="R1578">
        <v>278532</v>
      </c>
      <c r="S1578">
        <v>0</v>
      </c>
      <c r="T1578">
        <v>278532</v>
      </c>
      <c r="U1578" t="s">
        <v>35</v>
      </c>
      <c r="V1578" t="s">
        <v>4794</v>
      </c>
      <c r="W1578" t="s">
        <v>4939</v>
      </c>
      <c r="X1578" s="4">
        <v>1</v>
      </c>
      <c r="Y1578" s="4"/>
      <c r="Z1578">
        <f t="shared" si="96"/>
        <v>8</v>
      </c>
      <c r="AA1578">
        <f t="shared" si="97"/>
        <v>21</v>
      </c>
      <c r="AB1578" s="5">
        <f t="shared" si="98"/>
        <v>0.31771990740526235</v>
      </c>
      <c r="AC1578" s="3">
        <f t="shared" si="99"/>
        <v>9.0266203704231884E-2</v>
      </c>
      <c r="AD1578" t="str" cm="1">
        <f t="array" ref="AD1578">IFERROR(_xlfn.IFS(
    AC1578="", "",
    AC1578*86400 &lt; 30, "1. 0s - &lt;30s",
    AC1578*86400 &lt; 60, "2. 30s - &lt;1m",
    AC1578*86400 &lt; 300, "3. 1m - &lt;5m",
    AC1578*86400 &lt; 1800, "4. 5m - &lt;30m",
    TRUE, "5. &gt;= 30m"
),"6. Invalid (Order rejected)")</f>
        <v>5. &gt;= 30m</v>
      </c>
    </row>
    <row r="1579" spans="1:30" x14ac:dyDescent="0.3">
      <c r="A1579" t="s">
        <v>9135</v>
      </c>
      <c r="B1579" t="s">
        <v>25</v>
      </c>
      <c r="C1579">
        <v>43783789</v>
      </c>
      <c r="D1579">
        <v>4812677</v>
      </c>
      <c r="E1579" t="s">
        <v>25</v>
      </c>
      <c r="F1579" t="s">
        <v>75</v>
      </c>
      <c r="G1579" t="s">
        <v>360</v>
      </c>
      <c r="H1579" t="s">
        <v>9092</v>
      </c>
      <c r="I1579" t="s">
        <v>9136</v>
      </c>
      <c r="J1579" t="s">
        <v>9137</v>
      </c>
      <c r="K1579" t="s">
        <v>26</v>
      </c>
      <c r="L1579" t="s">
        <v>25</v>
      </c>
      <c r="M1579" t="s">
        <v>25</v>
      </c>
      <c r="N1579" t="s">
        <v>4742</v>
      </c>
      <c r="O1579" t="s">
        <v>4743</v>
      </c>
      <c r="P1579" t="s">
        <v>5041</v>
      </c>
      <c r="Q1579" t="s">
        <v>5042</v>
      </c>
      <c r="R1579">
        <v>321192</v>
      </c>
      <c r="S1579">
        <v>248998</v>
      </c>
      <c r="T1579">
        <v>72194</v>
      </c>
      <c r="U1579" t="s">
        <v>35</v>
      </c>
      <c r="V1579" t="s">
        <v>4744</v>
      </c>
      <c r="W1579" t="s">
        <v>5043</v>
      </c>
      <c r="X1579" s="4">
        <v>1</v>
      </c>
      <c r="Y1579" s="4"/>
      <c r="Z1579">
        <f t="shared" si="96"/>
        <v>8</v>
      </c>
      <c r="AA1579">
        <f t="shared" si="97"/>
        <v>21</v>
      </c>
      <c r="AB1579" s="5">
        <f t="shared" si="98"/>
        <v>0.31738425925868796</v>
      </c>
      <c r="AC1579" s="3" t="str">
        <f t="shared" si="99"/>
        <v>Order rejected, no time available</v>
      </c>
      <c r="AD1579" t="str" cm="1">
        <f t="array" ref="AD1579">IFERROR(_xlfn.IFS(
    AC1579="", "",
    AC1579*86400 &lt; 30, "1. 0s - &lt;30s",
    AC1579*86400 &lt; 60, "2. 30s - &lt;1m",
    AC1579*86400 &lt; 300, "3. 1m - &lt;5m",
    AC1579*86400 &lt; 1800, "4. 5m - &lt;30m",
    TRUE, "5. &gt;= 30m"
),"6. Invalid (Order rejected)")</f>
        <v>6. Invalid (Order rejected)</v>
      </c>
    </row>
    <row r="1580" spans="1:30" hidden="1" x14ac:dyDescent="0.3">
      <c r="A1580" t="s">
        <v>9138</v>
      </c>
      <c r="B1580" t="s">
        <v>25</v>
      </c>
      <c r="C1580">
        <v>43783789</v>
      </c>
      <c r="D1580">
        <v>0</v>
      </c>
      <c r="E1580" t="s">
        <v>25</v>
      </c>
      <c r="F1580" t="s">
        <v>26</v>
      </c>
      <c r="G1580" t="s">
        <v>27</v>
      </c>
      <c r="H1580" t="s">
        <v>9139</v>
      </c>
      <c r="I1580" t="s">
        <v>9140</v>
      </c>
      <c r="J1580" t="s">
        <v>26</v>
      </c>
      <c r="K1580" t="s">
        <v>26</v>
      </c>
      <c r="L1580" t="s">
        <v>9141</v>
      </c>
      <c r="M1580" t="s">
        <v>25</v>
      </c>
      <c r="N1580" t="s">
        <v>2046</v>
      </c>
      <c r="O1580" t="s">
        <v>2047</v>
      </c>
      <c r="P1580" t="s">
        <v>5153</v>
      </c>
      <c r="Q1580" t="s">
        <v>5154</v>
      </c>
      <c r="R1580">
        <v>209628</v>
      </c>
      <c r="S1580">
        <v>0</v>
      </c>
      <c r="T1580">
        <v>209628</v>
      </c>
      <c r="U1580" t="s">
        <v>35</v>
      </c>
      <c r="V1580" t="s">
        <v>4794</v>
      </c>
      <c r="W1580" t="s">
        <v>5053</v>
      </c>
      <c r="X1580" s="4">
        <v>1</v>
      </c>
      <c r="Y1580" s="4"/>
      <c r="Z1580">
        <f t="shared" si="96"/>
        <v>8</v>
      </c>
      <c r="AA1580">
        <f t="shared" si="97"/>
        <v>21</v>
      </c>
      <c r="AB1580" s="5">
        <f t="shared" si="98"/>
        <v>0.31785879629751435</v>
      </c>
      <c r="AC1580" s="3">
        <f t="shared" si="99"/>
        <v>9.0266203704231884E-2</v>
      </c>
      <c r="AD1580" t="str" cm="1">
        <f t="array" ref="AD1580">IFERROR(_xlfn.IFS(
    AC1580="", "",
    AC1580*86400 &lt; 30, "1. 0s - &lt;30s",
    AC1580*86400 &lt; 60, "2. 30s - &lt;1m",
    AC1580*86400 &lt; 300, "3. 1m - &lt;5m",
    AC1580*86400 &lt; 1800, "4. 5m - &lt;30m",
    TRUE, "5. &gt;= 30m"
),"6. Invalid (Order rejected)")</f>
        <v>5. &gt;= 30m</v>
      </c>
    </row>
    <row r="1581" spans="1:30" x14ac:dyDescent="0.3">
      <c r="A1581" t="s">
        <v>9142</v>
      </c>
      <c r="B1581" t="s">
        <v>25</v>
      </c>
      <c r="C1581">
        <v>43783789</v>
      </c>
      <c r="D1581">
        <v>3163273</v>
      </c>
      <c r="E1581" t="s">
        <v>25</v>
      </c>
      <c r="F1581" t="s">
        <v>75</v>
      </c>
      <c r="G1581" t="s">
        <v>360</v>
      </c>
      <c r="H1581" t="s">
        <v>9143</v>
      </c>
      <c r="I1581" t="s">
        <v>9144</v>
      </c>
      <c r="J1581" t="s">
        <v>9145</v>
      </c>
      <c r="K1581" t="s">
        <v>26</v>
      </c>
      <c r="L1581" t="s">
        <v>25</v>
      </c>
      <c r="M1581" t="s">
        <v>25</v>
      </c>
      <c r="N1581" t="s">
        <v>4981</v>
      </c>
      <c r="O1581" t="s">
        <v>4982</v>
      </c>
      <c r="P1581" t="s">
        <v>9146</v>
      </c>
      <c r="Q1581" t="s">
        <v>9147</v>
      </c>
      <c r="R1581">
        <v>189432</v>
      </c>
      <c r="S1581">
        <v>146854</v>
      </c>
      <c r="T1581">
        <v>42578</v>
      </c>
      <c r="U1581" t="s">
        <v>35</v>
      </c>
      <c r="V1581" t="s">
        <v>4985</v>
      </c>
      <c r="W1581" t="s">
        <v>9148</v>
      </c>
      <c r="X1581" s="4">
        <v>1</v>
      </c>
      <c r="Y1581" s="4"/>
      <c r="Z1581">
        <f t="shared" si="96"/>
        <v>8</v>
      </c>
      <c r="AA1581">
        <f t="shared" si="97"/>
        <v>21</v>
      </c>
      <c r="AB1581" s="5">
        <f t="shared" si="98"/>
        <v>0.31505787037167465</v>
      </c>
      <c r="AC1581" s="3" t="str">
        <f t="shared" si="99"/>
        <v>Order rejected, no time available</v>
      </c>
      <c r="AD1581" t="str" cm="1">
        <f t="array" ref="AD1581">IFERROR(_xlfn.IFS(
    AC1581="", "",
    AC1581*86400 &lt; 30, "1. 0s - &lt;30s",
    AC1581*86400 &lt; 60, "2. 30s - &lt;1m",
    AC1581*86400 &lt; 300, "3. 1m - &lt;5m",
    AC1581*86400 &lt; 1800, "4. 5m - &lt;30m",
    TRUE, "5. &gt;= 30m"
),"6. Invalid (Order rejected)")</f>
        <v>6. Invalid (Order rejected)</v>
      </c>
    </row>
    <row r="1582" spans="1:30" hidden="1" x14ac:dyDescent="0.3">
      <c r="A1582" t="s">
        <v>9149</v>
      </c>
      <c r="B1582" t="s">
        <v>25</v>
      </c>
      <c r="C1582">
        <v>43783789</v>
      </c>
      <c r="D1582">
        <v>0</v>
      </c>
      <c r="E1582" t="s">
        <v>25</v>
      </c>
      <c r="F1582" t="s">
        <v>26</v>
      </c>
      <c r="G1582" t="s">
        <v>27</v>
      </c>
      <c r="H1582" t="s">
        <v>9150</v>
      </c>
      <c r="I1582" t="s">
        <v>9151</v>
      </c>
      <c r="J1582" t="s">
        <v>26</v>
      </c>
      <c r="K1582" t="s">
        <v>26</v>
      </c>
      <c r="L1582" t="s">
        <v>9152</v>
      </c>
      <c r="M1582" t="s">
        <v>25</v>
      </c>
      <c r="N1582" t="s">
        <v>5075</v>
      </c>
      <c r="O1582" t="s">
        <v>5076</v>
      </c>
      <c r="P1582" t="s">
        <v>5027</v>
      </c>
      <c r="Q1582" t="s">
        <v>5028</v>
      </c>
      <c r="R1582">
        <v>216648</v>
      </c>
      <c r="S1582">
        <v>0</v>
      </c>
      <c r="T1582">
        <v>216648</v>
      </c>
      <c r="U1582" t="s">
        <v>35</v>
      </c>
      <c r="V1582" t="s">
        <v>5077</v>
      </c>
      <c r="W1582" t="s">
        <v>5029</v>
      </c>
      <c r="X1582" s="4">
        <v>1</v>
      </c>
      <c r="Y1582" s="4"/>
      <c r="Z1582">
        <f t="shared" si="96"/>
        <v>8</v>
      </c>
      <c r="AA1582">
        <f t="shared" si="97"/>
        <v>21</v>
      </c>
      <c r="AB1582" s="5">
        <f t="shared" si="98"/>
        <v>0.31679398148116888</v>
      </c>
      <c r="AC1582" s="3">
        <f t="shared" si="99"/>
        <v>9.0266203704231884E-2</v>
      </c>
      <c r="AD1582" t="str" cm="1">
        <f t="array" ref="AD1582">IFERROR(_xlfn.IFS(
    AC1582="", "",
    AC1582*86400 &lt; 30, "1. 0s - &lt;30s",
    AC1582*86400 &lt; 60, "2. 30s - &lt;1m",
    AC1582*86400 &lt; 300, "3. 1m - &lt;5m",
    AC1582*86400 &lt; 1800, "4. 5m - &lt;30m",
    TRUE, "5. &gt;= 30m"
),"6. Invalid (Order rejected)")</f>
        <v>5. &gt;= 30m</v>
      </c>
    </row>
    <row r="1583" spans="1:30" hidden="1" x14ac:dyDescent="0.3">
      <c r="A1583" t="s">
        <v>9153</v>
      </c>
      <c r="B1583" t="s">
        <v>25</v>
      </c>
      <c r="C1583">
        <v>43783789</v>
      </c>
      <c r="D1583">
        <v>0</v>
      </c>
      <c r="E1583" t="s">
        <v>25</v>
      </c>
      <c r="F1583" t="s">
        <v>26</v>
      </c>
      <c r="G1583" t="s">
        <v>27</v>
      </c>
      <c r="H1583" t="s">
        <v>9154</v>
      </c>
      <c r="I1583" t="s">
        <v>9155</v>
      </c>
      <c r="J1583" t="s">
        <v>26</v>
      </c>
      <c r="K1583" t="s">
        <v>26</v>
      </c>
      <c r="L1583" t="s">
        <v>9156</v>
      </c>
      <c r="M1583" t="s">
        <v>25</v>
      </c>
      <c r="N1583" t="s">
        <v>4742</v>
      </c>
      <c r="O1583" t="s">
        <v>4743</v>
      </c>
      <c r="P1583" t="s">
        <v>5128</v>
      </c>
      <c r="Q1583" t="s">
        <v>5129</v>
      </c>
      <c r="R1583">
        <v>195372</v>
      </c>
      <c r="S1583">
        <v>0</v>
      </c>
      <c r="T1583">
        <v>195372</v>
      </c>
      <c r="U1583" t="s">
        <v>35</v>
      </c>
      <c r="V1583" t="s">
        <v>4744</v>
      </c>
      <c r="W1583" t="s">
        <v>5130</v>
      </c>
      <c r="X1583" s="4">
        <v>1</v>
      </c>
      <c r="Y1583" s="4"/>
      <c r="Z1583">
        <f t="shared" si="96"/>
        <v>8</v>
      </c>
      <c r="AA1583">
        <f t="shared" si="97"/>
        <v>21</v>
      </c>
      <c r="AB1583" s="5">
        <f t="shared" si="98"/>
        <v>0.31723379629693227</v>
      </c>
      <c r="AC1583" s="3">
        <f t="shared" si="99"/>
        <v>9.0266203704231884E-2</v>
      </c>
      <c r="AD1583" t="str" cm="1">
        <f t="array" ref="AD1583">IFERROR(_xlfn.IFS(
    AC1583="", "",
    AC1583*86400 &lt; 30, "1. 0s - &lt;30s",
    AC1583*86400 &lt; 60, "2. 30s - &lt;1m",
    AC1583*86400 &lt; 300, "3. 1m - &lt;5m",
    AC1583*86400 &lt; 1800, "4. 5m - &lt;30m",
    TRUE, "5. &gt;= 30m"
),"6. Invalid (Order rejected)")</f>
        <v>5. &gt;= 30m</v>
      </c>
    </row>
    <row r="1584" spans="1:30" hidden="1" x14ac:dyDescent="0.3">
      <c r="A1584" t="s">
        <v>9157</v>
      </c>
      <c r="B1584" t="s">
        <v>25</v>
      </c>
      <c r="C1584">
        <v>43783789</v>
      </c>
      <c r="D1584">
        <v>0</v>
      </c>
      <c r="E1584" t="s">
        <v>25</v>
      </c>
      <c r="F1584" t="s">
        <v>26</v>
      </c>
      <c r="G1584" t="s">
        <v>27</v>
      </c>
      <c r="H1584" t="s">
        <v>9158</v>
      </c>
      <c r="I1584" t="s">
        <v>9159</v>
      </c>
      <c r="J1584" t="s">
        <v>26</v>
      </c>
      <c r="K1584" t="s">
        <v>26</v>
      </c>
      <c r="L1584" t="s">
        <v>9160</v>
      </c>
      <c r="M1584" t="s">
        <v>25</v>
      </c>
      <c r="N1584" t="s">
        <v>5075</v>
      </c>
      <c r="O1584" t="s">
        <v>5076</v>
      </c>
      <c r="P1584" t="s">
        <v>4948</v>
      </c>
      <c r="Q1584" t="s">
        <v>4949</v>
      </c>
      <c r="R1584">
        <v>294516</v>
      </c>
      <c r="S1584">
        <v>0</v>
      </c>
      <c r="T1584">
        <v>294516</v>
      </c>
      <c r="U1584" t="s">
        <v>35</v>
      </c>
      <c r="V1584" t="s">
        <v>5077</v>
      </c>
      <c r="W1584" t="s">
        <v>4950</v>
      </c>
      <c r="X1584" s="4">
        <v>1</v>
      </c>
      <c r="Y1584" s="4"/>
      <c r="Z1584">
        <f t="shared" si="96"/>
        <v>8</v>
      </c>
      <c r="AA1584">
        <f t="shared" si="97"/>
        <v>21</v>
      </c>
      <c r="AB1584" s="5">
        <f t="shared" si="98"/>
        <v>0.31663194444263354</v>
      </c>
      <c r="AC1584" s="3">
        <f t="shared" si="99"/>
        <v>9.0266203704231884E-2</v>
      </c>
      <c r="AD1584" t="str" cm="1">
        <f t="array" ref="AD1584">IFERROR(_xlfn.IFS(
    AC1584="", "",
    AC1584*86400 &lt; 30, "1. 0s - &lt;30s",
    AC1584*86400 &lt; 60, "2. 30s - &lt;1m",
    AC1584*86400 &lt; 300, "3. 1m - &lt;5m",
    AC1584*86400 &lt; 1800, "4. 5m - &lt;30m",
    TRUE, "5. &gt;= 30m"
),"6. Invalid (Order rejected)")</f>
        <v>5. &gt;= 30m</v>
      </c>
    </row>
    <row r="1585" spans="1:30" hidden="1" x14ac:dyDescent="0.3">
      <c r="A1585" t="s">
        <v>9161</v>
      </c>
      <c r="B1585" t="s">
        <v>25</v>
      </c>
      <c r="C1585">
        <v>43783789</v>
      </c>
      <c r="D1585">
        <v>0</v>
      </c>
      <c r="E1585" t="s">
        <v>25</v>
      </c>
      <c r="F1585" t="s">
        <v>26</v>
      </c>
      <c r="G1585" t="s">
        <v>27</v>
      </c>
      <c r="H1585" t="s">
        <v>9162</v>
      </c>
      <c r="I1585" t="s">
        <v>9163</v>
      </c>
      <c r="J1585" t="s">
        <v>26</v>
      </c>
      <c r="K1585" t="s">
        <v>26</v>
      </c>
      <c r="L1585" t="s">
        <v>9164</v>
      </c>
      <c r="M1585" t="s">
        <v>25</v>
      </c>
      <c r="N1585" t="s">
        <v>5159</v>
      </c>
      <c r="O1585" t="s">
        <v>5160</v>
      </c>
      <c r="P1585" t="s">
        <v>9165</v>
      </c>
      <c r="Q1585" t="s">
        <v>9166</v>
      </c>
      <c r="R1585">
        <v>105408</v>
      </c>
      <c r="S1585">
        <v>0</v>
      </c>
      <c r="T1585">
        <v>105408</v>
      </c>
      <c r="U1585" t="s">
        <v>35</v>
      </c>
      <c r="V1585" t="s">
        <v>5163</v>
      </c>
      <c r="W1585" t="s">
        <v>9167</v>
      </c>
      <c r="X1585" s="4">
        <v>1</v>
      </c>
      <c r="Y1585" s="4"/>
      <c r="Z1585">
        <f t="shared" si="96"/>
        <v>8</v>
      </c>
      <c r="AA1585">
        <f t="shared" si="97"/>
        <v>21</v>
      </c>
      <c r="AB1585" s="5">
        <f t="shared" si="98"/>
        <v>0.32233796296350192</v>
      </c>
      <c r="AC1585" s="3">
        <f t="shared" si="99"/>
        <v>0.10111111110745696</v>
      </c>
      <c r="AD1585" t="str" cm="1">
        <f t="array" ref="AD1585">IFERROR(_xlfn.IFS(
    AC1585="", "",
    AC1585*86400 &lt; 30, "1. 0s - &lt;30s",
    AC1585*86400 &lt; 60, "2. 30s - &lt;1m",
    AC1585*86400 &lt; 300, "3. 1m - &lt;5m",
    AC1585*86400 &lt; 1800, "4. 5m - &lt;30m",
    TRUE, "5. &gt;= 30m"
),"6. Invalid (Order rejected)")</f>
        <v>5. &gt;= 30m</v>
      </c>
    </row>
    <row r="1586" spans="1:30" x14ac:dyDescent="0.3">
      <c r="A1586" t="s">
        <v>9168</v>
      </c>
      <c r="B1586" t="s">
        <v>25</v>
      </c>
      <c r="C1586">
        <v>43783789</v>
      </c>
      <c r="D1586">
        <v>4762198</v>
      </c>
      <c r="E1586" t="s">
        <v>25</v>
      </c>
      <c r="F1586" t="s">
        <v>75</v>
      </c>
      <c r="G1586" t="s">
        <v>360</v>
      </c>
      <c r="H1586" t="s">
        <v>9169</v>
      </c>
      <c r="I1586" t="s">
        <v>9170</v>
      </c>
      <c r="J1586" t="s">
        <v>9171</v>
      </c>
      <c r="K1586" t="s">
        <v>26</v>
      </c>
      <c r="L1586" t="s">
        <v>25</v>
      </c>
      <c r="M1586" t="s">
        <v>25</v>
      </c>
      <c r="N1586" t="s">
        <v>1716</v>
      </c>
      <c r="O1586" t="s">
        <v>1717</v>
      </c>
      <c r="P1586" t="s">
        <v>4929</v>
      </c>
      <c r="Q1586" t="s">
        <v>4930</v>
      </c>
      <c r="R1586">
        <v>321840</v>
      </c>
      <c r="S1586">
        <v>249500</v>
      </c>
      <c r="T1586">
        <v>72340</v>
      </c>
      <c r="U1586" t="s">
        <v>35</v>
      </c>
      <c r="V1586" t="s">
        <v>1720</v>
      </c>
      <c r="W1586" t="s">
        <v>4931</v>
      </c>
      <c r="X1586" s="4">
        <v>1</v>
      </c>
      <c r="Y1586" s="4"/>
      <c r="Z1586">
        <f t="shared" si="96"/>
        <v>8</v>
      </c>
      <c r="AA1586">
        <f t="shared" si="97"/>
        <v>21</v>
      </c>
      <c r="AB1586" s="5">
        <f t="shared" si="98"/>
        <v>0.31951388889137888</v>
      </c>
      <c r="AC1586" s="3" t="str">
        <f t="shared" si="99"/>
        <v>Order rejected, no time available</v>
      </c>
      <c r="AD1586" t="str" cm="1">
        <f t="array" ref="AD1586">IFERROR(_xlfn.IFS(
    AC1586="", "",
    AC1586*86400 &lt; 30, "1. 0s - &lt;30s",
    AC1586*86400 &lt; 60, "2. 30s - &lt;1m",
    AC1586*86400 &lt; 300, "3. 1m - &lt;5m",
    AC1586*86400 &lt; 1800, "4. 5m - &lt;30m",
    TRUE, "5. &gt;= 30m"
),"6. Invalid (Order rejected)")</f>
        <v>6. Invalid (Order rejected)</v>
      </c>
    </row>
    <row r="1587" spans="1:30" hidden="1" x14ac:dyDescent="0.3">
      <c r="A1587" t="s">
        <v>9172</v>
      </c>
      <c r="B1587" t="s">
        <v>25</v>
      </c>
      <c r="C1587">
        <v>43783789</v>
      </c>
      <c r="D1587">
        <v>0</v>
      </c>
      <c r="E1587" t="s">
        <v>25</v>
      </c>
      <c r="F1587" t="s">
        <v>26</v>
      </c>
      <c r="G1587" t="s">
        <v>27</v>
      </c>
      <c r="H1587" t="s">
        <v>9173</v>
      </c>
      <c r="I1587" t="s">
        <v>9174</v>
      </c>
      <c r="J1587" t="s">
        <v>26</v>
      </c>
      <c r="K1587" t="s">
        <v>26</v>
      </c>
      <c r="L1587" t="s">
        <v>9175</v>
      </c>
      <c r="M1587" t="s">
        <v>25</v>
      </c>
      <c r="N1587" t="s">
        <v>1824</v>
      </c>
      <c r="O1587" t="s">
        <v>1825</v>
      </c>
      <c r="P1587" t="s">
        <v>56</v>
      </c>
      <c r="Q1587" t="s">
        <v>57</v>
      </c>
      <c r="R1587">
        <v>176364</v>
      </c>
      <c r="S1587">
        <v>0</v>
      </c>
      <c r="T1587">
        <v>176364</v>
      </c>
      <c r="U1587" t="s">
        <v>35</v>
      </c>
      <c r="V1587" t="s">
        <v>1828</v>
      </c>
      <c r="W1587" t="s">
        <v>58</v>
      </c>
      <c r="X1587" s="4">
        <v>1</v>
      </c>
      <c r="Y1587" s="4"/>
      <c r="Z1587">
        <f t="shared" si="96"/>
        <v>8</v>
      </c>
      <c r="AA1587">
        <f t="shared" si="97"/>
        <v>21</v>
      </c>
      <c r="AB1587" s="5">
        <f t="shared" si="98"/>
        <v>0.32766203703795327</v>
      </c>
      <c r="AC1587" s="3">
        <f t="shared" si="99"/>
        <v>9.0277777773735579E-2</v>
      </c>
      <c r="AD1587" t="str" cm="1">
        <f t="array" ref="AD1587">IFERROR(_xlfn.IFS(
    AC1587="", "",
    AC1587*86400 &lt; 30, "1. 0s - &lt;30s",
    AC1587*86400 &lt; 60, "2. 30s - &lt;1m",
    AC1587*86400 &lt; 300, "3. 1m - &lt;5m",
    AC1587*86400 &lt; 1800, "4. 5m - &lt;30m",
    TRUE, "5. &gt;= 30m"
),"6. Invalid (Order rejected)")</f>
        <v>5. &gt;= 30m</v>
      </c>
    </row>
    <row r="1588" spans="1:30" hidden="1" x14ac:dyDescent="0.3">
      <c r="A1588" t="s">
        <v>9176</v>
      </c>
      <c r="B1588" t="s">
        <v>25</v>
      </c>
      <c r="C1588">
        <v>43783789</v>
      </c>
      <c r="D1588">
        <v>0</v>
      </c>
      <c r="E1588" t="s">
        <v>25</v>
      </c>
      <c r="F1588" t="s">
        <v>26</v>
      </c>
      <c r="G1588" t="s">
        <v>27</v>
      </c>
      <c r="H1588" t="s">
        <v>9177</v>
      </c>
      <c r="I1588" t="s">
        <v>9178</v>
      </c>
      <c r="J1588" t="s">
        <v>26</v>
      </c>
      <c r="K1588" t="s">
        <v>26</v>
      </c>
      <c r="L1588" t="s">
        <v>9179</v>
      </c>
      <c r="M1588" t="s">
        <v>25</v>
      </c>
      <c r="N1588" t="s">
        <v>9103</v>
      </c>
      <c r="O1588" t="s">
        <v>9104</v>
      </c>
      <c r="P1588" t="s">
        <v>9180</v>
      </c>
      <c r="Q1588" t="s">
        <v>9181</v>
      </c>
      <c r="R1588">
        <v>213084</v>
      </c>
      <c r="S1588">
        <v>0</v>
      </c>
      <c r="T1588">
        <v>213084</v>
      </c>
      <c r="U1588" t="s">
        <v>35</v>
      </c>
      <c r="V1588" t="s">
        <v>9107</v>
      </c>
      <c r="W1588" t="s">
        <v>4986</v>
      </c>
      <c r="X1588" s="4">
        <v>1</v>
      </c>
      <c r="Y1588" s="4"/>
      <c r="Z1588">
        <f t="shared" si="96"/>
        <v>8</v>
      </c>
      <c r="AA1588">
        <f t="shared" si="97"/>
        <v>21</v>
      </c>
      <c r="AB1588" s="5">
        <f t="shared" si="98"/>
        <v>0.31851851852115942</v>
      </c>
      <c r="AC1588" s="3">
        <f t="shared" si="99"/>
        <v>9.0266203704231884E-2</v>
      </c>
      <c r="AD1588" t="str" cm="1">
        <f t="array" ref="AD1588">IFERROR(_xlfn.IFS(
    AC1588="", "",
    AC1588*86400 &lt; 30, "1. 0s - &lt;30s",
    AC1588*86400 &lt; 60, "2. 30s - &lt;1m",
    AC1588*86400 &lt; 300, "3. 1m - &lt;5m",
    AC1588*86400 &lt; 1800, "4. 5m - &lt;30m",
    TRUE, "5. &gt;= 30m"
),"6. Invalid (Order rejected)")</f>
        <v>5. &gt;= 30m</v>
      </c>
    </row>
    <row r="1589" spans="1:30" hidden="1" x14ac:dyDescent="0.3">
      <c r="A1589" t="s">
        <v>9182</v>
      </c>
      <c r="B1589" t="s">
        <v>25</v>
      </c>
      <c r="C1589">
        <v>43783789</v>
      </c>
      <c r="D1589">
        <v>0</v>
      </c>
      <c r="E1589" t="s">
        <v>25</v>
      </c>
      <c r="F1589" t="s">
        <v>26</v>
      </c>
      <c r="G1589" t="s">
        <v>27</v>
      </c>
      <c r="H1589" t="s">
        <v>9183</v>
      </c>
      <c r="I1589" t="s">
        <v>9184</v>
      </c>
      <c r="J1589" t="s">
        <v>26</v>
      </c>
      <c r="K1589" t="s">
        <v>26</v>
      </c>
      <c r="L1589" t="s">
        <v>9185</v>
      </c>
      <c r="M1589" t="s">
        <v>25</v>
      </c>
      <c r="N1589" t="s">
        <v>5219</v>
      </c>
      <c r="O1589" t="s">
        <v>5220</v>
      </c>
      <c r="P1589" t="s">
        <v>5128</v>
      </c>
      <c r="Q1589" t="s">
        <v>5129</v>
      </c>
      <c r="R1589">
        <v>212652</v>
      </c>
      <c r="S1589">
        <v>0</v>
      </c>
      <c r="T1589">
        <v>212652</v>
      </c>
      <c r="U1589" t="s">
        <v>35</v>
      </c>
      <c r="V1589" t="s">
        <v>4874</v>
      </c>
      <c r="W1589" t="s">
        <v>5130</v>
      </c>
      <c r="X1589" s="4">
        <v>1</v>
      </c>
      <c r="Y1589" s="4"/>
      <c r="Z1589">
        <f t="shared" si="96"/>
        <v>8</v>
      </c>
      <c r="AA1589">
        <f t="shared" si="97"/>
        <v>21</v>
      </c>
      <c r="AB1589" s="5">
        <f t="shared" si="98"/>
        <v>0.32349537037225673</v>
      </c>
      <c r="AC1589" s="3">
        <f t="shared" si="99"/>
        <v>9.0266203704231884E-2</v>
      </c>
      <c r="AD1589" t="str" cm="1">
        <f t="array" ref="AD1589">IFERROR(_xlfn.IFS(
    AC1589="", "",
    AC1589*86400 &lt; 30, "1. 0s - &lt;30s",
    AC1589*86400 &lt; 60, "2. 30s - &lt;1m",
    AC1589*86400 &lt; 300, "3. 1m - &lt;5m",
    AC1589*86400 &lt; 1800, "4. 5m - &lt;30m",
    TRUE, "5. &gt;= 30m"
),"6. Invalid (Order rejected)")</f>
        <v>5. &gt;= 30m</v>
      </c>
    </row>
    <row r="1590" spans="1:30" hidden="1" x14ac:dyDescent="0.3">
      <c r="A1590" t="s">
        <v>9186</v>
      </c>
      <c r="B1590" t="s">
        <v>25</v>
      </c>
      <c r="C1590">
        <v>43783789</v>
      </c>
      <c r="D1590">
        <v>0</v>
      </c>
      <c r="E1590" t="s">
        <v>25</v>
      </c>
      <c r="F1590" t="s">
        <v>26</v>
      </c>
      <c r="G1590" t="s">
        <v>27</v>
      </c>
      <c r="H1590" t="s">
        <v>9187</v>
      </c>
      <c r="I1590" t="s">
        <v>9188</v>
      </c>
      <c r="J1590" t="s">
        <v>26</v>
      </c>
      <c r="K1590" t="s">
        <v>26</v>
      </c>
      <c r="L1590" t="s">
        <v>9189</v>
      </c>
      <c r="M1590" t="s">
        <v>25</v>
      </c>
      <c r="N1590" t="s">
        <v>1716</v>
      </c>
      <c r="O1590" t="s">
        <v>1717</v>
      </c>
      <c r="P1590" t="s">
        <v>1411</v>
      </c>
      <c r="Q1590" t="s">
        <v>1412</v>
      </c>
      <c r="R1590">
        <v>204984</v>
      </c>
      <c r="S1590">
        <v>0</v>
      </c>
      <c r="T1590">
        <v>204984</v>
      </c>
      <c r="U1590" t="s">
        <v>35</v>
      </c>
      <c r="V1590" t="s">
        <v>1720</v>
      </c>
      <c r="W1590" t="s">
        <v>1414</v>
      </c>
      <c r="X1590" s="4">
        <v>1</v>
      </c>
      <c r="Y1590" s="4"/>
      <c r="Z1590">
        <f t="shared" si="96"/>
        <v>8</v>
      </c>
      <c r="AA1590">
        <f t="shared" si="97"/>
        <v>21</v>
      </c>
      <c r="AB1590" s="5">
        <f t="shared" si="98"/>
        <v>0.31967592592263827</v>
      </c>
      <c r="AC1590" s="3">
        <f t="shared" si="99"/>
        <v>9.0266203704231884E-2</v>
      </c>
      <c r="AD1590" t="str" cm="1">
        <f t="array" ref="AD1590">IFERROR(_xlfn.IFS(
    AC1590="", "",
    AC1590*86400 &lt; 30, "1. 0s - &lt;30s",
    AC1590*86400 &lt; 60, "2. 30s - &lt;1m",
    AC1590*86400 &lt; 300, "3. 1m - &lt;5m",
    AC1590*86400 &lt; 1800, "4. 5m - &lt;30m",
    TRUE, "5. &gt;= 30m"
),"6. Invalid (Order rejected)")</f>
        <v>5. &gt;= 30m</v>
      </c>
    </row>
    <row r="1591" spans="1:30" hidden="1" x14ac:dyDescent="0.3">
      <c r="A1591" t="s">
        <v>9190</v>
      </c>
      <c r="B1591" t="s">
        <v>25</v>
      </c>
      <c r="C1591">
        <v>43783789</v>
      </c>
      <c r="D1591">
        <v>0</v>
      </c>
      <c r="E1591" t="s">
        <v>25</v>
      </c>
      <c r="F1591" t="s">
        <v>26</v>
      </c>
      <c r="G1591" t="s">
        <v>27</v>
      </c>
      <c r="H1591" t="s">
        <v>9191</v>
      </c>
      <c r="I1591" t="s">
        <v>9192</v>
      </c>
      <c r="J1591" t="s">
        <v>26</v>
      </c>
      <c r="K1591" t="s">
        <v>26</v>
      </c>
      <c r="L1591" t="s">
        <v>9193</v>
      </c>
      <c r="M1591" t="s">
        <v>25</v>
      </c>
      <c r="N1591" t="s">
        <v>1664</v>
      </c>
      <c r="O1591" t="s">
        <v>1665</v>
      </c>
      <c r="P1591" t="s">
        <v>5116</v>
      </c>
      <c r="Q1591" t="s">
        <v>5117</v>
      </c>
      <c r="R1591">
        <v>182844</v>
      </c>
      <c r="S1591">
        <v>0</v>
      </c>
      <c r="T1591">
        <v>182844</v>
      </c>
      <c r="U1591" t="s">
        <v>35</v>
      </c>
      <c r="V1591" t="s">
        <v>1668</v>
      </c>
      <c r="W1591" t="s">
        <v>5118</v>
      </c>
      <c r="X1591" s="4">
        <v>1</v>
      </c>
      <c r="Y1591" s="4"/>
      <c r="Z1591">
        <f t="shared" si="96"/>
        <v>8</v>
      </c>
      <c r="AA1591">
        <f t="shared" si="97"/>
        <v>21</v>
      </c>
      <c r="AB1591" s="5">
        <f t="shared" si="98"/>
        <v>0.32123842592409346</v>
      </c>
      <c r="AC1591" s="3">
        <f t="shared" si="99"/>
        <v>9.0266203704231884E-2</v>
      </c>
      <c r="AD1591" t="str" cm="1">
        <f t="array" ref="AD1591">IFERROR(_xlfn.IFS(
    AC1591="", "",
    AC1591*86400 &lt; 30, "1. 0s - &lt;30s",
    AC1591*86400 &lt; 60, "2. 30s - &lt;1m",
    AC1591*86400 &lt; 300, "3. 1m - &lt;5m",
    AC1591*86400 &lt; 1800, "4. 5m - &lt;30m",
    TRUE, "5. &gt;= 30m"
),"6. Invalid (Order rejected)")</f>
        <v>5. &gt;= 30m</v>
      </c>
    </row>
    <row r="1592" spans="1:30" hidden="1" x14ac:dyDescent="0.3">
      <c r="A1592" t="s">
        <v>9194</v>
      </c>
      <c r="B1592" t="s">
        <v>25</v>
      </c>
      <c r="C1592">
        <v>43783789</v>
      </c>
      <c r="D1592">
        <v>0</v>
      </c>
      <c r="E1592" t="s">
        <v>25</v>
      </c>
      <c r="F1592" t="s">
        <v>26</v>
      </c>
      <c r="G1592" t="s">
        <v>27</v>
      </c>
      <c r="H1592" t="s">
        <v>9195</v>
      </c>
      <c r="I1592" t="s">
        <v>9196</v>
      </c>
      <c r="J1592" t="s">
        <v>26</v>
      </c>
      <c r="K1592" t="s">
        <v>26</v>
      </c>
      <c r="L1592" t="s">
        <v>9197</v>
      </c>
      <c r="M1592" t="s">
        <v>25</v>
      </c>
      <c r="N1592" t="s">
        <v>5135</v>
      </c>
      <c r="O1592" t="s">
        <v>5136</v>
      </c>
      <c r="P1592" t="s">
        <v>4929</v>
      </c>
      <c r="Q1592" t="s">
        <v>4930</v>
      </c>
      <c r="R1592">
        <v>322272</v>
      </c>
      <c r="S1592">
        <v>0</v>
      </c>
      <c r="T1592">
        <v>322272</v>
      </c>
      <c r="U1592" t="s">
        <v>35</v>
      </c>
      <c r="V1592" t="s">
        <v>5137</v>
      </c>
      <c r="W1592" t="s">
        <v>4931</v>
      </c>
      <c r="X1592" s="4">
        <v>1</v>
      </c>
      <c r="Y1592" s="4"/>
      <c r="Z1592">
        <f t="shared" si="96"/>
        <v>8</v>
      </c>
      <c r="AA1592">
        <f t="shared" si="97"/>
        <v>21</v>
      </c>
      <c r="AB1592" s="5">
        <f t="shared" si="98"/>
        <v>0.32260416666395031</v>
      </c>
      <c r="AC1592" s="3">
        <f t="shared" si="99"/>
        <v>9.0266203704231884E-2</v>
      </c>
      <c r="AD1592" t="str" cm="1">
        <f t="array" ref="AD1592">IFERROR(_xlfn.IFS(
    AC1592="", "",
    AC1592*86400 &lt; 30, "1. 0s - &lt;30s",
    AC1592*86400 &lt; 60, "2. 30s - &lt;1m",
    AC1592*86400 &lt; 300, "3. 1m - &lt;5m",
    AC1592*86400 &lt; 1800, "4. 5m - &lt;30m",
    TRUE, "5. &gt;= 30m"
),"6. Invalid (Order rejected)")</f>
        <v>5. &gt;= 30m</v>
      </c>
    </row>
    <row r="1593" spans="1:30" hidden="1" x14ac:dyDescent="0.3">
      <c r="A1593" t="s">
        <v>9198</v>
      </c>
      <c r="B1593" t="s">
        <v>25</v>
      </c>
      <c r="C1593">
        <v>43783789</v>
      </c>
      <c r="D1593">
        <v>0</v>
      </c>
      <c r="E1593" t="s">
        <v>25</v>
      </c>
      <c r="F1593" t="s">
        <v>26</v>
      </c>
      <c r="G1593" t="s">
        <v>27</v>
      </c>
      <c r="H1593" t="s">
        <v>9199</v>
      </c>
      <c r="I1593" t="s">
        <v>9200</v>
      </c>
      <c r="J1593" t="s">
        <v>26</v>
      </c>
      <c r="K1593" t="s">
        <v>26</v>
      </c>
      <c r="L1593" t="s">
        <v>9201</v>
      </c>
      <c r="M1593" t="s">
        <v>25</v>
      </c>
      <c r="N1593" t="s">
        <v>1824</v>
      </c>
      <c r="O1593" t="s">
        <v>1825</v>
      </c>
      <c r="P1593" t="s">
        <v>180</v>
      </c>
      <c r="Q1593" t="s">
        <v>181</v>
      </c>
      <c r="R1593">
        <v>165348</v>
      </c>
      <c r="S1593">
        <v>0</v>
      </c>
      <c r="T1593">
        <v>165348</v>
      </c>
      <c r="U1593" t="s">
        <v>35</v>
      </c>
      <c r="V1593" t="s">
        <v>1828</v>
      </c>
      <c r="W1593" t="s">
        <v>182</v>
      </c>
      <c r="X1593" s="4">
        <v>1</v>
      </c>
      <c r="Y1593" s="4"/>
      <c r="Z1593">
        <f t="shared" si="96"/>
        <v>8</v>
      </c>
      <c r="AA1593">
        <f t="shared" si="97"/>
        <v>21</v>
      </c>
      <c r="AB1593" s="5">
        <f t="shared" si="98"/>
        <v>0.32752314814570127</v>
      </c>
      <c r="AC1593" s="3">
        <f t="shared" si="99"/>
        <v>9.0277777781011537E-2</v>
      </c>
      <c r="AD1593" t="str" cm="1">
        <f t="array" ref="AD1593">IFERROR(_xlfn.IFS(
    AC1593="", "",
    AC1593*86400 &lt; 30, "1. 0s - &lt;30s",
    AC1593*86400 &lt; 60, "2. 30s - &lt;1m",
    AC1593*86400 &lt; 300, "3. 1m - &lt;5m",
    AC1593*86400 &lt; 1800, "4. 5m - &lt;30m",
    TRUE, "5. &gt;= 30m"
),"6. Invalid (Order rejected)")</f>
        <v>5. &gt;= 30m</v>
      </c>
    </row>
    <row r="1594" spans="1:30" hidden="1" x14ac:dyDescent="0.3">
      <c r="A1594" t="s">
        <v>9202</v>
      </c>
      <c r="B1594" t="s">
        <v>25</v>
      </c>
      <c r="C1594">
        <v>43783789</v>
      </c>
      <c r="D1594">
        <v>0</v>
      </c>
      <c r="E1594" t="s">
        <v>25</v>
      </c>
      <c r="F1594" t="s">
        <v>26</v>
      </c>
      <c r="G1594" t="s">
        <v>27</v>
      </c>
      <c r="H1594" t="s">
        <v>9203</v>
      </c>
      <c r="I1594" t="s">
        <v>9204</v>
      </c>
      <c r="J1594" t="s">
        <v>26</v>
      </c>
      <c r="K1594" t="s">
        <v>26</v>
      </c>
      <c r="L1594" t="s">
        <v>9205</v>
      </c>
      <c r="M1594" t="s">
        <v>25</v>
      </c>
      <c r="N1594" t="s">
        <v>1664</v>
      </c>
      <c r="O1594" t="s">
        <v>1665</v>
      </c>
      <c r="P1594" t="s">
        <v>9206</v>
      </c>
      <c r="Q1594" t="s">
        <v>9207</v>
      </c>
      <c r="R1594">
        <v>200880</v>
      </c>
      <c r="S1594">
        <v>0</v>
      </c>
      <c r="T1594">
        <v>200880</v>
      </c>
      <c r="U1594" t="s">
        <v>35</v>
      </c>
      <c r="V1594" t="s">
        <v>1668</v>
      </c>
      <c r="W1594" t="s">
        <v>9208</v>
      </c>
      <c r="X1594" s="4">
        <v>1</v>
      </c>
      <c r="Y1594" s="4"/>
      <c r="Z1594">
        <f t="shared" si="96"/>
        <v>8</v>
      </c>
      <c r="AA1594">
        <f t="shared" si="97"/>
        <v>21</v>
      </c>
      <c r="AB1594" s="5">
        <f t="shared" si="98"/>
        <v>0.3215856481474475</v>
      </c>
      <c r="AC1594" s="3">
        <f t="shared" si="99"/>
        <v>9.0266203704231884E-2</v>
      </c>
      <c r="AD1594" t="str" cm="1">
        <f t="array" ref="AD1594">IFERROR(_xlfn.IFS(
    AC1594="", "",
    AC1594*86400 &lt; 30, "1. 0s - &lt;30s",
    AC1594*86400 &lt; 60, "2. 30s - &lt;1m",
    AC1594*86400 &lt; 300, "3. 1m - &lt;5m",
    AC1594*86400 &lt; 1800, "4. 5m - &lt;30m",
    TRUE, "5. &gt;= 30m"
),"6. Invalid (Order rejected)")</f>
        <v>5. &gt;= 30m</v>
      </c>
    </row>
    <row r="1595" spans="1:30" hidden="1" x14ac:dyDescent="0.3">
      <c r="A1595" t="s">
        <v>9209</v>
      </c>
      <c r="B1595" t="s">
        <v>25</v>
      </c>
      <c r="C1595">
        <v>43783789</v>
      </c>
      <c r="D1595">
        <v>0</v>
      </c>
      <c r="E1595" t="s">
        <v>25</v>
      </c>
      <c r="F1595" t="s">
        <v>26</v>
      </c>
      <c r="G1595" t="s">
        <v>27</v>
      </c>
      <c r="H1595" t="s">
        <v>9210</v>
      </c>
      <c r="I1595" t="s">
        <v>9211</v>
      </c>
      <c r="J1595" t="s">
        <v>26</v>
      </c>
      <c r="K1595" t="s">
        <v>26</v>
      </c>
      <c r="L1595" t="s">
        <v>9212</v>
      </c>
      <c r="M1595" t="s">
        <v>25</v>
      </c>
      <c r="N1595" t="s">
        <v>1824</v>
      </c>
      <c r="O1595" t="s">
        <v>1825</v>
      </c>
      <c r="P1595" t="s">
        <v>42</v>
      </c>
      <c r="Q1595" t="s">
        <v>43</v>
      </c>
      <c r="R1595">
        <v>157140</v>
      </c>
      <c r="S1595">
        <v>0</v>
      </c>
      <c r="T1595">
        <v>157140</v>
      </c>
      <c r="U1595" t="s">
        <v>35</v>
      </c>
      <c r="V1595" t="s">
        <v>1828</v>
      </c>
      <c r="W1595" t="s">
        <v>44</v>
      </c>
      <c r="X1595" s="4">
        <v>1</v>
      </c>
      <c r="Y1595" s="4"/>
      <c r="Z1595">
        <f t="shared" si="96"/>
        <v>8</v>
      </c>
      <c r="AA1595">
        <f t="shared" si="97"/>
        <v>21</v>
      </c>
      <c r="AB1595" s="5">
        <f t="shared" si="98"/>
        <v>0.32724537036847323</v>
      </c>
      <c r="AC1595" s="3">
        <f t="shared" si="99"/>
        <v>9.0266203704231884E-2</v>
      </c>
      <c r="AD1595" t="str" cm="1">
        <f t="array" ref="AD1595">IFERROR(_xlfn.IFS(
    AC1595="", "",
    AC1595*86400 &lt; 30, "1. 0s - &lt;30s",
    AC1595*86400 &lt; 60, "2. 30s - &lt;1m",
    AC1595*86400 &lt; 300, "3. 1m - &lt;5m",
    AC1595*86400 &lt; 1800, "4. 5m - &lt;30m",
    TRUE, "5. &gt;= 30m"
),"6. Invalid (Order rejected)")</f>
        <v>5. &gt;= 30m</v>
      </c>
    </row>
    <row r="1596" spans="1:30" hidden="1" x14ac:dyDescent="0.3">
      <c r="A1596" t="s">
        <v>9213</v>
      </c>
      <c r="B1596" t="s">
        <v>25</v>
      </c>
      <c r="C1596">
        <v>43783789</v>
      </c>
      <c r="D1596">
        <v>0</v>
      </c>
      <c r="E1596" t="s">
        <v>25</v>
      </c>
      <c r="F1596" t="s">
        <v>26</v>
      </c>
      <c r="G1596" t="s">
        <v>27</v>
      </c>
      <c r="H1596" t="s">
        <v>9214</v>
      </c>
      <c r="I1596" t="s">
        <v>9215</v>
      </c>
      <c r="J1596" t="s">
        <v>26</v>
      </c>
      <c r="K1596" t="s">
        <v>26</v>
      </c>
      <c r="L1596" t="s">
        <v>9216</v>
      </c>
      <c r="M1596" t="s">
        <v>25</v>
      </c>
      <c r="N1596" t="s">
        <v>3093</v>
      </c>
      <c r="O1596" t="s">
        <v>3094</v>
      </c>
      <c r="P1596" t="s">
        <v>89</v>
      </c>
      <c r="Q1596" t="s">
        <v>90</v>
      </c>
      <c r="R1596">
        <v>99576</v>
      </c>
      <c r="S1596">
        <v>0</v>
      </c>
      <c r="T1596">
        <v>99576</v>
      </c>
      <c r="U1596" t="s">
        <v>35</v>
      </c>
      <c r="V1596" t="s">
        <v>3095</v>
      </c>
      <c r="W1596" t="s">
        <v>91</v>
      </c>
      <c r="X1596" s="4">
        <v>1</v>
      </c>
      <c r="Y1596" s="4"/>
      <c r="Z1596">
        <f t="shared" si="96"/>
        <v>8</v>
      </c>
      <c r="AA1596">
        <f t="shared" si="97"/>
        <v>21</v>
      </c>
      <c r="AB1596" s="5">
        <f t="shared" si="98"/>
        <v>0.32488425925839692</v>
      </c>
      <c r="AC1596" s="3">
        <f t="shared" si="99"/>
        <v>9.0266203704231884E-2</v>
      </c>
      <c r="AD1596" t="str" cm="1">
        <f t="array" ref="AD1596">IFERROR(_xlfn.IFS(
    AC1596="", "",
    AC1596*86400 &lt; 30, "1. 0s - &lt;30s",
    AC1596*86400 &lt; 60, "2. 30s - &lt;1m",
    AC1596*86400 &lt; 300, "3. 1m - &lt;5m",
    AC1596*86400 &lt; 1800, "4. 5m - &lt;30m",
    TRUE, "5. &gt;= 30m"
),"6. Invalid (Order rejected)")</f>
        <v>5. &gt;= 30m</v>
      </c>
    </row>
    <row r="1597" spans="1:30" hidden="1" x14ac:dyDescent="0.3">
      <c r="A1597" t="s">
        <v>9217</v>
      </c>
      <c r="B1597" t="s">
        <v>25</v>
      </c>
      <c r="C1597">
        <v>43783789</v>
      </c>
      <c r="D1597">
        <v>0</v>
      </c>
      <c r="E1597" t="s">
        <v>25</v>
      </c>
      <c r="F1597" t="s">
        <v>26</v>
      </c>
      <c r="G1597" t="s">
        <v>27</v>
      </c>
      <c r="H1597" t="s">
        <v>9218</v>
      </c>
      <c r="I1597" t="s">
        <v>9219</v>
      </c>
      <c r="J1597" t="s">
        <v>26</v>
      </c>
      <c r="K1597" t="s">
        <v>26</v>
      </c>
      <c r="L1597" t="s">
        <v>9220</v>
      </c>
      <c r="M1597" t="s">
        <v>25</v>
      </c>
      <c r="N1597" t="s">
        <v>5181</v>
      </c>
      <c r="O1597" t="s">
        <v>5182</v>
      </c>
      <c r="P1597" t="s">
        <v>147</v>
      </c>
      <c r="Q1597" t="s">
        <v>148</v>
      </c>
      <c r="R1597">
        <v>113508</v>
      </c>
      <c r="S1597">
        <v>0</v>
      </c>
      <c r="T1597">
        <v>113508</v>
      </c>
      <c r="U1597" t="s">
        <v>35</v>
      </c>
      <c r="V1597" t="s">
        <v>5183</v>
      </c>
      <c r="W1597" t="s">
        <v>149</v>
      </c>
      <c r="X1597" s="4">
        <v>1</v>
      </c>
      <c r="Y1597" s="4"/>
      <c r="Z1597">
        <f t="shared" si="96"/>
        <v>8</v>
      </c>
      <c r="AA1597">
        <f t="shared" si="97"/>
        <v>21</v>
      </c>
      <c r="AB1597" s="5">
        <f t="shared" si="98"/>
        <v>0.32624999999825377</v>
      </c>
      <c r="AC1597" s="3">
        <f t="shared" si="99"/>
        <v>9.0277777781011537E-2</v>
      </c>
      <c r="AD1597" t="str" cm="1">
        <f t="array" ref="AD1597">IFERROR(_xlfn.IFS(
    AC1597="", "",
    AC1597*86400 &lt; 30, "1. 0s - &lt;30s",
    AC1597*86400 &lt; 60, "2. 30s - &lt;1m",
    AC1597*86400 &lt; 300, "3. 1m - &lt;5m",
    AC1597*86400 &lt; 1800, "4. 5m - &lt;30m",
    TRUE, "5. &gt;= 30m"
),"6. Invalid (Order rejected)")</f>
        <v>5. &gt;= 30m</v>
      </c>
    </row>
    <row r="1598" spans="1:30" hidden="1" x14ac:dyDescent="0.3">
      <c r="A1598" t="s">
        <v>9221</v>
      </c>
      <c r="B1598" t="s">
        <v>25</v>
      </c>
      <c r="C1598">
        <v>43783789</v>
      </c>
      <c r="D1598">
        <v>0</v>
      </c>
      <c r="E1598" t="s">
        <v>25</v>
      </c>
      <c r="F1598" t="s">
        <v>26</v>
      </c>
      <c r="G1598" t="s">
        <v>27</v>
      </c>
      <c r="H1598" t="s">
        <v>9222</v>
      </c>
      <c r="I1598" t="s">
        <v>9223</v>
      </c>
      <c r="J1598" t="s">
        <v>26</v>
      </c>
      <c r="K1598" t="s">
        <v>26</v>
      </c>
      <c r="L1598" t="s">
        <v>9224</v>
      </c>
      <c r="M1598" t="s">
        <v>25</v>
      </c>
      <c r="N1598" t="s">
        <v>1824</v>
      </c>
      <c r="O1598" t="s">
        <v>1825</v>
      </c>
      <c r="P1598" t="s">
        <v>147</v>
      </c>
      <c r="Q1598" t="s">
        <v>148</v>
      </c>
      <c r="R1598">
        <v>179820</v>
      </c>
      <c r="S1598">
        <v>0</v>
      </c>
      <c r="T1598">
        <v>179820</v>
      </c>
      <c r="U1598" t="s">
        <v>35</v>
      </c>
      <c r="V1598" t="s">
        <v>1828</v>
      </c>
      <c r="W1598" t="s">
        <v>149</v>
      </c>
      <c r="X1598" s="4">
        <v>1</v>
      </c>
      <c r="Y1598" s="4"/>
      <c r="Z1598">
        <f t="shared" si="96"/>
        <v>8</v>
      </c>
      <c r="AA1598">
        <f t="shared" si="97"/>
        <v>21</v>
      </c>
      <c r="AB1598" s="5">
        <f t="shared" si="98"/>
        <v>0.32709490740671754</v>
      </c>
      <c r="AC1598" s="3">
        <f t="shared" si="99"/>
        <v>9.0277777781011537E-2</v>
      </c>
      <c r="AD1598" t="str" cm="1">
        <f t="array" ref="AD1598">IFERROR(_xlfn.IFS(
    AC1598="", "",
    AC1598*86400 &lt; 30, "1. 0s - &lt;30s",
    AC1598*86400 &lt; 60, "2. 30s - &lt;1m",
    AC1598*86400 &lt; 300, "3. 1m - &lt;5m",
    AC1598*86400 &lt; 1800, "4. 5m - &lt;30m",
    TRUE, "5. &gt;= 30m"
),"6. Invalid (Order rejected)")</f>
        <v>5. &gt;= 30m</v>
      </c>
    </row>
    <row r="1599" spans="1:30" hidden="1" x14ac:dyDescent="0.3">
      <c r="A1599" t="s">
        <v>9225</v>
      </c>
      <c r="B1599" t="s">
        <v>25</v>
      </c>
      <c r="C1599">
        <v>43783789</v>
      </c>
      <c r="D1599">
        <v>0</v>
      </c>
      <c r="E1599" t="s">
        <v>25</v>
      </c>
      <c r="F1599" t="s">
        <v>26</v>
      </c>
      <c r="G1599" t="s">
        <v>27</v>
      </c>
      <c r="H1599" t="s">
        <v>9226</v>
      </c>
      <c r="I1599" t="s">
        <v>9227</v>
      </c>
      <c r="J1599" t="s">
        <v>26</v>
      </c>
      <c r="K1599" t="s">
        <v>26</v>
      </c>
      <c r="L1599" t="s">
        <v>9228</v>
      </c>
      <c r="M1599" t="s">
        <v>25</v>
      </c>
      <c r="N1599" t="s">
        <v>5208</v>
      </c>
      <c r="O1599" t="s">
        <v>5209</v>
      </c>
      <c r="P1599" t="s">
        <v>56</v>
      </c>
      <c r="Q1599" t="s">
        <v>57</v>
      </c>
      <c r="R1599">
        <v>152280</v>
      </c>
      <c r="S1599">
        <v>0</v>
      </c>
      <c r="T1599">
        <v>152280</v>
      </c>
      <c r="U1599" t="s">
        <v>35</v>
      </c>
      <c r="V1599" t="s">
        <v>5210</v>
      </c>
      <c r="W1599" t="s">
        <v>58</v>
      </c>
      <c r="X1599" s="4">
        <v>1</v>
      </c>
      <c r="Y1599" s="4"/>
      <c r="Z1599">
        <f t="shared" si="96"/>
        <v>8</v>
      </c>
      <c r="AA1599">
        <f t="shared" si="97"/>
        <v>21</v>
      </c>
      <c r="AB1599" s="5">
        <f t="shared" si="98"/>
        <v>0.32913194444699911</v>
      </c>
      <c r="AC1599" s="3">
        <f t="shared" si="99"/>
        <v>9.0266203704231884E-2</v>
      </c>
      <c r="AD1599" t="str" cm="1">
        <f t="array" ref="AD1599">IFERROR(_xlfn.IFS(
    AC1599="", "",
    AC1599*86400 &lt; 30, "1. 0s - &lt;30s",
    AC1599*86400 &lt; 60, "2. 30s - &lt;1m",
    AC1599*86400 &lt; 300, "3. 1m - &lt;5m",
    AC1599*86400 &lt; 1800, "4. 5m - &lt;30m",
    TRUE, "5. &gt;= 30m"
),"6. Invalid (Order rejected)")</f>
        <v>5. &gt;= 30m</v>
      </c>
    </row>
    <row r="1600" spans="1:30" hidden="1" x14ac:dyDescent="0.3">
      <c r="A1600" t="s">
        <v>9229</v>
      </c>
      <c r="B1600" t="s">
        <v>25</v>
      </c>
      <c r="C1600">
        <v>43783789</v>
      </c>
      <c r="D1600">
        <v>0</v>
      </c>
      <c r="E1600" t="s">
        <v>25</v>
      </c>
      <c r="F1600" t="s">
        <v>26</v>
      </c>
      <c r="G1600" t="s">
        <v>27</v>
      </c>
      <c r="H1600" t="s">
        <v>9230</v>
      </c>
      <c r="I1600" t="s">
        <v>9231</v>
      </c>
      <c r="J1600" t="s">
        <v>26</v>
      </c>
      <c r="K1600" t="s">
        <v>26</v>
      </c>
      <c r="L1600" t="s">
        <v>9232</v>
      </c>
      <c r="M1600" t="s">
        <v>25</v>
      </c>
      <c r="N1600" t="s">
        <v>5208</v>
      </c>
      <c r="O1600" t="s">
        <v>5209</v>
      </c>
      <c r="P1600" t="s">
        <v>147</v>
      </c>
      <c r="Q1600" t="s">
        <v>148</v>
      </c>
      <c r="R1600">
        <v>155520</v>
      </c>
      <c r="S1600">
        <v>0</v>
      </c>
      <c r="T1600">
        <v>155520</v>
      </c>
      <c r="U1600" t="s">
        <v>35</v>
      </c>
      <c r="V1600" t="s">
        <v>5210</v>
      </c>
      <c r="W1600" t="s">
        <v>149</v>
      </c>
      <c r="X1600" s="4">
        <v>1</v>
      </c>
      <c r="Y1600" s="4"/>
      <c r="Z1600">
        <f t="shared" si="96"/>
        <v>8</v>
      </c>
      <c r="AA1600">
        <f t="shared" si="97"/>
        <v>21</v>
      </c>
      <c r="AB1600" s="5">
        <f t="shared" si="98"/>
        <v>0.32975694444758119</v>
      </c>
      <c r="AC1600" s="3">
        <f t="shared" si="99"/>
        <v>9.0266203696955927E-2</v>
      </c>
      <c r="AD1600" t="str" cm="1">
        <f t="array" ref="AD1600">IFERROR(_xlfn.IFS(
    AC1600="", "",
    AC1600*86400 &lt; 30, "1. 0s - &lt;30s",
    AC1600*86400 &lt; 60, "2. 30s - &lt;1m",
    AC1600*86400 &lt; 300, "3. 1m - &lt;5m",
    AC1600*86400 &lt; 1800, "4. 5m - &lt;30m",
    TRUE, "5. &gt;= 30m"
),"6. Invalid (Order rejected)")</f>
        <v>5. &gt;= 30m</v>
      </c>
    </row>
    <row r="1601" spans="1:30" hidden="1" x14ac:dyDescent="0.3">
      <c r="A1601" t="s">
        <v>9233</v>
      </c>
      <c r="B1601" t="s">
        <v>25</v>
      </c>
      <c r="C1601">
        <v>43783789</v>
      </c>
      <c r="D1601">
        <v>0</v>
      </c>
      <c r="E1601" t="s">
        <v>25</v>
      </c>
      <c r="F1601" t="s">
        <v>26</v>
      </c>
      <c r="G1601" t="s">
        <v>27</v>
      </c>
      <c r="H1601" t="s">
        <v>9234</v>
      </c>
      <c r="I1601" t="s">
        <v>9235</v>
      </c>
      <c r="J1601" t="s">
        <v>26</v>
      </c>
      <c r="K1601" t="s">
        <v>26</v>
      </c>
      <c r="L1601" t="s">
        <v>9236</v>
      </c>
      <c r="M1601" t="s">
        <v>25</v>
      </c>
      <c r="N1601" t="s">
        <v>3093</v>
      </c>
      <c r="O1601" t="s">
        <v>3094</v>
      </c>
      <c r="P1601" t="s">
        <v>56</v>
      </c>
      <c r="Q1601" t="s">
        <v>57</v>
      </c>
      <c r="R1601">
        <v>108324</v>
      </c>
      <c r="S1601">
        <v>0</v>
      </c>
      <c r="T1601">
        <v>108324</v>
      </c>
      <c r="U1601" t="s">
        <v>35</v>
      </c>
      <c r="V1601" t="s">
        <v>3095</v>
      </c>
      <c r="W1601" t="s">
        <v>58</v>
      </c>
      <c r="X1601" s="4">
        <v>1</v>
      </c>
      <c r="Y1601" s="4"/>
      <c r="Z1601">
        <f t="shared" si="96"/>
        <v>8</v>
      </c>
      <c r="AA1601">
        <f t="shared" si="97"/>
        <v>21</v>
      </c>
      <c r="AB1601" s="5">
        <f t="shared" si="98"/>
        <v>0.32542824074334931</v>
      </c>
      <c r="AC1601" s="3">
        <f t="shared" si="99"/>
        <v>9.0266203704231884E-2</v>
      </c>
      <c r="AD1601" t="str" cm="1">
        <f t="array" ref="AD1601">IFERROR(_xlfn.IFS(
    AC1601="", "",
    AC1601*86400 &lt; 30, "1. 0s - &lt;30s",
    AC1601*86400 &lt; 60, "2. 30s - &lt;1m",
    AC1601*86400 &lt; 300, "3. 1m - &lt;5m",
    AC1601*86400 &lt; 1800, "4. 5m - &lt;30m",
    TRUE, "5. &gt;= 30m"
),"6. Invalid (Order rejected)")</f>
        <v>5. &gt;= 30m</v>
      </c>
    </row>
    <row r="1602" spans="1:30" hidden="1" x14ac:dyDescent="0.3">
      <c r="A1602" t="s">
        <v>9237</v>
      </c>
      <c r="B1602" t="s">
        <v>25</v>
      </c>
      <c r="C1602">
        <v>43783789</v>
      </c>
      <c r="D1602">
        <v>0</v>
      </c>
      <c r="E1602" t="s">
        <v>25</v>
      </c>
      <c r="F1602" t="s">
        <v>26</v>
      </c>
      <c r="G1602" t="s">
        <v>27</v>
      </c>
      <c r="H1602" t="s">
        <v>9238</v>
      </c>
      <c r="I1602" t="s">
        <v>9239</v>
      </c>
      <c r="J1602" t="s">
        <v>26</v>
      </c>
      <c r="K1602" t="s">
        <v>26</v>
      </c>
      <c r="L1602" t="s">
        <v>9240</v>
      </c>
      <c r="M1602" t="s">
        <v>25</v>
      </c>
      <c r="N1602" t="s">
        <v>1824</v>
      </c>
      <c r="O1602" t="s">
        <v>1825</v>
      </c>
      <c r="P1602" t="s">
        <v>3865</v>
      </c>
      <c r="Q1602" t="s">
        <v>3866</v>
      </c>
      <c r="R1602">
        <v>169776</v>
      </c>
      <c r="S1602">
        <v>0</v>
      </c>
      <c r="T1602">
        <v>169776</v>
      </c>
      <c r="U1602" t="s">
        <v>35</v>
      </c>
      <c r="V1602" t="s">
        <v>1828</v>
      </c>
      <c r="W1602" t="s">
        <v>3868</v>
      </c>
      <c r="X1602" s="4">
        <v>1</v>
      </c>
      <c r="Y1602" s="4"/>
      <c r="Z1602">
        <f t="shared" si="96"/>
        <v>8</v>
      </c>
      <c r="AA1602">
        <f t="shared" si="97"/>
        <v>21</v>
      </c>
      <c r="AB1602" s="5">
        <f t="shared" si="98"/>
        <v>0.3269560185217415</v>
      </c>
      <c r="AC1602" s="3">
        <f t="shared" si="99"/>
        <v>9.0266203696955927E-2</v>
      </c>
      <c r="AD1602" t="str" cm="1">
        <f t="array" ref="AD1602">IFERROR(_xlfn.IFS(
    AC1602="", "",
    AC1602*86400 &lt; 30, "1. 0s - &lt;30s",
    AC1602*86400 &lt; 60, "2. 30s - &lt;1m",
    AC1602*86400 &lt; 300, "3. 1m - &lt;5m",
    AC1602*86400 &lt; 1800, "4. 5m - &lt;30m",
    TRUE, "5. &gt;= 30m"
),"6. Invalid (Order rejected)")</f>
        <v>5. &gt;= 30m</v>
      </c>
    </row>
    <row r="1603" spans="1:30" x14ac:dyDescent="0.3">
      <c r="A1603" t="s">
        <v>9241</v>
      </c>
      <c r="B1603" t="s">
        <v>25</v>
      </c>
      <c r="C1603">
        <v>43783789</v>
      </c>
      <c r="D1603">
        <v>4336533</v>
      </c>
      <c r="E1603" t="s">
        <v>25</v>
      </c>
      <c r="F1603" t="s">
        <v>75</v>
      </c>
      <c r="G1603" t="s">
        <v>360</v>
      </c>
      <c r="H1603" t="s">
        <v>9242</v>
      </c>
      <c r="I1603" t="s">
        <v>9243</v>
      </c>
      <c r="J1603" t="s">
        <v>9244</v>
      </c>
      <c r="K1603" t="s">
        <v>26</v>
      </c>
      <c r="L1603" t="s">
        <v>25</v>
      </c>
      <c r="M1603" t="s">
        <v>25</v>
      </c>
      <c r="N1603" t="s">
        <v>3093</v>
      </c>
      <c r="O1603" t="s">
        <v>3094</v>
      </c>
      <c r="P1603" t="s">
        <v>3102</v>
      </c>
      <c r="Q1603" t="s">
        <v>3103</v>
      </c>
      <c r="R1603">
        <v>121608</v>
      </c>
      <c r="S1603">
        <v>94274</v>
      </c>
      <c r="T1603">
        <v>27334</v>
      </c>
      <c r="U1603" t="s">
        <v>35</v>
      </c>
      <c r="V1603" t="s">
        <v>3095</v>
      </c>
      <c r="W1603" t="s">
        <v>3104</v>
      </c>
      <c r="X1603" s="4">
        <v>1</v>
      </c>
      <c r="Y1603" s="4"/>
      <c r="Z1603">
        <f t="shared" ref="Z1603:Z1637" si="100">MONTH(H1603)</f>
        <v>8</v>
      </c>
      <c r="AA1603">
        <f t="shared" ref="AA1603:AA1637" si="101">DAY(H1603)</f>
        <v>21</v>
      </c>
      <c r="AB1603" s="5">
        <f t="shared" ref="AB1603:AB1637" si="102">MOD(H1603, 1)</f>
        <v>0.32521990740497131</v>
      </c>
      <c r="AC1603" s="3" t="str">
        <f t="shared" ref="AC1603:AC1637" si="103">IFERROR(IF(M1603="",L1603-H1603,M1603-H1603),"Order rejected, no time available")</f>
        <v>Order rejected, no time available</v>
      </c>
      <c r="AD1603" t="str" cm="1">
        <f t="array" ref="AD1603">IFERROR(_xlfn.IFS(
    AC1603="", "",
    AC1603*86400 &lt; 30, "1. 0s - &lt;30s",
    AC1603*86400 &lt; 60, "2. 30s - &lt;1m",
    AC1603*86400 &lt; 300, "3. 1m - &lt;5m",
    AC1603*86400 &lt; 1800, "4. 5m - &lt;30m",
    TRUE, "5. &gt;= 30m"
),"6. Invalid (Order rejected)")</f>
        <v>6. Invalid (Order rejected)</v>
      </c>
    </row>
    <row r="1604" spans="1:30" hidden="1" x14ac:dyDescent="0.3">
      <c r="A1604" t="s">
        <v>9245</v>
      </c>
      <c r="B1604" t="s">
        <v>25</v>
      </c>
      <c r="C1604">
        <v>43783789</v>
      </c>
      <c r="D1604">
        <v>0</v>
      </c>
      <c r="E1604" t="s">
        <v>25</v>
      </c>
      <c r="F1604" t="s">
        <v>26</v>
      </c>
      <c r="G1604" t="s">
        <v>27</v>
      </c>
      <c r="H1604" t="s">
        <v>9246</v>
      </c>
      <c r="I1604" t="s">
        <v>9247</v>
      </c>
      <c r="J1604" t="s">
        <v>26</v>
      </c>
      <c r="K1604" t="s">
        <v>26</v>
      </c>
      <c r="L1604" t="s">
        <v>9248</v>
      </c>
      <c r="M1604" t="s">
        <v>25</v>
      </c>
      <c r="N1604" t="s">
        <v>5208</v>
      </c>
      <c r="O1604" t="s">
        <v>5209</v>
      </c>
      <c r="P1604" t="s">
        <v>89</v>
      </c>
      <c r="Q1604" t="s">
        <v>90</v>
      </c>
      <c r="R1604">
        <v>178632</v>
      </c>
      <c r="S1604">
        <v>0</v>
      </c>
      <c r="T1604">
        <v>178632</v>
      </c>
      <c r="U1604" t="s">
        <v>35</v>
      </c>
      <c r="V1604" t="s">
        <v>5210</v>
      </c>
      <c r="W1604" t="s">
        <v>91</v>
      </c>
      <c r="X1604" s="4">
        <v>1</v>
      </c>
      <c r="Y1604" s="4"/>
      <c r="Z1604">
        <f t="shared" si="100"/>
        <v>8</v>
      </c>
      <c r="AA1604">
        <f t="shared" si="101"/>
        <v>21</v>
      </c>
      <c r="AB1604" s="5">
        <f t="shared" si="102"/>
        <v>0.32866898148495238</v>
      </c>
      <c r="AC1604" s="3">
        <f t="shared" si="103"/>
        <v>9.0266203696955927E-2</v>
      </c>
      <c r="AD1604" t="str" cm="1">
        <f t="array" ref="AD1604">IFERROR(_xlfn.IFS(
    AC1604="", "",
    AC1604*86400 &lt; 30, "1. 0s - &lt;30s",
    AC1604*86400 &lt; 60, "2. 30s - &lt;1m",
    AC1604*86400 &lt; 300, "3. 1m - &lt;5m",
    AC1604*86400 &lt; 1800, "4. 5m - &lt;30m",
    TRUE, "5. &gt;= 30m"
),"6. Invalid (Order rejected)")</f>
        <v>5. &gt;= 30m</v>
      </c>
    </row>
    <row r="1605" spans="1:30" hidden="1" x14ac:dyDescent="0.3">
      <c r="A1605" t="s">
        <v>9249</v>
      </c>
      <c r="B1605" t="s">
        <v>25</v>
      </c>
      <c r="C1605">
        <v>43783789</v>
      </c>
      <c r="D1605">
        <v>0</v>
      </c>
      <c r="E1605" t="s">
        <v>25</v>
      </c>
      <c r="F1605" t="s">
        <v>26</v>
      </c>
      <c r="G1605" t="s">
        <v>27</v>
      </c>
      <c r="H1605" t="s">
        <v>9250</v>
      </c>
      <c r="I1605" t="s">
        <v>9251</v>
      </c>
      <c r="J1605" t="s">
        <v>26</v>
      </c>
      <c r="K1605" t="s">
        <v>26</v>
      </c>
      <c r="L1605" t="s">
        <v>9252</v>
      </c>
      <c r="M1605" t="s">
        <v>25</v>
      </c>
      <c r="N1605" t="s">
        <v>5219</v>
      </c>
      <c r="O1605" t="s">
        <v>5220</v>
      </c>
      <c r="P1605" t="s">
        <v>5153</v>
      </c>
      <c r="Q1605" t="s">
        <v>5154</v>
      </c>
      <c r="R1605">
        <v>167400</v>
      </c>
      <c r="S1605">
        <v>0</v>
      </c>
      <c r="T1605">
        <v>167400</v>
      </c>
      <c r="U1605" t="s">
        <v>35</v>
      </c>
      <c r="V1605" t="s">
        <v>4874</v>
      </c>
      <c r="W1605" t="s">
        <v>5053</v>
      </c>
      <c r="X1605" s="4">
        <v>1</v>
      </c>
      <c r="Y1605" s="4"/>
      <c r="Z1605">
        <f t="shared" si="100"/>
        <v>8</v>
      </c>
      <c r="AA1605">
        <f t="shared" si="101"/>
        <v>21</v>
      </c>
      <c r="AB1605" s="5">
        <f t="shared" si="102"/>
        <v>0.32390046296495711</v>
      </c>
      <c r="AC1605" s="3">
        <f t="shared" si="103"/>
        <v>9.0266203704231884E-2</v>
      </c>
      <c r="AD1605" t="str" cm="1">
        <f t="array" ref="AD1605">IFERROR(_xlfn.IFS(
    AC1605="", "",
    AC1605*86400 &lt; 30, "1. 0s - &lt;30s",
    AC1605*86400 &lt; 60, "2. 30s - &lt;1m",
    AC1605*86400 &lt; 300, "3. 1m - &lt;5m",
    AC1605*86400 &lt; 1800, "4. 5m - &lt;30m",
    TRUE, "5. &gt;= 30m"
),"6. Invalid (Order rejected)")</f>
        <v>5. &gt;= 30m</v>
      </c>
    </row>
    <row r="1606" spans="1:30" x14ac:dyDescent="0.3">
      <c r="A1606" t="s">
        <v>9253</v>
      </c>
      <c r="B1606" t="s">
        <v>25</v>
      </c>
      <c r="C1606">
        <v>43783789</v>
      </c>
      <c r="D1606">
        <v>4707501</v>
      </c>
      <c r="E1606" t="s">
        <v>25</v>
      </c>
      <c r="F1606" t="s">
        <v>75</v>
      </c>
      <c r="G1606" t="s">
        <v>360</v>
      </c>
      <c r="H1606" t="s">
        <v>9254</v>
      </c>
      <c r="I1606" t="s">
        <v>9255</v>
      </c>
      <c r="J1606" t="s">
        <v>9256</v>
      </c>
      <c r="K1606" t="s">
        <v>26</v>
      </c>
      <c r="L1606" t="s">
        <v>25</v>
      </c>
      <c r="M1606" t="s">
        <v>25</v>
      </c>
      <c r="N1606" t="s">
        <v>5181</v>
      </c>
      <c r="O1606" t="s">
        <v>5182</v>
      </c>
      <c r="P1606" t="s">
        <v>42</v>
      </c>
      <c r="Q1606" t="s">
        <v>43</v>
      </c>
      <c r="R1606">
        <v>92880</v>
      </c>
      <c r="S1606">
        <v>72003</v>
      </c>
      <c r="T1606">
        <v>20877</v>
      </c>
      <c r="U1606" t="s">
        <v>35</v>
      </c>
      <c r="V1606" t="s">
        <v>5183</v>
      </c>
      <c r="W1606" t="s">
        <v>44</v>
      </c>
      <c r="X1606" s="4">
        <v>1</v>
      </c>
      <c r="Y1606" s="4"/>
      <c r="Z1606">
        <f t="shared" si="100"/>
        <v>8</v>
      </c>
      <c r="AA1606">
        <f t="shared" si="101"/>
        <v>21</v>
      </c>
      <c r="AB1606" s="5">
        <f t="shared" si="102"/>
        <v>0.32607638889021473</v>
      </c>
      <c r="AC1606" s="3" t="str">
        <f t="shared" si="103"/>
        <v>Order rejected, no time available</v>
      </c>
      <c r="AD1606" t="str" cm="1">
        <f t="array" ref="AD1606">IFERROR(_xlfn.IFS(
    AC1606="", "",
    AC1606*86400 &lt; 30, "1. 0s - &lt;30s",
    AC1606*86400 &lt; 60, "2. 30s - &lt;1m",
    AC1606*86400 &lt; 300, "3. 1m - &lt;5m",
    AC1606*86400 &lt; 1800, "4. 5m - &lt;30m",
    TRUE, "5. &gt;= 30m"
),"6. Invalid (Order rejected)")</f>
        <v>6. Invalid (Order rejected)</v>
      </c>
    </row>
    <row r="1607" spans="1:30" hidden="1" x14ac:dyDescent="0.3">
      <c r="A1607" t="s">
        <v>9257</v>
      </c>
      <c r="B1607" t="s">
        <v>25</v>
      </c>
      <c r="C1607">
        <v>43783789</v>
      </c>
      <c r="D1607">
        <v>0</v>
      </c>
      <c r="E1607" t="s">
        <v>25</v>
      </c>
      <c r="F1607" t="s">
        <v>26</v>
      </c>
      <c r="G1607" t="s">
        <v>27</v>
      </c>
      <c r="H1607" t="s">
        <v>9258</v>
      </c>
      <c r="I1607" t="s">
        <v>9259</v>
      </c>
      <c r="J1607" t="s">
        <v>26</v>
      </c>
      <c r="K1607" t="s">
        <v>26</v>
      </c>
      <c r="L1607" t="s">
        <v>9260</v>
      </c>
      <c r="M1607" t="s">
        <v>25</v>
      </c>
      <c r="N1607" t="s">
        <v>5208</v>
      </c>
      <c r="O1607" t="s">
        <v>5209</v>
      </c>
      <c r="P1607" t="s">
        <v>3865</v>
      </c>
      <c r="Q1607" t="s">
        <v>3866</v>
      </c>
      <c r="R1607">
        <v>181548</v>
      </c>
      <c r="S1607">
        <v>0</v>
      </c>
      <c r="T1607">
        <v>181548</v>
      </c>
      <c r="U1607" t="s">
        <v>35</v>
      </c>
      <c r="V1607" t="s">
        <v>5210</v>
      </c>
      <c r="W1607" t="s">
        <v>3868</v>
      </c>
      <c r="X1607" s="4">
        <v>1</v>
      </c>
      <c r="Y1607" s="4"/>
      <c r="Z1607">
        <f t="shared" si="100"/>
        <v>8</v>
      </c>
      <c r="AA1607">
        <f t="shared" si="101"/>
        <v>21</v>
      </c>
      <c r="AB1607" s="5">
        <f t="shared" si="102"/>
        <v>0.32990740740933688</v>
      </c>
      <c r="AC1607" s="3">
        <f t="shared" si="103"/>
        <v>9.0266203704231884E-2</v>
      </c>
      <c r="AD1607" t="str" cm="1">
        <f t="array" ref="AD1607">IFERROR(_xlfn.IFS(
    AC1607="", "",
    AC1607*86400 &lt; 30, "1. 0s - &lt;30s",
    AC1607*86400 &lt; 60, "2. 30s - &lt;1m",
    AC1607*86400 &lt; 300, "3. 1m - &lt;5m",
    AC1607*86400 &lt; 1800, "4. 5m - &lt;30m",
    TRUE, "5. &gt;= 30m"
),"6. Invalid (Order rejected)")</f>
        <v>5. &gt;= 30m</v>
      </c>
    </row>
    <row r="1608" spans="1:30" hidden="1" x14ac:dyDescent="0.3">
      <c r="A1608" t="s">
        <v>9261</v>
      </c>
      <c r="B1608" t="s">
        <v>25</v>
      </c>
      <c r="C1608">
        <v>43783789</v>
      </c>
      <c r="D1608">
        <v>0</v>
      </c>
      <c r="E1608" t="s">
        <v>25</v>
      </c>
      <c r="F1608" t="s">
        <v>26</v>
      </c>
      <c r="G1608" t="s">
        <v>27</v>
      </c>
      <c r="H1608" t="s">
        <v>9163</v>
      </c>
      <c r="I1608" t="s">
        <v>9262</v>
      </c>
      <c r="J1608" t="s">
        <v>26</v>
      </c>
      <c r="K1608" t="s">
        <v>26</v>
      </c>
      <c r="L1608" t="s">
        <v>9263</v>
      </c>
      <c r="M1608" t="s">
        <v>25</v>
      </c>
      <c r="N1608" t="s">
        <v>5208</v>
      </c>
      <c r="O1608" t="s">
        <v>5209</v>
      </c>
      <c r="P1608" t="s">
        <v>180</v>
      </c>
      <c r="Q1608" t="s">
        <v>181</v>
      </c>
      <c r="R1608">
        <v>166212</v>
      </c>
      <c r="S1608">
        <v>0</v>
      </c>
      <c r="T1608">
        <v>166212</v>
      </c>
      <c r="U1608" t="s">
        <v>35</v>
      </c>
      <c r="V1608" t="s">
        <v>5210</v>
      </c>
      <c r="W1608" t="s">
        <v>182</v>
      </c>
      <c r="X1608" s="4">
        <v>1</v>
      </c>
      <c r="Y1608" s="4"/>
      <c r="Z1608">
        <f t="shared" si="100"/>
        <v>8</v>
      </c>
      <c r="AA1608">
        <f t="shared" si="101"/>
        <v>21</v>
      </c>
      <c r="AB1608" s="5">
        <f t="shared" si="102"/>
        <v>0.32927083333197515</v>
      </c>
      <c r="AC1608" s="3">
        <f t="shared" si="103"/>
        <v>9.0266203704231884E-2</v>
      </c>
      <c r="AD1608" t="str" cm="1">
        <f t="array" ref="AD1608">IFERROR(_xlfn.IFS(
    AC1608="", "",
    AC1608*86400 &lt; 30, "1. 0s - &lt;30s",
    AC1608*86400 &lt; 60, "2. 30s - &lt;1m",
    AC1608*86400 &lt; 300, "3. 1m - &lt;5m",
    AC1608*86400 &lt; 1800, "4. 5m - &lt;30m",
    TRUE, "5. &gt;= 30m"
),"6. Invalid (Order rejected)")</f>
        <v>5. &gt;= 30m</v>
      </c>
    </row>
    <row r="1609" spans="1:30" hidden="1" x14ac:dyDescent="0.3">
      <c r="A1609" t="s">
        <v>9264</v>
      </c>
      <c r="B1609" t="s">
        <v>25</v>
      </c>
      <c r="C1609">
        <v>43811059</v>
      </c>
      <c r="D1609">
        <v>0</v>
      </c>
      <c r="E1609" t="s">
        <v>25</v>
      </c>
      <c r="F1609" t="s">
        <v>26</v>
      </c>
      <c r="G1609" t="s">
        <v>27</v>
      </c>
      <c r="H1609" t="s">
        <v>9265</v>
      </c>
      <c r="I1609" t="s">
        <v>9266</v>
      </c>
      <c r="J1609" t="s">
        <v>26</v>
      </c>
      <c r="K1609" t="s">
        <v>26</v>
      </c>
      <c r="L1609" t="s">
        <v>9267</v>
      </c>
      <c r="M1609" t="s">
        <v>25</v>
      </c>
      <c r="N1609" t="s">
        <v>2811</v>
      </c>
      <c r="O1609" t="s">
        <v>2812</v>
      </c>
      <c r="P1609" t="s">
        <v>1624</v>
      </c>
      <c r="Q1609" t="s">
        <v>1625</v>
      </c>
      <c r="R1609">
        <v>230580</v>
      </c>
      <c r="S1609">
        <v>0</v>
      </c>
      <c r="T1609">
        <v>230580</v>
      </c>
      <c r="U1609" t="s">
        <v>35</v>
      </c>
      <c r="V1609" t="s">
        <v>2813</v>
      </c>
      <c r="W1609" t="s">
        <v>1626</v>
      </c>
      <c r="X1609" s="4">
        <v>1</v>
      </c>
      <c r="Y1609" s="4"/>
      <c r="Z1609">
        <f t="shared" si="100"/>
        <v>8</v>
      </c>
      <c r="AA1609">
        <f t="shared" si="101"/>
        <v>22</v>
      </c>
      <c r="AB1609" s="5">
        <f t="shared" si="102"/>
        <v>0.31821759259037208</v>
      </c>
      <c r="AC1609" s="3">
        <f t="shared" si="103"/>
        <v>9.0277777781011537E-2</v>
      </c>
      <c r="AD1609" t="str" cm="1">
        <f t="array" ref="AD1609">IFERROR(_xlfn.IFS(
    AC1609="", "",
    AC1609*86400 &lt; 30, "1. 0s - &lt;30s",
    AC1609*86400 &lt; 60, "2. 30s - &lt;1m",
    AC1609*86400 &lt; 300, "3. 1m - &lt;5m",
    AC1609*86400 &lt; 1800, "4. 5m - &lt;30m",
    TRUE, "5. &gt;= 30m"
),"6. Invalid (Order rejected)")</f>
        <v>5. &gt;= 30m</v>
      </c>
    </row>
    <row r="1610" spans="1:30" hidden="1" x14ac:dyDescent="0.3">
      <c r="A1610" t="s">
        <v>9268</v>
      </c>
      <c r="B1610" t="s">
        <v>25</v>
      </c>
      <c r="C1610">
        <v>43811059</v>
      </c>
      <c r="D1610">
        <v>2852976</v>
      </c>
      <c r="E1610" t="s">
        <v>25</v>
      </c>
      <c r="F1610" t="s">
        <v>75</v>
      </c>
      <c r="G1610" t="s">
        <v>76</v>
      </c>
      <c r="H1610" t="s">
        <v>9269</v>
      </c>
      <c r="I1610" t="s">
        <v>9270</v>
      </c>
      <c r="J1610" t="s">
        <v>9271</v>
      </c>
      <c r="K1610" t="s">
        <v>26</v>
      </c>
      <c r="L1610" t="s">
        <v>9272</v>
      </c>
      <c r="M1610" t="s">
        <v>25</v>
      </c>
      <c r="N1610" t="s">
        <v>1838</v>
      </c>
      <c r="O1610" t="s">
        <v>1839</v>
      </c>
      <c r="P1610" t="s">
        <v>1666</v>
      </c>
      <c r="Q1610" t="s">
        <v>1667</v>
      </c>
      <c r="R1610">
        <v>338796</v>
      </c>
      <c r="S1610">
        <v>278095</v>
      </c>
      <c r="T1610">
        <v>60701</v>
      </c>
      <c r="U1610" t="s">
        <v>35</v>
      </c>
      <c r="V1610" t="s">
        <v>1842</v>
      </c>
      <c r="W1610" t="s">
        <v>1669</v>
      </c>
      <c r="X1610" s="4">
        <v>1</v>
      </c>
      <c r="Y1610" s="4"/>
      <c r="Z1610">
        <f t="shared" si="100"/>
        <v>8</v>
      </c>
      <c r="AA1610">
        <f t="shared" si="101"/>
        <v>22</v>
      </c>
      <c r="AB1610" s="5">
        <f t="shared" si="102"/>
        <v>0.3163194444423425</v>
      </c>
      <c r="AC1610" s="3">
        <f t="shared" si="103"/>
        <v>1.5833333338377997E-2</v>
      </c>
      <c r="AD1610" t="str" cm="1">
        <f t="array" ref="AD1610">IFERROR(_xlfn.IFS(
    AC1610="", "",
    AC1610*86400 &lt; 30, "1. 0s - &lt;30s",
    AC1610*86400 &lt; 60, "2. 30s - &lt;1m",
    AC1610*86400 &lt; 300, "3. 1m - &lt;5m",
    AC1610*86400 &lt; 1800, "4. 5m - &lt;30m",
    TRUE, "5. &gt;= 30m"
),"6. Invalid (Order rejected)")</f>
        <v>4. 5m - &lt;30m</v>
      </c>
    </row>
    <row r="1611" spans="1:30" hidden="1" x14ac:dyDescent="0.3">
      <c r="A1611" t="s">
        <v>9273</v>
      </c>
      <c r="B1611" t="s">
        <v>25</v>
      </c>
      <c r="C1611">
        <v>43811059</v>
      </c>
      <c r="D1611">
        <v>2852976</v>
      </c>
      <c r="E1611" t="s">
        <v>25</v>
      </c>
      <c r="F1611" t="s">
        <v>75</v>
      </c>
      <c r="G1611" t="s">
        <v>76</v>
      </c>
      <c r="H1611" t="s">
        <v>9274</v>
      </c>
      <c r="I1611" t="s">
        <v>9275</v>
      </c>
      <c r="J1611" t="s">
        <v>9276</v>
      </c>
      <c r="K1611" t="s">
        <v>26</v>
      </c>
      <c r="L1611" t="s">
        <v>9277</v>
      </c>
      <c r="M1611" t="s">
        <v>25</v>
      </c>
      <c r="N1611" t="s">
        <v>1838</v>
      </c>
      <c r="O1611" t="s">
        <v>1839</v>
      </c>
      <c r="P1611" t="s">
        <v>5355</v>
      </c>
      <c r="Q1611" t="s">
        <v>5356</v>
      </c>
      <c r="R1611">
        <v>253692</v>
      </c>
      <c r="S1611">
        <v>208239</v>
      </c>
      <c r="T1611">
        <v>45453</v>
      </c>
      <c r="U1611" t="s">
        <v>35</v>
      </c>
      <c r="V1611" t="s">
        <v>1842</v>
      </c>
      <c r="W1611" t="s">
        <v>5357</v>
      </c>
      <c r="X1611" s="4">
        <v>1</v>
      </c>
      <c r="Y1611" s="4"/>
      <c r="Z1611">
        <f t="shared" si="100"/>
        <v>8</v>
      </c>
      <c r="AA1611">
        <f t="shared" si="101"/>
        <v>22</v>
      </c>
      <c r="AB1611" s="5">
        <f t="shared" si="102"/>
        <v>0.31674768518860219</v>
      </c>
      <c r="AC1611" s="3">
        <f t="shared" si="103"/>
        <v>3.2291666648234241E-3</v>
      </c>
      <c r="AD1611" t="str" cm="1">
        <f t="array" ref="AD1611">IFERROR(_xlfn.IFS(
    AC1611="", "",
    AC1611*86400 &lt; 30, "1. 0s - &lt;30s",
    AC1611*86400 &lt; 60, "2. 30s - &lt;1m",
    AC1611*86400 &lt; 300, "3. 1m - &lt;5m",
    AC1611*86400 &lt; 1800, "4. 5m - &lt;30m",
    TRUE, "5. &gt;= 30m"
),"6. Invalid (Order rejected)")</f>
        <v>3. 1m - &lt;5m</v>
      </c>
    </row>
    <row r="1612" spans="1:30" hidden="1" x14ac:dyDescent="0.3">
      <c r="A1612" t="s">
        <v>9278</v>
      </c>
      <c r="B1612" t="s">
        <v>25</v>
      </c>
      <c r="C1612">
        <v>43811059</v>
      </c>
      <c r="D1612">
        <v>0</v>
      </c>
      <c r="E1612" t="s">
        <v>25</v>
      </c>
      <c r="F1612" t="s">
        <v>26</v>
      </c>
      <c r="G1612" t="s">
        <v>27</v>
      </c>
      <c r="H1612" t="s">
        <v>9279</v>
      </c>
      <c r="I1612" t="s">
        <v>9280</v>
      </c>
      <c r="J1612" t="s">
        <v>26</v>
      </c>
      <c r="K1612" t="s">
        <v>26</v>
      </c>
      <c r="L1612" t="s">
        <v>9281</v>
      </c>
      <c r="M1612" t="s">
        <v>25</v>
      </c>
      <c r="N1612" t="s">
        <v>2811</v>
      </c>
      <c r="O1612" t="s">
        <v>2812</v>
      </c>
      <c r="P1612" t="s">
        <v>3144</v>
      </c>
      <c r="Q1612" t="s">
        <v>3145</v>
      </c>
      <c r="R1612">
        <v>199800</v>
      </c>
      <c r="S1612">
        <v>0</v>
      </c>
      <c r="T1612">
        <v>199800</v>
      </c>
      <c r="U1612" t="s">
        <v>35</v>
      </c>
      <c r="V1612" t="s">
        <v>2813</v>
      </c>
      <c r="W1612" t="s">
        <v>3146</v>
      </c>
      <c r="X1612" s="4">
        <v>1</v>
      </c>
      <c r="Y1612" s="4"/>
      <c r="Z1612">
        <f t="shared" si="100"/>
        <v>8</v>
      </c>
      <c r="AA1612">
        <f t="shared" si="101"/>
        <v>22</v>
      </c>
      <c r="AB1612" s="5">
        <f t="shared" si="102"/>
        <v>0.31952546296088258</v>
      </c>
      <c r="AC1612" s="3">
        <f t="shared" si="103"/>
        <v>0.11710648148437031</v>
      </c>
      <c r="AD1612" t="str" cm="1">
        <f t="array" ref="AD1612">IFERROR(_xlfn.IFS(
    AC1612="", "",
    AC1612*86400 &lt; 30, "1. 0s - &lt;30s",
    AC1612*86400 &lt; 60, "2. 30s - &lt;1m",
    AC1612*86400 &lt; 300, "3. 1m - &lt;5m",
    AC1612*86400 &lt; 1800, "4. 5m - &lt;30m",
    TRUE, "5. &gt;= 30m"
),"6. Invalid (Order rejected)")</f>
        <v>5. &gt;= 30m</v>
      </c>
    </row>
    <row r="1613" spans="1:30" hidden="1" x14ac:dyDescent="0.3">
      <c r="A1613" t="s">
        <v>9282</v>
      </c>
      <c r="B1613" t="s">
        <v>25</v>
      </c>
      <c r="C1613">
        <v>43811059</v>
      </c>
      <c r="D1613">
        <v>0</v>
      </c>
      <c r="E1613" t="s">
        <v>25</v>
      </c>
      <c r="F1613" t="s">
        <v>26</v>
      </c>
      <c r="G1613" t="s">
        <v>27</v>
      </c>
      <c r="H1613" t="s">
        <v>9283</v>
      </c>
      <c r="I1613" t="s">
        <v>9284</v>
      </c>
      <c r="J1613" t="s">
        <v>26</v>
      </c>
      <c r="K1613" t="s">
        <v>26</v>
      </c>
      <c r="L1613" t="s">
        <v>9285</v>
      </c>
      <c r="M1613" t="s">
        <v>25</v>
      </c>
      <c r="N1613" t="s">
        <v>2811</v>
      </c>
      <c r="O1613" t="s">
        <v>2812</v>
      </c>
      <c r="P1613" t="s">
        <v>9286</v>
      </c>
      <c r="Q1613" t="s">
        <v>9287</v>
      </c>
      <c r="R1613">
        <v>187380</v>
      </c>
      <c r="S1613">
        <v>0</v>
      </c>
      <c r="T1613">
        <v>187380</v>
      </c>
      <c r="U1613" t="s">
        <v>35</v>
      </c>
      <c r="V1613" t="s">
        <v>2813</v>
      </c>
      <c r="W1613" t="s">
        <v>9288</v>
      </c>
      <c r="X1613" s="4">
        <v>1</v>
      </c>
      <c r="Y1613" s="4"/>
      <c r="Z1613">
        <f t="shared" si="100"/>
        <v>8</v>
      </c>
      <c r="AA1613">
        <f t="shared" si="101"/>
        <v>22</v>
      </c>
      <c r="AB1613" s="5">
        <f t="shared" si="102"/>
        <v>0.32013888889196096</v>
      </c>
      <c r="AC1613" s="3">
        <f t="shared" si="103"/>
        <v>9.0289351850515231E-2</v>
      </c>
      <c r="AD1613" t="str" cm="1">
        <f t="array" ref="AD1613">IFERROR(_xlfn.IFS(
    AC1613="", "",
    AC1613*86400 &lt; 30, "1. 0s - &lt;30s",
    AC1613*86400 &lt; 60, "2. 30s - &lt;1m",
    AC1613*86400 &lt; 300, "3. 1m - &lt;5m",
    AC1613*86400 &lt; 1800, "4. 5m - &lt;30m",
    TRUE, "5. &gt;= 30m"
),"6. Invalid (Order rejected)")</f>
        <v>5. &gt;= 30m</v>
      </c>
    </row>
    <row r="1614" spans="1:30" hidden="1" x14ac:dyDescent="0.3">
      <c r="A1614" t="s">
        <v>9289</v>
      </c>
      <c r="B1614" t="s">
        <v>25</v>
      </c>
      <c r="C1614">
        <v>43811059</v>
      </c>
      <c r="D1614">
        <v>0</v>
      </c>
      <c r="E1614" t="s">
        <v>25</v>
      </c>
      <c r="F1614" t="s">
        <v>26</v>
      </c>
      <c r="G1614" t="s">
        <v>27</v>
      </c>
      <c r="H1614" t="s">
        <v>9290</v>
      </c>
      <c r="I1614" t="s">
        <v>9291</v>
      </c>
      <c r="J1614" t="s">
        <v>26</v>
      </c>
      <c r="K1614" t="s">
        <v>26</v>
      </c>
      <c r="L1614" t="s">
        <v>9292</v>
      </c>
      <c r="M1614" t="s">
        <v>25</v>
      </c>
      <c r="N1614" t="s">
        <v>2811</v>
      </c>
      <c r="O1614" t="s">
        <v>2812</v>
      </c>
      <c r="P1614" t="s">
        <v>5370</v>
      </c>
      <c r="Q1614" t="s">
        <v>5371</v>
      </c>
      <c r="R1614">
        <v>252072</v>
      </c>
      <c r="S1614">
        <v>0</v>
      </c>
      <c r="T1614">
        <v>252072</v>
      </c>
      <c r="U1614" t="s">
        <v>35</v>
      </c>
      <c r="V1614" t="s">
        <v>2813</v>
      </c>
      <c r="W1614" t="s">
        <v>5372</v>
      </c>
      <c r="X1614" s="4">
        <v>1</v>
      </c>
      <c r="Y1614" s="4"/>
      <c r="Z1614">
        <f t="shared" si="100"/>
        <v>8</v>
      </c>
      <c r="AA1614">
        <f t="shared" si="101"/>
        <v>22</v>
      </c>
      <c r="AB1614" s="5">
        <f t="shared" si="102"/>
        <v>0.31883101852145046</v>
      </c>
      <c r="AC1614" s="3">
        <f t="shared" si="103"/>
        <v>0.17109953703766223</v>
      </c>
      <c r="AD1614" t="str" cm="1">
        <f t="array" ref="AD1614">IFERROR(_xlfn.IFS(
    AC1614="", "",
    AC1614*86400 &lt; 30, "1. 0s - &lt;30s",
    AC1614*86400 &lt; 60, "2. 30s - &lt;1m",
    AC1614*86400 &lt; 300, "3. 1m - &lt;5m",
    AC1614*86400 &lt; 1800, "4. 5m - &lt;30m",
    TRUE, "5. &gt;= 30m"
),"6. Invalid (Order rejected)")</f>
        <v>5. &gt;= 30m</v>
      </c>
    </row>
    <row r="1615" spans="1:30" hidden="1" x14ac:dyDescent="0.3">
      <c r="A1615" t="s">
        <v>9293</v>
      </c>
      <c r="B1615" t="s">
        <v>25</v>
      </c>
      <c r="C1615">
        <v>43811059</v>
      </c>
      <c r="D1615">
        <v>0</v>
      </c>
      <c r="E1615" t="s">
        <v>25</v>
      </c>
      <c r="F1615" t="s">
        <v>26</v>
      </c>
      <c r="G1615" t="s">
        <v>27</v>
      </c>
      <c r="H1615" t="s">
        <v>9294</v>
      </c>
      <c r="I1615" t="s">
        <v>9295</v>
      </c>
      <c r="J1615" t="s">
        <v>26</v>
      </c>
      <c r="K1615" t="s">
        <v>26</v>
      </c>
      <c r="L1615" t="s">
        <v>9296</v>
      </c>
      <c r="M1615" t="s">
        <v>25</v>
      </c>
      <c r="N1615" t="s">
        <v>2811</v>
      </c>
      <c r="O1615" t="s">
        <v>2812</v>
      </c>
      <c r="P1615" t="s">
        <v>1892</v>
      </c>
      <c r="Q1615" t="s">
        <v>1893</v>
      </c>
      <c r="R1615">
        <v>205740</v>
      </c>
      <c r="S1615">
        <v>0</v>
      </c>
      <c r="T1615">
        <v>205740</v>
      </c>
      <c r="U1615" t="s">
        <v>35</v>
      </c>
      <c r="V1615" t="s">
        <v>2813</v>
      </c>
      <c r="W1615" t="s">
        <v>1895</v>
      </c>
      <c r="X1615" s="4">
        <v>1</v>
      </c>
      <c r="Y1615" s="4"/>
      <c r="Z1615">
        <f t="shared" si="100"/>
        <v>8</v>
      </c>
      <c r="AA1615">
        <f t="shared" si="101"/>
        <v>22</v>
      </c>
      <c r="AB1615" s="5">
        <f t="shared" si="102"/>
        <v>0.31930555555300089</v>
      </c>
      <c r="AC1615" s="3">
        <f t="shared" si="103"/>
        <v>9.0277777781011537E-2</v>
      </c>
      <c r="AD1615" t="str" cm="1">
        <f t="array" ref="AD1615">IFERROR(_xlfn.IFS(
    AC1615="", "",
    AC1615*86400 &lt; 30, "1. 0s - &lt;30s",
    AC1615*86400 &lt; 60, "2. 30s - &lt;1m",
    AC1615*86400 &lt; 300, "3. 1m - &lt;5m",
    AC1615*86400 &lt; 1800, "4. 5m - &lt;30m",
    TRUE, "5. &gt;= 30m"
),"6. Invalid (Order rejected)")</f>
        <v>5. &gt;= 30m</v>
      </c>
    </row>
    <row r="1616" spans="1:30" x14ac:dyDescent="0.3">
      <c r="A1616" t="s">
        <v>9297</v>
      </c>
      <c r="B1616" t="s">
        <v>25</v>
      </c>
      <c r="C1616">
        <v>43811059</v>
      </c>
      <c r="D1616">
        <v>2744899</v>
      </c>
      <c r="E1616" t="s">
        <v>25</v>
      </c>
      <c r="F1616" t="s">
        <v>75</v>
      </c>
      <c r="G1616" t="s">
        <v>360</v>
      </c>
      <c r="H1616" t="s">
        <v>9298</v>
      </c>
      <c r="I1616" t="s">
        <v>9299</v>
      </c>
      <c r="J1616" t="s">
        <v>9300</v>
      </c>
      <c r="K1616" t="s">
        <v>26</v>
      </c>
      <c r="L1616" t="s">
        <v>25</v>
      </c>
      <c r="M1616" t="s">
        <v>25</v>
      </c>
      <c r="N1616" t="s">
        <v>5332</v>
      </c>
      <c r="O1616" t="s">
        <v>5333</v>
      </c>
      <c r="P1616" t="s">
        <v>1624</v>
      </c>
      <c r="Q1616" t="s">
        <v>1625</v>
      </c>
      <c r="R1616">
        <v>189324</v>
      </c>
      <c r="S1616">
        <v>146770</v>
      </c>
      <c r="T1616">
        <v>42554</v>
      </c>
      <c r="U1616" t="s">
        <v>35</v>
      </c>
      <c r="V1616" t="s">
        <v>4874</v>
      </c>
      <c r="W1616" t="s">
        <v>1626</v>
      </c>
      <c r="X1616" s="4">
        <v>1</v>
      </c>
      <c r="Y1616" s="4"/>
      <c r="Z1616">
        <f t="shared" si="100"/>
        <v>8</v>
      </c>
      <c r="AA1616">
        <f t="shared" si="101"/>
        <v>22</v>
      </c>
      <c r="AB1616" s="5">
        <f t="shared" si="102"/>
        <v>0.32571759259008104</v>
      </c>
      <c r="AC1616" s="3" t="str">
        <f t="shared" si="103"/>
        <v>Order rejected, no time available</v>
      </c>
      <c r="AD1616" t="str" cm="1">
        <f t="array" ref="AD1616">IFERROR(_xlfn.IFS(
    AC1616="", "",
    AC1616*86400 &lt; 30, "1. 0s - &lt;30s",
    AC1616*86400 &lt; 60, "2. 30s - &lt;1m",
    AC1616*86400 &lt; 300, "3. 1m - &lt;5m",
    AC1616*86400 &lt; 1800, "4. 5m - &lt;30m",
    TRUE, "5. &gt;= 30m"
),"6. Invalid (Order rejected)")</f>
        <v>6. Invalid (Order rejected)</v>
      </c>
    </row>
    <row r="1617" spans="1:30" hidden="1" x14ac:dyDescent="0.3">
      <c r="A1617" t="s">
        <v>9301</v>
      </c>
      <c r="B1617" t="s">
        <v>25</v>
      </c>
      <c r="C1617">
        <v>43811059</v>
      </c>
      <c r="D1617">
        <v>0</v>
      </c>
      <c r="E1617" t="s">
        <v>25</v>
      </c>
      <c r="F1617" t="s">
        <v>26</v>
      </c>
      <c r="G1617" t="s">
        <v>27</v>
      </c>
      <c r="H1617" t="s">
        <v>9302</v>
      </c>
      <c r="I1617" t="s">
        <v>9303</v>
      </c>
      <c r="J1617" t="s">
        <v>26</v>
      </c>
      <c r="K1617" t="s">
        <v>26</v>
      </c>
      <c r="L1617" t="s">
        <v>9304</v>
      </c>
      <c r="M1617" t="s">
        <v>25</v>
      </c>
      <c r="N1617" t="s">
        <v>5347</v>
      </c>
      <c r="O1617" t="s">
        <v>5348</v>
      </c>
      <c r="P1617" t="s">
        <v>1624</v>
      </c>
      <c r="Q1617" t="s">
        <v>1625</v>
      </c>
      <c r="R1617">
        <v>211356</v>
      </c>
      <c r="S1617">
        <v>0</v>
      </c>
      <c r="T1617">
        <v>211356</v>
      </c>
      <c r="U1617" t="s">
        <v>35</v>
      </c>
      <c r="V1617" t="s">
        <v>5349</v>
      </c>
      <c r="W1617" t="s">
        <v>1626</v>
      </c>
      <c r="X1617" s="4">
        <v>1</v>
      </c>
      <c r="Y1617" s="4"/>
      <c r="Z1617">
        <f t="shared" si="100"/>
        <v>8</v>
      </c>
      <c r="AA1617">
        <f t="shared" si="101"/>
        <v>22</v>
      </c>
      <c r="AB1617" s="5">
        <f t="shared" si="102"/>
        <v>0.32222222222480923</v>
      </c>
      <c r="AC1617" s="3">
        <f t="shared" si="103"/>
        <v>0.1028009259243845</v>
      </c>
      <c r="AD1617" t="str" cm="1">
        <f t="array" ref="AD1617">IFERROR(_xlfn.IFS(
    AC1617="", "",
    AC1617*86400 &lt; 30, "1. 0s - &lt;30s",
    AC1617*86400 &lt; 60, "2. 30s - &lt;1m",
    AC1617*86400 &lt; 300, "3. 1m - &lt;5m",
    AC1617*86400 &lt; 1800, "4. 5m - &lt;30m",
    TRUE, "5. &gt;= 30m"
),"6. Invalid (Order rejected)")</f>
        <v>5. &gt;= 30m</v>
      </c>
    </row>
    <row r="1618" spans="1:30" hidden="1" x14ac:dyDescent="0.3">
      <c r="A1618" t="s">
        <v>9305</v>
      </c>
      <c r="B1618" t="s">
        <v>25</v>
      </c>
      <c r="C1618">
        <v>43811059</v>
      </c>
      <c r="D1618">
        <v>3746341</v>
      </c>
      <c r="E1618" t="s">
        <v>25</v>
      </c>
      <c r="F1618" t="s">
        <v>75</v>
      </c>
      <c r="G1618" t="s">
        <v>76</v>
      </c>
      <c r="H1618" t="s">
        <v>9306</v>
      </c>
      <c r="I1618" t="s">
        <v>9307</v>
      </c>
      <c r="J1618" t="s">
        <v>9308</v>
      </c>
      <c r="K1618" t="s">
        <v>26</v>
      </c>
      <c r="L1618" t="s">
        <v>9309</v>
      </c>
      <c r="M1618" t="s">
        <v>25</v>
      </c>
      <c r="N1618" t="s">
        <v>2811</v>
      </c>
      <c r="O1618" t="s">
        <v>2812</v>
      </c>
      <c r="P1618" t="s">
        <v>1928</v>
      </c>
      <c r="Q1618" t="s">
        <v>1929</v>
      </c>
      <c r="R1618">
        <v>274104</v>
      </c>
      <c r="S1618">
        <v>224994</v>
      </c>
      <c r="T1618">
        <v>49110</v>
      </c>
      <c r="U1618" t="s">
        <v>35</v>
      </c>
      <c r="V1618" t="s">
        <v>2813</v>
      </c>
      <c r="W1618" t="s">
        <v>1930</v>
      </c>
      <c r="X1618" s="4">
        <v>1</v>
      </c>
      <c r="Y1618" s="4"/>
      <c r="Z1618">
        <f t="shared" si="100"/>
        <v>8</v>
      </c>
      <c r="AA1618">
        <f t="shared" si="101"/>
        <v>22</v>
      </c>
      <c r="AB1618" s="5">
        <f t="shared" si="102"/>
        <v>0.31843749999825377</v>
      </c>
      <c r="AC1618" s="3">
        <f t="shared" si="103"/>
        <v>5.4513888899236917E-3</v>
      </c>
      <c r="AD1618" t="str" cm="1">
        <f t="array" ref="AD1618">IFERROR(_xlfn.IFS(
    AC1618="", "",
    AC1618*86400 &lt; 30, "1. 0s - &lt;30s",
    AC1618*86400 &lt; 60, "2. 30s - &lt;1m",
    AC1618*86400 &lt; 300, "3. 1m - &lt;5m",
    AC1618*86400 &lt; 1800, "4. 5m - &lt;30m",
    TRUE, "5. &gt;= 30m"
),"6. Invalid (Order rejected)")</f>
        <v>4. 5m - &lt;30m</v>
      </c>
    </row>
    <row r="1619" spans="1:30" hidden="1" x14ac:dyDescent="0.3">
      <c r="A1619" t="s">
        <v>9310</v>
      </c>
      <c r="B1619" t="s">
        <v>25</v>
      </c>
      <c r="C1619">
        <v>43811059</v>
      </c>
      <c r="D1619">
        <v>0</v>
      </c>
      <c r="E1619" t="s">
        <v>25</v>
      </c>
      <c r="F1619" t="s">
        <v>26</v>
      </c>
      <c r="G1619" t="s">
        <v>27</v>
      </c>
      <c r="H1619" t="s">
        <v>9311</v>
      </c>
      <c r="I1619" t="s">
        <v>9312</v>
      </c>
      <c r="J1619" t="s">
        <v>26</v>
      </c>
      <c r="K1619" t="s">
        <v>26</v>
      </c>
      <c r="L1619" t="s">
        <v>9313</v>
      </c>
      <c r="M1619" t="s">
        <v>25</v>
      </c>
      <c r="N1619" t="s">
        <v>1716</v>
      </c>
      <c r="O1619" t="s">
        <v>1717</v>
      </c>
      <c r="P1619" t="s">
        <v>9314</v>
      </c>
      <c r="Q1619" t="s">
        <v>9315</v>
      </c>
      <c r="R1619">
        <v>129168</v>
      </c>
      <c r="S1619">
        <v>0</v>
      </c>
      <c r="T1619">
        <v>129168</v>
      </c>
      <c r="U1619" t="s">
        <v>35</v>
      </c>
      <c r="V1619" t="s">
        <v>1720</v>
      </c>
      <c r="W1619" t="s">
        <v>9288</v>
      </c>
      <c r="X1619" s="4">
        <v>1</v>
      </c>
      <c r="Y1619" s="4"/>
      <c r="Z1619">
        <f t="shared" si="100"/>
        <v>8</v>
      </c>
      <c r="AA1619">
        <f t="shared" si="101"/>
        <v>22</v>
      </c>
      <c r="AB1619" s="5">
        <f t="shared" si="102"/>
        <v>0.32408564814977581</v>
      </c>
      <c r="AC1619" s="3">
        <f t="shared" si="103"/>
        <v>0.10260416666278616</v>
      </c>
      <c r="AD1619" t="str" cm="1">
        <f t="array" ref="AD1619">IFERROR(_xlfn.IFS(
    AC1619="", "",
    AC1619*86400 &lt; 30, "1. 0s - &lt;30s",
    AC1619*86400 &lt; 60, "2. 30s - &lt;1m",
    AC1619*86400 &lt; 300, "3. 1m - &lt;5m",
    AC1619*86400 &lt; 1800, "4. 5m - &lt;30m",
    TRUE, "5. &gt;= 30m"
),"6. Invalid (Order rejected)")</f>
        <v>5. &gt;= 30m</v>
      </c>
    </row>
    <row r="1620" spans="1:30" x14ac:dyDescent="0.3">
      <c r="A1620" t="s">
        <v>9316</v>
      </c>
      <c r="B1620" t="s">
        <v>25</v>
      </c>
      <c r="C1620">
        <v>43811059</v>
      </c>
      <c r="D1620">
        <v>4177117</v>
      </c>
      <c r="E1620" t="s">
        <v>25</v>
      </c>
      <c r="F1620" t="s">
        <v>75</v>
      </c>
      <c r="G1620" t="s">
        <v>360</v>
      </c>
      <c r="H1620" t="s">
        <v>9317</v>
      </c>
      <c r="I1620" t="s">
        <v>9318</v>
      </c>
      <c r="J1620" t="s">
        <v>9319</v>
      </c>
      <c r="K1620" t="s">
        <v>9320</v>
      </c>
      <c r="L1620" t="s">
        <v>25</v>
      </c>
      <c r="M1620" t="s">
        <v>25</v>
      </c>
      <c r="N1620" t="s">
        <v>1702</v>
      </c>
      <c r="O1620" t="s">
        <v>1703</v>
      </c>
      <c r="P1620" t="s">
        <v>1666</v>
      </c>
      <c r="Q1620" t="s">
        <v>1667</v>
      </c>
      <c r="R1620">
        <v>314496</v>
      </c>
      <c r="S1620">
        <v>243807</v>
      </c>
      <c r="T1620">
        <v>70689</v>
      </c>
      <c r="U1620" t="s">
        <v>35</v>
      </c>
      <c r="V1620" t="s">
        <v>1706</v>
      </c>
      <c r="W1620" t="s">
        <v>1669</v>
      </c>
      <c r="X1620" s="4">
        <v>1</v>
      </c>
      <c r="Y1620" s="4"/>
      <c r="Z1620">
        <f t="shared" si="100"/>
        <v>8</v>
      </c>
      <c r="AA1620">
        <f t="shared" si="101"/>
        <v>22</v>
      </c>
      <c r="AB1620" s="5">
        <f t="shared" si="102"/>
        <v>0.32502314815064892</v>
      </c>
      <c r="AC1620" s="3" t="str">
        <f t="shared" si="103"/>
        <v>Order rejected, no time available</v>
      </c>
      <c r="AD1620" t="str" cm="1">
        <f t="array" ref="AD1620">IFERROR(_xlfn.IFS(
    AC1620="", "",
    AC1620*86400 &lt; 30, "1. 0s - &lt;30s",
    AC1620*86400 &lt; 60, "2. 30s - &lt;1m",
    AC1620*86400 &lt; 300, "3. 1m - &lt;5m",
    AC1620*86400 &lt; 1800, "4. 5m - &lt;30m",
    TRUE, "5. &gt;= 30m"
),"6. Invalid (Order rejected)")</f>
        <v>6. Invalid (Order rejected)</v>
      </c>
    </row>
    <row r="1621" spans="1:30" x14ac:dyDescent="0.3">
      <c r="A1621" t="s">
        <v>9321</v>
      </c>
      <c r="B1621" t="s">
        <v>25</v>
      </c>
      <c r="C1621">
        <v>43811059</v>
      </c>
      <c r="D1621">
        <v>4436641</v>
      </c>
      <c r="E1621" t="s">
        <v>25</v>
      </c>
      <c r="F1621" t="s">
        <v>75</v>
      </c>
      <c r="G1621" t="s">
        <v>360</v>
      </c>
      <c r="H1621" t="s">
        <v>9322</v>
      </c>
      <c r="I1621" t="s">
        <v>9323</v>
      </c>
      <c r="J1621" t="s">
        <v>9324</v>
      </c>
      <c r="K1621" t="s">
        <v>9325</v>
      </c>
      <c r="L1621" t="s">
        <v>25</v>
      </c>
      <c r="M1621" t="s">
        <v>25</v>
      </c>
      <c r="N1621" t="s">
        <v>5332</v>
      </c>
      <c r="O1621" t="s">
        <v>5333</v>
      </c>
      <c r="P1621" t="s">
        <v>1840</v>
      </c>
      <c r="Q1621" t="s">
        <v>1841</v>
      </c>
      <c r="R1621">
        <v>195372</v>
      </c>
      <c r="S1621">
        <v>151459</v>
      </c>
      <c r="T1621">
        <v>43913</v>
      </c>
      <c r="U1621" t="s">
        <v>35</v>
      </c>
      <c r="V1621" t="s">
        <v>4874</v>
      </c>
      <c r="W1621" t="s">
        <v>1843</v>
      </c>
      <c r="X1621" s="4">
        <v>1</v>
      </c>
      <c r="Y1621" s="4"/>
      <c r="Z1621">
        <f t="shared" si="100"/>
        <v>8</v>
      </c>
      <c r="AA1621">
        <f t="shared" si="101"/>
        <v>22</v>
      </c>
      <c r="AB1621" s="5">
        <f t="shared" si="102"/>
        <v>0.32555555555882165</v>
      </c>
      <c r="AC1621" s="3" t="str">
        <f t="shared" si="103"/>
        <v>Order rejected, no time available</v>
      </c>
      <c r="AD1621" t="str" cm="1">
        <f t="array" ref="AD1621">IFERROR(_xlfn.IFS(
    AC1621="", "",
    AC1621*86400 &lt; 30, "1. 0s - &lt;30s",
    AC1621*86400 &lt; 60, "2. 30s - &lt;1m",
    AC1621*86400 &lt; 300, "3. 1m - &lt;5m",
    AC1621*86400 &lt; 1800, "4. 5m - &lt;30m",
    TRUE, "5. &gt;= 30m"
),"6. Invalid (Order rejected)")</f>
        <v>6. Invalid (Order rejected)</v>
      </c>
    </row>
    <row r="1622" spans="1:30" hidden="1" x14ac:dyDescent="0.3">
      <c r="A1622" t="s">
        <v>9326</v>
      </c>
      <c r="B1622" t="s">
        <v>25</v>
      </c>
      <c r="C1622">
        <v>43811059</v>
      </c>
      <c r="D1622">
        <v>0</v>
      </c>
      <c r="E1622" t="s">
        <v>25</v>
      </c>
      <c r="F1622" t="s">
        <v>26</v>
      </c>
      <c r="G1622" t="s">
        <v>27</v>
      </c>
      <c r="H1622" t="s">
        <v>9327</v>
      </c>
      <c r="I1622" t="s">
        <v>9328</v>
      </c>
      <c r="J1622" t="s">
        <v>26</v>
      </c>
      <c r="K1622" t="s">
        <v>26</v>
      </c>
      <c r="L1622" t="s">
        <v>9329</v>
      </c>
      <c r="M1622" t="s">
        <v>25</v>
      </c>
      <c r="N1622" t="s">
        <v>2811</v>
      </c>
      <c r="O1622" t="s">
        <v>2812</v>
      </c>
      <c r="P1622" t="s">
        <v>289</v>
      </c>
      <c r="Q1622" t="s">
        <v>290</v>
      </c>
      <c r="R1622">
        <v>166752</v>
      </c>
      <c r="S1622">
        <v>0</v>
      </c>
      <c r="T1622">
        <v>166752</v>
      </c>
      <c r="U1622" t="s">
        <v>35</v>
      </c>
      <c r="V1622" t="s">
        <v>2813</v>
      </c>
      <c r="W1622" t="s">
        <v>291</v>
      </c>
      <c r="X1622" s="4">
        <v>1</v>
      </c>
      <c r="Y1622" s="4"/>
      <c r="Z1622">
        <f t="shared" si="100"/>
        <v>8</v>
      </c>
      <c r="AA1622">
        <f t="shared" si="101"/>
        <v>22</v>
      </c>
      <c r="AB1622" s="5">
        <f t="shared" si="102"/>
        <v>0.31989583333051996</v>
      </c>
      <c r="AC1622" s="3">
        <f t="shared" si="103"/>
        <v>0.11712962963065365</v>
      </c>
      <c r="AD1622" t="str" cm="1">
        <f t="array" ref="AD1622">IFERROR(_xlfn.IFS(
    AC1622="", "",
    AC1622*86400 &lt; 30, "1. 0s - &lt;30s",
    AC1622*86400 &lt; 60, "2. 30s - &lt;1m",
    AC1622*86400 &lt; 300, "3. 1m - &lt;5m",
    AC1622*86400 &lt; 1800, "4. 5m - &lt;30m",
    TRUE, "5. &gt;= 30m"
),"6. Invalid (Order rejected)")</f>
        <v>5. &gt;= 30m</v>
      </c>
    </row>
    <row r="1623" spans="1:30" hidden="1" x14ac:dyDescent="0.3">
      <c r="A1623" t="s">
        <v>9330</v>
      </c>
      <c r="B1623" t="s">
        <v>25</v>
      </c>
      <c r="C1623">
        <v>43811059</v>
      </c>
      <c r="D1623">
        <v>0</v>
      </c>
      <c r="E1623" t="s">
        <v>25</v>
      </c>
      <c r="F1623" t="s">
        <v>26</v>
      </c>
      <c r="G1623" t="s">
        <v>27</v>
      </c>
      <c r="H1623" t="s">
        <v>9331</v>
      </c>
      <c r="I1623" t="s">
        <v>9332</v>
      </c>
      <c r="J1623" t="s">
        <v>26</v>
      </c>
      <c r="K1623" t="s">
        <v>26</v>
      </c>
      <c r="L1623" t="s">
        <v>9333</v>
      </c>
      <c r="M1623" t="s">
        <v>25</v>
      </c>
      <c r="N1623" t="s">
        <v>2811</v>
      </c>
      <c r="O1623" t="s">
        <v>2812</v>
      </c>
      <c r="P1623" t="s">
        <v>9334</v>
      </c>
      <c r="Q1623" t="s">
        <v>9335</v>
      </c>
      <c r="R1623">
        <v>137700</v>
      </c>
      <c r="S1623">
        <v>0</v>
      </c>
      <c r="T1623">
        <v>137700</v>
      </c>
      <c r="U1623" t="s">
        <v>35</v>
      </c>
      <c r="V1623" t="s">
        <v>2813</v>
      </c>
      <c r="W1623" t="s">
        <v>5364</v>
      </c>
      <c r="X1623" s="4">
        <v>1</v>
      </c>
      <c r="Y1623" s="4"/>
      <c r="Z1623">
        <f t="shared" si="100"/>
        <v>8</v>
      </c>
      <c r="AA1623">
        <f t="shared" si="101"/>
        <v>22</v>
      </c>
      <c r="AB1623" s="5">
        <f t="shared" si="102"/>
        <v>0.32074074073898373</v>
      </c>
      <c r="AC1623" s="3">
        <f t="shared" si="103"/>
        <v>0.13827546296670334</v>
      </c>
      <c r="AD1623" t="str" cm="1">
        <f t="array" ref="AD1623">IFERROR(_xlfn.IFS(
    AC1623="", "",
    AC1623*86400 &lt; 30, "1. 0s - &lt;30s",
    AC1623*86400 &lt; 60, "2. 30s - &lt;1m",
    AC1623*86400 &lt; 300, "3. 1m - &lt;5m",
    AC1623*86400 &lt; 1800, "4. 5m - &lt;30m",
    TRUE, "5. &gt;= 30m"
),"6. Invalid (Order rejected)")</f>
        <v>5. &gt;= 30m</v>
      </c>
    </row>
    <row r="1624" spans="1:30" x14ac:dyDescent="0.3">
      <c r="A1624" t="s">
        <v>9336</v>
      </c>
      <c r="B1624" t="s">
        <v>25</v>
      </c>
      <c r="C1624">
        <v>43811059</v>
      </c>
      <c r="D1624">
        <v>1240099</v>
      </c>
      <c r="E1624" t="s">
        <v>25</v>
      </c>
      <c r="F1624" t="s">
        <v>75</v>
      </c>
      <c r="G1624" t="s">
        <v>360</v>
      </c>
      <c r="H1624" t="s">
        <v>9337</v>
      </c>
      <c r="I1624" t="s">
        <v>9338</v>
      </c>
      <c r="J1624" t="s">
        <v>9339</v>
      </c>
      <c r="K1624" t="s">
        <v>9340</v>
      </c>
      <c r="L1624" t="s">
        <v>25</v>
      </c>
      <c r="M1624" t="s">
        <v>25</v>
      </c>
      <c r="N1624" t="s">
        <v>2046</v>
      </c>
      <c r="O1624" t="s">
        <v>2047</v>
      </c>
      <c r="P1624" t="s">
        <v>3144</v>
      </c>
      <c r="Q1624" t="s">
        <v>3145</v>
      </c>
      <c r="R1624">
        <v>253476</v>
      </c>
      <c r="S1624">
        <v>196503</v>
      </c>
      <c r="T1624">
        <v>56973</v>
      </c>
      <c r="U1624" t="s">
        <v>35</v>
      </c>
      <c r="V1624" t="s">
        <v>4794</v>
      </c>
      <c r="W1624" t="s">
        <v>3146</v>
      </c>
      <c r="X1624" s="4">
        <v>1</v>
      </c>
      <c r="Y1624" s="4"/>
      <c r="Z1624">
        <f t="shared" si="100"/>
        <v>8</v>
      </c>
      <c r="AA1624">
        <f t="shared" si="101"/>
        <v>22</v>
      </c>
      <c r="AB1624" s="5">
        <f t="shared" si="102"/>
        <v>0.32309027777955635</v>
      </c>
      <c r="AC1624" s="3" t="str">
        <f t="shared" si="103"/>
        <v>Order rejected, no time available</v>
      </c>
      <c r="AD1624" t="str" cm="1">
        <f t="array" ref="AD1624">IFERROR(_xlfn.IFS(
    AC1624="", "",
    AC1624*86400 &lt; 30, "1. 0s - &lt;30s",
    AC1624*86400 &lt; 60, "2. 30s - &lt;1m",
    AC1624*86400 &lt; 300, "3. 1m - &lt;5m",
    AC1624*86400 &lt; 1800, "4. 5m - &lt;30m",
    TRUE, "5. &gt;= 30m"
),"6. Invalid (Order rejected)")</f>
        <v>6. Invalid (Order rejected)</v>
      </c>
    </row>
    <row r="1625" spans="1:30" x14ac:dyDescent="0.3">
      <c r="A1625" t="s">
        <v>9341</v>
      </c>
      <c r="B1625" t="s">
        <v>25</v>
      </c>
      <c r="C1625">
        <v>43811059</v>
      </c>
      <c r="D1625">
        <v>3531594</v>
      </c>
      <c r="E1625" t="s">
        <v>25</v>
      </c>
      <c r="F1625" t="s">
        <v>75</v>
      </c>
      <c r="G1625" t="s">
        <v>360</v>
      </c>
      <c r="H1625" t="s">
        <v>9342</v>
      </c>
      <c r="I1625" t="s">
        <v>9343</v>
      </c>
      <c r="J1625" t="s">
        <v>9344</v>
      </c>
      <c r="K1625" t="s">
        <v>26</v>
      </c>
      <c r="L1625" t="s">
        <v>25</v>
      </c>
      <c r="M1625" t="s">
        <v>25</v>
      </c>
      <c r="N1625" t="s">
        <v>5318</v>
      </c>
      <c r="O1625" t="s">
        <v>5319</v>
      </c>
      <c r="P1625" t="s">
        <v>5302</v>
      </c>
      <c r="Q1625" t="s">
        <v>5303</v>
      </c>
      <c r="R1625">
        <v>155628</v>
      </c>
      <c r="S1625">
        <v>120648</v>
      </c>
      <c r="T1625">
        <v>34980</v>
      </c>
      <c r="U1625" t="s">
        <v>35</v>
      </c>
      <c r="V1625" t="s">
        <v>5320</v>
      </c>
      <c r="W1625" t="s">
        <v>5304</v>
      </c>
      <c r="X1625" s="4">
        <v>1</v>
      </c>
      <c r="Y1625" s="4"/>
      <c r="Z1625">
        <f t="shared" si="100"/>
        <v>8</v>
      </c>
      <c r="AA1625">
        <f t="shared" si="101"/>
        <v>22</v>
      </c>
      <c r="AB1625" s="5">
        <f t="shared" si="102"/>
        <v>0.32660879629838746</v>
      </c>
      <c r="AC1625" s="3" t="str">
        <f t="shared" si="103"/>
        <v>Order rejected, no time available</v>
      </c>
      <c r="AD1625" t="str" cm="1">
        <f t="array" ref="AD1625">IFERROR(_xlfn.IFS(
    AC1625="", "",
    AC1625*86400 &lt; 30, "1. 0s - &lt;30s",
    AC1625*86400 &lt; 60, "2. 30s - &lt;1m",
    AC1625*86400 &lt; 300, "3. 1m - &lt;5m",
    AC1625*86400 &lt; 1800, "4. 5m - &lt;30m",
    TRUE, "5. &gt;= 30m"
),"6. Invalid (Order rejected)")</f>
        <v>6. Invalid (Order rejected)</v>
      </c>
    </row>
    <row r="1626" spans="1:30" hidden="1" x14ac:dyDescent="0.3">
      <c r="A1626" t="s">
        <v>9345</v>
      </c>
      <c r="B1626" t="s">
        <v>25</v>
      </c>
      <c r="C1626">
        <v>43811059</v>
      </c>
      <c r="D1626">
        <v>0</v>
      </c>
      <c r="E1626" t="s">
        <v>25</v>
      </c>
      <c r="F1626" t="s">
        <v>26</v>
      </c>
      <c r="G1626" t="s">
        <v>27</v>
      </c>
      <c r="H1626" t="s">
        <v>9346</v>
      </c>
      <c r="I1626" t="s">
        <v>9347</v>
      </c>
      <c r="J1626" t="s">
        <v>26</v>
      </c>
      <c r="K1626" t="s">
        <v>26</v>
      </c>
      <c r="L1626" t="s">
        <v>9348</v>
      </c>
      <c r="M1626" t="s">
        <v>25</v>
      </c>
      <c r="N1626" t="s">
        <v>5287</v>
      </c>
      <c r="O1626" t="s">
        <v>5288</v>
      </c>
      <c r="P1626" t="s">
        <v>1741</v>
      </c>
      <c r="Q1626" t="s">
        <v>1742</v>
      </c>
      <c r="R1626">
        <v>331668</v>
      </c>
      <c r="S1626">
        <v>0</v>
      </c>
      <c r="T1626">
        <v>331668</v>
      </c>
      <c r="U1626" t="s">
        <v>35</v>
      </c>
      <c r="V1626" t="s">
        <v>5289</v>
      </c>
      <c r="W1626" t="s">
        <v>1743</v>
      </c>
      <c r="X1626" s="4">
        <v>1</v>
      </c>
      <c r="Y1626" s="4"/>
      <c r="Z1626">
        <f t="shared" si="100"/>
        <v>8</v>
      </c>
      <c r="AA1626">
        <f t="shared" si="101"/>
        <v>22</v>
      </c>
      <c r="AB1626" s="5">
        <f t="shared" si="102"/>
        <v>0.32112268518540077</v>
      </c>
      <c r="AC1626" s="3">
        <f t="shared" si="103"/>
        <v>9.0277777781011537E-2</v>
      </c>
      <c r="AD1626" t="str" cm="1">
        <f t="array" ref="AD1626">IFERROR(_xlfn.IFS(
    AC1626="", "",
    AC1626*86400 &lt; 30, "1. 0s - &lt;30s",
    AC1626*86400 &lt; 60, "2. 30s - &lt;1m",
    AC1626*86400 &lt; 300, "3. 1m - &lt;5m",
    AC1626*86400 &lt; 1800, "4. 5m - &lt;30m",
    TRUE, "5. &gt;= 30m"
),"6. Invalid (Order rejected)")</f>
        <v>5. &gt;= 30m</v>
      </c>
    </row>
    <row r="1627" spans="1:30" hidden="1" x14ac:dyDescent="0.3">
      <c r="A1627" t="s">
        <v>9349</v>
      </c>
      <c r="B1627" t="s">
        <v>25</v>
      </c>
      <c r="C1627">
        <v>43811059</v>
      </c>
      <c r="D1627">
        <v>0</v>
      </c>
      <c r="E1627" t="s">
        <v>25</v>
      </c>
      <c r="F1627" t="s">
        <v>26</v>
      </c>
      <c r="G1627" t="s">
        <v>27</v>
      </c>
      <c r="H1627" t="s">
        <v>9350</v>
      </c>
      <c r="I1627" t="s">
        <v>9351</v>
      </c>
      <c r="J1627" t="s">
        <v>26</v>
      </c>
      <c r="K1627" t="s">
        <v>26</v>
      </c>
      <c r="L1627" t="s">
        <v>9352</v>
      </c>
      <c r="M1627" t="s">
        <v>25</v>
      </c>
      <c r="N1627" t="s">
        <v>5287</v>
      </c>
      <c r="O1627" t="s">
        <v>5288</v>
      </c>
      <c r="P1627" t="s">
        <v>5355</v>
      </c>
      <c r="Q1627" t="s">
        <v>5356</v>
      </c>
      <c r="R1627">
        <v>250884</v>
      </c>
      <c r="S1627">
        <v>0</v>
      </c>
      <c r="T1627">
        <v>250884</v>
      </c>
      <c r="U1627" t="s">
        <v>35</v>
      </c>
      <c r="V1627" t="s">
        <v>5289</v>
      </c>
      <c r="W1627" t="s">
        <v>5357</v>
      </c>
      <c r="X1627" s="4">
        <v>1</v>
      </c>
      <c r="Y1627" s="4"/>
      <c r="Z1627">
        <f t="shared" si="100"/>
        <v>8</v>
      </c>
      <c r="AA1627">
        <f t="shared" si="101"/>
        <v>22</v>
      </c>
      <c r="AB1627" s="5">
        <f t="shared" si="102"/>
        <v>0.32153935185488081</v>
      </c>
      <c r="AC1627" s="3">
        <f t="shared" si="103"/>
        <v>9.0277777773735579E-2</v>
      </c>
      <c r="AD1627" t="str" cm="1">
        <f t="array" ref="AD1627">IFERROR(_xlfn.IFS(
    AC1627="", "",
    AC1627*86400 &lt; 30, "1. 0s - &lt;30s",
    AC1627*86400 &lt; 60, "2. 30s - &lt;1m",
    AC1627*86400 &lt; 300, "3. 1m - &lt;5m",
    AC1627*86400 &lt; 1800, "4. 5m - &lt;30m",
    TRUE, "5. &gt;= 30m"
),"6. Invalid (Order rejected)")</f>
        <v>5. &gt;= 30m</v>
      </c>
    </row>
    <row r="1628" spans="1:30" hidden="1" x14ac:dyDescent="0.3">
      <c r="A1628" t="s">
        <v>9353</v>
      </c>
      <c r="B1628" t="s">
        <v>25</v>
      </c>
      <c r="C1628">
        <v>43811059</v>
      </c>
      <c r="D1628">
        <v>0</v>
      </c>
      <c r="E1628" t="s">
        <v>25</v>
      </c>
      <c r="F1628" t="s">
        <v>26</v>
      </c>
      <c r="G1628" t="s">
        <v>27</v>
      </c>
      <c r="H1628" t="s">
        <v>9354</v>
      </c>
      <c r="I1628" t="s">
        <v>9355</v>
      </c>
      <c r="J1628" t="s">
        <v>26</v>
      </c>
      <c r="K1628" t="s">
        <v>26</v>
      </c>
      <c r="L1628" t="s">
        <v>9356</v>
      </c>
      <c r="M1628" t="s">
        <v>25</v>
      </c>
      <c r="N1628" t="s">
        <v>2046</v>
      </c>
      <c r="O1628" t="s">
        <v>2047</v>
      </c>
      <c r="P1628" t="s">
        <v>1892</v>
      </c>
      <c r="Q1628" t="s">
        <v>1893</v>
      </c>
      <c r="R1628">
        <v>190188</v>
      </c>
      <c r="S1628">
        <v>0</v>
      </c>
      <c r="T1628">
        <v>190188</v>
      </c>
      <c r="U1628" t="s">
        <v>35</v>
      </c>
      <c r="V1628" t="s">
        <v>4794</v>
      </c>
      <c r="W1628" t="s">
        <v>1895</v>
      </c>
      <c r="X1628" s="4">
        <v>1</v>
      </c>
      <c r="Y1628" s="4"/>
      <c r="Z1628">
        <f t="shared" si="100"/>
        <v>8</v>
      </c>
      <c r="AA1628">
        <f t="shared" si="101"/>
        <v>22</v>
      </c>
      <c r="AB1628" s="5">
        <f t="shared" si="102"/>
        <v>0.322928240741021</v>
      </c>
      <c r="AC1628" s="3">
        <f t="shared" si="103"/>
        <v>9.0277777781011537E-2</v>
      </c>
      <c r="AD1628" t="str" cm="1">
        <f t="array" ref="AD1628">IFERROR(_xlfn.IFS(
    AC1628="", "",
    AC1628*86400 &lt; 30, "1. 0s - &lt;30s",
    AC1628*86400 &lt; 60, "2. 30s - &lt;1m",
    AC1628*86400 &lt; 300, "3. 1m - &lt;5m",
    AC1628*86400 &lt; 1800, "4. 5m - &lt;30m",
    TRUE, "5. &gt;= 30m"
),"6. Invalid (Order rejected)")</f>
        <v>5. &gt;= 30m</v>
      </c>
    </row>
    <row r="1629" spans="1:30" x14ac:dyDescent="0.3">
      <c r="A1629" t="s">
        <v>9357</v>
      </c>
      <c r="B1629" t="s">
        <v>25</v>
      </c>
      <c r="C1629">
        <v>43811059</v>
      </c>
      <c r="D1629">
        <v>4821817</v>
      </c>
      <c r="E1629" t="s">
        <v>25</v>
      </c>
      <c r="F1629" t="s">
        <v>75</v>
      </c>
      <c r="G1629" t="s">
        <v>360</v>
      </c>
      <c r="H1629" t="s">
        <v>9358</v>
      </c>
      <c r="I1629" t="s">
        <v>9359</v>
      </c>
      <c r="J1629" t="s">
        <v>9360</v>
      </c>
      <c r="K1629" t="s">
        <v>26</v>
      </c>
      <c r="L1629" t="s">
        <v>25</v>
      </c>
      <c r="M1629" t="s">
        <v>25</v>
      </c>
      <c r="N1629" t="s">
        <v>5347</v>
      </c>
      <c r="O1629" t="s">
        <v>5348</v>
      </c>
      <c r="P1629" t="s">
        <v>5370</v>
      </c>
      <c r="Q1629" t="s">
        <v>5371</v>
      </c>
      <c r="R1629">
        <v>232956</v>
      </c>
      <c r="S1629">
        <v>180595</v>
      </c>
      <c r="T1629">
        <v>52361</v>
      </c>
      <c r="U1629" t="s">
        <v>35</v>
      </c>
      <c r="V1629" t="s">
        <v>5349</v>
      </c>
      <c r="W1629" t="s">
        <v>5372</v>
      </c>
      <c r="X1629" s="4">
        <v>1</v>
      </c>
      <c r="Y1629" s="4"/>
      <c r="Z1629">
        <f t="shared" si="100"/>
        <v>8</v>
      </c>
      <c r="AA1629">
        <f t="shared" si="101"/>
        <v>22</v>
      </c>
      <c r="AB1629" s="5">
        <f t="shared" si="102"/>
        <v>0.32250000000203727</v>
      </c>
      <c r="AC1629" s="3" t="str">
        <f t="shared" si="103"/>
        <v>Order rejected, no time available</v>
      </c>
      <c r="AD1629" t="str" cm="1">
        <f t="array" ref="AD1629">IFERROR(_xlfn.IFS(
    AC1629="", "",
    AC1629*86400 &lt; 30, "1. 0s - &lt;30s",
    AC1629*86400 &lt; 60, "2. 30s - &lt;1m",
    AC1629*86400 &lt; 300, "3. 1m - &lt;5m",
    AC1629*86400 &lt; 1800, "4. 5m - &lt;30m",
    TRUE, "5. &gt;= 30m"
),"6. Invalid (Order rejected)")</f>
        <v>6. Invalid (Order rejected)</v>
      </c>
    </row>
    <row r="1630" spans="1:30" hidden="1" x14ac:dyDescent="0.3">
      <c r="A1630" t="s">
        <v>9361</v>
      </c>
      <c r="B1630" t="s">
        <v>25</v>
      </c>
      <c r="C1630">
        <v>43811059</v>
      </c>
      <c r="D1630">
        <v>0</v>
      </c>
      <c r="E1630" t="s">
        <v>25</v>
      </c>
      <c r="F1630" t="s">
        <v>26</v>
      </c>
      <c r="G1630" t="s">
        <v>27</v>
      </c>
      <c r="H1630" t="s">
        <v>9362</v>
      </c>
      <c r="I1630" t="s">
        <v>9363</v>
      </c>
      <c r="J1630" t="s">
        <v>26</v>
      </c>
      <c r="K1630" t="s">
        <v>26</v>
      </c>
      <c r="L1630" t="s">
        <v>9364</v>
      </c>
      <c r="M1630" t="s">
        <v>25</v>
      </c>
      <c r="N1630" t="s">
        <v>1838</v>
      </c>
      <c r="O1630" t="s">
        <v>1839</v>
      </c>
      <c r="P1630" t="s">
        <v>180</v>
      </c>
      <c r="Q1630" t="s">
        <v>181</v>
      </c>
      <c r="R1630">
        <v>170316</v>
      </c>
      <c r="S1630">
        <v>0</v>
      </c>
      <c r="T1630">
        <v>170316</v>
      </c>
      <c r="U1630" t="s">
        <v>35</v>
      </c>
      <c r="V1630" t="s">
        <v>1842</v>
      </c>
      <c r="W1630" t="s">
        <v>182</v>
      </c>
      <c r="X1630" s="4">
        <v>1</v>
      </c>
      <c r="Y1630" s="4"/>
      <c r="Z1630">
        <f t="shared" si="100"/>
        <v>8</v>
      </c>
      <c r="AA1630">
        <f t="shared" si="101"/>
        <v>22</v>
      </c>
      <c r="AB1630" s="5">
        <f t="shared" si="102"/>
        <v>0.34832175925839692</v>
      </c>
      <c r="AC1630" s="3">
        <f t="shared" si="103"/>
        <v>9.0266203704231884E-2</v>
      </c>
      <c r="AD1630" t="str" cm="1">
        <f t="array" ref="AD1630">IFERROR(_xlfn.IFS(
    AC1630="", "",
    AC1630*86400 &lt; 30, "1. 0s - &lt;30s",
    AC1630*86400 &lt; 60, "2. 30s - &lt;1m",
    AC1630*86400 &lt; 300, "3. 1m - &lt;5m",
    AC1630*86400 &lt; 1800, "4. 5m - &lt;30m",
    TRUE, "5. &gt;= 30m"
),"6. Invalid (Order rejected)")</f>
        <v>5. &gt;= 30m</v>
      </c>
    </row>
    <row r="1631" spans="1:30" hidden="1" x14ac:dyDescent="0.3">
      <c r="A1631" t="s">
        <v>9365</v>
      </c>
      <c r="B1631" t="s">
        <v>25</v>
      </c>
      <c r="C1631">
        <v>43811059</v>
      </c>
      <c r="D1631">
        <v>0</v>
      </c>
      <c r="E1631" t="s">
        <v>25</v>
      </c>
      <c r="F1631" t="s">
        <v>26</v>
      </c>
      <c r="G1631" t="s">
        <v>27</v>
      </c>
      <c r="H1631" t="s">
        <v>9366</v>
      </c>
      <c r="I1631" t="s">
        <v>9367</v>
      </c>
      <c r="J1631" t="s">
        <v>26</v>
      </c>
      <c r="K1631" t="s">
        <v>26</v>
      </c>
      <c r="L1631" t="s">
        <v>9368</v>
      </c>
      <c r="M1631" t="s">
        <v>25</v>
      </c>
      <c r="N1631" t="s">
        <v>1838</v>
      </c>
      <c r="O1631" t="s">
        <v>1839</v>
      </c>
      <c r="P1631" t="s">
        <v>3221</v>
      </c>
      <c r="Q1631" t="s">
        <v>3222</v>
      </c>
      <c r="R1631">
        <v>180252</v>
      </c>
      <c r="S1631">
        <v>0</v>
      </c>
      <c r="T1631">
        <v>180252</v>
      </c>
      <c r="U1631" t="s">
        <v>35</v>
      </c>
      <c r="V1631" t="s">
        <v>1842</v>
      </c>
      <c r="W1631" t="s">
        <v>3223</v>
      </c>
      <c r="X1631" s="4">
        <v>1</v>
      </c>
      <c r="Y1631" s="4"/>
      <c r="Z1631">
        <f t="shared" si="100"/>
        <v>8</v>
      </c>
      <c r="AA1631">
        <f t="shared" si="101"/>
        <v>22</v>
      </c>
      <c r="AB1631" s="5">
        <f t="shared" si="102"/>
        <v>0.35064814814541023</v>
      </c>
      <c r="AC1631" s="3">
        <f t="shared" si="103"/>
        <v>9.0266203704231884E-2</v>
      </c>
      <c r="AD1631" t="str" cm="1">
        <f t="array" ref="AD1631">IFERROR(_xlfn.IFS(
    AC1631="", "",
    AC1631*86400 &lt; 30, "1. 0s - &lt;30s",
    AC1631*86400 &lt; 60, "2. 30s - &lt;1m",
    AC1631*86400 &lt; 300, "3. 1m - &lt;5m",
    AC1631*86400 &lt; 1800, "4. 5m - &lt;30m",
    TRUE, "5. &gt;= 30m"
),"6. Invalid (Order rejected)")</f>
        <v>5. &gt;= 30m</v>
      </c>
    </row>
    <row r="1632" spans="1:30" hidden="1" x14ac:dyDescent="0.3">
      <c r="A1632" t="s">
        <v>9369</v>
      </c>
      <c r="B1632" t="s">
        <v>25</v>
      </c>
      <c r="C1632">
        <v>43811059</v>
      </c>
      <c r="D1632">
        <v>0</v>
      </c>
      <c r="E1632" t="s">
        <v>25</v>
      </c>
      <c r="F1632" t="s">
        <v>26</v>
      </c>
      <c r="G1632" t="s">
        <v>27</v>
      </c>
      <c r="H1632" t="s">
        <v>9370</v>
      </c>
      <c r="I1632" t="s">
        <v>9371</v>
      </c>
      <c r="J1632" t="s">
        <v>26</v>
      </c>
      <c r="K1632" t="s">
        <v>26</v>
      </c>
      <c r="L1632" t="s">
        <v>9372</v>
      </c>
      <c r="M1632" t="s">
        <v>25</v>
      </c>
      <c r="N1632" t="s">
        <v>1838</v>
      </c>
      <c r="O1632" t="s">
        <v>1839</v>
      </c>
      <c r="P1632" t="s">
        <v>3137</v>
      </c>
      <c r="Q1632" t="s">
        <v>3138</v>
      </c>
      <c r="R1632">
        <v>212976</v>
      </c>
      <c r="S1632">
        <v>0</v>
      </c>
      <c r="T1632">
        <v>212976</v>
      </c>
      <c r="U1632" t="s">
        <v>35</v>
      </c>
      <c r="V1632" t="s">
        <v>1842</v>
      </c>
      <c r="W1632" t="s">
        <v>3139</v>
      </c>
      <c r="X1632" s="4">
        <v>1</v>
      </c>
      <c r="Y1632" s="4"/>
      <c r="Z1632">
        <f t="shared" si="100"/>
        <v>8</v>
      </c>
      <c r="AA1632">
        <f t="shared" si="101"/>
        <v>22</v>
      </c>
      <c r="AB1632" s="5">
        <f t="shared" si="102"/>
        <v>0.34726851851883112</v>
      </c>
      <c r="AC1632" s="3">
        <f t="shared" si="103"/>
        <v>9.0266203704231884E-2</v>
      </c>
      <c r="AD1632" t="str" cm="1">
        <f t="array" ref="AD1632">IFERROR(_xlfn.IFS(
    AC1632="", "",
    AC1632*86400 &lt; 30, "1. 0s - &lt;30s",
    AC1632*86400 &lt; 60, "2. 30s - &lt;1m",
    AC1632*86400 &lt; 300, "3. 1m - &lt;5m",
    AC1632*86400 &lt; 1800, "4. 5m - &lt;30m",
    TRUE, "5. &gt;= 30m"
),"6. Invalid (Order rejected)")</f>
        <v>5. &gt;= 30m</v>
      </c>
    </row>
    <row r="1633" spans="1:30" x14ac:dyDescent="0.3">
      <c r="A1633" t="s">
        <v>9373</v>
      </c>
      <c r="B1633" t="s">
        <v>25</v>
      </c>
      <c r="C1633">
        <v>43811059</v>
      </c>
      <c r="D1633">
        <v>2623584</v>
      </c>
      <c r="E1633" t="s">
        <v>25</v>
      </c>
      <c r="F1633" t="s">
        <v>75</v>
      </c>
      <c r="G1633" t="s">
        <v>360</v>
      </c>
      <c r="H1633" t="s">
        <v>9374</v>
      </c>
      <c r="I1633" t="s">
        <v>9375</v>
      </c>
      <c r="J1633" t="s">
        <v>9376</v>
      </c>
      <c r="K1633" t="s">
        <v>9377</v>
      </c>
      <c r="L1633" t="s">
        <v>25</v>
      </c>
      <c r="M1633" t="s">
        <v>25</v>
      </c>
      <c r="N1633" t="s">
        <v>1702</v>
      </c>
      <c r="O1633" t="s">
        <v>1703</v>
      </c>
      <c r="P1633" t="s">
        <v>3183</v>
      </c>
      <c r="Q1633" t="s">
        <v>3184</v>
      </c>
      <c r="R1633">
        <v>162972</v>
      </c>
      <c r="S1633">
        <v>126341</v>
      </c>
      <c r="T1633">
        <v>36631</v>
      </c>
      <c r="U1633" t="s">
        <v>35</v>
      </c>
      <c r="V1633" t="s">
        <v>1706</v>
      </c>
      <c r="W1633" t="s">
        <v>3185</v>
      </c>
      <c r="X1633" s="4">
        <v>1</v>
      </c>
      <c r="Y1633" s="4"/>
      <c r="Z1633">
        <f t="shared" si="100"/>
        <v>8</v>
      </c>
      <c r="AA1633">
        <f t="shared" si="101"/>
        <v>22</v>
      </c>
      <c r="AB1633" s="5">
        <f t="shared" si="102"/>
        <v>0.35217592592380242</v>
      </c>
      <c r="AC1633" s="3" t="str">
        <f t="shared" si="103"/>
        <v>Order rejected, no time available</v>
      </c>
      <c r="AD1633" t="str" cm="1">
        <f t="array" ref="AD1633">IFERROR(_xlfn.IFS(
    AC1633="", "",
    AC1633*86400 &lt; 30, "1. 0s - &lt;30s",
    AC1633*86400 &lt; 60, "2. 30s - &lt;1m",
    AC1633*86400 &lt; 300, "3. 1m - &lt;5m",
    AC1633*86400 &lt; 1800, "4. 5m - &lt;30m",
    TRUE, "5. &gt;= 30m"
),"6. Invalid (Order rejected)")</f>
        <v>6. Invalid (Order rejected)</v>
      </c>
    </row>
    <row r="1634" spans="1:30" hidden="1" x14ac:dyDescent="0.3">
      <c r="A1634" t="s">
        <v>9378</v>
      </c>
      <c r="B1634" t="s">
        <v>25</v>
      </c>
      <c r="C1634">
        <v>43811059</v>
      </c>
      <c r="D1634">
        <v>0</v>
      </c>
      <c r="E1634" t="s">
        <v>25</v>
      </c>
      <c r="F1634" t="s">
        <v>26</v>
      </c>
      <c r="G1634" t="s">
        <v>27</v>
      </c>
      <c r="H1634" t="s">
        <v>9379</v>
      </c>
      <c r="I1634" t="s">
        <v>9380</v>
      </c>
      <c r="J1634" t="s">
        <v>26</v>
      </c>
      <c r="K1634" t="s">
        <v>26</v>
      </c>
      <c r="L1634" t="s">
        <v>9381</v>
      </c>
      <c r="M1634" t="s">
        <v>25</v>
      </c>
      <c r="N1634" t="s">
        <v>1838</v>
      </c>
      <c r="O1634" t="s">
        <v>1839</v>
      </c>
      <c r="P1634" t="s">
        <v>3176</v>
      </c>
      <c r="Q1634" t="s">
        <v>3177</v>
      </c>
      <c r="R1634">
        <v>192780</v>
      </c>
      <c r="S1634">
        <v>0</v>
      </c>
      <c r="T1634">
        <v>192780</v>
      </c>
      <c r="U1634" t="s">
        <v>35</v>
      </c>
      <c r="V1634" t="s">
        <v>1842</v>
      </c>
      <c r="W1634" t="s">
        <v>3178</v>
      </c>
      <c r="X1634" s="4">
        <v>1</v>
      </c>
      <c r="Y1634" s="4"/>
      <c r="Z1634">
        <f t="shared" si="100"/>
        <v>8</v>
      </c>
      <c r="AA1634">
        <f t="shared" si="101"/>
        <v>22</v>
      </c>
      <c r="AB1634" s="5">
        <f t="shared" si="102"/>
        <v>0.3476736111115315</v>
      </c>
      <c r="AC1634" s="3">
        <f t="shared" si="103"/>
        <v>9.0266203704231884E-2</v>
      </c>
      <c r="AD1634" t="str" cm="1">
        <f t="array" ref="AD1634">IFERROR(_xlfn.IFS(
    AC1634="", "",
    AC1634*86400 &lt; 30, "1. 0s - &lt;30s",
    AC1634*86400 &lt; 60, "2. 30s - &lt;1m",
    AC1634*86400 &lt; 300, "3. 1m - &lt;5m",
    AC1634*86400 &lt; 1800, "4. 5m - &lt;30m",
    TRUE, "5. &gt;= 30m"
),"6. Invalid (Order rejected)")</f>
        <v>5. &gt;= 30m</v>
      </c>
    </row>
    <row r="1635" spans="1:30" hidden="1" x14ac:dyDescent="0.3">
      <c r="A1635" t="s">
        <v>9382</v>
      </c>
      <c r="B1635" t="s">
        <v>25</v>
      </c>
      <c r="C1635">
        <v>43811059</v>
      </c>
      <c r="D1635">
        <v>0</v>
      </c>
      <c r="E1635" t="s">
        <v>25</v>
      </c>
      <c r="F1635" t="s">
        <v>26</v>
      </c>
      <c r="G1635" t="s">
        <v>27</v>
      </c>
      <c r="H1635" t="s">
        <v>9383</v>
      </c>
      <c r="I1635" t="s">
        <v>9384</v>
      </c>
      <c r="J1635" t="s">
        <v>26</v>
      </c>
      <c r="K1635" t="s">
        <v>26</v>
      </c>
      <c r="L1635" t="s">
        <v>9385</v>
      </c>
      <c r="M1635" t="s">
        <v>25</v>
      </c>
      <c r="N1635" t="s">
        <v>1838</v>
      </c>
      <c r="O1635" t="s">
        <v>1839</v>
      </c>
      <c r="P1635" t="s">
        <v>103</v>
      </c>
      <c r="Q1635" t="s">
        <v>104</v>
      </c>
      <c r="R1635">
        <v>183924</v>
      </c>
      <c r="S1635">
        <v>0</v>
      </c>
      <c r="T1635">
        <v>183924</v>
      </c>
      <c r="U1635" t="s">
        <v>35</v>
      </c>
      <c r="V1635" t="s">
        <v>1842</v>
      </c>
      <c r="W1635" t="s">
        <v>105</v>
      </c>
      <c r="X1635" s="4">
        <v>1</v>
      </c>
      <c r="Y1635" s="4"/>
      <c r="Z1635">
        <f t="shared" si="100"/>
        <v>8</v>
      </c>
      <c r="AA1635">
        <f t="shared" si="101"/>
        <v>22</v>
      </c>
      <c r="AB1635" s="5">
        <f t="shared" si="102"/>
        <v>0.34859953703562496</v>
      </c>
      <c r="AC1635" s="3">
        <f t="shared" si="103"/>
        <v>9.0266203704231884E-2</v>
      </c>
      <c r="AD1635" t="str" cm="1">
        <f t="array" ref="AD1635">IFERROR(_xlfn.IFS(
    AC1635="", "",
    AC1635*86400 &lt; 30, "1. 0s - &lt;30s",
    AC1635*86400 &lt; 60, "2. 30s - &lt;1m",
    AC1635*86400 &lt; 300, "3. 1m - &lt;5m",
    AC1635*86400 &lt; 1800, "4. 5m - &lt;30m",
    TRUE, "5. &gt;= 30m"
),"6. Invalid (Order rejected)")</f>
        <v>5. &gt;= 30m</v>
      </c>
    </row>
    <row r="1636" spans="1:30" x14ac:dyDescent="0.3">
      <c r="A1636" t="s">
        <v>9386</v>
      </c>
      <c r="B1636" t="s">
        <v>25</v>
      </c>
      <c r="C1636">
        <v>43811059</v>
      </c>
      <c r="D1636">
        <v>3395253</v>
      </c>
      <c r="E1636" t="s">
        <v>25</v>
      </c>
      <c r="F1636" t="s">
        <v>75</v>
      </c>
      <c r="G1636" t="s">
        <v>360</v>
      </c>
      <c r="H1636" t="s">
        <v>9387</v>
      </c>
      <c r="I1636" t="s">
        <v>9388</v>
      </c>
      <c r="J1636" t="s">
        <v>9389</v>
      </c>
      <c r="K1636" t="s">
        <v>26</v>
      </c>
      <c r="L1636" t="s">
        <v>25</v>
      </c>
      <c r="M1636" t="s">
        <v>25</v>
      </c>
      <c r="N1636" t="s">
        <v>1702</v>
      </c>
      <c r="O1636" t="s">
        <v>1703</v>
      </c>
      <c r="P1636" t="s">
        <v>5388</v>
      </c>
      <c r="Q1636" t="s">
        <v>5389</v>
      </c>
      <c r="R1636">
        <v>177012</v>
      </c>
      <c r="S1636">
        <v>137225</v>
      </c>
      <c r="T1636">
        <v>39787</v>
      </c>
      <c r="U1636" t="s">
        <v>35</v>
      </c>
      <c r="V1636" t="s">
        <v>1706</v>
      </c>
      <c r="W1636" t="s">
        <v>5390</v>
      </c>
      <c r="X1636" s="4">
        <v>1</v>
      </c>
      <c r="Y1636" s="4"/>
      <c r="Z1636">
        <f t="shared" si="100"/>
        <v>8</v>
      </c>
      <c r="AA1636">
        <f t="shared" si="101"/>
        <v>22</v>
      </c>
      <c r="AB1636" s="5">
        <f t="shared" si="102"/>
        <v>0.35151620370015735</v>
      </c>
      <c r="AC1636" s="3" t="str">
        <f t="shared" si="103"/>
        <v>Order rejected, no time available</v>
      </c>
      <c r="AD1636" t="str" cm="1">
        <f t="array" ref="AD1636">IFERROR(_xlfn.IFS(
    AC1636="", "",
    AC1636*86400 &lt; 30, "1. 0s - &lt;30s",
    AC1636*86400 &lt; 60, "2. 30s - &lt;1m",
    AC1636*86400 &lt; 300, "3. 1m - &lt;5m",
    AC1636*86400 &lt; 1800, "4. 5m - &lt;30m",
    TRUE, "5. &gt;= 30m"
),"6. Invalid (Order rejected)")</f>
        <v>6. Invalid (Order rejected)</v>
      </c>
    </row>
    <row r="1637" spans="1:30" hidden="1" x14ac:dyDescent="0.3">
      <c r="A1637" t="s">
        <v>9390</v>
      </c>
      <c r="B1637" t="s">
        <v>25</v>
      </c>
      <c r="C1637">
        <v>43811059</v>
      </c>
      <c r="D1637">
        <v>0</v>
      </c>
      <c r="E1637" t="s">
        <v>25</v>
      </c>
      <c r="F1637" t="s">
        <v>26</v>
      </c>
      <c r="G1637" t="s">
        <v>27</v>
      </c>
      <c r="H1637" t="s">
        <v>9391</v>
      </c>
      <c r="I1637" t="s">
        <v>9392</v>
      </c>
      <c r="J1637" t="s">
        <v>26</v>
      </c>
      <c r="K1637" t="s">
        <v>26</v>
      </c>
      <c r="L1637" t="s">
        <v>9393</v>
      </c>
      <c r="M1637" t="s">
        <v>25</v>
      </c>
      <c r="N1637" t="s">
        <v>1702</v>
      </c>
      <c r="O1637" t="s">
        <v>1703</v>
      </c>
      <c r="P1637" t="s">
        <v>3137</v>
      </c>
      <c r="Q1637" t="s">
        <v>3138</v>
      </c>
      <c r="R1637">
        <v>190188</v>
      </c>
      <c r="S1637">
        <v>0</v>
      </c>
      <c r="T1637">
        <v>190188</v>
      </c>
      <c r="U1637" t="s">
        <v>35</v>
      </c>
      <c r="V1637" t="s">
        <v>1706</v>
      </c>
      <c r="W1637" t="s">
        <v>3139</v>
      </c>
      <c r="X1637" s="4">
        <v>1</v>
      </c>
      <c r="Y1637" s="4"/>
      <c r="Z1637">
        <f t="shared" si="100"/>
        <v>8</v>
      </c>
      <c r="AA1637">
        <f t="shared" si="101"/>
        <v>22</v>
      </c>
      <c r="AB1637" s="5">
        <f t="shared" si="102"/>
        <v>0.35167824073869269</v>
      </c>
      <c r="AC1637" s="3">
        <f t="shared" si="103"/>
        <v>1.0360648148198379</v>
      </c>
      <c r="AD1637" t="str" cm="1">
        <f t="array" ref="AD1637">IFERROR(_xlfn.IFS(
    AC1637="", "",
    AC1637*86400 &lt; 30, "1. 0s - &lt;30s",
    AC1637*86400 &lt; 60, "2. 30s - &lt;1m",
    AC1637*86400 &lt; 300, "3. 1m - &lt;5m",
    AC1637*86400 &lt; 1800, "4. 5m - &lt;30m",
    TRUE, "5. &gt;= 30m"
),"6. Invalid (Order rejected)")</f>
        <v>5. &gt;= 30m</v>
      </c>
    </row>
  </sheetData>
  <autoFilter ref="A1:AD1637" xr:uid="{00000000-0001-0000-0000-000000000000}">
    <filterColumn colId="6">
      <filters>
        <filter val="Rejected"/>
      </filters>
    </filterColumn>
  </autoFilter>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FD37-0F99-4E69-AE0C-2124F7C66673}">
  <dimension ref="A1:D22"/>
  <sheetViews>
    <sheetView workbookViewId="0">
      <selection activeCell="D22" sqref="D22"/>
    </sheetView>
  </sheetViews>
  <sheetFormatPr defaultRowHeight="14.4" x14ac:dyDescent="0.3"/>
  <cols>
    <col min="1" max="1" width="22.21875" bestFit="1" customWidth="1"/>
    <col min="2" max="3" width="21.6640625" bestFit="1" customWidth="1"/>
    <col min="4" max="6" width="10.5546875" bestFit="1" customWidth="1"/>
    <col min="7" max="7" width="13.44140625" bestFit="1" customWidth="1"/>
    <col min="8" max="9" width="12" bestFit="1" customWidth="1"/>
    <col min="10" max="10" width="14.88671875" bestFit="1" customWidth="1"/>
    <col min="11" max="11" width="24.109375" bestFit="1" customWidth="1"/>
    <col min="12" max="12" width="27" bestFit="1" customWidth="1"/>
    <col min="13" max="14" width="9" bestFit="1" customWidth="1"/>
    <col min="15" max="15" width="11.77734375" bestFit="1" customWidth="1"/>
    <col min="16" max="17" width="10.109375" bestFit="1" customWidth="1"/>
    <col min="18" max="18" width="12.88671875" bestFit="1" customWidth="1"/>
    <col min="19" max="19" width="10.5546875" bestFit="1" customWidth="1"/>
    <col min="20" max="24" width="4" bestFit="1" customWidth="1"/>
    <col min="25" max="25" width="6.44140625" bestFit="1" customWidth="1"/>
    <col min="26" max="26" width="10.5546875" bestFit="1" customWidth="1"/>
  </cols>
  <sheetData>
    <row r="1" spans="1:4" x14ac:dyDescent="0.3">
      <c r="A1" s="6" t="s">
        <v>6</v>
      </c>
      <c r="B1" t="s">
        <v>9404</v>
      </c>
    </row>
    <row r="3" spans="1:4" x14ac:dyDescent="0.3">
      <c r="A3" s="6" t="s">
        <v>9406</v>
      </c>
      <c r="B3" s="6" t="s">
        <v>9394</v>
      </c>
      <c r="C3" s="6" t="s">
        <v>9402</v>
      </c>
    </row>
    <row r="4" spans="1:4" x14ac:dyDescent="0.3">
      <c r="B4">
        <v>7</v>
      </c>
      <c r="C4">
        <v>8</v>
      </c>
      <c r="D4" t="s">
        <v>9405</v>
      </c>
    </row>
    <row r="5" spans="1:4" x14ac:dyDescent="0.3">
      <c r="A5" s="6" t="s">
        <v>2</v>
      </c>
    </row>
    <row r="6" spans="1:4" x14ac:dyDescent="0.3">
      <c r="A6">
        <v>13373294</v>
      </c>
      <c r="B6" s="4"/>
      <c r="C6" s="4">
        <v>104</v>
      </c>
      <c r="D6" s="4">
        <v>104</v>
      </c>
    </row>
    <row r="7" spans="1:4" x14ac:dyDescent="0.3">
      <c r="A7">
        <v>23938356</v>
      </c>
      <c r="B7" s="4"/>
      <c r="C7" s="4">
        <v>28</v>
      </c>
      <c r="D7" s="4">
        <v>28</v>
      </c>
    </row>
    <row r="8" spans="1:4" x14ac:dyDescent="0.3">
      <c r="A8">
        <v>42459206</v>
      </c>
      <c r="B8" s="4">
        <v>77</v>
      </c>
      <c r="C8" s="4"/>
      <c r="D8" s="4">
        <v>77</v>
      </c>
    </row>
    <row r="9" spans="1:4" x14ac:dyDescent="0.3">
      <c r="A9">
        <v>42598944</v>
      </c>
      <c r="B9" s="4">
        <v>130</v>
      </c>
      <c r="C9" s="4"/>
      <c r="D9" s="4">
        <v>130</v>
      </c>
    </row>
    <row r="10" spans="1:4" x14ac:dyDescent="0.3">
      <c r="A10">
        <v>42758642</v>
      </c>
      <c r="B10" s="4">
        <v>209</v>
      </c>
      <c r="C10" s="4"/>
      <c r="D10" s="4">
        <v>209</v>
      </c>
    </row>
    <row r="11" spans="1:4" x14ac:dyDescent="0.3">
      <c r="A11">
        <v>42787717</v>
      </c>
      <c r="B11" s="4">
        <v>135</v>
      </c>
      <c r="C11" s="4"/>
      <c r="D11" s="4">
        <v>135</v>
      </c>
    </row>
    <row r="12" spans="1:4" x14ac:dyDescent="0.3">
      <c r="A12">
        <v>42814075</v>
      </c>
      <c r="B12" s="4">
        <v>115</v>
      </c>
      <c r="C12" s="4"/>
      <c r="D12" s="4">
        <v>115</v>
      </c>
    </row>
    <row r="13" spans="1:4" x14ac:dyDescent="0.3">
      <c r="A13">
        <v>43376946</v>
      </c>
      <c r="B13" s="4"/>
      <c r="C13" s="4">
        <v>52</v>
      </c>
      <c r="D13" s="4">
        <v>52</v>
      </c>
    </row>
    <row r="14" spans="1:4" x14ac:dyDescent="0.3">
      <c r="A14">
        <v>43485077</v>
      </c>
      <c r="B14" s="4"/>
      <c r="C14" s="4">
        <v>117</v>
      </c>
      <c r="D14" s="4">
        <v>117</v>
      </c>
    </row>
    <row r="15" spans="1:4" x14ac:dyDescent="0.3">
      <c r="A15">
        <v>43512432</v>
      </c>
      <c r="B15" s="4"/>
      <c r="C15" s="4">
        <v>144</v>
      </c>
      <c r="D15" s="4">
        <v>144</v>
      </c>
    </row>
    <row r="16" spans="1:4" x14ac:dyDescent="0.3">
      <c r="A16">
        <v>43701630</v>
      </c>
      <c r="B16" s="4"/>
      <c r="C16" s="4">
        <v>118</v>
      </c>
      <c r="D16" s="4">
        <v>118</v>
      </c>
    </row>
    <row r="17" spans="1:4" x14ac:dyDescent="0.3">
      <c r="A17">
        <v>43729827</v>
      </c>
      <c r="B17" s="4"/>
      <c r="C17" s="4">
        <v>118</v>
      </c>
      <c r="D17" s="4">
        <v>118</v>
      </c>
    </row>
    <row r="18" spans="1:4" x14ac:dyDescent="0.3">
      <c r="A18">
        <v>43740668</v>
      </c>
      <c r="B18" s="4"/>
      <c r="C18" s="4">
        <v>22</v>
      </c>
      <c r="D18" s="4">
        <v>22</v>
      </c>
    </row>
    <row r="19" spans="1:4" x14ac:dyDescent="0.3">
      <c r="A19">
        <v>43756635</v>
      </c>
      <c r="B19" s="4"/>
      <c r="C19" s="4">
        <v>97</v>
      </c>
      <c r="D19" s="4">
        <v>97</v>
      </c>
    </row>
    <row r="20" spans="1:4" x14ac:dyDescent="0.3">
      <c r="A20">
        <v>43783789</v>
      </c>
      <c r="B20" s="4"/>
      <c r="C20" s="4">
        <v>116</v>
      </c>
      <c r="D20" s="4">
        <v>116</v>
      </c>
    </row>
    <row r="21" spans="1:4" x14ac:dyDescent="0.3">
      <c r="A21">
        <v>43811059</v>
      </c>
      <c r="B21" s="4"/>
      <c r="C21" s="4">
        <v>54</v>
      </c>
      <c r="D21" s="4">
        <v>54</v>
      </c>
    </row>
    <row r="22" spans="1:4" x14ac:dyDescent="0.3">
      <c r="A22" t="s">
        <v>9405</v>
      </c>
      <c r="B22" s="4">
        <v>666</v>
      </c>
      <c r="C22" s="4">
        <v>970</v>
      </c>
      <c r="D22" s="4">
        <v>1636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941A-E2D7-4786-83B2-2ABF1517B120}">
  <dimension ref="A1:I1637"/>
  <sheetViews>
    <sheetView topLeftCell="E1" workbookViewId="0">
      <selection activeCell="H16" sqref="H16"/>
    </sheetView>
  </sheetViews>
  <sheetFormatPr defaultRowHeight="14.4" x14ac:dyDescent="0.3"/>
  <cols>
    <col min="1" max="1" width="20.21875" bestFit="1" customWidth="1"/>
    <col min="2" max="2" width="42" customWidth="1"/>
    <col min="3" max="3" width="64.109375" customWidth="1"/>
    <col min="4" max="4" width="54.5546875" customWidth="1"/>
    <col min="5" max="5" width="66" customWidth="1"/>
    <col min="6" max="6" width="68" customWidth="1"/>
    <col min="7" max="7" width="23.5546875" bestFit="1" customWidth="1"/>
    <col min="8" max="8" width="41.44140625" bestFit="1" customWidth="1"/>
    <col min="9" max="9" width="22.88671875" bestFit="1" customWidth="1"/>
  </cols>
  <sheetData>
    <row r="1" spans="1:9" x14ac:dyDescent="0.3">
      <c r="A1" t="s">
        <v>9395</v>
      </c>
      <c r="B1" t="s">
        <v>21</v>
      </c>
      <c r="C1" t="s">
        <v>22</v>
      </c>
      <c r="D1" s="2" t="s">
        <v>9396</v>
      </c>
      <c r="E1" s="2" t="s">
        <v>9397</v>
      </c>
      <c r="F1" s="2" t="s">
        <v>9398</v>
      </c>
      <c r="G1" s="2" t="s">
        <v>9399</v>
      </c>
      <c r="H1" s="2" t="s">
        <v>9400</v>
      </c>
      <c r="I1" s="2" t="s">
        <v>9401</v>
      </c>
    </row>
    <row r="2" spans="1:9" x14ac:dyDescent="0.3">
      <c r="A2" t="s">
        <v>24</v>
      </c>
      <c r="B2" t="s">
        <v>36</v>
      </c>
      <c r="C2" t="s">
        <v>37</v>
      </c>
      <c r="D2" t="str">
        <f>SUBSTITUTE(SUBSTITUTE(SUBSTITUTE(LOWER(B2), "tphcm", "TP. Hồ Chí Minh"), "hcm", "TP. Hồ Chí Minh"), " q.", " Quận ")</f>
        <v>công ty lavie long an - nhà phân phối nước khoáng lavie cửa hàng 24/24, ấp chánh, mỹ yên, tây ninh, việt namcông ty lavie long an - nhà phân phối nước khoáng lavie cửa hàng 24/24</v>
      </c>
      <c r="E2" t="str">
        <f>SUBSTITUTE(SUBSTITUTE(SUBSTITUTE(LOWER(C2), "tphcm", "TP. Hồ Chí Minh"), "hcm", "TP. Hồ Chí Minh"), " q.", " Quận ")</f>
        <v>quận 4, khánh hội, hồ chí minh, việt namquận 4</v>
      </c>
      <c r="F2" t="str">
        <f>PROPER(TRIM(RIGHT(SUBSTITUTE(D2, ",", REPT(" ", LEN(D2))), LEN(D2))))</f>
        <v>Việt Namcông Ty Lavie Long An - Nhà Phân Phối Nước Khoáng Lavie Cửa Hàng 24/24</v>
      </c>
      <c r="G2" t="str">
        <f>PROPER(TRIM(RIGHT(SUBSTITUTE(E2, ",", REPT(" ", LEN(E2))), LEN(E2))))</f>
        <v>Việt Namquận 4</v>
      </c>
      <c r="H2" t="str">
        <f>PROPER(TRIM(RIGHT(SUBSTITUTE(LEFT(D2, FIND("@", SUBSTITUTE(D2, ",", "@", LEN(D2)-LEN(SUBSTITUTE(D2, ",", ""))))-1), ",", REPT(" ", LEN(D2))), LEN(D2))))</f>
        <v>Tây Ninh</v>
      </c>
      <c r="I2" t="str">
        <f>PROPER(TRIM(RIGHT(SUBSTITUTE(LEFT(E2, FIND("@", SUBSTITUTE(E2, ",", "@", LEN(E2)-LEN(SUBSTITUTE(E2, ",", ""))))-1), ",", REPT(" ", LEN(E2))), LEN(E2))))</f>
        <v>Hồ Chí Minh</v>
      </c>
    </row>
    <row r="3" spans="1:9" x14ac:dyDescent="0.3">
      <c r="A3" t="s">
        <v>38</v>
      </c>
      <c r="B3" t="s">
        <v>201</v>
      </c>
      <c r="C3" t="s">
        <v>44</v>
      </c>
      <c r="D3" t="str">
        <f t="shared" ref="D3:D66" si="0">SUBSTITUTE(SUBSTITUTE(SUBSTITUTE(LOWER(B3), "tphcm", "TP. Hồ Chí Minh"), "hcm", "TP. Hồ Chí Minh"), " q.", " Quận ")</f>
        <v>công ty tnhh thức ăn chăn nuôi thiên bang việt nam, cụm cn, long cang, tây ninh, việt namcông ty tnhh thức ăn chăn nuôi thiên bang việt nam</v>
      </c>
      <c r="E3" t="str">
        <f>SUBSTITUTE(SUBSTITUTE(SUBSTITUTE(LOWER(C3), "tphcm", "TP. Hồ Chí Minh"), "hcm", "TP. Hồ Chí Minh"), " q.", " Quận ")</f>
        <v>quận 8, đường số 18, ấp 2, bình hưng, hồ chí minh, việt namquận 8</v>
      </c>
      <c r="F3" t="str">
        <f>PROPER(TRIM(RIGHT(SUBSTITUTE(D3, ",", REPT(" ", LEN(D3))), LEN(D3))))</f>
        <v>Việt Namcông Ty Tnhh Thức Ăn Chăn Nuôi Thiên Bang Việt Nam</v>
      </c>
      <c r="G3" t="str">
        <f t="shared" ref="G3:G66" si="1">PROPER(TRIM(RIGHT(SUBSTITUTE(E3, ",", REPT(" ", LEN(E3))), LEN(E3))))</f>
        <v>Việt Namquận 8</v>
      </c>
      <c r="H3" t="str">
        <f>PROPER(TRIM(RIGHT(SUBSTITUTE(LEFT(D3, FIND("@", SUBSTITUTE(D3, ",", "@", LEN(D3)-LEN(SUBSTITUTE(D3, ",", ""))))-1), ",", REPT(" ", LEN(D3))), LEN(D3))))</f>
        <v>Tây Ninh</v>
      </c>
      <c r="I3" t="str">
        <f t="shared" ref="I3:I66" si="2">PROPER(TRIM(RIGHT(SUBSTITUTE(LEFT(E3, FIND("@", SUBSTITUTE(E3, ",", "@", LEN(E3)-LEN(SUBSTITUTE(E3, ",", ""))))-1), ",", REPT(" ", LEN(E3))), LEN(E3))))</f>
        <v>Hồ Chí Minh</v>
      </c>
    </row>
    <row r="4" spans="1:9" x14ac:dyDescent="0.3">
      <c r="A4" t="s">
        <v>45</v>
      </c>
      <c r="B4" t="s">
        <v>219</v>
      </c>
      <c r="C4" t="s">
        <v>51</v>
      </c>
      <c r="D4" t="str">
        <f t="shared" si="0"/>
        <v>công ty tnhh dachan ( vn ), long cang, tây ninh, việt namcông ty tnhh dachan ( vn )</v>
      </c>
      <c r="E4" t="str">
        <f>SUBSTITUTE(SUBSTITUTE(SUBSTITUTE(LOWER(C4), "tphcm", "TP. Hồ Chí Minh"), "hcm", "TP. Hồ Chí Minh"), " q.", " Quận ")</f>
        <v>quận 3, nhiêu lộc, hồ chí minh, việt namquận 3</v>
      </c>
      <c r="F4" t="str">
        <f>PROPER(TRIM(RIGHT(SUBSTITUTE(D4, ",", REPT(" ", LEN(D4))), LEN(D4))))</f>
        <v>Việt Namcông Ty Tnhh Dachan ( Vn )</v>
      </c>
      <c r="G4" t="str">
        <f t="shared" si="1"/>
        <v>Việt Namquận 3</v>
      </c>
      <c r="H4" t="str">
        <f>PROPER(TRIM(RIGHT(SUBSTITUTE(LEFT(D4, FIND("@", SUBSTITUTE(D4, ",", "@", LEN(D4)-LEN(SUBSTITUTE(D4, ",", ""))))-1), ",", REPT(" ", LEN(D4))), LEN(D4))))</f>
        <v>Tây Ninh</v>
      </c>
      <c r="I4" t="str">
        <f t="shared" si="2"/>
        <v>Hồ Chí Minh</v>
      </c>
    </row>
    <row r="5" spans="1:9" x14ac:dyDescent="0.3">
      <c r="A5" t="s">
        <v>52</v>
      </c>
      <c r="B5" t="s">
        <v>248</v>
      </c>
      <c r="C5" t="s">
        <v>58</v>
      </c>
      <c r="D5" t="str">
        <f t="shared" si="0"/>
        <v>công ty tnhh dinh dưỡng động vật eh long an việt nam, long cang, tây ninh, việt namcông ty tnhh dinh dưỡng động vật eh long an việt nam</v>
      </c>
      <c r="E5" t="str">
        <f>SUBSTITUTE(SUBSTITUTE(SUBSTITUTE(LOWER(C5), "tphcm", "TP. Hồ Chí Minh"), "hcm", "TP. Hồ Chí Minh"), " q.", " Quận ")</f>
        <v>quận 5, trần tuấn khải, an đông, hồ chí minh, việt namquận 5</v>
      </c>
      <c r="F5" t="str">
        <f>PROPER(TRIM(RIGHT(SUBSTITUTE(D5, ",", REPT(" ", LEN(D5))), LEN(D5))))</f>
        <v>Việt Namcông Ty Tnhh Dinh Dưỡng Động Vật Eh Long An Việt Nam</v>
      </c>
      <c r="G5" t="str">
        <f t="shared" si="1"/>
        <v>Việt Namquận 5</v>
      </c>
      <c r="H5" t="str">
        <f>PROPER(TRIM(RIGHT(SUBSTITUTE(LEFT(D5, FIND("@", SUBSTITUTE(D5, ",", "@", LEN(D5)-LEN(SUBSTITUTE(D5, ",", ""))))-1), ",", REPT(" ", LEN(D5))), LEN(D5))))</f>
        <v>Tây Ninh</v>
      </c>
      <c r="I5" t="str">
        <f t="shared" si="2"/>
        <v>Hồ Chí Minh</v>
      </c>
    </row>
    <row r="6" spans="1:9" x14ac:dyDescent="0.3">
      <c r="A6" t="s">
        <v>59</v>
      </c>
      <c r="B6" t="s">
        <v>265</v>
      </c>
      <c r="C6" t="s">
        <v>65</v>
      </c>
      <c r="D6" t="str">
        <f t="shared" si="0"/>
        <v>cty highland dragon long an, long cang, tây ninh, việt namcty highland dragon long an</v>
      </c>
      <c r="E6" t="str">
        <f>SUBSTITUTE(SUBSTITUTE(SUBSTITUTE(LOWER(C6), "tphcm", "TP. Hồ Chí Minh"), "hcm", "TP. Hồ Chí Minh"), " q.", " Quận ")</f>
        <v>quận 7, đường hoàng kim giao, chánh hưng, hồ chí minh, việt namquận 7</v>
      </c>
      <c r="F6" t="str">
        <f>PROPER(TRIM(RIGHT(SUBSTITUTE(D6, ",", REPT(" ", LEN(D6))), LEN(D6))))</f>
        <v>Việt Namcty Highland Dragon Long An</v>
      </c>
      <c r="G6" t="str">
        <f t="shared" si="1"/>
        <v>Việt Namquận 7</v>
      </c>
      <c r="H6" t="str">
        <f>PROPER(TRIM(RIGHT(SUBSTITUTE(LEFT(D6, FIND("@", SUBSTITUTE(D6, ",", "@", LEN(D6)-LEN(SUBSTITUTE(D6, ",", ""))))-1), ",", REPT(" ", LEN(D6))), LEN(D6))))</f>
        <v>Tây Ninh</v>
      </c>
      <c r="I6" t="str">
        <f t="shared" si="2"/>
        <v>Hồ Chí Minh</v>
      </c>
    </row>
    <row r="7" spans="1:9" x14ac:dyDescent="0.3">
      <c r="A7" t="s">
        <v>66</v>
      </c>
      <c r="B7" t="s">
        <v>277</v>
      </c>
      <c r="C7" t="s">
        <v>83</v>
      </c>
      <c r="D7" t="str">
        <f t="shared" si="0"/>
        <v>công ty sino pacific, unnamed, road, long cang, tây ninh, việt namcông ty sino pacific</v>
      </c>
      <c r="E7" t="str">
        <f>SUBSTITUTE(SUBSTITUTE(SUBSTITUTE(LOWER(C7), "tphcm", "TP. Hồ Chí Minh"), "hcm", "TP. Hồ Chí Minh"), " q.", " Quận ")</f>
        <v>quận 9, tăng nhơn phú, hồ chí minh, việt namquận 9</v>
      </c>
      <c r="F7" t="str">
        <f>PROPER(TRIM(RIGHT(SUBSTITUTE(D7, ",", REPT(" ", LEN(D7))), LEN(D7))))</f>
        <v>Việt Namcông Ty Sino Pacific</v>
      </c>
      <c r="G7" t="str">
        <f t="shared" si="1"/>
        <v>Việt Namquận 9</v>
      </c>
      <c r="H7" t="str">
        <f>PROPER(TRIM(RIGHT(SUBSTITUTE(LEFT(D7, FIND("@", SUBSTITUTE(D7, ",", "@", LEN(D7)-LEN(SUBSTITUTE(D7, ",", ""))))-1), ",", REPT(" ", LEN(D7))), LEN(D7))))</f>
        <v>Tây Ninh</v>
      </c>
      <c r="I7" t="str">
        <f t="shared" si="2"/>
        <v>Hồ Chí Minh</v>
      </c>
    </row>
    <row r="8" spans="1:9" x14ac:dyDescent="0.3">
      <c r="A8" t="s">
        <v>70</v>
      </c>
      <c r="B8" t="s">
        <v>353</v>
      </c>
      <c r="C8" t="s">
        <v>91</v>
      </c>
      <c r="D8" t="str">
        <f t="shared" si="0"/>
        <v>cong ty nutreco, long cang, tây ninh, việt namcong ty nutreco</v>
      </c>
      <c r="E8" t="str">
        <f>SUBSTITUTE(SUBSTITUTE(SUBSTITUTE(LOWER(C8), "tphcm", "TP. Hồ Chí Minh"), "hcm", "TP. Hồ Chí Minh"), " q.", " Quận ")</f>
        <v>quận 1, đường trần khắc chân, tân định, hồ chí minh, việt namquận 1</v>
      </c>
      <c r="F8" t="str">
        <f>PROPER(TRIM(RIGHT(SUBSTITUTE(D8, ",", REPT(" ", LEN(D8))), LEN(D8))))</f>
        <v>Việt Namcong Ty Nutreco</v>
      </c>
      <c r="G8" t="str">
        <f t="shared" si="1"/>
        <v>Việt Namquận 1</v>
      </c>
      <c r="H8" t="str">
        <f>PROPER(TRIM(RIGHT(SUBSTITUTE(LEFT(D8, FIND("@", SUBSTITUTE(D8, ",", "@", LEN(D8)-LEN(SUBSTITUTE(D8, ",", ""))))-1), ",", REPT(" ", LEN(D8))), LEN(D8))))</f>
        <v>Tây Ninh</v>
      </c>
      <c r="I8" t="str">
        <f t="shared" si="2"/>
        <v>Hồ Chí Minh</v>
      </c>
    </row>
    <row r="9" spans="1:9" x14ac:dyDescent="0.3">
      <c r="A9" t="s">
        <v>74</v>
      </c>
      <c r="B9" t="s">
        <v>445</v>
      </c>
      <c r="C9" t="s">
        <v>98</v>
      </c>
      <c r="D9" t="str">
        <f t="shared" si="0"/>
        <v>công ty tnhh koda sài gòn, đường số 1, bến lức, tây ninh, việt namcông ty tnhh koda sài gòn</v>
      </c>
      <c r="E9" t="str">
        <f>SUBSTITUTE(SUBSTITUTE(SUBSTITUTE(LOWER(C9), "tphcm", "TP. Hồ Chí Minh"), "hcm", "TP. Hồ Chí Minh"), " q.", " Quận ")</f>
        <v>quận 3, cách mạng tháng tám, nhiêu lộc, hồ chí minh, việt namquận 3</v>
      </c>
      <c r="F9" t="str">
        <f>PROPER(TRIM(RIGHT(SUBSTITUTE(D9, ",", REPT(" ", LEN(D9))), LEN(D9))))</f>
        <v>Việt Namcông Ty Tnhh Koda Sài Gòn</v>
      </c>
      <c r="G9" t="str">
        <f t="shared" si="1"/>
        <v>Việt Namquận 3</v>
      </c>
      <c r="H9" t="str">
        <f>PROPER(TRIM(RIGHT(SUBSTITUTE(LEFT(D9, FIND("@", SUBSTITUTE(D9, ",", "@", LEN(D9)-LEN(SUBSTITUTE(D9, ",", ""))))-1), ",", REPT(" ", LEN(D9))), LEN(D9))))</f>
        <v>Tây Ninh</v>
      </c>
      <c r="I9" t="str">
        <f t="shared" si="2"/>
        <v>Hồ Chí Minh</v>
      </c>
    </row>
    <row r="10" spans="1:9" x14ac:dyDescent="0.3">
      <c r="A10" t="s">
        <v>84</v>
      </c>
      <c r="B10" t="s">
        <v>483</v>
      </c>
      <c r="C10" t="s">
        <v>105</v>
      </c>
      <c r="D10" t="str">
        <f t="shared" si="0"/>
        <v>công ty tnhh vietnam win textiles, nhà xưởng g1, đường vl2, khu công nghiệp, mỹ yên, tây ninh, việt namcông ty tnhh vietnam win textiles</v>
      </c>
      <c r="E10" t="str">
        <f>SUBSTITUTE(SUBSTITUTE(SUBSTITUTE(LOWER(C10), "tphcm", "TP. Hồ Chí Minh"), "hcm", "TP. Hồ Chí Minh"), " q.", " Quận ")</f>
        <v>quận 7, hưng phước 4, khu đô thị phú mỹ hưng, tân hưng, hồ chí minh, việt namquận 7</v>
      </c>
      <c r="F10" t="str">
        <f>PROPER(TRIM(RIGHT(SUBSTITUTE(D10, ",", REPT(" ", LEN(D10))), LEN(D10))))</f>
        <v>Việt Namcông Ty Tnhh Vietnam Win Textiles</v>
      </c>
      <c r="G10" t="str">
        <f t="shared" si="1"/>
        <v>Việt Namquận 7</v>
      </c>
      <c r="H10" t="str">
        <f>PROPER(TRIM(RIGHT(SUBSTITUTE(LEFT(D10, FIND("@", SUBSTITUTE(D10, ",", "@", LEN(D10)-LEN(SUBSTITUTE(D10, ",", ""))))-1), ",", REPT(" ", LEN(D10))), LEN(D10))))</f>
        <v>Tây Ninh</v>
      </c>
      <c r="I10" t="str">
        <f t="shared" si="2"/>
        <v>Hồ Chí Minh</v>
      </c>
    </row>
    <row r="11" spans="1:9" x14ac:dyDescent="0.3">
      <c r="A11" t="s">
        <v>92</v>
      </c>
      <c r="B11" t="s">
        <v>500</v>
      </c>
      <c r="C11" t="s">
        <v>112</v>
      </c>
      <c r="D11" t="str">
        <f t="shared" si="0"/>
        <v>công ty tnhh crecimiento industrial việt nam chi nhánh long an, ấp 3b, mỹ yên, tây ninh, việt namcông ty tnhh crecimiento industrial việt nam chi nhánh long an</v>
      </c>
      <c r="E11" t="str">
        <f>SUBSTITUTE(SUBSTITUTE(SUBSTITUTE(LOWER(C11), "tphcm", "TP. Hồ Chí Minh"), "hcm", "TP. Hồ Chí Minh"), " q.", " Quận ")</f>
        <v>quan 12, đông bắc, trung mỹ tây, hồ chí minh, việt namquan 12</v>
      </c>
      <c r="F11" t="str">
        <f>PROPER(TRIM(RIGHT(SUBSTITUTE(D11, ",", REPT(" ", LEN(D11))), LEN(D11))))</f>
        <v>Việt Namcông Ty Tnhh Crecimiento Industrial Việt Nam Chi Nhánh Long An</v>
      </c>
      <c r="G11" t="str">
        <f t="shared" si="1"/>
        <v>Việt Namquan 12</v>
      </c>
      <c r="H11" t="str">
        <f>PROPER(TRIM(RIGHT(SUBSTITUTE(LEFT(D11, FIND("@", SUBSTITUTE(D11, ",", "@", LEN(D11)-LEN(SUBSTITUTE(D11, ",", ""))))-1), ",", REPT(" ", LEN(D11))), LEN(D11))))</f>
        <v>Tây Ninh</v>
      </c>
      <c r="I11" t="str">
        <f t="shared" si="2"/>
        <v>Hồ Chí Minh</v>
      </c>
    </row>
    <row r="12" spans="1:9" x14ac:dyDescent="0.3">
      <c r="A12" t="s">
        <v>99</v>
      </c>
      <c r="B12" t="s">
        <v>527</v>
      </c>
      <c r="C12" t="s">
        <v>119</v>
      </c>
      <c r="D12" t="str">
        <f t="shared" si="0"/>
        <v>cty tnhh thương mại kỹ thuật xuất nhập khẩu nam hải, lộ đình, phước lý, tây ninh, việt namcty tnhh thương mại kỹ thuật xuất nhập khẩu nam hải</v>
      </c>
      <c r="E12" t="str">
        <f>SUBSTITUTE(SUBSTITUTE(SUBSTITUTE(LOWER(C12), "tphcm", "TP. Hồ Chí Minh"), "hcm", "TP. Hồ Chí Minh"), " q.", " Quận ")</f>
        <v>quận 9, long trường, hồ chí minh, việt namquận 9</v>
      </c>
      <c r="F12" t="str">
        <f>PROPER(TRIM(RIGHT(SUBSTITUTE(D12, ",", REPT(" ", LEN(D12))), LEN(D12))))</f>
        <v>Việt Namcty Tnhh Thương Mại Kỹ Thuật Xuất Nhập Khẩu Nam Hải</v>
      </c>
      <c r="G12" t="str">
        <f t="shared" si="1"/>
        <v>Việt Namquận 9</v>
      </c>
      <c r="H12" t="str">
        <f>PROPER(TRIM(RIGHT(SUBSTITUTE(LEFT(D12, FIND("@", SUBSTITUTE(D12, ",", "@", LEN(D12)-LEN(SUBSTITUTE(D12, ",", ""))))-1), ",", REPT(" ", LEN(D12))), LEN(D12))))</f>
        <v>Tây Ninh</v>
      </c>
      <c r="I12" t="str">
        <f t="shared" si="2"/>
        <v>Hồ Chí Minh</v>
      </c>
    </row>
    <row r="13" spans="1:9" x14ac:dyDescent="0.3">
      <c r="A13" t="s">
        <v>106</v>
      </c>
      <c r="B13" t="s">
        <v>593</v>
      </c>
      <c r="C13" t="s">
        <v>126</v>
      </c>
      <c r="D13" t="str">
        <f t="shared" si="0"/>
        <v>ấp 3, cần đước, long an, việt namchi nhánh long an , công ty tnhh huy đậu</v>
      </c>
      <c r="E13" t="str">
        <f>SUBSTITUTE(SUBSTITUTE(SUBSTITUTE(LOWER(C13), "tphcm", "TP. Hồ Chí Minh"), "hcm", "TP. Hồ Chí Minh"), " q.", " Quận ")</f>
        <v>quận 12, thới an, hồ chí minh, việt namquận 12</v>
      </c>
      <c r="F13" t="str">
        <f>PROPER(TRIM(RIGHT(SUBSTITUTE(D13, ",", REPT(" ", LEN(D13))), LEN(D13))))</f>
        <v>Công Ty Tnhh Huy Đậu</v>
      </c>
      <c r="G13" t="str">
        <f t="shared" si="1"/>
        <v>Việt Namquận 12</v>
      </c>
      <c r="H13" t="str">
        <f>PROPER(TRIM(RIGHT(SUBSTITUTE(LEFT(D13, FIND("@", SUBSTITUTE(D13, ",", "@", LEN(D13)-LEN(SUBSTITUTE(D13, ",", ""))))-1), ",", REPT(" ", LEN(D13))), LEN(D13))))</f>
        <v>Việt Namchi Nhánh Long An</v>
      </c>
      <c r="I13" t="str">
        <f t="shared" si="2"/>
        <v>Hồ Chí Minh</v>
      </c>
    </row>
    <row r="14" spans="1:9" x14ac:dyDescent="0.3">
      <c r="A14" t="s">
        <v>113</v>
      </c>
      <c r="B14" t="s">
        <v>601</v>
      </c>
      <c r="C14" t="s">
        <v>133</v>
      </c>
      <c r="D14" t="str">
        <f t="shared" si="0"/>
        <v>ccn long dinh , long cang, can duoc, long an, long cang, long an, 850000, việt namcông ty cp tp an long / an long food jsc</v>
      </c>
      <c r="E14" t="str">
        <f>SUBSTITUTE(SUBSTITUTE(SUBSTITUTE(LOWER(C14), "tphcm", "TP. Hồ Chí Minh"), "hcm", "TP. Hồ Chí Minh"), " q.", " Quận ")</f>
        <v>quận 11, đường xóm đất, bình thới, hồ chí minh, việt namquận 11</v>
      </c>
      <c r="F14" t="str">
        <f>PROPER(TRIM(RIGHT(SUBSTITUTE(D14, ",", REPT(" ", LEN(D14))), LEN(D14))))</f>
        <v>Việt Namcông Ty Cp Tp An Long / An Long Food Jsc</v>
      </c>
      <c r="G14" t="str">
        <f t="shared" si="1"/>
        <v>Việt Namquận 11</v>
      </c>
      <c r="H14" t="str">
        <f>PROPER(TRIM(RIGHT(SUBSTITUTE(LEFT(D14, FIND("@", SUBSTITUTE(D14, ",", "@", LEN(D14)-LEN(SUBSTITUTE(D14, ",", ""))))-1), ",", REPT(" ", LEN(D14))), LEN(D14))))</f>
        <v>850000</v>
      </c>
      <c r="I14" t="str">
        <f t="shared" si="2"/>
        <v>Hồ Chí Minh</v>
      </c>
    </row>
    <row r="15" spans="1:9" x14ac:dyDescent="0.3">
      <c r="A15" t="s">
        <v>120</v>
      </c>
      <c r="B15" t="s">
        <v>618</v>
      </c>
      <c r="C15" t="s">
        <v>149</v>
      </c>
      <c r="D15" t="str">
        <f t="shared" si="0"/>
        <v>long cang, cần đước, long an, việt namnhà xưởng công ty trần phát</v>
      </c>
      <c r="E15" t="str">
        <f>SUBSTITUTE(SUBSTITUTE(SUBSTITUTE(LOWER(C15), "tphcm", "TP. Hồ Chí Minh"), "hcm", "TP. Hồ Chí Minh"), " q.", " Quận ")</f>
        <v>quận 10, đường nguyễn chí thanh, an đông, hồ chí minh, việt namquận 10</v>
      </c>
      <c r="F15" t="str">
        <f>PROPER(TRIM(RIGHT(SUBSTITUTE(D15, ",", REPT(" ", LEN(D15))), LEN(D15))))</f>
        <v>Việt Namnhà Xưởng Công Ty Trần Phát</v>
      </c>
      <c r="G15" t="str">
        <f t="shared" si="1"/>
        <v>Việt Namquận 10</v>
      </c>
      <c r="H15" t="str">
        <f>PROPER(TRIM(RIGHT(SUBSTITUTE(LEFT(D15, FIND("@", SUBSTITUTE(D15, ",", "@", LEN(D15)-LEN(SUBSTITUTE(D15, ",", ""))))-1), ",", REPT(" ", LEN(D15))), LEN(D15))))</f>
        <v>Long An</v>
      </c>
      <c r="I15" t="str">
        <f t="shared" si="2"/>
        <v>Hồ Chí Minh</v>
      </c>
    </row>
    <row r="16" spans="1:9" x14ac:dyDescent="0.3">
      <c r="A16" t="s">
        <v>127</v>
      </c>
      <c r="B16" t="s">
        <v>626</v>
      </c>
      <c r="C16" t="s">
        <v>156</v>
      </c>
      <c r="D16" t="str">
        <f t="shared" si="0"/>
        <v>xã long cang, huyện cần đước, long an, việt namcông ty tnhh dachan vn</v>
      </c>
      <c r="E16" t="str">
        <f>SUBSTITUTE(SUBSTITUTE(SUBSTITUTE(LOWER(C16), "tphcm", "TP. Hồ Chí Minh"), "hcm", "TP. Hồ Chí Minh"), " q.", " Quận ")</f>
        <v>quận 10 tp TP. Hồ Chí Minh, đường lê hồng phong, hòa hưng, hồ chí minh, việt namquận 10 tp TP. Hồ Chí Minh</v>
      </c>
      <c r="F16" t="str">
        <f>PROPER(TRIM(RIGHT(SUBSTITUTE(D16, ",", REPT(" ", LEN(D16))), LEN(D16))))</f>
        <v>Việt Namcông Ty Tnhh Dachan Vn</v>
      </c>
      <c r="G16" t="str">
        <f t="shared" si="1"/>
        <v>Việt Namquận 10 Tp Tp. Hồ Chí Minh</v>
      </c>
      <c r="H16" t="str">
        <f>PROPER(TRIM(RIGHT(SUBSTITUTE(LEFT(D16, FIND("@", SUBSTITUTE(D16, ",", "@", LEN(D16)-LEN(SUBSTITUTE(D16, ",", ""))))-1), ",", REPT(" ", LEN(D16))), LEN(D16))))</f>
        <v>Long An</v>
      </c>
      <c r="I16" t="str">
        <f t="shared" si="2"/>
        <v>Hồ Chí Minh</v>
      </c>
    </row>
    <row r="17" spans="1:9" x14ac:dyDescent="0.3">
      <c r="A17" t="s">
        <v>134</v>
      </c>
      <c r="B17" t="s">
        <v>645</v>
      </c>
      <c r="C17" t="s">
        <v>171</v>
      </c>
      <c r="D17" t="str">
        <f t="shared" si="0"/>
        <v>xã long cang, huyện cần đước, long an, việt namcông ty tnhh ant la</v>
      </c>
      <c r="E17" t="str">
        <f>SUBSTITUTE(SUBSTITUTE(SUBSTITUTE(LOWER(C17), "tphcm", "TP. Hồ Chí Minh"), "hcm", "TP. Hồ Chí Minh"), " q.", " Quận ")</f>
        <v>quận 2an khánhhồ chí minhviệt namquận 2</v>
      </c>
      <c r="F17" t="str">
        <f>PROPER(TRIM(RIGHT(SUBSTITUTE(D17, ",", REPT(" ", LEN(D17))), LEN(D17))))</f>
        <v>Việt Namcông Ty Tnhh Ant La</v>
      </c>
      <c r="G17" t="str">
        <f t="shared" si="1"/>
        <v>Quận 2An Khánhhồ Chí Minhviệt Namquận 2</v>
      </c>
      <c r="H17" t="str">
        <f>PROPER(TRIM(RIGHT(SUBSTITUTE(LEFT(D17, FIND("@", SUBSTITUTE(D17, ",", "@", LEN(D17)-LEN(SUBSTITUTE(D17, ",", ""))))-1), ",", REPT(" ", LEN(D17))), LEN(D17))))</f>
        <v>Long An</v>
      </c>
      <c r="I17" t="e">
        <f t="shared" si="2"/>
        <v>#VALUE!</v>
      </c>
    </row>
    <row r="18" spans="1:9" x14ac:dyDescent="0.3">
      <c r="A18" t="s">
        <v>139</v>
      </c>
      <c r="B18" t="s">
        <v>652</v>
      </c>
      <c r="C18" t="s">
        <v>182</v>
      </c>
      <c r="D18" t="str">
        <f t="shared" si="0"/>
        <v>xã long cang, huyện cần đước, long an, việt namcông ty sino pacific</v>
      </c>
      <c r="E18" t="str">
        <f>SUBSTITUTE(SUBSTITUTE(SUBSTITUTE(LOWER(C18), "tphcm", "TP. Hồ Chí Minh"), "hcm", "TP. Hồ Chí Minh"), " q.", " Quận ")</f>
        <v>quận 6, đường phan văn khỏe, bình tây, hồ chí minh, việt namquận 6</v>
      </c>
      <c r="F18" t="str">
        <f>PROPER(TRIM(RIGHT(SUBSTITUTE(D18, ",", REPT(" ", LEN(D18))), LEN(D18))))</f>
        <v>Việt Namcông Ty Sino Pacific</v>
      </c>
      <c r="G18" t="str">
        <f t="shared" si="1"/>
        <v>Việt Namquận 6</v>
      </c>
      <c r="H18" t="str">
        <f>PROPER(TRIM(RIGHT(SUBSTITUTE(LEFT(D18, FIND("@", SUBSTITUTE(D18, ",", "@", LEN(D18)-LEN(SUBSTITUTE(D18, ",", ""))))-1), ",", REPT(" ", LEN(D18))), LEN(D18))))</f>
        <v>Long An</v>
      </c>
      <c r="I18" t="str">
        <f t="shared" si="2"/>
        <v>Hồ Chí Minh</v>
      </c>
    </row>
    <row r="19" spans="1:9" x14ac:dyDescent="0.3">
      <c r="A19" t="s">
        <v>143</v>
      </c>
      <c r="B19" t="s">
        <v>665</v>
      </c>
      <c r="C19" t="s">
        <v>202</v>
      </c>
      <c r="D19" t="str">
        <f t="shared" si="0"/>
        <v>công ty cổ phần logistics npl (kho long an), long cang, cần đước, long an, việt namcông ty cổ phần logistics npl (kho long an)</v>
      </c>
      <c r="E19" t="str">
        <f>SUBSTITUTE(SUBSTITUTE(SUBSTITUTE(LOWER(C19), "tphcm", "TP. Hồ Chí Minh"), "hcm", "TP. Hồ Chí Minh"), " q.", " Quận ")</f>
        <v>3jqg+rwx, thới hòa, hồ chí minh, việt nam3jqg+rwx, thới hòa, hồ chí minh, việt nam</v>
      </c>
      <c r="F19" t="str">
        <f>PROPER(TRIM(RIGHT(SUBSTITUTE(D19, ",", REPT(" ", LEN(D19))), LEN(D19))))</f>
        <v>Việt Namcông Ty Cổ Phần Logistics Npl (Kho Long An)</v>
      </c>
      <c r="G19" t="str">
        <f t="shared" si="1"/>
        <v>Việt Nam</v>
      </c>
      <c r="H19" t="str">
        <f>PROPER(TRIM(RIGHT(SUBSTITUTE(LEFT(D19, FIND("@", SUBSTITUTE(D19, ",", "@", LEN(D19)-LEN(SUBSTITUTE(D19, ",", ""))))-1), ",", REPT(" ", LEN(D19))), LEN(D19))))</f>
        <v>Long An</v>
      </c>
      <c r="I19" t="str">
        <f t="shared" si="2"/>
        <v>Hồ Chí Minh</v>
      </c>
    </row>
    <row r="20" spans="1:9" x14ac:dyDescent="0.3">
      <c r="A20" t="s">
        <v>150</v>
      </c>
      <c r="B20" t="s">
        <v>683</v>
      </c>
      <c r="C20" t="s">
        <v>210</v>
      </c>
      <c r="D20" t="str">
        <f t="shared" si="0"/>
        <v>công ty tnhh vôi thành đô long an, nguyễn trung trực, long cang, tây ninh, việt namcông ty tnhh vôi thành đô long an</v>
      </c>
      <c r="E20" t="str">
        <f>SUBSTITUTE(SUBSTITUTE(SUBSTITUTE(LOWER(C20), "tphcm", "TP. Hồ Chí Minh"), "hcm", "TP. Hồ Chí Minh"), " q.", " Quận ")</f>
        <v>tân uyen bình dương, tân uyên, hồ chí minh, việt namtân uyen bình dương</v>
      </c>
      <c r="F20" t="str">
        <f>PROPER(TRIM(RIGHT(SUBSTITUTE(D20, ",", REPT(" ", LEN(D20))), LEN(D20))))</f>
        <v>Việt Namcông Ty Tnhh Vôi Thành Đô Long An</v>
      </c>
      <c r="G20" t="str">
        <f t="shared" si="1"/>
        <v>Việt Namtân Uyen Bình Dương</v>
      </c>
      <c r="H20" t="str">
        <f>PROPER(TRIM(RIGHT(SUBSTITUTE(LEFT(D20, FIND("@", SUBSTITUTE(D20, ",", "@", LEN(D20)-LEN(SUBSTITUTE(D20, ",", ""))))-1), ",", REPT(" ", LEN(D20))), LEN(D20))))</f>
        <v>Tây Ninh</v>
      </c>
      <c r="I20" t="str">
        <f t="shared" si="2"/>
        <v>Hồ Chí Minh</v>
      </c>
    </row>
    <row r="21" spans="1:9" x14ac:dyDescent="0.3">
      <c r="A21" t="s">
        <v>157</v>
      </c>
      <c r="B21" t="s">
        <v>697</v>
      </c>
      <c r="C21" t="s">
        <v>220</v>
      </c>
      <c r="D21" t="str">
        <f t="shared" si="0"/>
        <v>long cang, cần đước, long an, việt namcông ty tnhh dinh dưỡng động vật eh long an việt nam</v>
      </c>
      <c r="E21" t="str">
        <f>SUBSTITUTE(SUBSTITUTE(SUBSTITUTE(LOWER(C21), "tphcm", "TP. Hồ Chí Minh"), "hcm", "TP. Hồ Chí Minh"), " q.", " Quận ")</f>
        <v>nhơn trach đồng nai, ấp 5, an phước, đồng nai, việt namnhơn trach đồng nai</v>
      </c>
      <c r="F21" t="str">
        <f>PROPER(TRIM(RIGHT(SUBSTITUTE(D21, ",", REPT(" ", LEN(D21))), LEN(D21))))</f>
        <v>Việt Namcông Ty Tnhh Dinh Dưỡng Động Vật Eh Long An Việt Nam</v>
      </c>
      <c r="G21" t="str">
        <f t="shared" si="1"/>
        <v>Việt Namnhơn Trach Đồng Nai</v>
      </c>
      <c r="H21" t="str">
        <f>PROPER(TRIM(RIGHT(SUBSTITUTE(LEFT(D21, FIND("@", SUBSTITUTE(D21, ",", "@", LEN(D21)-LEN(SUBSTITUTE(D21, ",", ""))))-1), ",", REPT(" ", LEN(D21))), LEN(D21))))</f>
        <v>Long An</v>
      </c>
      <c r="I21" t="str">
        <f t="shared" si="2"/>
        <v>Đồng Nai</v>
      </c>
    </row>
    <row r="22" spans="1:9" x14ac:dyDescent="0.3">
      <c r="A22" t="s">
        <v>161</v>
      </c>
      <c r="B22" t="s">
        <v>705</v>
      </c>
      <c r="C22" t="s">
        <v>232</v>
      </c>
      <c r="D22" t="str">
        <f t="shared" si="0"/>
        <v>kcn long định, xã long cang, huyện cần đước, long cang, bến lức, long an 82420, việt namallybuild vn , nhà máy long an</v>
      </c>
      <c r="E22" t="str">
        <f>SUBSTITUTE(SUBSTITUTE(SUBSTITUTE(LOWER(C22), "tphcm", "TP. Hồ Chí Minh"), "hcm", "TP. Hồ Chí Minh"), " q.", " Quận ")</f>
        <v>362 bùi quốc khánh, thủ dầu một, hồ chí minh, việt nam362 bùi quốc khánh, thủ dầu một, hồ chí minh, việt nam</v>
      </c>
      <c r="F22" t="str">
        <f>PROPER(TRIM(RIGHT(SUBSTITUTE(D22, ",", REPT(" ", LEN(D22))), LEN(D22))))</f>
        <v>Nhà Máy Long An</v>
      </c>
      <c r="G22" t="str">
        <f t="shared" si="1"/>
        <v>Việt Nam</v>
      </c>
      <c r="H22" t="str">
        <f>PROPER(TRIM(RIGHT(SUBSTITUTE(LEFT(D22, FIND("@", SUBSTITUTE(D22, ",", "@", LEN(D22)-LEN(SUBSTITUTE(D22, ",", ""))))-1), ",", REPT(" ", LEN(D22))), LEN(D22))))</f>
        <v>Việt Namallybuild Vn</v>
      </c>
      <c r="I22" t="str">
        <f t="shared" si="2"/>
        <v>Hồ Chí Minh</v>
      </c>
    </row>
    <row r="23" spans="1:9" x14ac:dyDescent="0.3">
      <c r="A23" t="s">
        <v>165</v>
      </c>
      <c r="B23" t="s">
        <v>725</v>
      </c>
      <c r="C23" t="s">
        <v>239</v>
      </c>
      <c r="D23" t="str">
        <f t="shared" si="0"/>
        <v>công ty tnhh thức ăn chăn nuôi thiên bang việt nam, long cang, cần đước, long an, việt namcông ty tnhh thức ăn chăn nuôi thiên bang việt nam</v>
      </c>
      <c r="E23" t="str">
        <f>SUBSTITUTE(SUBSTITUTE(SUBSTITUTE(LOWER(C23), "tphcm", "TP. Hồ Chí Minh"), "hcm", "TP. Hồ Chí Minh"), " q.", " Quận ")</f>
        <v>biên hòa, đồng nai, việt nambiên hòa</v>
      </c>
      <c r="F23" t="str">
        <f>PROPER(TRIM(RIGHT(SUBSTITUTE(D23, ",", REPT(" ", LEN(D23))), LEN(D23))))</f>
        <v>Việt Namcông Ty Tnhh Thức Ăn Chăn Nuôi Thiên Bang Việt Nam</v>
      </c>
      <c r="G23" t="str">
        <f t="shared" si="1"/>
        <v>Việt Nambiên Hòa</v>
      </c>
      <c r="H23" t="str">
        <f>PROPER(TRIM(RIGHT(SUBSTITUTE(LEFT(D23, FIND("@", SUBSTITUTE(D23, ",", "@", LEN(D23)-LEN(SUBSTITUTE(D23, ",", ""))))-1), ",", REPT(" ", LEN(D23))), LEN(D23))))</f>
        <v>Long An</v>
      </c>
      <c r="I23" t="str">
        <f t="shared" si="2"/>
        <v>Đồng Nai</v>
      </c>
    </row>
    <row r="24" spans="1:9" x14ac:dyDescent="0.3">
      <c r="A24" t="s">
        <v>172</v>
      </c>
      <c r="B24" t="s">
        <v>736</v>
      </c>
      <c r="C24" t="s">
        <v>249</v>
      </c>
      <c r="D24" t="str">
        <f t="shared" si="0"/>
        <v>unnamed road, long cang, cần đước, long an, việt namcông ty tnhh xnk nhựa tiến phát 2</v>
      </c>
      <c r="E24" t="str">
        <f>SUBSTITUTE(SUBSTITUTE(SUBSTITUTE(LOWER(C24), "tphcm", "TP. Hồ Chí Minh"), "hcm", "TP. Hồ Chí Minh"), " q.", " Quận ")</f>
        <v>gò vấp, hồ chí minh, việt namgò vấp</v>
      </c>
      <c r="F24" t="str">
        <f>PROPER(TRIM(RIGHT(SUBSTITUTE(D24, ",", REPT(" ", LEN(D24))), LEN(D24))))</f>
        <v>Việt Namcông Ty Tnhh Xnk Nhựa Tiến Phát 2</v>
      </c>
      <c r="G24" t="str">
        <f t="shared" si="1"/>
        <v>Việt Namgò Vấp</v>
      </c>
      <c r="H24" t="str">
        <f>PROPER(TRIM(RIGHT(SUBSTITUTE(LEFT(D24, FIND("@", SUBSTITUTE(D24, ",", "@", LEN(D24)-LEN(SUBSTITUTE(D24, ",", ""))))-1), ",", REPT(" ", LEN(D24))), LEN(D24))))</f>
        <v>Long An</v>
      </c>
      <c r="I24" t="str">
        <f t="shared" si="2"/>
        <v>Hồ Chí Minh</v>
      </c>
    </row>
    <row r="25" spans="1:9" x14ac:dyDescent="0.3">
      <c r="A25" t="s">
        <v>176</v>
      </c>
      <c r="B25" t="s">
        <v>755</v>
      </c>
      <c r="C25" t="s">
        <v>256</v>
      </c>
      <c r="D25" t="str">
        <f t="shared" si="0"/>
        <v>lô c1, h, kcn thuận đạo mở rộng, 2 đường số 1, long định, cần đước, long an, việt namchi nhánh long an , công ty tnhh nutreco international việt nam (nutreco long an)</v>
      </c>
      <c r="E25" t="str">
        <f>SUBSTITUTE(SUBSTITUTE(SUBSTITUTE(LOWER(C25), "tphcm", "TP. Hồ Chí Minh"), "hcm", "TP. Hồ Chí Minh"), " q.", " Quận ")</f>
        <v>q2rj+hq long thành, đồng nai, việt namq2rj+hq long thành, đồng nai, việt nam</v>
      </c>
      <c r="F25" t="str">
        <f>PROPER(TRIM(RIGHT(SUBSTITUTE(D25, ",", REPT(" ", LEN(D25))), LEN(D25))))</f>
        <v>Công Ty Tnhh Nutreco International Việt Nam (Nutreco Long An)</v>
      </c>
      <c r="G25" t="str">
        <f t="shared" si="1"/>
        <v>Việt Nam</v>
      </c>
      <c r="H25" t="str">
        <f>PROPER(TRIM(RIGHT(SUBSTITUTE(LEFT(D25, FIND("@", SUBSTITUTE(D25, ",", "@", LEN(D25)-LEN(SUBSTITUTE(D25, ",", ""))))-1), ",", REPT(" ", LEN(D25))), LEN(D25))))</f>
        <v>Việt Namchi Nhánh Long An</v>
      </c>
      <c r="I25" t="str">
        <f t="shared" si="2"/>
        <v>Đồng Nai</v>
      </c>
    </row>
    <row r="26" spans="1:9" x14ac:dyDescent="0.3">
      <c r="A26" t="s">
        <v>183</v>
      </c>
      <c r="B26" t="s">
        <v>762</v>
      </c>
      <c r="C26" t="s">
        <v>266</v>
      </c>
      <c r="D26" t="str">
        <f t="shared" si="0"/>
        <v>lô f4,1, lô f4,2 đường số 13, kcn thuận đạo mở rộng, cần đước, long an, việt namcông ty tnhh quick pack việt nam</v>
      </c>
      <c r="E26" t="str">
        <f>SUBSTITUTE(SUBSTITUTE(SUBSTITUTE(LOWER(C26), "tphcm", "TP. Hồ Chí Minh"), "hcm", "TP. Hồ Chí Minh"), " q.", " Quận ")</f>
        <v>bình tân, hồ chí minh, việt nambình tân</v>
      </c>
      <c r="F26" t="str">
        <f>PROPER(TRIM(RIGHT(SUBSTITUTE(D26, ",", REPT(" ", LEN(D26))), LEN(D26))))</f>
        <v>Việt Namcông Ty Tnhh Quick Pack Việt Nam</v>
      </c>
      <c r="G26" t="str">
        <f t="shared" si="1"/>
        <v>Việt Nambình Tân</v>
      </c>
      <c r="H26" t="str">
        <f>PROPER(TRIM(RIGHT(SUBSTITUTE(LEFT(D26, FIND("@", SUBSTITUTE(D26, ",", "@", LEN(D26)-LEN(SUBSTITUTE(D26, ",", ""))))-1), ",", REPT(" ", LEN(D26))), LEN(D26))))</f>
        <v>Long An</v>
      </c>
      <c r="I26" t="str">
        <f t="shared" si="2"/>
        <v>Hồ Chí Minh</v>
      </c>
    </row>
    <row r="27" spans="1:9" x14ac:dyDescent="0.3">
      <c r="A27" t="s">
        <v>187</v>
      </c>
      <c r="B27" t="s">
        <v>770</v>
      </c>
      <c r="C27" t="s">
        <v>284</v>
      </c>
      <c r="D27" t="str">
        <f t="shared" si="0"/>
        <v>unnamed, road, cần đước, long an, việt namcông ty cp kim khí nam hưng cn thuận đạo</v>
      </c>
      <c r="E27" t="str">
        <f>SUBSTITUTE(SUBSTITUTE(SUBSTITUTE(LOWER(C27), "tphcm", "TP. Hồ Chí Minh"), "hcm", "TP. Hồ Chí Minh"), " q.", " Quận ")</f>
        <v>60 đ. số 4, thủ đức, hồ chí minh 700000, việt nam60 đ. số 4, thủ đức, hồ chí minh 700000, việt nam</v>
      </c>
      <c r="F27" t="str">
        <f>PROPER(TRIM(RIGHT(SUBSTITUTE(D27, ",", REPT(" ", LEN(D27))), LEN(D27))))</f>
        <v>Việt Namcông Ty Cp Kim Khí Nam Hưng Cn Thuận Đạo</v>
      </c>
      <c r="G27" t="str">
        <f t="shared" si="1"/>
        <v>Việt Nam</v>
      </c>
      <c r="H27" t="str">
        <f>PROPER(TRIM(RIGHT(SUBSTITUTE(LEFT(D27, FIND("@", SUBSTITUTE(D27, ",", "@", LEN(D27)-LEN(SUBSTITUTE(D27, ",", ""))))-1), ",", REPT(" ", LEN(D27))), LEN(D27))))</f>
        <v>Long An</v>
      </c>
      <c r="I27" t="str">
        <f t="shared" si="2"/>
        <v>Hồ Chí Minh 700000</v>
      </c>
    </row>
    <row r="28" spans="1:9" x14ac:dyDescent="0.3">
      <c r="A28" t="s">
        <v>191</v>
      </c>
      <c r="B28" t="s">
        <v>793</v>
      </c>
      <c r="C28" t="s">
        <v>291</v>
      </c>
      <c r="D28" t="str">
        <f t="shared" si="0"/>
        <v>jgf2+5g bến lức, long an, việt namjgf2+5g bến lức, long an, việt nam</v>
      </c>
      <c r="E28" t="str">
        <f>SUBSTITUTE(SUBSTITUTE(SUBSTITUTE(LOWER(C28), "tphcm", "TP. Hồ Chí Minh"), "hcm", "TP. Hồ Chí Minh"), " q.", " Quận ")</f>
        <v>bình thạnh, hồ chí minh, việt nambình thạnh</v>
      </c>
      <c r="F28" t="str">
        <f>PROPER(TRIM(RIGHT(SUBSTITUTE(D28, ",", REPT(" ", LEN(D28))), LEN(D28))))</f>
        <v>Việt Nam</v>
      </c>
      <c r="G28" t="str">
        <f t="shared" si="1"/>
        <v>Việt Nambình Thạnh</v>
      </c>
      <c r="H28" t="str">
        <f>PROPER(TRIM(RIGHT(SUBSTITUTE(LEFT(D28, FIND("@", SUBSTITUTE(D28, ",", "@", LEN(D28)-LEN(SUBSTITUTE(D28, ",", ""))))-1), ",", REPT(" ", LEN(D28))), LEN(D28))))</f>
        <v>Long An</v>
      </c>
      <c r="I28" t="str">
        <f t="shared" si="2"/>
        <v>Hồ Chí Minh</v>
      </c>
    </row>
    <row r="29" spans="1:9" x14ac:dyDescent="0.3">
      <c r="A29" t="s">
        <v>203</v>
      </c>
      <c r="B29" t="s">
        <v>802</v>
      </c>
      <c r="C29" t="s">
        <v>298</v>
      </c>
      <c r="D29" t="str">
        <f t="shared" si="0"/>
        <v>cầu ô binh, long cang, cần đước, long an, việt namcông ty cổ phần tâp đoàn hưng long</v>
      </c>
      <c r="E29" t="str">
        <f>SUBSTITUTE(SUBSTITUTE(SUBSTITUTE(LOWER(C29), "tphcm", "TP. Hồ Chí Minh"), "hcm", "TP. Hồ Chí Minh"), " q.", " Quận ")</f>
        <v>5 23, tổ 4, hóc môn, hồ chí minh, việt nam5 23, tổ 4, hóc môn, hồ chí minh, việt nam</v>
      </c>
      <c r="F29" t="str">
        <f>PROPER(TRIM(RIGHT(SUBSTITUTE(D29, ",", REPT(" ", LEN(D29))), LEN(D29))))</f>
        <v>Việt Namcông Ty Cổ Phần Tâp Đoàn Hưng Long</v>
      </c>
      <c r="G29" t="str">
        <f t="shared" si="1"/>
        <v>Việt Nam</v>
      </c>
      <c r="H29" t="str">
        <f>PROPER(TRIM(RIGHT(SUBSTITUTE(LEFT(D29, FIND("@", SUBSTITUTE(D29, ",", "@", LEN(D29)-LEN(SUBSTITUTE(D29, ",", ""))))-1), ",", REPT(" ", LEN(D29))), LEN(D29))))</f>
        <v>Long An</v>
      </c>
      <c r="I29" t="str">
        <f t="shared" si="2"/>
        <v>Hồ Chí Minh</v>
      </c>
    </row>
    <row r="30" spans="1:9" x14ac:dyDescent="0.3">
      <c r="A30" t="s">
        <v>211</v>
      </c>
      <c r="B30" t="s">
        <v>829</v>
      </c>
      <c r="C30" t="s">
        <v>312</v>
      </c>
      <c r="D30" t="str">
        <f t="shared" si="0"/>
        <v>lô a4 đường số 1, tt. bến lức, bến lức, long an, việt namcông ty tnhh koda sài gòn</v>
      </c>
      <c r="E30" t="str">
        <f>SUBSTITUTE(SUBSTITUTE(SUBSTITUTE(LOWER(C30), "tphcm", "TP. Hồ Chí Minh"), "hcm", "TP. Hồ Chí Minh"), " q.", " Quận ")</f>
        <v>hẻm 2 bình giã, tân bình, hồ chí minh, việt namhẻm 2 bình giã, tân bình, hồ chí minh, việt nam</v>
      </c>
      <c r="F30" t="str">
        <f>PROPER(TRIM(RIGHT(SUBSTITUTE(D30, ",", REPT(" ", LEN(D30))), LEN(D30))))</f>
        <v>Việt Namcông Ty Tnhh Koda Sài Gòn</v>
      </c>
      <c r="G30" t="str">
        <f t="shared" si="1"/>
        <v>Việt Nam</v>
      </c>
      <c r="H30" t="str">
        <f>PROPER(TRIM(RIGHT(SUBSTITUTE(LEFT(D30, FIND("@", SUBSTITUTE(D30, ",", "@", LEN(D30)-LEN(SUBSTITUTE(D30, ",", ""))))-1), ",", REPT(" ", LEN(D30))), LEN(D30))))</f>
        <v>Long An</v>
      </c>
      <c r="I30" t="str">
        <f t="shared" si="2"/>
        <v>Hồ Chí Minh</v>
      </c>
    </row>
    <row r="31" spans="1:9" x14ac:dyDescent="0.3">
      <c r="A31" t="s">
        <v>221</v>
      </c>
      <c r="B31" t="s">
        <v>859</v>
      </c>
      <c r="C31" t="s">
        <v>319</v>
      </c>
      <c r="D31" t="str">
        <f t="shared" si="0"/>
        <v>jgf7+3w mỹ yên, long an, việt namjgf7+3w mỹ yên, long an, việt nam</v>
      </c>
      <c r="E31" t="str">
        <f>SUBSTITUTE(SUBSTITUTE(SUBSTITUTE(LOWER(C31), "tphcm", "TP. Hồ Chí Minh"), "hcm", "TP. Hồ Chí Minh"), " q.", " Quận ")</f>
        <v>thủ dầu một, hồ chí minh, việt namthủ dầu một</v>
      </c>
      <c r="F31" t="str">
        <f>PROPER(TRIM(RIGHT(SUBSTITUTE(D31, ",", REPT(" ", LEN(D31))), LEN(D31))))</f>
        <v>Việt Nam</v>
      </c>
      <c r="G31" t="str">
        <f t="shared" si="1"/>
        <v>Việt Namthủ Dầu Một</v>
      </c>
      <c r="H31" t="str">
        <f>PROPER(TRIM(RIGHT(SUBSTITUTE(LEFT(D31, FIND("@", SUBSTITUTE(D31, ",", "@", LEN(D31)-LEN(SUBSTITUTE(D31, ",", ""))))-1), ",", REPT(" ", LEN(D31))), LEN(D31))))</f>
        <v>Long An</v>
      </c>
      <c r="I31" t="str">
        <f t="shared" si="2"/>
        <v>Hồ Chí Minh</v>
      </c>
    </row>
    <row r="32" spans="1:9" x14ac:dyDescent="0.3">
      <c r="A32" t="s">
        <v>226</v>
      </c>
      <c r="B32" t="s">
        <v>867</v>
      </c>
      <c r="C32" t="s">
        <v>326</v>
      </c>
      <c r="D32" t="str">
        <f t="shared" si="0"/>
        <v>jfqx+892, bến lức, tây ninh 83000, việt namjfqx+892, bến lức, tây ninh 83000, việt nam</v>
      </c>
      <c r="E32" t="str">
        <f>SUBSTITUTE(SUBSTITUTE(SUBSTITUTE(LOWER(C32), "tphcm", "TP. Hồ Chí Minh"), "hcm", "TP. Hồ Chí Minh"), " q.", " Quận ")</f>
        <v>thuận an bình dương, đường n2, dĩ an, hồ chí minh, việt namthuận an bình dương</v>
      </c>
      <c r="F32" t="str">
        <f>PROPER(TRIM(RIGHT(SUBSTITUTE(D32, ",", REPT(" ", LEN(D32))), LEN(D32))))</f>
        <v>Việt Nam</v>
      </c>
      <c r="G32" t="str">
        <f t="shared" si="1"/>
        <v>Việt Namthuận An Bình Dương</v>
      </c>
      <c r="H32" t="str">
        <f>PROPER(TRIM(RIGHT(SUBSTITUTE(LEFT(D32, FIND("@", SUBSTITUTE(D32, ",", "@", LEN(D32)-LEN(SUBSTITUTE(D32, ",", ""))))-1), ",", REPT(" ", LEN(D32))), LEN(D32))))</f>
        <v>Tây Ninh 83000</v>
      </c>
      <c r="I32" t="str">
        <f t="shared" si="2"/>
        <v>Hồ Chí Minh</v>
      </c>
    </row>
    <row r="33" spans="1:9" x14ac:dyDescent="0.3">
      <c r="A33" t="s">
        <v>233</v>
      </c>
      <c r="B33" t="s">
        <v>894</v>
      </c>
      <c r="C33" t="s">
        <v>337</v>
      </c>
      <c r="D33" t="str">
        <f t="shared" si="0"/>
        <v>jggh+fq mỹ yên, long an, việt namjggh+fq mỹ yên, long an, việt nam</v>
      </c>
      <c r="E33" t="str">
        <f>SUBSTITUTE(SUBSTITUTE(SUBSTITUTE(LOWER(C33), "tphcm", "TP. Hồ Chí Minh"), "hcm", "TP. Hồ Chí Minh"), " q.", " Quận ")</f>
        <v>2a đ. phan văn trị, gò vấp, hồ chí minh 700000, việt nam2a đ. phan văn trị, gò vấp, hồ chí minh 700000, việt nam</v>
      </c>
      <c r="F33" t="str">
        <f>PROPER(TRIM(RIGHT(SUBSTITUTE(D33, ",", REPT(" ", LEN(D33))), LEN(D33))))</f>
        <v>Việt Nam</v>
      </c>
      <c r="G33" t="str">
        <f t="shared" si="1"/>
        <v>Việt Nam</v>
      </c>
      <c r="H33" t="str">
        <f>PROPER(TRIM(RIGHT(SUBSTITUTE(LEFT(D33, FIND("@", SUBSTITUTE(D33, ",", "@", LEN(D33)-LEN(SUBSTITUTE(D33, ",", ""))))-1), ",", REPT(" ", LEN(D33))), LEN(D33))))</f>
        <v>Long An</v>
      </c>
      <c r="I33" t="str">
        <f t="shared" si="2"/>
        <v>Hồ Chí Minh 700000</v>
      </c>
    </row>
    <row r="34" spans="1:9" x14ac:dyDescent="0.3">
      <c r="A34" t="s">
        <v>240</v>
      </c>
      <c r="B34" t="s">
        <v>901</v>
      </c>
      <c r="C34" t="s">
        <v>344</v>
      </c>
      <c r="D34" t="str">
        <f t="shared" si="0"/>
        <v>jgr7+5v mỹ yên, long an, việt namjgr7+5v mỹ yên, long an, việt nam</v>
      </c>
      <c r="E34" t="str">
        <f>SUBSTITUTE(SUBSTITUTE(SUBSTITUTE(LOWER(C34), "tphcm", "TP. Hồ Chí Minh"), "hcm", "TP. Hồ Chí Minh"), " q.", " Quận ")</f>
        <v>tân bình, hồ chí minh, việt namtân bình</v>
      </c>
      <c r="F34" t="str">
        <f>PROPER(TRIM(RIGHT(SUBSTITUTE(D34, ",", REPT(" ", LEN(D34))), LEN(D34))))</f>
        <v>Việt Nam</v>
      </c>
      <c r="G34" t="str">
        <f t="shared" si="1"/>
        <v>Việt Namtân Bình</v>
      </c>
      <c r="H34" t="str">
        <f>PROPER(TRIM(RIGHT(SUBSTITUTE(LEFT(D34, FIND("@", SUBSTITUTE(D34, ",", "@", LEN(D34)-LEN(SUBSTITUTE(D34, ",", ""))))-1), ",", REPT(" ", LEN(D34))), LEN(D34))))</f>
        <v>Long An</v>
      </c>
      <c r="I34" t="str">
        <f t="shared" si="2"/>
        <v>Hồ Chí Minh</v>
      </c>
    </row>
    <row r="35" spans="1:9" x14ac:dyDescent="0.3">
      <c r="A35" t="s">
        <v>250</v>
      </c>
      <c r="B35" t="s">
        <v>908</v>
      </c>
      <c r="C35" t="s">
        <v>354</v>
      </c>
      <c r="D35" t="str">
        <f t="shared" si="0"/>
        <v>jgfp+rv2, mỹ yên, tây ninh, việt namjgfp+rv2, mỹ yên, tây ninh, việt nam</v>
      </c>
      <c r="E35" t="str">
        <f>SUBSTITUTE(SUBSTITUTE(SUBSTITUTE(LOWER(C35), "tphcm", "TP. Hồ Chí Minh"), "hcm", "TP. Hồ Chí Minh"), " q.", " Quận ")</f>
        <v>bến cát bình dương, quốc lộ 13, thới hòa, hồ chí minh, việt nambến cát bình dương</v>
      </c>
      <c r="F35" t="str">
        <f>PROPER(TRIM(RIGHT(SUBSTITUTE(D35, ",", REPT(" ", LEN(D35))), LEN(D35))))</f>
        <v>Việt Nam</v>
      </c>
      <c r="G35" t="str">
        <f t="shared" si="1"/>
        <v>Việt Nambến Cát Bình Dương</v>
      </c>
      <c r="H35" t="str">
        <f>PROPER(TRIM(RIGHT(SUBSTITUTE(LEFT(D35, FIND("@", SUBSTITUTE(D35, ",", "@", LEN(D35)-LEN(SUBSTITUTE(D35, ",", ""))))-1), ",", REPT(" ", LEN(D35))), LEN(D35))))</f>
        <v>Tây Ninh</v>
      </c>
      <c r="I35" t="str">
        <f t="shared" si="2"/>
        <v>Hồ Chí Minh</v>
      </c>
    </row>
    <row r="36" spans="1:9" x14ac:dyDescent="0.3">
      <c r="A36" t="s">
        <v>257</v>
      </c>
      <c r="B36" t="s">
        <v>929</v>
      </c>
      <c r="C36" t="s">
        <v>386</v>
      </c>
      <c r="D36" t="str">
        <f t="shared" si="0"/>
        <v>275 ql1a, bến lức, tây ninh, việt nam275 ql1a, bến lức, tây ninh, việt nam</v>
      </c>
      <c r="E36" t="str">
        <f>SUBSTITUTE(SUBSTITUTE(SUBSTITUTE(LOWER(C36), "tphcm", "TP. Hồ Chí Minh"), "hcm", "TP. Hồ Chí Minh"), " q.", " Quận ")</f>
        <v>dĩ an, bình dương, việt namdĩ an</v>
      </c>
      <c r="F36" t="str">
        <f>PROPER(TRIM(RIGHT(SUBSTITUTE(D36, ",", REPT(" ", LEN(D36))), LEN(D36))))</f>
        <v>Việt Nam</v>
      </c>
      <c r="G36" t="str">
        <f t="shared" si="1"/>
        <v>Việt Namdĩ An</v>
      </c>
      <c r="H36" t="str">
        <f>PROPER(TRIM(RIGHT(SUBSTITUTE(LEFT(D36, FIND("@", SUBSTITUTE(D36, ",", "@", LEN(D36)-LEN(SUBSTITUTE(D36, ",", ""))))-1), ",", REPT(" ", LEN(D36))), LEN(D36))))</f>
        <v>Tây Ninh</v>
      </c>
      <c r="I36" t="str">
        <f t="shared" si="2"/>
        <v>Bình Dương</v>
      </c>
    </row>
    <row r="37" spans="1:9" x14ac:dyDescent="0.3">
      <c r="A37" t="s">
        <v>267</v>
      </c>
      <c r="B37" t="s">
        <v>976</v>
      </c>
      <c r="C37" t="s">
        <v>392</v>
      </c>
      <c r="D37" t="str">
        <f t="shared" si="0"/>
        <v>lô d2,4, đường vl2, khu công nghiệp vĩnh lộc 2, ấp vôi lá, lương hoà, bến lức, long an, việt namcông ty cổ phần kim khí nam hưng</v>
      </c>
      <c r="E37" t="str">
        <f>SUBSTITUTE(SUBSTITUTE(SUBSTITUTE(LOWER(C37), "tphcm", "TP. Hồ Chí Minh"), "hcm", "TP. Hồ Chí Minh"), " q.", " Quận ")</f>
        <v>thủ đức, hồ chí minh, việt namthủ đức</v>
      </c>
      <c r="F37" t="str">
        <f>PROPER(TRIM(RIGHT(SUBSTITUTE(D37, ",", REPT(" ", LEN(D37))), LEN(D37))))</f>
        <v>Việt Namcông Ty Cổ Phần Kim Khí Nam Hưng</v>
      </c>
      <c r="G37" t="str">
        <f t="shared" si="1"/>
        <v>Việt Namthủ Đức</v>
      </c>
      <c r="H37" t="str">
        <f>PROPER(TRIM(RIGHT(SUBSTITUTE(LEFT(D37, FIND("@", SUBSTITUTE(D37, ",", "@", LEN(D37)-LEN(SUBSTITUTE(D37, ",", ""))))-1), ",", REPT(" ", LEN(D37))), LEN(D37))))</f>
        <v>Long An</v>
      </c>
      <c r="I37" t="str">
        <f t="shared" si="2"/>
        <v>Hồ Chí Minh</v>
      </c>
    </row>
    <row r="38" spans="1:9" x14ac:dyDescent="0.3">
      <c r="A38" t="s">
        <v>271</v>
      </c>
      <c r="B38" t="s">
        <v>982</v>
      </c>
      <c r="C38" t="s">
        <v>420</v>
      </c>
      <c r="D38" t="str">
        <f t="shared" si="0"/>
        <v>36 đường mười cày, phước lý, cần giuộc, long an, việt namcông ty tnhh sản xuất trang trí nội thất nhật phi</v>
      </c>
      <c r="E38" t="str">
        <f>SUBSTITUTE(SUBSTITUTE(SUBSTITUTE(LOWER(C38), "tphcm", "TP. Hồ Chí Minh"), "hcm", "TP. Hồ Chí Minh"), " q.", " Quận ")</f>
        <v>long thành, đồng nai, việt namlong thành</v>
      </c>
      <c r="F38" t="str">
        <f>PROPER(TRIM(RIGHT(SUBSTITUTE(D38, ",", REPT(" ", LEN(D38))), LEN(D38))))</f>
        <v>Việt Namcông Ty Tnhh Sản Xuất Trang Trí Nội Thất Nhật Phi</v>
      </c>
      <c r="G38" t="str">
        <f t="shared" si="1"/>
        <v>Việt Namlong Thành</v>
      </c>
      <c r="H38" t="str">
        <f>PROPER(TRIM(RIGHT(SUBSTITUTE(LEFT(D38, FIND("@", SUBSTITUTE(D38, ",", "@", LEN(D38)-LEN(SUBSTITUTE(D38, ",", ""))))-1), ",", REPT(" ", LEN(D38))), LEN(D38))))</f>
        <v>Long An</v>
      </c>
      <c r="I38" t="str">
        <f t="shared" si="2"/>
        <v>Đồng Nai</v>
      </c>
    </row>
    <row r="39" spans="1:9" x14ac:dyDescent="0.3">
      <c r="A39" t="s">
        <v>278</v>
      </c>
      <c r="B39" t="s">
        <v>991</v>
      </c>
      <c r="C39" t="s">
        <v>436</v>
      </c>
      <c r="D39" t="str">
        <f t="shared" si="0"/>
        <v>lô d3, 1, 4 đường vl7, kcn vĩnh lộc 2 x, bến lức, long an 77777, việt namcông ty cổ phần nosafood , nhà máy bến lức</v>
      </c>
      <c r="E39" t="str">
        <f>SUBSTITUTE(SUBSTITUTE(SUBSTITUTE(LOWER(C39), "tphcm", "TP. Hồ Chí Minh"), "hcm", "TP. Hồ Chí Minh"), " q.", " Quận ")</f>
        <v>wrq3+4mm, 20 nguyễn ái quốc, phường, biên hòa, đồng nai, việt namwrq3+4mm, 20 nguyễn ái quốc, phường, biên hòa, đồng nai, việt nam</v>
      </c>
      <c r="F39" t="str">
        <f>PROPER(TRIM(RIGHT(SUBSTITUTE(D39, ",", REPT(" ", LEN(D39))), LEN(D39))))</f>
        <v>Nhà Máy Bến Lức</v>
      </c>
      <c r="G39" t="str">
        <f t="shared" si="1"/>
        <v>Việt Nam</v>
      </c>
      <c r="H39" t="str">
        <f>PROPER(TRIM(RIGHT(SUBSTITUTE(LEFT(D39, FIND("@", SUBSTITUTE(D39, ",", "@", LEN(D39)-LEN(SUBSTITUTE(D39, ",", ""))))-1), ",", REPT(" ", LEN(D39))), LEN(D39))))</f>
        <v>Việt Namcông Ty Cổ Phần Nosafood</v>
      </c>
      <c r="I39" t="str">
        <f t="shared" si="2"/>
        <v>Đồng Nai</v>
      </c>
    </row>
    <row r="40" spans="1:9" x14ac:dyDescent="0.3">
      <c r="A40" t="s">
        <v>285</v>
      </c>
      <c r="B40" t="s">
        <v>1004</v>
      </c>
      <c r="C40" t="s">
        <v>446</v>
      </c>
      <c r="D40" t="str">
        <f t="shared" si="0"/>
        <v>cty tnhh mtv sx tm cb thực phẩm vĩ huy, mỹ yên, tây ninh, việt namcty tnhh mtv sx tm cb thực phẩm vĩ huy</v>
      </c>
      <c r="E40" t="str">
        <f>SUBSTITUTE(SUBSTITUTE(SUBSTITUTE(LOWER(C40), "tphcm", "TP. Hồ Chí Minh"), "hcm", "TP. Hồ Chí Minh"), " q.", " Quận ")</f>
        <v>750 đ. cách mạng tháng tám, thủ dầu một, hồ chí minh 590000, việt nam750 đ. cách mạng tháng tám, thủ dầu một, hồ chí minh 590000, việt nam</v>
      </c>
      <c r="F40" t="str">
        <f>PROPER(TRIM(RIGHT(SUBSTITUTE(D40, ",", REPT(" ", LEN(D40))), LEN(D40))))</f>
        <v>Việt Namcty Tnhh Mtv Sx Tm Cb Thực Phẩm Vĩ Huy</v>
      </c>
      <c r="G40" t="str">
        <f t="shared" si="1"/>
        <v>Việt Nam</v>
      </c>
      <c r="H40" t="str">
        <f>PROPER(TRIM(RIGHT(SUBSTITUTE(LEFT(D40, FIND("@", SUBSTITUTE(D40, ",", "@", LEN(D40)-LEN(SUBSTITUTE(D40, ",", ""))))-1), ",", REPT(" ", LEN(D40))), LEN(D40))))</f>
        <v>Tây Ninh</v>
      </c>
      <c r="I40" t="str">
        <f t="shared" si="2"/>
        <v>Hồ Chí Minh 590000</v>
      </c>
    </row>
    <row r="41" spans="1:9" x14ac:dyDescent="0.3">
      <c r="A41" t="s">
        <v>292</v>
      </c>
      <c r="B41" t="s">
        <v>1015</v>
      </c>
      <c r="C41" t="s">
        <v>465</v>
      </c>
      <c r="D41" t="str">
        <f t="shared" si="0"/>
        <v>58 ql1a, mỹ yên, bến lức, long an, việt namcông ty tnhh đế vương</v>
      </c>
      <c r="E41" t="str">
        <f>SUBSTITUTE(SUBSTITUTE(SUBSTITUTE(LOWER(C41), "tphcm", "TP. Hồ Chí Minh"), "hcm", "TP. Hồ Chí Minh"), " q.", " Quận ")</f>
        <v>củ chi, hồ chí minh, việt namcủ chi</v>
      </c>
      <c r="F41" t="str">
        <f>PROPER(TRIM(RIGHT(SUBSTITUTE(D41, ",", REPT(" ", LEN(D41))), LEN(D41))))</f>
        <v>Việt Namcông Ty Tnhh Đế Vương</v>
      </c>
      <c r="G41" t="str">
        <f t="shared" si="1"/>
        <v>Việt Namcủ Chi</v>
      </c>
      <c r="H41" t="str">
        <f>PROPER(TRIM(RIGHT(SUBSTITUTE(LEFT(D41, FIND("@", SUBSTITUTE(D41, ",", "@", LEN(D41)-LEN(SUBSTITUTE(D41, ",", ""))))-1), ",", REPT(" ", LEN(D41))), LEN(D41))))</f>
        <v>Long An</v>
      </c>
      <c r="I41" t="str">
        <f t="shared" si="2"/>
        <v>Hồ Chí Minh</v>
      </c>
    </row>
    <row r="42" spans="1:9" x14ac:dyDescent="0.3">
      <c r="A42" t="s">
        <v>299</v>
      </c>
      <c r="B42" t="s">
        <v>1051</v>
      </c>
      <c r="C42" t="s">
        <v>472</v>
      </c>
      <c r="D42" t="str">
        <f t="shared" si="0"/>
        <v>km 1930, voi lá, ấp ql1a, long hiệp, bến lức, long an 82619, việt namcông ty tnhh bao bì xuất khẩu và thương mại vạn thành</v>
      </c>
      <c r="E42" t="str">
        <f>SUBSTITUTE(SUBSTITUTE(SUBSTITUTE(LOWER(C42), "tphcm", "TP. Hồ Chí Minh"), "hcm", "TP. Hồ Chí Minh"), " q.", " Quận ")</f>
        <v>hoc mon, thới tam thôn 17, đông thạnh, hồ chí minh, việt namhoc mon</v>
      </c>
      <c r="F42" t="str">
        <f>PROPER(TRIM(RIGHT(SUBSTITUTE(D42, ",", REPT(" ", LEN(D42))), LEN(D42))))</f>
        <v>Việt Namcông Ty Tnhh Bao Bì Xuất Khẩu Và Thương Mại Vạn Thành</v>
      </c>
      <c r="G42" t="str">
        <f t="shared" si="1"/>
        <v>Việt Namhoc Mon</v>
      </c>
      <c r="H42" t="str">
        <f>PROPER(TRIM(RIGHT(SUBSTITUTE(LEFT(D42, FIND("@", SUBSTITUTE(D42, ",", "@", LEN(D42)-LEN(SUBSTITUTE(D42, ",", ""))))-1), ",", REPT(" ", LEN(D42))), LEN(D42))))</f>
        <v>Long An 82619</v>
      </c>
      <c r="I42" t="str">
        <f t="shared" si="2"/>
        <v>Hồ Chí Minh</v>
      </c>
    </row>
    <row r="43" spans="1:9" x14ac:dyDescent="0.3">
      <c r="A43" t="s">
        <v>306</v>
      </c>
      <c r="B43" t="s">
        <v>1069</v>
      </c>
      <c r="C43" t="s">
        <v>489</v>
      </c>
      <c r="D43" t="str">
        <f t="shared" si="0"/>
        <v>47c, provincial road 830/2 commune, hamlet 3, bến lức, long an 850000, việt namcông ty tnhh mtv hòa thành long an</v>
      </c>
      <c r="E43" t="str">
        <f>SUBSTITUTE(SUBSTITUTE(SUBSTITUTE(LOWER(C43), "tphcm", "TP. Hồ Chí Minh"), "hcm", "TP. Hồ Chí Minh"), " q.", " Quận ")</f>
        <v>kcn long thành, đường số 9, an phước, đồng nai, việt namkcn long thành</v>
      </c>
      <c r="F43" t="str">
        <f>PROPER(TRIM(RIGHT(SUBSTITUTE(D43, ",", REPT(" ", LEN(D43))), LEN(D43))))</f>
        <v>Việt Namcông Ty Tnhh Mtv Hòa Thành Long An</v>
      </c>
      <c r="G43" t="str">
        <f t="shared" si="1"/>
        <v>Việt Namkcn Long Thành</v>
      </c>
      <c r="H43" t="str">
        <f>PROPER(TRIM(RIGHT(SUBSTITUTE(LEFT(D43, FIND("@", SUBSTITUTE(D43, ",", "@", LEN(D43)-LEN(SUBSTITUTE(D43, ",", ""))))-1), ",", REPT(" ", LEN(D43))), LEN(D43))))</f>
        <v>Long An 850000</v>
      </c>
      <c r="I43" t="str">
        <f t="shared" si="2"/>
        <v>Đồng Nai</v>
      </c>
    </row>
    <row r="44" spans="1:9" x14ac:dyDescent="0.3">
      <c r="A44" t="s">
        <v>313</v>
      </c>
      <c r="B44" t="s">
        <v>1080</v>
      </c>
      <c r="C44" t="s">
        <v>501</v>
      </c>
      <c r="D44" t="str">
        <f t="shared" si="0"/>
        <v>cong ty tnhh mtv tu van xay dung thien kim, ap lo gach, bến lức, tây ninh, việt namcong ty tnhh mtv tu van xay dung thien kim</v>
      </c>
      <c r="E44" t="str">
        <f>SUBSTITUTE(SUBSTITUTE(SUBSTITUTE(LOWER(C44), "tphcm", "TP. Hồ Chí Minh"), "hcm", "TP. Hồ Chí Minh"), " q.", " Quận ")</f>
        <v>45 ql13, thới hòa, hồ chí minh, việt nam45 ql13, thới hòa, hồ chí minh, việt nam</v>
      </c>
      <c r="F44" t="str">
        <f>PROPER(TRIM(RIGHT(SUBSTITUTE(D44, ",", REPT(" ", LEN(D44))), LEN(D44))))</f>
        <v>Việt Namcong Ty Tnhh Mtv Tu Van Xay Dung Thien Kim</v>
      </c>
      <c r="G44" t="str">
        <f t="shared" si="1"/>
        <v>Việt Nam</v>
      </c>
      <c r="H44" t="str">
        <f>PROPER(TRIM(RIGHT(SUBSTITUTE(LEFT(D44, FIND("@", SUBSTITUTE(D44, ",", "@", LEN(D44)-LEN(SUBSTITUTE(D44, ",", ""))))-1), ",", REPT(" ", LEN(D44))), LEN(D44))))</f>
        <v>Tây Ninh</v>
      </c>
      <c r="I44" t="str">
        <f t="shared" si="2"/>
        <v>Hồ Chí Minh</v>
      </c>
    </row>
    <row r="45" spans="1:9" x14ac:dyDescent="0.3">
      <c r="A45" t="s">
        <v>320</v>
      </c>
      <c r="B45" t="s">
        <v>1107</v>
      </c>
      <c r="C45" t="s">
        <v>509</v>
      </c>
      <c r="D45" t="str">
        <f t="shared" si="0"/>
        <v>đường vl2, long hiệp, bến lức, long an, việt namkho lạnh hp chi nhánh hồ chí minh</v>
      </c>
      <c r="E45" t="str">
        <f>SUBSTITUTE(SUBSTITUTE(SUBSTITUTE(LOWER(C45), "tphcm", "TP. Hồ Chí Minh"), "hcm", "TP. Hồ Chí Minh"), " q.", " Quận ")</f>
        <v>thủ dầu một, đường đx-025, bình dương, hồ chí minh, việt namthủ dầu một</v>
      </c>
      <c r="F45" t="str">
        <f>PROPER(TRIM(RIGHT(SUBSTITUTE(D45, ",", REPT(" ", LEN(D45))), LEN(D45))))</f>
        <v>Việt Namkho Lạnh Hp Chi Nhánh Hồ Chí Minh</v>
      </c>
      <c r="G45" t="str">
        <f t="shared" si="1"/>
        <v>Việt Namthủ Dầu Một</v>
      </c>
      <c r="H45" t="str">
        <f>PROPER(TRIM(RIGHT(SUBSTITUTE(LEFT(D45, FIND("@", SUBSTITUTE(D45, ",", "@", LEN(D45)-LEN(SUBSTITUTE(D45, ",", ""))))-1), ",", REPT(" ", LEN(D45))), LEN(D45))))</f>
        <v>Long An</v>
      </c>
      <c r="I45" t="str">
        <f t="shared" si="2"/>
        <v>Hồ Chí Minh</v>
      </c>
    </row>
    <row r="46" spans="1:9" x14ac:dyDescent="0.3">
      <c r="A46" t="s">
        <v>327</v>
      </c>
      <c r="B46" t="s">
        <v>1115</v>
      </c>
      <c r="C46" t="s">
        <v>520</v>
      </c>
      <c r="D46" t="str">
        <f t="shared" si="0"/>
        <v>công ty tnhh bibica miền tây, 9 vl3, kcn vĩnh lộc 2, long hiệp, bến lức, long an, việt namcông ty tnhh bibica miền tây</v>
      </c>
      <c r="E46" t="str">
        <f>SUBSTITUTE(SUBSTITUTE(SUBSTITUTE(LOWER(C46), "tphcm", "TP. Hồ Chí Minh"), "hcm", "TP. Hồ Chí Minh"), " q.", " Quận ")</f>
        <v>cu chi tunnel, phú hiệp, an nhơn tây, củ chi, hồ chí minh, việt namcu chi tunnel</v>
      </c>
      <c r="F46" t="str">
        <f>PROPER(TRIM(RIGHT(SUBSTITUTE(D46, ",", REPT(" ", LEN(D46))), LEN(D46))))</f>
        <v>Việt Namcông Ty Tnhh Bibica Miền Tây</v>
      </c>
      <c r="G46" t="str">
        <f t="shared" si="1"/>
        <v>Việt Namcu Chi Tunnel</v>
      </c>
      <c r="H46" t="str">
        <f>PROPER(TRIM(RIGHT(SUBSTITUTE(LEFT(D46, FIND("@", SUBSTITUTE(D46, ",", "@", LEN(D46)-LEN(SUBSTITUTE(D46, ",", ""))))-1), ",", REPT(" ", LEN(D46))), LEN(D46))))</f>
        <v>Long An</v>
      </c>
      <c r="I46" t="str">
        <f t="shared" si="2"/>
        <v>Hồ Chí Minh</v>
      </c>
    </row>
    <row r="47" spans="1:9" x14ac:dyDescent="0.3">
      <c r="A47" t="s">
        <v>331</v>
      </c>
      <c r="B47" t="s">
        <v>1130</v>
      </c>
      <c r="C47" t="s">
        <v>538</v>
      </c>
      <c r="D47" t="str">
        <f t="shared" si="0"/>
        <v>lô b7, đường số 4, kcn, phúc long, long hiệp, bến lức, long an, việt namcông ty tnhh mtv cellutane việt nam</v>
      </c>
      <c r="E47" t="str">
        <f>SUBSTITUTE(SUBSTITUTE(SUBSTITUTE(LOWER(C47), "tphcm", "TP. Hồ Chí Minh"), "hcm", "TP. Hồ Chí Minh"), " q.", " Quận ")</f>
        <v>vqx4+6q9, đường số 12, dĩ an, hồ chí minh, việt namvqx4+6q9, đường số 12, dĩ an, hồ chí minh, việt nam</v>
      </c>
      <c r="F47" t="str">
        <f>PROPER(TRIM(RIGHT(SUBSTITUTE(D47, ",", REPT(" ", LEN(D47))), LEN(D47))))</f>
        <v>Việt Namcông Ty Tnhh Mtv Cellutane Việt Nam</v>
      </c>
      <c r="G47" t="str">
        <f t="shared" si="1"/>
        <v>Việt Nam</v>
      </c>
      <c r="H47" t="str">
        <f>PROPER(TRIM(RIGHT(SUBSTITUTE(LEFT(D47, FIND("@", SUBSTITUTE(D47, ",", "@", LEN(D47)-LEN(SUBSTITUTE(D47, ",", ""))))-1), ",", REPT(" ", LEN(D47))), LEN(D47))))</f>
        <v>Long An</v>
      </c>
      <c r="I47" t="str">
        <f t="shared" si="2"/>
        <v>Hồ Chí Minh</v>
      </c>
    </row>
    <row r="48" spans="1:9" x14ac:dyDescent="0.3">
      <c r="A48" t="s">
        <v>338</v>
      </c>
      <c r="B48" t="s">
        <v>1137</v>
      </c>
      <c r="C48" t="s">
        <v>576</v>
      </c>
      <c r="D48" t="str">
        <f t="shared" si="0"/>
        <v>long hiệp, bến lức, long an, việt namcông ty tnhh rượu đệ nhất gò đen</v>
      </c>
      <c r="E48" t="str">
        <f>SUBSTITUTE(SUBSTITUTE(SUBSTITUTE(LOWER(C48), "tphcm", "TP. Hồ Chí Minh"), "hcm", "TP. Hồ Chí Minh"), " q.", " Quận ")</f>
        <v>việt nam, hồ chí minh, an lạc, khu phố 8, đ. số 20, bình tânbình tân</v>
      </c>
      <c r="F48" t="str">
        <f>PROPER(TRIM(RIGHT(SUBSTITUTE(D48, ",", REPT(" ", LEN(D48))), LEN(D48))))</f>
        <v>Việt Namcông Ty Tnhh Rượu Đệ Nhất Gò Đen</v>
      </c>
      <c r="G48" t="str">
        <f t="shared" si="1"/>
        <v>Bình Tânbình Tân</v>
      </c>
      <c r="H48" t="str">
        <f>PROPER(TRIM(RIGHT(SUBSTITUTE(LEFT(D48, FIND("@", SUBSTITUTE(D48, ",", "@", LEN(D48)-LEN(SUBSTITUTE(D48, ",", ""))))-1), ",", REPT(" ", LEN(D48))), LEN(D48))))</f>
        <v>Long An</v>
      </c>
      <c r="I48" t="str">
        <f t="shared" si="2"/>
        <v>Đ. Số 20</v>
      </c>
    </row>
    <row r="49" spans="1:9" x14ac:dyDescent="0.3">
      <c r="A49" t="s">
        <v>345</v>
      </c>
      <c r="B49" t="s">
        <v>1144</v>
      </c>
      <c r="C49" t="s">
        <v>594</v>
      </c>
      <c r="D49" t="str">
        <f t="shared" si="0"/>
        <v>lô a1, nhà xưởng g1, 20 đường vl2, khu công nghiệp, mỹ yên, tây ninh, việt namcông ty tnhh vietnam win textiles</v>
      </c>
      <c r="E49" t="str">
        <f>SUBSTITUTE(SUBSTITUTE(SUBSTITUTE(LOWER(C49), "tphcm", "TP. Hồ Chí Minh"), "hcm", "TP. Hồ Chí Minh"), " q.", " Quận ")</f>
        <v>79 đường d8, 2 khu phố 4, hòa lợi, hồ chí minh, việt nam79 đường d8, 2 khu phố 4, hòa lợi, hồ chí minh, việt nam</v>
      </c>
      <c r="F49" t="str">
        <f>PROPER(TRIM(RIGHT(SUBSTITUTE(D49, ",", REPT(" ", LEN(D49))), LEN(D49))))</f>
        <v>Việt Namcông Ty Tnhh Vietnam Win Textiles</v>
      </c>
      <c r="G49" t="str">
        <f t="shared" si="1"/>
        <v>Việt Nam</v>
      </c>
      <c r="H49" t="str">
        <f>PROPER(TRIM(RIGHT(SUBSTITUTE(LEFT(D49, FIND("@", SUBSTITUTE(D49, ",", "@", LEN(D49)-LEN(SUBSTITUTE(D49, ",", ""))))-1), ",", REPT(" ", LEN(D49))), LEN(D49))))</f>
        <v>Tây Ninh</v>
      </c>
      <c r="I49" t="str">
        <f t="shared" si="2"/>
        <v>Hồ Chí Minh</v>
      </c>
    </row>
    <row r="50" spans="1:9" x14ac:dyDescent="0.3">
      <c r="A50" t="s">
        <v>355</v>
      </c>
      <c r="B50" t="s">
        <v>1153</v>
      </c>
      <c r="C50" t="s">
        <v>619</v>
      </c>
      <c r="D50" t="str">
        <f t="shared" si="0"/>
        <v>lô h5 – đường số 8 kcn phuc long x.long hiep h, long hiệp, bến lức, long an, việt namcông ty cổ phần sơn và chống thấm việt nhật</v>
      </c>
      <c r="E50" t="str">
        <f>SUBSTITUTE(SUBSTITUTE(SUBSTITUTE(LOWER(C50), "tphcm", "TP. Hồ Chí Minh"), "hcm", "TP. Hồ Chí Minh"), " q.", " Quận ")</f>
        <v>thuận an, hồ chí minh, việt namthuận an</v>
      </c>
      <c r="F50" t="str">
        <f>PROPER(TRIM(RIGHT(SUBSTITUTE(D50, ",", REPT(" ", LEN(D50))), LEN(D50))))</f>
        <v>Việt Namcông Ty Cổ Phần Sơn Và Chống Thấm Việt Nhật</v>
      </c>
      <c r="G50" t="str">
        <f t="shared" si="1"/>
        <v>Việt Namthuận An</v>
      </c>
      <c r="H50" t="str">
        <f>PROPER(TRIM(RIGHT(SUBSTITUTE(LEFT(D50, FIND("@", SUBSTITUTE(D50, ",", "@", LEN(D50)-LEN(SUBSTITUTE(D50, ",", ""))))-1), ",", REPT(" ", LEN(D50))), LEN(D50))))</f>
        <v>Long An</v>
      </c>
      <c r="I50" t="str">
        <f t="shared" si="2"/>
        <v>Hồ Chí Minh</v>
      </c>
    </row>
    <row r="51" spans="1:9" x14ac:dyDescent="0.3">
      <c r="A51" t="s">
        <v>359</v>
      </c>
      <c r="B51" t="s">
        <v>1173</v>
      </c>
      <c r="C51" t="s">
        <v>638</v>
      </c>
      <c r="D51" t="str">
        <f t="shared" si="0"/>
        <v>factory 1a, lot b2,15, vl7 street, vinh loc 2 industrial zone, voi la hamlet long hiep commune, ben luc district, long a province, long hiệp, ho chi minh city, long an 82619, việt namdm textiles company ltd.</v>
      </c>
      <c r="E51" t="str">
        <f>SUBSTITUTE(SUBSTITUTE(SUBSTITUTE(LOWER(C51), "tphcm", "TP. Hồ Chí Minh"), "hcm", "TP. Hồ Chí Minh"), " q.", " Quận ")</f>
        <v>wrq3+9px, biên hòa, đồng nai, việt namwrq3+9px, biên hòa, đồng nai, việt nam</v>
      </c>
      <c r="F51" t="str">
        <f>PROPER(TRIM(RIGHT(SUBSTITUTE(D51, ",", REPT(" ", LEN(D51))), LEN(D51))))</f>
        <v>Việt Namdm Textiles Company Ltd.</v>
      </c>
      <c r="G51" t="str">
        <f t="shared" si="1"/>
        <v>Việt Nam</v>
      </c>
      <c r="H51" t="str">
        <f>PROPER(TRIM(RIGHT(SUBSTITUTE(LEFT(D51, FIND("@", SUBSTITUTE(D51, ",", "@", LEN(D51)-LEN(SUBSTITUTE(D51, ",", ""))))-1), ",", REPT(" ", LEN(D51))), LEN(D51))))</f>
        <v>Long An 82619</v>
      </c>
      <c r="I51" t="str">
        <f t="shared" si="2"/>
        <v>Đồng Nai</v>
      </c>
    </row>
    <row r="52" spans="1:9" x14ac:dyDescent="0.3">
      <c r="A52" t="s">
        <v>364</v>
      </c>
      <c r="B52" t="s">
        <v>1234</v>
      </c>
      <c r="C52" t="s">
        <v>684</v>
      </c>
      <c r="D52" t="str">
        <f t="shared" si="0"/>
        <v>đường vl2, long hiệp, bến lức, long an, việt namcty cổ phần tập đoàn kim đức</v>
      </c>
      <c r="E52" t="str">
        <f>SUBSTITUTE(SUBSTITUTE(SUBSTITUTE(LOWER(C52), "tphcm", "TP. Hồ Chí Minh"), "hcm", "TP. Hồ Chí Minh"), " q.", " Quận ")</f>
        <v>49 đường số 8, bình tân, hồ chí minh, việt nam49 đường số 8, bình tân, hồ chí minh, việt nam</v>
      </c>
      <c r="F52" t="str">
        <f>PROPER(TRIM(RIGHT(SUBSTITUTE(D52, ",", REPT(" ", LEN(D52))), LEN(D52))))</f>
        <v>Việt Namcty Cổ Phần Tập Đoàn Kim Đức</v>
      </c>
      <c r="G52" t="str">
        <f t="shared" si="1"/>
        <v>Việt Nam</v>
      </c>
      <c r="H52" t="str">
        <f>PROPER(TRIM(RIGHT(SUBSTITUTE(LEFT(D52, FIND("@", SUBSTITUTE(D52, ",", "@", LEN(D52)-LEN(SUBSTITUTE(D52, ",", ""))))-1), ",", REPT(" ", LEN(D52))), LEN(D52))))</f>
        <v>Long An</v>
      </c>
      <c r="I52" t="str">
        <f t="shared" si="2"/>
        <v>Hồ Chí Minh</v>
      </c>
    </row>
    <row r="53" spans="1:9" x14ac:dyDescent="0.3">
      <c r="A53" t="s">
        <v>368</v>
      </c>
      <c r="B53" t="s">
        <v>1260</v>
      </c>
      <c r="C53" t="s">
        <v>698</v>
      </c>
      <c r="D53" t="str">
        <f t="shared" si="0"/>
        <v>cần đước high school, khu 1b, cần đước, tây ninh, việt namcần đước high school</v>
      </c>
      <c r="E53" t="str">
        <f>SUBSTITUTE(SUBSTITUTE(SUBSTITUTE(LOWER(C53), "tphcm", "TP. Hồ Chí Minh"), "hcm", "TP. Hồ Chí Minh"), " q.", " Quận ")</f>
        <v>324 chu văn an, bình thạnh, hồ chí minh, việt nam324 chu văn an, bình thạnh, hồ chí minh, việt nam</v>
      </c>
      <c r="F53" t="str">
        <f>PROPER(TRIM(RIGHT(SUBSTITUTE(D53, ",", REPT(" ", LEN(D53))), LEN(D53))))</f>
        <v>Việt Namcần Đước High School</v>
      </c>
      <c r="G53" t="str">
        <f t="shared" si="1"/>
        <v>Việt Nam</v>
      </c>
      <c r="H53" t="str">
        <f>PROPER(TRIM(RIGHT(SUBSTITUTE(LEFT(D53, FIND("@", SUBSTITUTE(D53, ",", "@", LEN(D53)-LEN(SUBSTITUTE(D53, ",", ""))))-1), ",", REPT(" ", LEN(D53))), LEN(D53))))</f>
        <v>Tây Ninh</v>
      </c>
      <c r="I53" t="str">
        <f t="shared" si="2"/>
        <v>Hồ Chí Minh</v>
      </c>
    </row>
    <row r="54" spans="1:9" x14ac:dyDescent="0.3">
      <c r="A54" t="s">
        <v>372</v>
      </c>
      <c r="B54" t="s">
        <v>1271</v>
      </c>
      <c r="C54" t="s">
        <v>718</v>
      </c>
      <c r="D54" t="str">
        <f t="shared" si="0"/>
        <v>cn. công ty cpxd minh long, đường số 2, bến lức, tây ninh, việt namcn. công ty cpxd minh long</v>
      </c>
      <c r="E54" t="str">
        <f>SUBSTITUTE(SUBSTITUTE(SUBSTITUTE(LOWER(C54), "tphcm", "TP. Hồ Chí Minh"), "hcm", "TP. Hồ Chí Minh"), " q.", " Quận ")</f>
        <v>89b đường số 7, gò vấp, hồ chí minh, việt nam89b đường số 7, gò vấp, hồ chí minh, việt nam</v>
      </c>
      <c r="F54" t="str">
        <f>PROPER(TRIM(RIGHT(SUBSTITUTE(D54, ",", REPT(" ", LEN(D54))), LEN(D54))))</f>
        <v>Việt Namcn. Công Ty Cpxd Minh Long</v>
      </c>
      <c r="G54" t="str">
        <f t="shared" si="1"/>
        <v>Việt Nam</v>
      </c>
      <c r="H54" t="str">
        <f>PROPER(TRIM(RIGHT(SUBSTITUTE(LEFT(D54, FIND("@", SUBSTITUTE(D54, ",", "@", LEN(D54)-LEN(SUBSTITUTE(D54, ",", ""))))-1), ",", REPT(" ", LEN(D54))), LEN(D54))))</f>
        <v>Tây Ninh</v>
      </c>
      <c r="I54" t="str">
        <f t="shared" si="2"/>
        <v>Hồ Chí Minh</v>
      </c>
    </row>
    <row r="55" spans="1:9" x14ac:dyDescent="0.3">
      <c r="A55" t="s">
        <v>376</v>
      </c>
      <c r="B55" t="s">
        <v>1282</v>
      </c>
      <c r="C55" t="s">
        <v>726</v>
      </c>
      <c r="D55" t="str">
        <f t="shared" si="0"/>
        <v>phước lý, tây ninh, việt namphước lý</v>
      </c>
      <c r="E55" t="str">
        <f>SUBSTITUTE(SUBSTITUTE(SUBSTITUTE(LOWER(C55), "tphcm", "TP. Hồ Chí Minh"), "hcm", "TP. Hồ Chí Minh"), " q.", " Quận ")</f>
        <v>1-5 thân nhân trung, tân bình, hồ chí minh, việt nam1-5 thân nhân trung, tân bình, hồ chí minh, việt nam</v>
      </c>
      <c r="F55" t="str">
        <f>PROPER(TRIM(RIGHT(SUBSTITUTE(D55, ",", REPT(" ", LEN(D55))), LEN(D55))))</f>
        <v>Việt Namphước Lý</v>
      </c>
      <c r="G55" t="str">
        <f t="shared" si="1"/>
        <v>Việt Nam</v>
      </c>
      <c r="H55" t="str">
        <f>PROPER(TRIM(RIGHT(SUBSTITUTE(LEFT(D55, FIND("@", SUBSTITUTE(D55, ",", "@", LEN(D55)-LEN(SUBSTITUTE(D55, ",", ""))))-1), ",", REPT(" ", LEN(D55))), LEN(D55))))</f>
        <v>Tây Ninh</v>
      </c>
      <c r="I55" t="str">
        <f t="shared" si="2"/>
        <v>Hồ Chí Minh</v>
      </c>
    </row>
    <row r="56" spans="1:9" x14ac:dyDescent="0.3">
      <c r="A56" t="s">
        <v>380</v>
      </c>
      <c r="B56" t="s">
        <v>1302</v>
      </c>
      <c r="C56" t="s">
        <v>737</v>
      </c>
      <c r="D56" t="str">
        <f t="shared" si="0"/>
        <v>đt835b, phước lý, tây ninh, việt namđt835b</v>
      </c>
      <c r="E56" t="str">
        <f>SUBSTITUTE(SUBSTITUTE(SUBSTITUTE(LOWER(C56), "tphcm", "TP. Hồ Chí Minh"), "hcm", "TP. Hồ Chí Minh"), " q.", " Quận ")</f>
        <v>39793 man thiện, tăng nhơn phú, hồ chí minh, việt nam39793 man thiện, tăng nhơn phú, hồ chí minh, việt nam</v>
      </c>
      <c r="F56" t="str">
        <f>PROPER(TRIM(RIGHT(SUBSTITUTE(D56, ",", REPT(" ", LEN(D56))), LEN(D56))))</f>
        <v>Việt Namđt835B</v>
      </c>
      <c r="G56" t="str">
        <f t="shared" si="1"/>
        <v>Việt Nam</v>
      </c>
      <c r="H56" t="str">
        <f>PROPER(TRIM(RIGHT(SUBSTITUTE(LEFT(D56, FIND("@", SUBSTITUTE(D56, ",", "@", LEN(D56)-LEN(SUBSTITUTE(D56, ",", ""))))-1), ",", REPT(" ", LEN(D56))), LEN(D56))))</f>
        <v>Tây Ninh</v>
      </c>
      <c r="I56" t="str">
        <f t="shared" si="2"/>
        <v>Hồ Chí Minh</v>
      </c>
    </row>
    <row r="57" spans="1:9" x14ac:dyDescent="0.3">
      <c r="A57" t="s">
        <v>387</v>
      </c>
      <c r="B57" t="s">
        <v>1328</v>
      </c>
      <c r="C57" t="s">
        <v>748</v>
      </c>
      <c r="D57" t="str">
        <f t="shared" si="0"/>
        <v>khu công nghiệp phúc long, kcn phúc long, quốc lộ 1a, kp9, mỹ yên, tây ninh, việt namkhu công nghiệp phúc long</v>
      </c>
      <c r="E57" t="str">
        <f>SUBSTITUTE(SUBSTITUTE(SUBSTITUTE(LOWER(C57), "tphcm", "TP. Hồ Chí Minh"), "hcm", "TP. Hồ Chí Minh"), " q.", " Quận ")</f>
        <v>41 đ số 3, kdc cityland park hills, gò vấp, hồ chí minh, việt nam41 đ số 3, kdc cityland park hills, gò vấp, hồ chí minh, việt nam</v>
      </c>
      <c r="F57" t="str">
        <f>PROPER(TRIM(RIGHT(SUBSTITUTE(D57, ",", REPT(" ", LEN(D57))), LEN(D57))))</f>
        <v>Việt Namkhu Công Nghiệp Phúc Long</v>
      </c>
      <c r="G57" t="str">
        <f t="shared" si="1"/>
        <v>Việt Nam</v>
      </c>
      <c r="H57" t="str">
        <f>PROPER(TRIM(RIGHT(SUBSTITUTE(LEFT(D57, FIND("@", SUBSTITUTE(D57, ",", "@", LEN(D57)-LEN(SUBSTITUTE(D57, ",", ""))))-1), ",", REPT(" ", LEN(D57))), LEN(D57))))</f>
        <v>Tây Ninh</v>
      </c>
      <c r="I57" t="str">
        <f t="shared" si="2"/>
        <v>Hồ Chí Minh</v>
      </c>
    </row>
    <row r="58" spans="1:9" x14ac:dyDescent="0.3">
      <c r="A58" t="s">
        <v>393</v>
      </c>
      <c r="B58" t="s">
        <v>1353</v>
      </c>
      <c r="C58" t="s">
        <v>771</v>
      </c>
      <c r="D58" t="str">
        <f t="shared" si="0"/>
        <v>công ty tnhh san len c việt nam, đường số 13, kcn thuận đạo mở rộng, long cang, tây ninh, việt namcông ty tnhh san len c việt nam</v>
      </c>
      <c r="E58" t="str">
        <f>SUBSTITUTE(SUBSTITUTE(SUBSTITUTE(LOWER(C58), "tphcm", "TP. Hồ Chí Minh"), "hcm", "TP. Hồ Chí Minh"), " q.", " Quận ")</f>
        <v>dĩ an, bình dương, dĩ an, tân đông hiệp, hồ chí minh, việt namdĩ an, bình dương</v>
      </c>
      <c r="F58" t="str">
        <f>PROPER(TRIM(RIGHT(SUBSTITUTE(D58, ",", REPT(" ", LEN(D58))), LEN(D58))))</f>
        <v>Việt Namcông Ty Tnhh San Len C Việt Nam</v>
      </c>
      <c r="G58" t="str">
        <f t="shared" si="1"/>
        <v>Bình Dương</v>
      </c>
      <c r="H58" t="str">
        <f>PROPER(TRIM(RIGHT(SUBSTITUTE(LEFT(D58, FIND("@", SUBSTITUTE(D58, ",", "@", LEN(D58)-LEN(SUBSTITUTE(D58, ",", ""))))-1), ",", REPT(" ", LEN(D58))), LEN(D58))))</f>
        <v>Tây Ninh</v>
      </c>
      <c r="I58" t="str">
        <f t="shared" si="2"/>
        <v>Việt Namdĩ An</v>
      </c>
    </row>
    <row r="59" spans="1:9" x14ac:dyDescent="0.3">
      <c r="A59" t="s">
        <v>396</v>
      </c>
      <c r="B59" t="s">
        <v>1363</v>
      </c>
      <c r="C59" t="s">
        <v>782</v>
      </c>
      <c r="D59" t="str">
        <f t="shared" si="0"/>
        <v>công ty cổ phần cng việt nam - trạm cấp khí trung tâm kcn thuận đạo - long an, thang, long cang, tây ninh, việt namcông ty cổ phần cng việt nam - trạm cấp khí trung tâm kcn thuận đạo - long an</v>
      </c>
      <c r="E59" t="str">
        <f>SUBSTITUTE(SUBSTITUTE(SUBSTITUTE(LOWER(C59), "tphcm", "TP. Hồ Chí Minh"), "hcm", "TP. Hồ Chí Minh"), " q.", " Quận ")</f>
        <v>nhơn trạch, đồng nai, việt namnhơn trạch</v>
      </c>
      <c r="F59" t="str">
        <f>PROPER(TRIM(RIGHT(SUBSTITUTE(D59, ",", REPT(" ", LEN(D59))), LEN(D59))))</f>
        <v>Việt Namcông Ty Cổ Phần Cng Việt Nam - Trạm Cấp Khí Trung Tâm Kcn Thuận Đạo - Long An</v>
      </c>
      <c r="G59" t="str">
        <f t="shared" si="1"/>
        <v>Việt Namnhơn Trạch</v>
      </c>
      <c r="H59" t="str">
        <f>PROPER(TRIM(RIGHT(SUBSTITUTE(LEFT(D59, FIND("@", SUBSTITUTE(D59, ",", "@", LEN(D59)-LEN(SUBSTITUTE(D59, ",", ""))))-1), ",", REPT(" ", LEN(D59))), LEN(D59))))</f>
        <v>Tây Ninh</v>
      </c>
      <c r="I59" t="str">
        <f t="shared" si="2"/>
        <v>Đồng Nai</v>
      </c>
    </row>
    <row r="60" spans="1:9" x14ac:dyDescent="0.3">
      <c r="A60" t="s">
        <v>400</v>
      </c>
      <c r="B60" t="s">
        <v>1382</v>
      </c>
      <c r="C60" t="s">
        <v>803</v>
      </c>
      <c r="D60" t="str">
        <f t="shared" si="0"/>
        <v>công ty tnhh mtv paramount bright holding limited (park bright holding limited), long cang, long an province việt namcông ty tnhh mtv paramount bright holding limited (park bright holding limited)</v>
      </c>
      <c r="E60" t="str">
        <f>SUBSTITUTE(SUBSTITUTE(SUBSTITUTE(LOWER(C60), "tphcm", "TP. Hồ Chí Minh"), "hcm", "TP. Hồ Chí Minh"), " q.", " Quận ")</f>
        <v>tổ 65, 1/138 tổ 64 khu phố 7, khu phố 6, hóc môn, hồ chí minh, việt namtổ 65, 1/138 tổ 64 khu phố 7, khu phố 6, hóc môn, hồ chí minh, việt nam</v>
      </c>
      <c r="F60" t="str">
        <f>PROPER(TRIM(RIGHT(SUBSTITUTE(D60, ",", REPT(" ", LEN(D60))), LEN(D60))))</f>
        <v>Long An Province Việt Namcông Ty Tnhh Mtv Paramount Bright Holding Limited (Park Bright Holding Limited)</v>
      </c>
      <c r="G60" t="str">
        <f t="shared" si="1"/>
        <v>Việt Nam</v>
      </c>
      <c r="H60" t="str">
        <f>PROPER(TRIM(RIGHT(SUBSTITUTE(LEFT(D60, FIND("@", SUBSTITUTE(D60, ",", "@", LEN(D60)-LEN(SUBSTITUTE(D60, ",", ""))))-1), ",", REPT(" ", LEN(D60))), LEN(D60))))</f>
        <v>Long Cang</v>
      </c>
      <c r="I60" t="str">
        <f t="shared" si="2"/>
        <v>Hồ Chí Minh</v>
      </c>
    </row>
    <row r="61" spans="1:9" x14ac:dyDescent="0.3">
      <c r="A61" t="s">
        <v>404</v>
      </c>
      <c r="B61" t="s">
        <v>1394</v>
      </c>
      <c r="C61" t="s">
        <v>808</v>
      </c>
      <c r="D61" t="str">
        <f t="shared" si="0"/>
        <v>chi nhánh long an - công ty tnhh nutreco international việt nam (nutreco long an), h, đường số 1, long cang, tây ninh, việt namchi nhánh long an - công ty tnhh nutreco international việt nam (nutreco long an)</v>
      </c>
      <c r="E61" t="str">
        <f>SUBSTITUTE(SUBSTITUTE(SUBSTITUTE(LOWER(C61), "tphcm", "TP. Hồ Chí Minh"), "hcm", "TP. Hồ Chí Minh"), " q.", " Quận ")</f>
        <v>a28 đ. số 7, gò vấp, hồ chí minh, việt nama28 đ. số 7, gò vấp, hồ chí minh, việt nam</v>
      </c>
      <c r="F61" t="str">
        <f>PROPER(TRIM(RIGHT(SUBSTITUTE(D61, ",", REPT(" ", LEN(D61))), LEN(D61))))</f>
        <v>Việt Namchi Nhánh Long An - Công Ty Tnhh Nutreco International Việt Nam (Nutreco Long An)</v>
      </c>
      <c r="G61" t="str">
        <f t="shared" si="1"/>
        <v>Việt Nam</v>
      </c>
      <c r="H61" t="str">
        <f>PROPER(TRIM(RIGHT(SUBSTITUTE(LEFT(D61, FIND("@", SUBSTITUTE(D61, ",", "@", LEN(D61)-LEN(SUBSTITUTE(D61, ",", ""))))-1), ",", REPT(" ", LEN(D61))), LEN(D61))))</f>
        <v>Tây Ninh</v>
      </c>
      <c r="I61" t="str">
        <f t="shared" si="2"/>
        <v>Hồ Chí Minh</v>
      </c>
    </row>
    <row r="62" spans="1:9" x14ac:dyDescent="0.3">
      <c r="A62" t="s">
        <v>408</v>
      </c>
      <c r="B62" t="s">
        <v>1413</v>
      </c>
      <c r="C62" t="s">
        <v>815</v>
      </c>
      <c r="D62" t="str">
        <f t="shared" si="0"/>
        <v>công ty tnhh đại thế giới long an, long cang, tây ninh, việt namcông ty tnhh đại thế giới long an</v>
      </c>
      <c r="E62" t="str">
        <f>SUBSTITUTE(SUBSTITUTE(SUBSTITUTE(LOWER(C62), "tphcm", "TP. Hồ Chí Minh"), "hcm", "TP. Hồ Chí Minh"), " q.", " Quận ")</f>
        <v>51a đ. 164, ấp 5, bình mỹ, hồ chí minh, việt nam51a đ. 164, ấp 5, bình mỹ, hồ chí minh, việt nam</v>
      </c>
      <c r="F62" t="str">
        <f>PROPER(TRIM(RIGHT(SUBSTITUTE(D62, ",", REPT(" ", LEN(D62))), LEN(D62))))</f>
        <v>Việt Namcông Ty Tnhh Đại Thế Giới Long An</v>
      </c>
      <c r="G62" t="str">
        <f t="shared" si="1"/>
        <v>Việt Nam</v>
      </c>
      <c r="H62" t="str">
        <f>PROPER(TRIM(RIGHT(SUBSTITUTE(LEFT(D62, FIND("@", SUBSTITUTE(D62, ",", "@", LEN(D62)-LEN(SUBSTITUTE(D62, ",", ""))))-1), ",", REPT(" ", LEN(D62))), LEN(D62))))</f>
        <v>Tây Ninh</v>
      </c>
      <c r="I62" t="str">
        <f t="shared" si="2"/>
        <v>Hồ Chí Minh</v>
      </c>
    </row>
    <row r="63" spans="1:9" x14ac:dyDescent="0.3">
      <c r="A63" t="s">
        <v>414</v>
      </c>
      <c r="B63" t="s">
        <v>1423</v>
      </c>
      <c r="C63" t="s">
        <v>822</v>
      </c>
      <c r="D63" t="str">
        <f t="shared" si="0"/>
        <v>cty giày chingluh việt nam, nguyễn trung trực, bến lức, tây ninh, việt namcty giày chingluh việt nam</v>
      </c>
      <c r="E63" t="str">
        <f>SUBSTITUTE(SUBSTITUTE(SUBSTITUTE(LOWER(C63), "tphcm", "TP. Hồ Chí Minh"), "hcm", "TP. Hồ Chí Minh"), " q.", " Quận ")</f>
        <v>a5/2 đ. lê văn việt, tăng nhơn phú, hồ chí minh, việt nama5/2 đ. lê văn việt, tăng nhơn phú, hồ chí minh, việt nam</v>
      </c>
      <c r="F63" t="str">
        <f>PROPER(TRIM(RIGHT(SUBSTITUTE(D63, ",", REPT(" ", LEN(D63))), LEN(D63))))</f>
        <v>Việt Namcty Giày Chingluh Việt Nam</v>
      </c>
      <c r="G63" t="str">
        <f t="shared" si="1"/>
        <v>Việt Nam</v>
      </c>
      <c r="H63" t="str">
        <f>PROPER(TRIM(RIGHT(SUBSTITUTE(LEFT(D63, FIND("@", SUBSTITUTE(D63, ",", "@", LEN(D63)-LEN(SUBSTITUTE(D63, ",", ""))))-1), ",", REPT(" ", LEN(D63))), LEN(D63))))</f>
        <v>Tây Ninh</v>
      </c>
      <c r="I63" t="str">
        <f t="shared" si="2"/>
        <v>Hồ Chí Minh</v>
      </c>
    </row>
    <row r="64" spans="1:9" x14ac:dyDescent="0.3">
      <c r="A64" t="s">
        <v>421</v>
      </c>
      <c r="B64" t="s">
        <v>1451</v>
      </c>
      <c r="C64" t="s">
        <v>835</v>
      </c>
      <c r="D64" t="str">
        <f t="shared" si="0"/>
        <v>công ty tnhh mtv hòa thành long an, đường phan văn mãng, khu phố 9, bến lức, tây ninh, việt namcông ty tnhh mtv hòa thành long an</v>
      </c>
      <c r="E64" t="str">
        <f>SUBSTITUTE(SUBSTITUTE(SUBSTITUTE(LOWER(C64), "tphcm", "TP. Hồ Chí Minh"), "hcm", "TP. Hồ Chí Minh"), " q.", " Quận ")</f>
        <v>49 đường số 17, bình thạnh, hồ chí minh, việt nam49 đường số 17, bình thạnh, hồ chí minh, việt nam</v>
      </c>
      <c r="F64" t="str">
        <f>PROPER(TRIM(RIGHT(SUBSTITUTE(D64, ",", REPT(" ", LEN(D64))), LEN(D64))))</f>
        <v>Việt Namcông Ty Tnhh Mtv Hòa Thành Long An</v>
      </c>
      <c r="G64" t="str">
        <f t="shared" si="1"/>
        <v>Việt Nam</v>
      </c>
      <c r="H64" t="str">
        <f>PROPER(TRIM(RIGHT(SUBSTITUTE(LEFT(D64, FIND("@", SUBSTITUTE(D64, ",", "@", LEN(D64)-LEN(SUBSTITUTE(D64, ",", ""))))-1), ",", REPT(" ", LEN(D64))), LEN(D64))))</f>
        <v>Tây Ninh</v>
      </c>
      <c r="I64" t="str">
        <f t="shared" si="2"/>
        <v>Hồ Chí Minh</v>
      </c>
    </row>
    <row r="65" spans="1:9" x14ac:dyDescent="0.3">
      <c r="A65" t="s">
        <v>425</v>
      </c>
      <c r="B65" t="s">
        <v>1471</v>
      </c>
      <c r="C65" t="s">
        <v>840</v>
      </c>
      <c r="D65" t="str">
        <f t="shared" si="0"/>
        <v>công ty liên doanh phát triển đầu tư kcn thuận đạo, bến lức, tây ninh, việt namcông ty liên doanh phát triển đầu tư kcn thuận đạo</v>
      </c>
      <c r="E65" t="str">
        <f>SUBSTITUTE(SUBSTITUTE(SUBSTITUTE(LOWER(C65), "tphcm", "TP. Hồ Chí Minh"), "hcm", "TP. Hồ Chí Minh"), " q.", " Quận ")</f>
        <v>rpq6+mv6, hiệp bình, hồ chí minh, việt namrpq6+mv6, hiệp bình, hồ chí minh, việt nam</v>
      </c>
      <c r="F65" t="str">
        <f>PROPER(TRIM(RIGHT(SUBSTITUTE(D65, ",", REPT(" ", LEN(D65))), LEN(D65))))</f>
        <v>Việt Namcông Ty Liên Doanh Phát Triển Đầu Tư Kcn Thuận Đạo</v>
      </c>
      <c r="G65" t="str">
        <f t="shared" si="1"/>
        <v>Việt Nam</v>
      </c>
      <c r="H65" t="str">
        <f>PROPER(TRIM(RIGHT(SUBSTITUTE(LEFT(D65, FIND("@", SUBSTITUTE(D65, ",", "@", LEN(D65)-LEN(SUBSTITUTE(D65, ",", ""))))-1), ",", REPT(" ", LEN(D65))), LEN(D65))))</f>
        <v>Tây Ninh</v>
      </c>
      <c r="I65" t="str">
        <f t="shared" si="2"/>
        <v>Hồ Chí Minh</v>
      </c>
    </row>
    <row r="66" spans="1:9" x14ac:dyDescent="0.3">
      <c r="A66" t="s">
        <v>430</v>
      </c>
      <c r="B66" t="s">
        <v>1485</v>
      </c>
      <c r="C66" t="s">
        <v>860</v>
      </c>
      <c r="D66" t="str">
        <f t="shared" si="0"/>
        <v>công ty tnhh sản xuất giày toàn cầu elite việt nam, quốc lộ 1a, ấp 3, bến lức, tây ninh, việt namcông ty tnhh sản xuất giày toàn cầu elite việt nam</v>
      </c>
      <c r="E66" t="str">
        <f>SUBSTITUTE(SUBSTITUTE(SUBSTITUTE(LOWER(C66), "tphcm", "TP. Hồ Chí Minh"), "hcm", "TP. Hồ Chí Minh"), " q.", " Quận ")</f>
        <v>quận 2, đường số 3, an khánh, hồ chí minh, việt namquận 2</v>
      </c>
      <c r="F66" t="str">
        <f>PROPER(TRIM(RIGHT(SUBSTITUTE(D66, ",", REPT(" ", LEN(D66))), LEN(D66))))</f>
        <v>Việt Namcông Ty Tnhh Sản Xuất Giày Toàn Cầu Elite Việt Nam</v>
      </c>
      <c r="G66" t="str">
        <f t="shared" si="1"/>
        <v>Việt Namquận 2</v>
      </c>
      <c r="H66" t="str">
        <f>PROPER(TRIM(RIGHT(SUBSTITUTE(LEFT(D66, FIND("@", SUBSTITUTE(D66, ",", "@", LEN(D66)-LEN(SUBSTITUTE(D66, ",", ""))))-1), ",", REPT(" ", LEN(D66))), LEN(D66))))</f>
        <v>Tây Ninh</v>
      </c>
      <c r="I66" t="str">
        <f t="shared" si="2"/>
        <v>Hồ Chí Minh</v>
      </c>
    </row>
    <row r="67" spans="1:9" x14ac:dyDescent="0.3">
      <c r="A67" t="s">
        <v>437</v>
      </c>
      <c r="B67" t="s">
        <v>1505</v>
      </c>
      <c r="C67" t="s">
        <v>874</v>
      </c>
      <c r="D67" t="str">
        <f t="shared" ref="D67:D130" si="3">SUBSTITUTE(SUBSTITUTE(SUBSTITUTE(LOWER(B67), "tphcm", "TP. Hồ Chí Minh"), "hcm", "TP. Hồ Chí Minh"), " q.", " Quận ")</f>
        <v>công ty cổ phần bourbon bến lức, nguyễn trung trực, khu phố 6, bến lức, tây ninh, việt namcông ty cổ phần bourbon bến lức</v>
      </c>
      <c r="E67" t="str">
        <f>SUBSTITUTE(SUBSTITUTE(SUBSTITUTE(LOWER(C67), "tphcm", "TP. Hồ Chí Minh"), "hcm", "TP. Hồ Chí Minh"), " q.", " Quận ")</f>
        <v>73 d. so 6, khu phố 2, hiệp bình, hồ chí minh, việt nam73 d. so 6, khu phố 2, hiệp bình, hồ chí minh, việt nam</v>
      </c>
      <c r="F67" t="str">
        <f>PROPER(TRIM(RIGHT(SUBSTITUTE(D67, ",", REPT(" ", LEN(D67))), LEN(D67))))</f>
        <v>Việt Namcông Ty Cổ Phần Bourbon Bến Lức</v>
      </c>
      <c r="G67" t="str">
        <f t="shared" ref="G67:G130" si="4">PROPER(TRIM(RIGHT(SUBSTITUTE(E67, ",", REPT(" ", LEN(E67))), LEN(E67))))</f>
        <v>Việt Nam</v>
      </c>
      <c r="H67" t="str">
        <f>PROPER(TRIM(RIGHT(SUBSTITUTE(LEFT(D67, FIND("@", SUBSTITUTE(D67, ",", "@", LEN(D67)-LEN(SUBSTITUTE(D67, ",", ""))))-1), ",", REPT(" ", LEN(D67))), LEN(D67))))</f>
        <v>Tây Ninh</v>
      </c>
      <c r="I67" t="str">
        <f t="shared" ref="I67:I130" si="5">PROPER(TRIM(RIGHT(SUBSTITUTE(LEFT(E67, FIND("@", SUBSTITUTE(E67, ",", "@", LEN(E67)-LEN(SUBSTITUTE(E67, ",", ""))))-1), ",", REPT(" ", LEN(E67))), LEN(E67))))</f>
        <v>Hồ Chí Minh</v>
      </c>
    </row>
    <row r="68" spans="1:9" x14ac:dyDescent="0.3">
      <c r="A68" t="s">
        <v>447</v>
      </c>
      <c r="B68" t="s">
        <v>1572</v>
      </c>
      <c r="C68" t="s">
        <v>936</v>
      </c>
      <c r="D68" t="str">
        <f t="shared" si="3"/>
        <v>công ty tnhh european snack food (việt nam), đường số 6, kcn, mỹ yên, tây ninh, việt namcông ty tnhh european snack food (việt nam)</v>
      </c>
      <c r="E68" t="str">
        <f>SUBSTITUTE(SUBSTITUTE(SUBSTITUTE(LOWER(C68), "tphcm", "TP. Hồ Chí Minh"), "hcm", "TP. Hồ Chí Minh"), " q.", " Quận ")</f>
        <v>củ chi, bình mỹ, hồ chí minh, việt namcủ chi</v>
      </c>
      <c r="F68" t="str">
        <f>PROPER(TRIM(RIGHT(SUBSTITUTE(D68, ",", REPT(" ", LEN(D68))), LEN(D68))))</f>
        <v>Việt Namcông Ty Tnhh European Snack Food (Việt Nam)</v>
      </c>
      <c r="G68" t="str">
        <f t="shared" si="4"/>
        <v>Việt Namcủ Chi</v>
      </c>
      <c r="H68" t="str">
        <f>PROPER(TRIM(RIGHT(SUBSTITUTE(LEFT(D68, FIND("@", SUBSTITUTE(D68, ",", "@", LEN(D68)-LEN(SUBSTITUTE(D68, ",", ""))))-1), ",", REPT(" ", LEN(D68))), LEN(D68))))</f>
        <v>Tây Ninh</v>
      </c>
      <c r="I68" t="str">
        <f t="shared" si="5"/>
        <v>Hồ Chí Minh</v>
      </c>
    </row>
    <row r="69" spans="1:9" x14ac:dyDescent="0.3">
      <c r="A69" t="s">
        <v>451</v>
      </c>
      <c r="B69" t="s">
        <v>1580</v>
      </c>
      <c r="C69" t="s">
        <v>969</v>
      </c>
      <c r="D69" t="str">
        <f t="shared" si="3"/>
        <v>công ty tnhh sản xuất ngũ kim hung hing hong kong (việt nam), mỹ yên, tây ninh, việt namcông ty tnhh sản xuất ngũ kim hung hing hong kong (việt nam)</v>
      </c>
      <c r="E69" t="str">
        <f>SUBSTITUTE(SUBSTITUTE(SUBSTITUTE(LOWER(C69), "tphcm", "TP. Hồ Chí Minh"), "hcm", "TP. Hồ Chí Minh"), " q.", " Quận ")</f>
        <v>39753 đ. lê văn việt, tăng nhơn phú, hồ chí minh, việt nam39753 đ. lê văn việt, tăng nhơn phú, hồ chí minh, việt nam</v>
      </c>
      <c r="F69" t="str">
        <f>PROPER(TRIM(RIGHT(SUBSTITUTE(D69, ",", REPT(" ", LEN(D69))), LEN(D69))))</f>
        <v>Việt Namcông Ty Tnhh Sản Xuất Ngũ Kim Hung Hing Hong Kong (Việt Nam)</v>
      </c>
      <c r="G69" t="str">
        <f t="shared" si="4"/>
        <v>Việt Nam</v>
      </c>
      <c r="H69" t="str">
        <f>PROPER(TRIM(RIGHT(SUBSTITUTE(LEFT(D69, FIND("@", SUBSTITUTE(D69, ",", "@", LEN(D69)-LEN(SUBSTITUTE(D69, ",", ""))))-1), ",", REPT(" ", LEN(D69))), LEN(D69))))</f>
        <v>Tây Ninh</v>
      </c>
      <c r="I69" t="str">
        <f t="shared" si="5"/>
        <v>Hồ Chí Minh</v>
      </c>
    </row>
    <row r="70" spans="1:9" x14ac:dyDescent="0.3">
      <c r="A70" t="s">
        <v>455</v>
      </c>
      <c r="B70" t="s">
        <v>1592</v>
      </c>
      <c r="C70" t="s">
        <v>1027</v>
      </c>
      <c r="D70" t="str">
        <f t="shared" si="3"/>
        <v>công ty tnhh bao bì xuất khẩu và thương mại vạn thành, quốc lộ 1a, mỹ yên, tây ninh, việt namcông ty tnhh bao bì xuất khẩu và thương mại vạn thành</v>
      </c>
      <c r="E70" t="str">
        <f>SUBSTITUTE(SUBSTITUTE(SUBSTITUTE(LOWER(C70), "tphcm", "TP. Hồ Chí Minh"), "hcm", "TP. Hồ Chí Minh"), " q.", " Quận ")</f>
        <v>hóc môn, hồ chí minh, việt namhóc môn</v>
      </c>
      <c r="F70" t="str">
        <f>PROPER(TRIM(RIGHT(SUBSTITUTE(D70, ",", REPT(" ", LEN(D70))), LEN(D70))))</f>
        <v>Việt Namcông Ty Tnhh Bao Bì Xuất Khẩu Và Thương Mại Vạn Thành</v>
      </c>
      <c r="G70" t="str">
        <f t="shared" si="4"/>
        <v>Việt Namhóc Môn</v>
      </c>
      <c r="H70" t="str">
        <f>PROPER(TRIM(RIGHT(SUBSTITUTE(LEFT(D70, FIND("@", SUBSTITUTE(D70, ",", "@", LEN(D70)-LEN(SUBSTITUTE(D70, ",", ""))))-1), ",", REPT(" ", LEN(D70))), LEN(D70))))</f>
        <v>Tây Ninh</v>
      </c>
      <c r="I70" t="str">
        <f t="shared" si="5"/>
        <v>Hồ Chí Minh</v>
      </c>
    </row>
    <row r="71" spans="1:9" x14ac:dyDescent="0.3">
      <c r="A71" t="s">
        <v>459</v>
      </c>
      <c r="B71" t="s">
        <v>1646</v>
      </c>
      <c r="C71" t="s">
        <v>1154</v>
      </c>
      <c r="D71" t="str">
        <f t="shared" si="3"/>
        <v>công ty tnhh bibica miền tây, 9 vl3, kcn vĩnh lộc 2, mỹ yên, tây ninh, việt namcông ty tnhh bibica miền tây</v>
      </c>
      <c r="E71" t="str">
        <f>SUBSTITUTE(SUBSTITUTE(SUBSTITUTE(LOWER(C71), "tphcm", "TP. Hồ Chí Minh"), "hcm", "TP. Hồ Chí Minh"), " q.", " Quận ")</f>
        <v>9/ql13/31 tổ 8, khu phố 5, hiệp bình, hồ chí minh, việt nam9/ql13/31 tổ 8, khu phố 5, hiệp bình, hồ chí minh, việt nam</v>
      </c>
      <c r="F71" t="str">
        <f>PROPER(TRIM(RIGHT(SUBSTITUTE(D71, ",", REPT(" ", LEN(D71))), LEN(D71))))</f>
        <v>Việt Namcông Ty Tnhh Bibica Miền Tây</v>
      </c>
      <c r="G71" t="str">
        <f t="shared" si="4"/>
        <v>Việt Nam</v>
      </c>
      <c r="H71" t="str">
        <f>PROPER(TRIM(RIGHT(SUBSTITUTE(LEFT(D71, FIND("@", SUBSTITUTE(D71, ",", "@", LEN(D71)-LEN(SUBSTITUTE(D71, ",", ""))))-1), ",", REPT(" ", LEN(D71))), LEN(D71))))</f>
        <v>Tây Ninh</v>
      </c>
      <c r="I71" t="str">
        <f t="shared" si="5"/>
        <v>Hồ Chí Minh</v>
      </c>
    </row>
    <row r="72" spans="1:9" x14ac:dyDescent="0.3">
      <c r="A72" t="s">
        <v>466</v>
      </c>
      <c r="B72" t="s">
        <v>1668</v>
      </c>
      <c r="C72" t="s">
        <v>1190</v>
      </c>
      <c r="D72" t="str">
        <f t="shared" si="3"/>
        <v>công ty cổ phần tập đoàn kim đức, đường vl1, kcn vĩnh, mỹ yên, tây ninh, việt namcông ty cổ phần tập đoàn kim đức</v>
      </c>
      <c r="E72" t="str">
        <f>SUBSTITUTE(SUBSTITUTE(SUBSTITUTE(LOWER(C72), "tphcm", "TP. Hồ Chí Minh"), "hcm", "TP. Hồ Chí Minh"), " q.", " Quận ")</f>
        <v>71 đ. số 5, khu đô thị vạn phúc, hiệp bình, hồ chí minh 70000, việt nam71 đ. số 5, khu đô thị vạn phúc, hiệp bình, hồ chí minh 70000, việt nam</v>
      </c>
      <c r="F72" t="str">
        <f>PROPER(TRIM(RIGHT(SUBSTITUTE(D72, ",", REPT(" ", LEN(D72))), LEN(D72))))</f>
        <v>Việt Namcông Ty Cổ Phần Tập Đoàn Kim Đức</v>
      </c>
      <c r="G72" t="str">
        <f t="shared" si="4"/>
        <v>Việt Nam</v>
      </c>
      <c r="H72" t="str">
        <f>PROPER(TRIM(RIGHT(SUBSTITUTE(LEFT(D72, FIND("@", SUBSTITUTE(D72, ",", "@", LEN(D72)-LEN(SUBSTITUTE(D72, ",", ""))))-1), ",", REPT(" ", LEN(D72))), LEN(D72))))</f>
        <v>Tây Ninh</v>
      </c>
      <c r="I72" t="str">
        <f t="shared" si="5"/>
        <v>Hồ Chí Minh 70000</v>
      </c>
    </row>
    <row r="73" spans="1:9" x14ac:dyDescent="0.3">
      <c r="A73" t="s">
        <v>473</v>
      </c>
      <c r="B73" t="s">
        <v>1678</v>
      </c>
      <c r="C73" t="s">
        <v>1201</v>
      </c>
      <c r="D73" t="str">
        <f t="shared" si="3"/>
        <v>công ty cổ phần tkmb, đường vl1, kcn vĩnh lộc 2, mỹ yên, tây ninh, việt namcông ty cổ phần tkmb</v>
      </c>
      <c r="E73" t="str">
        <f>SUBSTITUTE(SUBSTITUTE(SUBSTITUTE(LOWER(C73), "tphcm", "TP. Hồ Chí Minh"), "hcm", "TP. Hồ Chí Minh"), " q.", " Quận ")</f>
        <v>2/15d trần não, khu đô thị an phú an khánh, an khánh, hồ chí minh, việt nam2/15d trần não, khu đô thị an phú an khánh, an khánh, hồ chí minh, việt nam</v>
      </c>
      <c r="F73" t="str">
        <f>PROPER(TRIM(RIGHT(SUBSTITUTE(D73, ",", REPT(" ", LEN(D73))), LEN(D73))))</f>
        <v>Việt Namcông Ty Cổ Phần Tkmb</v>
      </c>
      <c r="G73" t="str">
        <f t="shared" si="4"/>
        <v>Việt Nam</v>
      </c>
      <c r="H73" t="str">
        <f>PROPER(TRIM(RIGHT(SUBSTITUTE(LEFT(D73, FIND("@", SUBSTITUTE(D73, ",", "@", LEN(D73)-LEN(SUBSTITUTE(D73, ",", ""))))-1), ",", REPT(" ", LEN(D73))), LEN(D73))))</f>
        <v>Tây Ninh</v>
      </c>
      <c r="I73" t="str">
        <f t="shared" si="5"/>
        <v>Hồ Chí Minh</v>
      </c>
    </row>
    <row r="74" spans="1:9" x14ac:dyDescent="0.3">
      <c r="A74" t="s">
        <v>477</v>
      </c>
      <c r="B74" t="s">
        <v>1688</v>
      </c>
      <c r="C74" t="s">
        <v>1313</v>
      </c>
      <c r="D74" t="str">
        <f t="shared" si="3"/>
        <v>phi long food manufactory co.,ltd, đường vl2, kcn, mỹ yên, tây ninh, việt namphi long food manufactory co.,ltd</v>
      </c>
      <c r="E74" t="str">
        <f>SUBSTITUTE(SUBSTITUTE(SUBSTITUTE(LOWER(C74), "tphcm", "TP. Hồ Chí Minh"), "hcm", "TP. Hồ Chí Minh"), " q.", " Quận ")</f>
        <v>di an binh duong, đường tỉnh 743, kp chiêu liêu, dĩ an, an phú, hồ chí minh, việt namdi an binh duong</v>
      </c>
      <c r="F74" t="str">
        <f>PROPER(TRIM(RIGHT(SUBSTITUTE(D74, ",", REPT(" ", LEN(D74))), LEN(D74))))</f>
        <v>Ltd</v>
      </c>
      <c r="G74" t="str">
        <f t="shared" si="4"/>
        <v>Việt Namdi An Binh Duong</v>
      </c>
      <c r="H74" t="str">
        <f>PROPER(TRIM(RIGHT(SUBSTITUTE(LEFT(D74, FIND("@", SUBSTITUTE(D74, ",", "@", LEN(D74)-LEN(SUBSTITUTE(D74, ",", ""))))-1), ",", REPT(" ", LEN(D74))), LEN(D74))))</f>
        <v>Việt Namphi Long Food Manufactory Co.</v>
      </c>
      <c r="I74" t="str">
        <f t="shared" si="5"/>
        <v>Hồ Chí Minh</v>
      </c>
    </row>
    <row r="75" spans="1:9" x14ac:dyDescent="0.3">
      <c r="A75" t="s">
        <v>484</v>
      </c>
      <c r="B75" t="s">
        <v>1706</v>
      </c>
      <c r="C75" t="s">
        <v>1354</v>
      </c>
      <c r="D75" t="str">
        <f t="shared" si="3"/>
        <v>công ty cổ phần in dica, đường vl1, kcn vĩnh lộc 2, mỹ yên, tây ninh, việt namcông ty cổ phần in dica</v>
      </c>
      <c r="E75" t="str">
        <f>SUBSTITUTE(SUBSTITUTE(SUBSTITUTE(LOWER(C75), "tphcm", "TP. Hồ Chí Minh"), "hcm", "TP. Hồ Chí Minh"), " q.", " Quận ")</f>
        <v>công ty tnhh mtv nhựa ngọc thắng, đường chùa hội khánh, phường, thủ dầu một, hồ chí minh, việt namcông ty tnhh mtv nhựa ngọc thắng</v>
      </c>
      <c r="F75" t="str">
        <f>PROPER(TRIM(RIGHT(SUBSTITUTE(D75, ",", REPT(" ", LEN(D75))), LEN(D75))))</f>
        <v>Việt Namcông Ty Cổ Phần In Dica</v>
      </c>
      <c r="G75" t="str">
        <f t="shared" si="4"/>
        <v>Việt Namcông Ty Tnhh Mtv Nhựa Ngọc Thắng</v>
      </c>
      <c r="H75" t="str">
        <f>PROPER(TRIM(RIGHT(SUBSTITUTE(LEFT(D75, FIND("@", SUBSTITUTE(D75, ",", "@", LEN(D75)-LEN(SUBSTITUTE(D75, ",", ""))))-1), ",", REPT(" ", LEN(D75))), LEN(D75))))</f>
        <v>Tây Ninh</v>
      </c>
      <c r="I75" t="str">
        <f t="shared" si="5"/>
        <v>Hồ Chí Minh</v>
      </c>
    </row>
    <row r="76" spans="1:9" x14ac:dyDescent="0.3">
      <c r="A76" t="s">
        <v>490</v>
      </c>
      <c r="B76" t="s">
        <v>1720</v>
      </c>
      <c r="C76" t="s">
        <v>1364</v>
      </c>
      <c r="D76" t="str">
        <f t="shared" si="3"/>
        <v>công ty cổ phần nosafood - nhà máy bến lức, đường vl7, kcn vĩnh lộc 2 x, mỹ yên, tây ninh, việt namcông ty cổ phần nosafood - nhà máy bến lức</v>
      </c>
      <c r="E76" t="str">
        <f>SUBSTITUTE(SUBSTITUTE(SUBSTITUTE(LOWER(C76), "tphcm", "TP. Hồ Chí Minh"), "hcm", "TP. Hồ Chí Minh"), " q.", " Quận ")</f>
        <v>diamond viet nam co.,ltd, đường n6, bến cát, hồ chí minh, việt namdiamond viet nam co.,ltd</v>
      </c>
      <c r="F76" t="str">
        <f>PROPER(TRIM(RIGHT(SUBSTITUTE(D76, ",", REPT(" ", LEN(D76))), LEN(D76))))</f>
        <v>Việt Namcông Ty Cổ Phần Nosafood - Nhà Máy Bến Lức</v>
      </c>
      <c r="G76" t="str">
        <f t="shared" si="4"/>
        <v>Ltd</v>
      </c>
      <c r="H76" t="str">
        <f>PROPER(TRIM(RIGHT(SUBSTITUTE(LEFT(D76, FIND("@", SUBSTITUTE(D76, ",", "@", LEN(D76)-LEN(SUBSTITUTE(D76, ",", ""))))-1), ",", REPT(" ", LEN(D76))), LEN(D76))))</f>
        <v>Tây Ninh</v>
      </c>
      <c r="I76" t="str">
        <f t="shared" si="5"/>
        <v>Việt Namdiamond Viet Nam Co.</v>
      </c>
    </row>
    <row r="77" spans="1:9" x14ac:dyDescent="0.3">
      <c r="A77" t="s">
        <v>502</v>
      </c>
      <c r="B77" t="s">
        <v>1730</v>
      </c>
      <c r="C77" t="s">
        <v>1372</v>
      </c>
      <c r="D77" t="str">
        <f t="shared" si="3"/>
        <v>công ty tnhh công nghiệp lixeton, nhà xưởng 2, đường vl3, khu công nghiệp, mỹ yên, tây ninh, việt namcông ty tnhh công nghiệp lixeton</v>
      </c>
      <c r="E77" t="str">
        <f>SUBSTITUTE(SUBSTITUTE(SUBSTITUTE(LOWER(C77), "tphcm", "TP. Hồ Chí Minh"), "hcm", "TP. Hồ Chí Minh"), " q.", " Quận ")</f>
        <v>công ty tnhh chinh long bến cát, tây nam, hồ chí minh, việt namcông ty tnhh chinh long bến cát</v>
      </c>
      <c r="F77" t="str">
        <f>PROPER(TRIM(RIGHT(SUBSTITUTE(D77, ",", REPT(" ", LEN(D77))), LEN(D77))))</f>
        <v>Việt Namcông Ty Tnhh Công Nghiệp Lixeton</v>
      </c>
      <c r="G77" t="str">
        <f t="shared" si="4"/>
        <v>Việt Namcông Ty Tnhh Chinh Long Bến Cát</v>
      </c>
      <c r="H77" t="str">
        <f>PROPER(TRIM(RIGHT(SUBSTITUTE(LEFT(D77, FIND("@", SUBSTITUTE(D77, ",", "@", LEN(D77)-LEN(SUBSTITUTE(D77, ",", ""))))-1), ",", REPT(" ", LEN(D77))), LEN(D77))))</f>
        <v>Tây Ninh</v>
      </c>
      <c r="I77" t="str">
        <f t="shared" si="5"/>
        <v>Hồ Chí Minh</v>
      </c>
    </row>
    <row r="78" spans="1:9" x14ac:dyDescent="0.3">
      <c r="A78" t="s">
        <v>510</v>
      </c>
      <c r="B78" t="s">
        <v>1760</v>
      </c>
      <c r="C78" t="s">
        <v>1383</v>
      </c>
      <c r="D78" t="str">
        <f t="shared" si="3"/>
        <v>dm textiles company ltd., vl7 street commune, vinh loc 2 industrial zone, voi la hamlet, mỹ yên, tây ninh, việt namdm textiles company ltd.</v>
      </c>
      <c r="E78" t="str">
        <f>SUBSTITUTE(SUBSTITUTE(SUBSTITUTE(LOWER(C78), "tphcm", "TP. Hồ Chí Minh"), "hcm", "TP. Hồ Chí Minh"), " q.", " Quận ")</f>
        <v>công ty tnhh xinhui, tân uyên, hồ chí minh, việt namcông ty tnhh xinhui</v>
      </c>
      <c r="F78" t="str">
        <f>PROPER(TRIM(RIGHT(SUBSTITUTE(D78, ",", REPT(" ", LEN(D78))), LEN(D78))))</f>
        <v>Việt Namdm Textiles Company Ltd.</v>
      </c>
      <c r="G78" t="str">
        <f t="shared" si="4"/>
        <v>Việt Namcông Ty Tnhh Xinhui</v>
      </c>
      <c r="H78" t="str">
        <f>PROPER(TRIM(RIGHT(SUBSTITUTE(LEFT(D78, FIND("@", SUBSTITUTE(D78, ",", "@", LEN(D78)-LEN(SUBSTITUTE(D78, ",", ""))))-1), ",", REPT(" ", LEN(D78))), LEN(D78))))</f>
        <v>Tây Ninh</v>
      </c>
      <c r="I78" t="str">
        <f t="shared" si="5"/>
        <v>Hồ Chí Minh</v>
      </c>
    </row>
    <row r="79" spans="1:9" x14ac:dyDescent="0.3">
      <c r="A79" t="s">
        <v>514</v>
      </c>
      <c r="B79" t="s">
        <v>1828</v>
      </c>
      <c r="C79" t="s">
        <v>1395</v>
      </c>
      <c r="D79" t="str">
        <f t="shared" si="3"/>
        <v>cty tnhh mtv benkan việt nam 1, đạo mỡ rộng, đường số 01, kcn thuận, long cang, tây ninh, việt namcty tnhh mtv benkan việt nam 1</v>
      </c>
      <c r="E79" t="str">
        <f>SUBSTITUTE(SUBSTITUTE(SUBSTITUTE(LOWER(C79), "tphcm", "TP. Hồ Chí Minh"), "hcm", "TP. Hồ Chí Minh"), " q.", " Quận ")</f>
        <v>công ty bách thuận 佰順噴漆廠, unnamed, road, thuận giao, hồ chí minh, việt namcông ty bách thuận 佰順噴漆廠</v>
      </c>
      <c r="F79" t="str">
        <f>PROPER(TRIM(RIGHT(SUBSTITUTE(D79, ",", REPT(" ", LEN(D79))), LEN(D79))))</f>
        <v>Việt Namcty Tnhh Mtv Benkan Việt Nam 1</v>
      </c>
      <c r="G79" t="str">
        <f t="shared" si="4"/>
        <v>Việt Namcông Ty Bách Thuận 佰順噴漆廠</v>
      </c>
      <c r="H79" t="str">
        <f>PROPER(TRIM(RIGHT(SUBSTITUTE(LEFT(D79, FIND("@", SUBSTITUTE(D79, ",", "@", LEN(D79)-LEN(SUBSTITUTE(D79, ",", ""))))-1), ",", REPT(" ", LEN(D79))), LEN(D79))))</f>
        <v>Tây Ninh</v>
      </c>
      <c r="I79" t="str">
        <f t="shared" si="5"/>
        <v>Hồ Chí Minh</v>
      </c>
    </row>
    <row r="80" spans="1:9" x14ac:dyDescent="0.3">
      <c r="A80" t="s">
        <v>521</v>
      </c>
      <c r="B80" t="s">
        <v>1842</v>
      </c>
      <c r="C80" t="s">
        <v>1414</v>
      </c>
      <c r="D80" t="str">
        <f t="shared" si="3"/>
        <v>công ty tnhh quick pack việt nam, đường số 13, kcn thuận đạo mở rộng, long cang, tây ninh, việt namcông ty tnhh quick pack việt nam</v>
      </c>
      <c r="E80" t="str">
        <f>SUBSTITUTE(SUBSTITUTE(SUBSTITUTE(LOWER(C80), "tphcm", "TP. Hồ Chí Minh"), "hcm", "TP. Hồ Chí Minh"), " q.", " Quận ")</f>
        <v>công ty tnhh eins vina co., ltd, thống nhất, quận, dĩ an, hồ chí minh, việt namcông ty tnhh eins vina co., ltd</v>
      </c>
      <c r="F80" t="str">
        <f>PROPER(TRIM(RIGHT(SUBSTITUTE(D80, ",", REPT(" ", LEN(D80))), LEN(D80))))</f>
        <v>Việt Namcông Ty Tnhh Quick Pack Việt Nam</v>
      </c>
      <c r="G80" t="str">
        <f t="shared" si="4"/>
        <v>Ltd</v>
      </c>
      <c r="H80" t="str">
        <f>PROPER(TRIM(RIGHT(SUBSTITUTE(LEFT(D80, FIND("@", SUBSTITUTE(D80, ",", "@", LEN(D80)-LEN(SUBSTITUTE(D80, ",", ""))))-1), ",", REPT(" ", LEN(D80))), LEN(D80))))</f>
        <v>Tây Ninh</v>
      </c>
      <c r="I80" t="str">
        <f t="shared" si="5"/>
        <v>Việt Namcông Ty Tnhh Eins Vina Co.</v>
      </c>
    </row>
    <row r="81" spans="1:9" x14ac:dyDescent="0.3">
      <c r="A81" t="s">
        <v>528</v>
      </c>
      <c r="B81" t="s">
        <v>1852</v>
      </c>
      <c r="C81" t="s">
        <v>1424</v>
      </c>
      <c r="D81" t="str">
        <f t="shared" si="3"/>
        <v>công ty tnhh mtv san-ei vn (有限会社三栄ベトナム）, long cang, tây ninh, việt namcông ty tnhh mtv san-ei vn (有限会社三栄ベトナム）</v>
      </c>
      <c r="E81" t="str">
        <f>SUBSTITUTE(SUBSTITUTE(SUBSTITUTE(LOWER(C81), "tphcm", "TP. Hồ Chí Minh"), "hcm", "TP. Hồ Chí Minh"), " q.", " Quận ")</f>
        <v>118/4 khu công nghiệp amata, long bình, đồng nai 70000, việt nam118/4 khu công nghiệp amata, long bình, đồng nai 70000, việt nam</v>
      </c>
      <c r="F81" t="str">
        <f>PROPER(TRIM(RIGHT(SUBSTITUTE(D81, ",", REPT(" ", LEN(D81))), LEN(D81))))</f>
        <v>Việt Namcông Ty Tnhh Mtv San-Ei Vn (有限会社三栄ベトナム）</v>
      </c>
      <c r="G81" t="str">
        <f t="shared" si="4"/>
        <v>Việt Nam</v>
      </c>
      <c r="H81" t="str">
        <f>PROPER(TRIM(RIGHT(SUBSTITUTE(LEFT(D81, FIND("@", SUBSTITUTE(D81, ",", "@", LEN(D81)-LEN(SUBSTITUTE(D81, ",", ""))))-1), ",", REPT(" ", LEN(D81))), LEN(D81))))</f>
        <v>Tây Ninh</v>
      </c>
      <c r="I81" t="str">
        <f t="shared" si="5"/>
        <v>Đồng Nai 70000</v>
      </c>
    </row>
    <row r="82" spans="1:9" x14ac:dyDescent="0.3">
      <c r="A82" t="s">
        <v>532</v>
      </c>
      <c r="B82" t="s">
        <v>1884</v>
      </c>
      <c r="C82" t="s">
        <v>1441</v>
      </c>
      <c r="D82" t="str">
        <f t="shared" si="3"/>
        <v>công ty tnhh công nghệ crm ( việt nam ) - crm(越南)化工科技有限公司, đường số 14, long cang, tây ninh, việt namcông ty tnhh công nghệ crm ( việt nam ) - crm(越南)化工科技有限公司</v>
      </c>
      <c r="E82" t="str">
        <f>SUBSTITUTE(SUBSTITUTE(SUBSTITUTE(LOWER(C82), "tphcm", "TP. Hồ Chí Minh"), "hcm", "TP. Hồ Chí Minh"), " q.", " Quận ")</f>
        <v>công ty may esprinta vn - kcn sóng thần 2, đường số 12 2, khu công nghiệp sóng thần, dĩ an, hồ chí minh, việt namcông ty may esprinta vn - kcn sóng thần 2</v>
      </c>
      <c r="F82" t="str">
        <f>PROPER(TRIM(RIGHT(SUBSTITUTE(D82, ",", REPT(" ", LEN(D82))), LEN(D82))))</f>
        <v>Việt Namcông Ty Tnhh Công Nghệ Crm ( Việt Nam ) - Crm(越南)化工科技有限公司</v>
      </c>
      <c r="G82" t="str">
        <f t="shared" si="4"/>
        <v>Việt Namcông Ty May Esprinta Vn - Kcn Sóng Thần 2</v>
      </c>
      <c r="H82" t="str">
        <f>PROPER(TRIM(RIGHT(SUBSTITUTE(LEFT(D82, FIND("@", SUBSTITUTE(D82, ",", "@", LEN(D82)-LEN(SUBSTITUTE(D82, ",", ""))))-1), ",", REPT(" ", LEN(D82))), LEN(D82))))</f>
        <v>Tây Ninh</v>
      </c>
      <c r="I82" t="str">
        <f t="shared" si="5"/>
        <v>Hồ Chí Minh</v>
      </c>
    </row>
    <row r="83" spans="1:9" x14ac:dyDescent="0.3">
      <c r="A83" t="s">
        <v>539</v>
      </c>
      <c r="B83" t="s">
        <v>1894</v>
      </c>
      <c r="C83" t="s">
        <v>1452</v>
      </c>
      <c r="D83" t="str">
        <f t="shared" si="3"/>
        <v>công ty tnhh in ấn phụ liệu may mặc samson (việt nam), đường số 15, kcn thuận đạo mở rộng, long cang, tây ninh, việt namcông ty tnhh in ấn phụ liệu may mặc samson (việt nam)</v>
      </c>
      <c r="E83" t="str">
        <f>SUBSTITUTE(SUBSTITUTE(SUBSTITUTE(LOWER(C83), "tphcm", "TP. Hồ Chí Minh"), "hcm", "TP. Hồ Chí Minh"), " q.", " Quận ")</f>
        <v>bmfe corp-công ty cổ phần bmfe, xuân thới 14, xuân thới sơn, hồ chí minh, việt nambmfe corp-công ty cổ phần bmfe</v>
      </c>
      <c r="F83" t="str">
        <f>PROPER(TRIM(RIGHT(SUBSTITUTE(D83, ",", REPT(" ", LEN(D83))), LEN(D83))))</f>
        <v>Việt Namcông Ty Tnhh In Ấn Phụ Liệu May Mặc Samson (Việt Nam)</v>
      </c>
      <c r="G83" t="str">
        <f t="shared" si="4"/>
        <v>Việt Nambmfe Corp-Công Ty Cổ Phần Bmfe</v>
      </c>
      <c r="H83" t="str">
        <f>PROPER(TRIM(RIGHT(SUBSTITUTE(LEFT(D83, FIND("@", SUBSTITUTE(D83, ",", "@", LEN(D83)-LEN(SUBSTITUTE(D83, ",", ""))))-1), ",", REPT(" ", LEN(D83))), LEN(D83))))</f>
        <v>Tây Ninh</v>
      </c>
      <c r="I83" t="str">
        <f t="shared" si="5"/>
        <v>Hồ Chí Minh</v>
      </c>
    </row>
    <row r="84" spans="1:9" x14ac:dyDescent="0.3">
      <c r="A84" t="s">
        <v>543</v>
      </c>
      <c r="B84" t="s">
        <v>1904</v>
      </c>
      <c r="C84" t="s">
        <v>1459</v>
      </c>
      <c r="D84" t="str">
        <f t="shared" si="3"/>
        <v>bw thuan dao logistics park, long cang, tây ninh, việt nambw thuan dao logistics park</v>
      </c>
      <c r="E84" t="str">
        <f>SUBSTITUTE(SUBSTITUTE(SUBSTITUTE(LOWER(C84), "tphcm", "TP. Hồ Chí Minh"), "hcm", "TP. Hồ Chí Minh"), " q.", " Quận ")</f>
        <v>công ty cổ phần chế biến gỗ thuận an, đại lộ bình dương, thuận giao, hồ chí minh, việt namcông ty cổ phần chế biến gỗ thuận an</v>
      </c>
      <c r="F84" t="str">
        <f>PROPER(TRIM(RIGHT(SUBSTITUTE(D84, ",", REPT(" ", LEN(D84))), LEN(D84))))</f>
        <v>Việt Nambw Thuan Dao Logistics Park</v>
      </c>
      <c r="G84" t="str">
        <f t="shared" si="4"/>
        <v>Việt Namcông Ty Cổ Phần Chế Biến Gỗ Thuận An</v>
      </c>
      <c r="H84" t="str">
        <f>PROPER(TRIM(RIGHT(SUBSTITUTE(LEFT(D84, FIND("@", SUBSTITUTE(D84, ",", "@", LEN(D84)-LEN(SUBSTITUTE(D84, ",", ""))))-1), ",", REPT(" ", LEN(D84))), LEN(D84))))</f>
        <v>Tây Ninh</v>
      </c>
      <c r="I84" t="str">
        <f t="shared" si="5"/>
        <v>Hồ Chí Minh</v>
      </c>
    </row>
    <row r="85" spans="1:9" x14ac:dyDescent="0.3">
      <c r="A85" t="s">
        <v>547</v>
      </c>
      <c r="B85" t="s">
        <v>1915</v>
      </c>
      <c r="C85" t="s">
        <v>1472</v>
      </c>
      <c r="D85" t="str">
        <f t="shared" si="3"/>
        <v>công ty tnhh kuzco việt nam, long cang, tây ninh, việt namcông ty tnhh kuzco việt nam</v>
      </c>
      <c r="E85" t="str">
        <f>SUBSTITUTE(SUBSTITUTE(SUBSTITUTE(LOWER(C85), "tphcm", "TP. Hồ Chí Minh"), "hcm", "TP. Hồ Chí Minh"), " q.", " Quận ")</f>
        <v>công ty tnhh sx - tm thiên long long thành, đường số 7, an phước, đồng nai, việt namcông ty tnhh sx - tm thiên long long thành</v>
      </c>
      <c r="F85" t="str">
        <f>PROPER(TRIM(RIGHT(SUBSTITUTE(D85, ",", REPT(" ", LEN(D85))), LEN(D85))))</f>
        <v>Việt Namcông Ty Tnhh Kuzco Việt Nam</v>
      </c>
      <c r="G85" t="str">
        <f t="shared" si="4"/>
        <v>Việt Namcông Ty Tnhh Sx - Tm Thiên Long Long Thành</v>
      </c>
      <c r="H85" t="str">
        <f>PROPER(TRIM(RIGHT(SUBSTITUTE(LEFT(D85, FIND("@", SUBSTITUTE(D85, ",", "@", LEN(D85)-LEN(SUBSTITUTE(D85, ",", ""))))-1), ",", REPT(" ", LEN(D85))), LEN(D85))))</f>
        <v>Tây Ninh</v>
      </c>
      <c r="I85" t="str">
        <f t="shared" si="5"/>
        <v>Đồng Nai</v>
      </c>
    </row>
    <row r="86" spans="1:9" x14ac:dyDescent="0.3">
      <c r="A86" t="s">
        <v>551</v>
      </c>
      <c r="B86" t="s">
        <v>1952</v>
      </c>
      <c r="C86" t="s">
        <v>1486</v>
      </c>
      <c r="D86" t="str">
        <f t="shared" si="3"/>
        <v>jf5v+jr long cang, long an, việt namjf5v+jr long cang, long an, việt nam</v>
      </c>
      <c r="E86" t="str">
        <f>SUBSTITUTE(SUBSTITUTE(SUBSTITUTE(LOWER(C86), "tphcm", "TP. Hồ Chí Minh"), "hcm", "TP. Hồ Chí Minh"), " q.", " Quận ")</f>
        <v>16a đường 18, tân sơn nhất, hồ chí minh, việt nam16a đường 18, tân sơn nhất, hồ chí minh, việt nam</v>
      </c>
      <c r="F86" t="str">
        <f>PROPER(TRIM(RIGHT(SUBSTITUTE(D86, ",", REPT(" ", LEN(D86))), LEN(D86))))</f>
        <v>Việt Nam</v>
      </c>
      <c r="G86" t="str">
        <f t="shared" si="4"/>
        <v>Việt Nam</v>
      </c>
      <c r="H86" t="str">
        <f>PROPER(TRIM(RIGHT(SUBSTITUTE(LEFT(D86, FIND("@", SUBSTITUTE(D86, ",", "@", LEN(D86)-LEN(SUBSTITUTE(D86, ",", ""))))-1), ",", REPT(" ", LEN(D86))), LEN(D86))))</f>
        <v>Long An</v>
      </c>
      <c r="I86" t="str">
        <f t="shared" si="5"/>
        <v>Hồ Chí Minh</v>
      </c>
    </row>
    <row r="87" spans="1:9" x14ac:dyDescent="0.3">
      <c r="A87" t="s">
        <v>555</v>
      </c>
      <c r="B87" t="s">
        <v>1978</v>
      </c>
      <c r="C87" t="s">
        <v>1493</v>
      </c>
      <c r="D87" t="str">
        <f t="shared" si="3"/>
        <v>cty phước hưng la ( phân bón đầu bò ), long cang, tây ninh, việt namcty phước hưng la ( phân bón đầu bò )</v>
      </c>
      <c r="E87" t="str">
        <f>SUBSTITUTE(SUBSTITUTE(SUBSTITUTE(LOWER(C87), "tphcm", "TP. Hồ Chí Minh"), "hcm", "TP. Hồ Chí Minh"), " q.", " Quận ")</f>
        <v>công ty cổ phần thương mại hóc môn (hotraco), bà triệu, hóc môn, hồ chí minh, việt namcông ty cổ phần thương mại hóc môn (hotraco)</v>
      </c>
      <c r="F87" t="str">
        <f>PROPER(TRIM(RIGHT(SUBSTITUTE(D87, ",", REPT(" ", LEN(D87))), LEN(D87))))</f>
        <v>Việt Namcty Phước Hưng La ( Phân Bón Đầu Bò )</v>
      </c>
      <c r="G87" t="str">
        <f t="shared" si="4"/>
        <v>Việt Namcông Ty Cổ Phần Thương Mại Hóc Môn (Hotraco)</v>
      </c>
      <c r="H87" t="str">
        <f>PROPER(TRIM(RIGHT(SUBSTITUTE(LEFT(D87, FIND("@", SUBSTITUTE(D87, ",", "@", LEN(D87)-LEN(SUBSTITUTE(D87, ",", ""))))-1), ",", REPT(" ", LEN(D87))), LEN(D87))))</f>
        <v>Tây Ninh</v>
      </c>
      <c r="I87" t="str">
        <f t="shared" si="5"/>
        <v>Hồ Chí Minh</v>
      </c>
    </row>
    <row r="88" spans="1:9" x14ac:dyDescent="0.3">
      <c r="A88" t="s">
        <v>560</v>
      </c>
      <c r="B88" t="s">
        <v>2050</v>
      </c>
      <c r="C88" t="s">
        <v>1506</v>
      </c>
      <c r="D88" t="str">
        <f t="shared" si="3"/>
        <v>công ty tnhh ishikawa kikou việt nam, đ. số 13, kcn phúc long, mỹ yên, tây ninh, việt namcông ty tnhh ishikawa kikou việt nam</v>
      </c>
      <c r="E88" t="str">
        <f>SUBSTITUTE(SUBSTITUTE(SUBSTITUTE(LOWER(C88), "tphcm", "TP. Hồ Chí Minh"), "hcm", "TP. Hồ Chí Minh"), " q.", " Quận ")</f>
        <v>công ty tnhh sx htd bình tân, hương lộ 2, bình trị đông, hồ chí minh, việt namcông ty tnhh sx htd bình tân</v>
      </c>
      <c r="F88" t="str">
        <f>PROPER(TRIM(RIGHT(SUBSTITUTE(D88, ",", REPT(" ", LEN(D88))), LEN(D88))))</f>
        <v>Việt Namcông Ty Tnhh Ishikawa Kikou Việt Nam</v>
      </c>
      <c r="G88" t="str">
        <f t="shared" si="4"/>
        <v>Việt Namcông Ty Tnhh Sx Htd Bình Tân</v>
      </c>
      <c r="H88" t="str">
        <f>PROPER(TRIM(RIGHT(SUBSTITUTE(LEFT(D88, FIND("@", SUBSTITUTE(D88, ",", "@", LEN(D88)-LEN(SUBSTITUTE(D88, ",", ""))))-1), ",", REPT(" ", LEN(D88))), LEN(D88))))</f>
        <v>Tây Ninh</v>
      </c>
      <c r="I88" t="str">
        <f t="shared" si="5"/>
        <v>Hồ Chí Minh</v>
      </c>
    </row>
    <row r="89" spans="1:9" x14ac:dyDescent="0.3">
      <c r="A89" t="s">
        <v>564</v>
      </c>
      <c r="B89" t="s">
        <v>2160</v>
      </c>
      <c r="C89" t="s">
        <v>1513</v>
      </c>
      <c r="D89" t="str">
        <f t="shared" si="3"/>
        <v>việt nam, tien giang, châu thành district, tân hương, izlot aiii,1 5 tan huongymuv co., ltd</v>
      </c>
      <c r="E89" t="str">
        <f>SUBSTITUTE(SUBSTITUTE(SUBSTITUTE(LOWER(C89), "tphcm", "TP. Hồ Chí Minh"), "hcm", "TP. Hồ Chí Minh"), " q.", " Quận ")</f>
        <v>công ty tnhh tm-dv thủ đức, dương văn cam, p, linh xuân, hồ chí minh, việt namcông ty tnhh tm-dv thủ đức</v>
      </c>
      <c r="F89" t="str">
        <f>PROPER(TRIM(RIGHT(SUBSTITUTE(D89, ",", REPT(" ", LEN(D89))), LEN(D89))))</f>
        <v>Ltd</v>
      </c>
      <c r="G89" t="str">
        <f t="shared" si="4"/>
        <v>Việt Namcông Ty Tnhh Tm-Dv Thủ Đức</v>
      </c>
      <c r="H89" t="str">
        <f>PROPER(TRIM(RIGHT(SUBSTITUTE(LEFT(D89, FIND("@", SUBSTITUTE(D89, ",", "@", LEN(D89)-LEN(SUBSTITUTE(D89, ",", ""))))-1), ",", REPT(" ", LEN(D89))), LEN(D89))))</f>
        <v>1 5 Tan Huongymuv Co.</v>
      </c>
      <c r="I89" t="str">
        <f t="shared" si="5"/>
        <v>Hồ Chí Minh</v>
      </c>
    </row>
    <row r="90" spans="1:9" x14ac:dyDescent="0.3">
      <c r="A90" t="s">
        <v>569</v>
      </c>
      <c r="B90" t="s">
        <v>2170</v>
      </c>
      <c r="C90" t="s">
        <v>1521</v>
      </c>
      <c r="D90" t="str">
        <f t="shared" si="3"/>
        <v>lô 55 , 55b, kcn long giang, tân lập 1, tân phước, tiền giang, việt namcông ty nissei tiền giang</v>
      </c>
      <c r="E90" t="str">
        <f>SUBSTITUTE(SUBSTITUTE(SUBSTITUTE(LOWER(C90), "tphcm", "TP. Hồ Chí Minh"), "hcm", "TP. Hồ Chí Minh"), " q.", " Quận ")</f>
        <v>cty tnhh an bình vn, đường 12a, bình tân, hồ chí minh, việt namcty tnhh an bình vn</v>
      </c>
      <c r="F90" t="str">
        <f>PROPER(TRIM(RIGHT(SUBSTITUTE(D90, ",", REPT(" ", LEN(D90))), LEN(D90))))</f>
        <v>Việt Namcông Ty Nissei Tiền Giang</v>
      </c>
      <c r="G90" t="str">
        <f t="shared" si="4"/>
        <v>Việt Namcty Tnhh An Bình Vn</v>
      </c>
      <c r="H90" t="str">
        <f>PROPER(TRIM(RIGHT(SUBSTITUTE(LEFT(D90, FIND("@", SUBSTITUTE(D90, ",", "@", LEN(D90)-LEN(SUBSTITUTE(D90, ",", ""))))-1), ",", REPT(" ", LEN(D90))), LEN(D90))))</f>
        <v>Tiền Giang</v>
      </c>
      <c r="I90" t="str">
        <f t="shared" si="5"/>
        <v>Hồ Chí Minh</v>
      </c>
    </row>
    <row r="91" spans="1:9" x14ac:dyDescent="0.3">
      <c r="A91" t="s">
        <v>577</v>
      </c>
      <c r="B91" t="s">
        <v>2180</v>
      </c>
      <c r="C91" t="s">
        <v>1528</v>
      </c>
      <c r="D91" t="str">
        <f t="shared" si="3"/>
        <v>đường hùng vương,82111dịch vụ du lịch mq</v>
      </c>
      <c r="E91" t="str">
        <f>SUBSTITUTE(SUBSTITUTE(SUBSTITUTE(LOWER(C91), "tphcm", "TP. Hồ Chí Minh"), "hcm", "TP. Hồ Chí Minh"), " q.", " Quận ")</f>
        <v>57 đ. số 8, khu phố 4, an khánh, hồ chí minh, việt nam57 đ. số 8, khu phố 4, an khánh, hồ chí minh, việt nam</v>
      </c>
      <c r="F91" t="str">
        <f>PROPER(TRIM(RIGHT(SUBSTITUTE(D91, ",", REPT(" ", LEN(D91))), LEN(D91))))</f>
        <v>82111Dịch Vụ Du Lịch Mq</v>
      </c>
      <c r="G91" t="str">
        <f t="shared" si="4"/>
        <v>Việt Nam</v>
      </c>
      <c r="H91" t="str">
        <f>PROPER(TRIM(RIGHT(SUBSTITUTE(LEFT(D91, FIND("@", SUBSTITUTE(D91, ",", "@", LEN(D91)-LEN(SUBSTITUTE(D91, ",", ""))))-1), ",", REPT(" ", LEN(D91))), LEN(D91))))</f>
        <v>Đường Hùng Vương</v>
      </c>
      <c r="I91" t="str">
        <f t="shared" si="5"/>
        <v>Hồ Chí Minh</v>
      </c>
    </row>
    <row r="92" spans="1:9" x14ac:dyDescent="0.3">
      <c r="A92" t="s">
        <v>581</v>
      </c>
      <c r="B92" t="s">
        <v>2189</v>
      </c>
      <c r="C92" t="s">
        <v>1535</v>
      </c>
      <c r="D92" t="str">
        <f t="shared" si="3"/>
        <v>lô f1, khu f, cụm công nghiệp lợi bình nhơn, ấp rạch chanh, xã lợi bình nhơn, thành phố tân an, tỉnh long an, lợi bình nhơn, tân an, long an, việt namcông ty tnhh texray</v>
      </c>
      <c r="E92" t="str">
        <f>SUBSTITUTE(SUBSTITUTE(SUBSTITUTE(LOWER(C92), "tphcm", "TP. Hồ Chí Minh"), "hcm", "TP. Hồ Chí Minh"), " q.", " Quận ")</f>
        <v>79/h53 đ. nguyễn xí, bình thạnh, hồ chí minh, việt nam79/h53 đ. nguyễn xí, bình thạnh, hồ chí minh, việt nam</v>
      </c>
      <c r="F92" t="str">
        <f>PROPER(TRIM(RIGHT(SUBSTITUTE(D92, ",", REPT(" ", LEN(D92))), LEN(D92))))</f>
        <v>Việt Namcông Ty Tnhh Texray</v>
      </c>
      <c r="G92" t="str">
        <f t="shared" si="4"/>
        <v>Việt Nam</v>
      </c>
      <c r="H92" t="str">
        <f>PROPER(TRIM(RIGHT(SUBSTITUTE(LEFT(D92, FIND("@", SUBSTITUTE(D92, ",", "@", LEN(D92)-LEN(SUBSTITUTE(D92, ",", ""))))-1), ",", REPT(" ", LEN(D92))), LEN(D92))))</f>
        <v>Long An</v>
      </c>
      <c r="I92" t="str">
        <f t="shared" si="5"/>
        <v>Hồ Chí Minh</v>
      </c>
    </row>
    <row r="93" spans="1:9" x14ac:dyDescent="0.3">
      <c r="A93" t="s">
        <v>585</v>
      </c>
      <c r="B93" t="s">
        <v>2199</v>
      </c>
      <c r="C93" t="s">
        <v>1542</v>
      </c>
      <c r="D93" t="str">
        <f t="shared" si="3"/>
        <v>ebisuya vietnam co, ltd., tân lập 1, tân phước, tiền giang, việt namebisuya vietnam co, ltd.</v>
      </c>
      <c r="E93" t="str">
        <f>SUBSTITUTE(SUBSTITUTE(SUBSTITUTE(LOWER(C93), "tphcm", "TP. Hồ Chí Minh"), "hcm", "TP. Hồ Chí Minh"), " q.", " Quận ")</f>
        <v>công ty tnhh palm paper, đường c-15, kcn nhơn trạch, nhơn trạch, đồng nai, việt namcông ty tnhh palm paper</v>
      </c>
      <c r="F93" t="str">
        <f>PROPER(TRIM(RIGHT(SUBSTITUTE(D93, ",", REPT(" ", LEN(D93))), LEN(D93))))</f>
        <v>Ltd.</v>
      </c>
      <c r="G93" t="str">
        <f t="shared" si="4"/>
        <v>Việt Namcông Ty Tnhh Palm Paper</v>
      </c>
      <c r="H93" t="str">
        <f>PROPER(TRIM(RIGHT(SUBSTITUTE(LEFT(D93, FIND("@", SUBSTITUTE(D93, ",", "@", LEN(D93)-LEN(SUBSTITUTE(D93, ",", ""))))-1), ",", REPT(" ", LEN(D93))), LEN(D93))))</f>
        <v>Việt Namebisuya Vietnam Co</v>
      </c>
      <c r="I93" t="str">
        <f t="shared" si="5"/>
        <v>Đồng Nai</v>
      </c>
    </row>
    <row r="94" spans="1:9" x14ac:dyDescent="0.3">
      <c r="A94" t="s">
        <v>595</v>
      </c>
      <c r="B94" t="s">
        <v>2209</v>
      </c>
      <c r="C94" t="s">
        <v>1555</v>
      </c>
      <c r="D94" t="str">
        <f t="shared" si="3"/>
        <v>ql1a, khánh hậu, tp. tân an, long an, việt namcông ty tnhh tiền vệ</v>
      </c>
      <c r="E94" t="str">
        <f>SUBSTITUTE(SUBSTITUTE(SUBSTITUTE(LOWER(C94), "tphcm", "TP. Hồ Chí Minh"), "hcm", "TP. Hồ Chí Minh"), " q.", " Quận ")</f>
        <v>23/7 đặng thị rành, linh xuân, hồ chí minh, việt nam23/7 đặng thị rành, linh xuân, hồ chí minh, việt nam</v>
      </c>
      <c r="F94" t="str">
        <f>PROPER(TRIM(RIGHT(SUBSTITUTE(D94, ",", REPT(" ", LEN(D94))), LEN(D94))))</f>
        <v>Việt Namcông Ty Tnhh Tiền Vệ</v>
      </c>
      <c r="G94" t="str">
        <f t="shared" si="4"/>
        <v>Việt Nam</v>
      </c>
      <c r="H94" t="str">
        <f>PROPER(TRIM(RIGHT(SUBSTITUTE(LEFT(D94, FIND("@", SUBSTITUTE(D94, ",", "@", LEN(D94)-LEN(SUBSTITUTE(D94, ",", ""))))-1), ",", REPT(" ", LEN(D94))), LEN(D94))))</f>
        <v>Long An</v>
      </c>
      <c r="I94" t="str">
        <f t="shared" si="5"/>
        <v>Hồ Chí Minh</v>
      </c>
    </row>
    <row r="95" spans="1:9" x14ac:dyDescent="0.3">
      <c r="A95" t="s">
        <v>602</v>
      </c>
      <c r="B95" t="s">
        <v>2220</v>
      </c>
      <c r="C95" t="s">
        <v>1563</v>
      </c>
      <c r="D95" t="str">
        <f t="shared" si="3"/>
        <v>11 mai bá hương, phường 5, tân an, long an, việt nam11 mai bá hương</v>
      </c>
      <c r="E95" t="str">
        <f>SUBSTITUTE(SUBSTITUTE(SUBSTITUTE(LOWER(C95), "tphcm", "TP. Hồ Chí Minh"), "hcm", "TP. Hồ Chí Minh"), " q.", " Quận ")</f>
        <v>99 man thiện, tăng nhơn phú, hồ chí minh, việt nam99 man thiện, tăng nhơn phú, hồ chí minh, việt nam</v>
      </c>
      <c r="F95" t="str">
        <f>PROPER(TRIM(RIGHT(SUBSTITUTE(D95, ",", REPT(" ", LEN(D95))), LEN(D95))))</f>
        <v>Việt Nam11 Mai Bá Hương</v>
      </c>
      <c r="G95" t="str">
        <f t="shared" si="4"/>
        <v>Việt Nam</v>
      </c>
      <c r="H95" t="str">
        <f>PROPER(TRIM(RIGHT(SUBSTITUTE(LEFT(D95, FIND("@", SUBSTITUTE(D95, ",", "@", LEN(D95)-LEN(SUBSTITUTE(D95, ",", ""))))-1), ",", REPT(" ", LEN(D95))), LEN(D95))))</f>
        <v>Long An</v>
      </c>
      <c r="I95" t="str">
        <f t="shared" si="5"/>
        <v>Hồ Chí Minh</v>
      </c>
    </row>
    <row r="96" spans="1:9" x14ac:dyDescent="0.3">
      <c r="A96" t="s">
        <v>606</v>
      </c>
      <c r="B96" t="s">
        <v>2230</v>
      </c>
      <c r="C96" t="s">
        <v>1573</v>
      </c>
      <c r="D96" t="str">
        <f t="shared" si="3"/>
        <v>đường d5, tân hương, châu thành, tiền giang, việt namcông ty tnhh nhựa việt hoa</v>
      </c>
      <c r="E96" t="str">
        <f>SUBSTITUTE(SUBSTITUTE(SUBSTITUTE(LOWER(C96), "tphcm", "TP. Hồ Chí Minh"), "hcm", "TP. Hồ Chí Minh"), " q.", " Quận ")</f>
        <v>a new day glamping tân uyên, đường thạnh phước 26, phường, tân khánh, hồ chí minh, việt nama new day glamping tân uyên</v>
      </c>
      <c r="F96" t="str">
        <f>PROPER(TRIM(RIGHT(SUBSTITUTE(D96, ",", REPT(" ", LEN(D96))), LEN(D96))))</f>
        <v>Việt Namcông Ty Tnhh Nhựa Việt Hoa</v>
      </c>
      <c r="G96" t="str">
        <f t="shared" si="4"/>
        <v>Việt Nama New Day Glamping Tân Uyên</v>
      </c>
      <c r="H96" t="str">
        <f>PROPER(TRIM(RIGHT(SUBSTITUTE(LEFT(D96, FIND("@", SUBSTITUTE(D96, ",", "@", LEN(D96)-LEN(SUBSTITUTE(D96, ",", ""))))-1), ",", REPT(" ", LEN(D96))), LEN(D96))))</f>
        <v>Tiền Giang</v>
      </c>
      <c r="I96" t="str">
        <f t="shared" si="5"/>
        <v>Hồ Chí Minh</v>
      </c>
    </row>
    <row r="97" spans="1:9" x14ac:dyDescent="0.3">
      <c r="A97" t="s">
        <v>610</v>
      </c>
      <c r="B97" t="s">
        <v>2240</v>
      </c>
      <c r="C97" t="s">
        <v>1593</v>
      </c>
      <c r="D97" t="str">
        <f t="shared" si="3"/>
        <v>87 đường hùng vương, phường 2, tân an, long an, việt nam87 đường hùng vương</v>
      </c>
      <c r="E97" t="str">
        <f>SUBSTITUTE(SUBSTITUTE(SUBSTITUTE(LOWER(C97), "tphcm", "TP. Hồ Chí Minh"), "hcm", "TP. Hồ Chí Minh"), " q.", " Quận ")</f>
        <v>61a võ văn kiệt, an lạc, hồ chí minh, việt nam61a võ văn kiệt, an lạc, hồ chí minh, việt nam</v>
      </c>
      <c r="F97" t="str">
        <f>PROPER(TRIM(RIGHT(SUBSTITUTE(D97, ",", REPT(" ", LEN(D97))), LEN(D97))))</f>
        <v>Việt Nam87 Đường Hùng Vương</v>
      </c>
      <c r="G97" t="str">
        <f t="shared" si="4"/>
        <v>Việt Nam</v>
      </c>
      <c r="H97" t="str">
        <f>PROPER(TRIM(RIGHT(SUBSTITUTE(LEFT(D97, FIND("@", SUBSTITUTE(D97, ",", "@", LEN(D97)-LEN(SUBSTITUTE(D97, ",", ""))))-1), ",", REPT(" ", LEN(D97))), LEN(D97))))</f>
        <v>Long An</v>
      </c>
      <c r="I97" t="str">
        <f t="shared" si="5"/>
        <v>Hồ Chí Minh</v>
      </c>
    </row>
    <row r="98" spans="1:9" x14ac:dyDescent="0.3">
      <c r="A98" t="s">
        <v>620</v>
      </c>
      <c r="B98" t="s">
        <v>2250</v>
      </c>
      <c r="C98" t="s">
        <v>1600</v>
      </c>
      <c r="D98" t="str">
        <f t="shared" si="3"/>
        <v>xã tân lập 1, huyện tân phước, tiền giang, việt namnissei electric mytho</v>
      </c>
      <c r="E98" t="str">
        <f>SUBSTITUTE(SUBSTITUTE(SUBSTITUTE(LOWER(C98), "tphcm", "TP. Hồ Chí Minh"), "hcm", "TP. Hồ Chí Minh"), " q.", " Quận ")</f>
        <v>2a phan chu trinh, bình thạnh, hồ chí minh, việt nam2a phan chu trinh, bình thạnh, hồ chí minh, việt nam</v>
      </c>
      <c r="F98" t="str">
        <f>PROPER(TRIM(RIGHT(SUBSTITUTE(D98, ",", REPT(" ", LEN(D98))), LEN(D98))))</f>
        <v>Việt Namnissei Electric Mytho</v>
      </c>
      <c r="G98" t="str">
        <f t="shared" si="4"/>
        <v>Việt Nam</v>
      </c>
      <c r="H98" t="str">
        <f>PROPER(TRIM(RIGHT(SUBSTITUTE(LEFT(D98, FIND("@", SUBSTITUTE(D98, ",", "@", LEN(D98)-LEN(SUBSTITUTE(D98, ",", ""))))-1), ",", REPT(" ", LEN(D98))), LEN(D98))))</f>
        <v>Tiền Giang</v>
      </c>
      <c r="I98" t="str">
        <f t="shared" si="5"/>
        <v>Hồ Chí Minh</v>
      </c>
    </row>
    <row r="99" spans="1:9" x14ac:dyDescent="0.3">
      <c r="A99" t="s">
        <v>627</v>
      </c>
      <c r="B99" t="s">
        <v>2260</v>
      </c>
      <c r="C99" t="s">
        <v>1611</v>
      </c>
      <c r="D99" t="str">
        <f t="shared" si="3"/>
        <v>đt.866,84610công ty tnhh xd ttnt thiên long</v>
      </c>
      <c r="E99" t="str">
        <f>SUBSTITUTE(SUBSTITUTE(SUBSTITUTE(LOWER(C99), "tphcm", "TP. Hồ Chí Minh"), "hcm", "TP. Hồ Chí Minh"), " q.", " Quận ")</f>
        <v>343 đ. lê văn việt, tăng nhơn phú, hồ chí minh, việt nam343 đ. lê văn việt, tăng nhơn phú, hồ chí minh, việt nam</v>
      </c>
      <c r="F99" t="str">
        <f>PROPER(TRIM(RIGHT(SUBSTITUTE(D99, ",", REPT(" ", LEN(D99))), LEN(D99))))</f>
        <v>84610Công Ty Tnhh Xd Ttnt Thiên Long</v>
      </c>
      <c r="G99" t="str">
        <f t="shared" si="4"/>
        <v>Việt Nam</v>
      </c>
      <c r="H99" t="str">
        <f>PROPER(TRIM(RIGHT(SUBSTITUTE(LEFT(D99, FIND("@", SUBSTITUTE(D99, ",", "@", LEN(D99)-LEN(SUBSTITUTE(D99, ",", ""))))-1), ",", REPT(" ", LEN(D99))), LEN(D99))))</f>
        <v>Đt.866</v>
      </c>
      <c r="I99" t="str">
        <f t="shared" si="5"/>
        <v>Hồ Chí Minh</v>
      </c>
    </row>
    <row r="100" spans="1:9" x14ac:dyDescent="0.3">
      <c r="A100" t="s">
        <v>631</v>
      </c>
      <c r="B100" t="s">
        <v>2270</v>
      </c>
      <c r="C100" t="s">
        <v>1619</v>
      </c>
      <c r="D100" t="str">
        <f t="shared" si="3"/>
        <v>thúy quyên, ấp 7, xã nhị thành, huyện thủ thừa, long an, việt namthúy quyên</v>
      </c>
      <c r="E100" t="str">
        <f>SUBSTITUTE(SUBSTITUTE(SUBSTITUTE(LOWER(C100), "tphcm", "TP. Hồ Chí Minh"), "hcm", "TP. Hồ Chí Minh"), " q.", " Quận ")</f>
        <v>công ty tnhh bình tiên biên hòa, khu công nghiệp amata, long bình, đồng nai, việt namcông ty tnhh bình tiên biên hòa</v>
      </c>
      <c r="F100" t="str">
        <f>PROPER(TRIM(RIGHT(SUBSTITUTE(D100, ",", REPT(" ", LEN(D100))), LEN(D100))))</f>
        <v>Việt Namthúy Quyên</v>
      </c>
      <c r="G100" t="str">
        <f t="shared" si="4"/>
        <v>Việt Namcông Ty Tnhh Bình Tiên Biên Hòa</v>
      </c>
      <c r="H100" t="str">
        <f>PROPER(TRIM(RIGHT(SUBSTITUTE(LEFT(D100, FIND("@", SUBSTITUTE(D100, ",", "@", LEN(D100)-LEN(SUBSTITUTE(D100, ",", ""))))-1), ",", REPT(" ", LEN(D100))), LEN(D100))))</f>
        <v>Long An</v>
      </c>
      <c r="I100" t="str">
        <f t="shared" si="5"/>
        <v>Đồng Nai</v>
      </c>
    </row>
    <row r="101" spans="1:9" x14ac:dyDescent="0.3">
      <c r="A101" t="s">
        <v>639</v>
      </c>
      <c r="B101" t="s">
        <v>2280</v>
      </c>
      <c r="C101" t="s">
        <v>1626</v>
      </c>
      <c r="D101" t="str">
        <f t="shared" si="3"/>
        <v>đường nguyễn thị hạnh,82110viet hoa co</v>
      </c>
      <c r="E101" t="str">
        <f>SUBSTITUTE(SUBSTITUTE(SUBSTITUTE(LOWER(C101), "tphcm", "TP. Hồ Chí Minh"), "hcm", "TP. Hồ Chí Minh"), " q.", " Quận ")</f>
        <v>công ty bất động sản phú thượng-tp dĩ an-bình dương, khu phố thống nhất 1, dĩ an, hồ chí minh, việt namcông ty bất động sản phú thượng-tp dĩ an-bình dương</v>
      </c>
      <c r="F101" t="str">
        <f>PROPER(TRIM(RIGHT(SUBSTITUTE(D101, ",", REPT(" ", LEN(D101))), LEN(D101))))</f>
        <v>82110Viet Hoa Co</v>
      </c>
      <c r="G101" t="str">
        <f t="shared" si="4"/>
        <v>Việt Namcông Ty Bất Động Sản Phú Thượng-Tp Dĩ An-Bình Dương</v>
      </c>
      <c r="H101" t="str">
        <f>PROPER(TRIM(RIGHT(SUBSTITUTE(LEFT(D101, FIND("@", SUBSTITUTE(D101, ",", "@", LEN(D101)-LEN(SUBSTITUTE(D101, ",", ""))))-1), ",", REPT(" ", LEN(D101))), LEN(D101))))</f>
        <v>Đường Nguyễn Thị Hạnh</v>
      </c>
      <c r="I101" t="str">
        <f t="shared" si="5"/>
        <v>Hồ Chí Minh</v>
      </c>
    </row>
    <row r="102" spans="1:9" x14ac:dyDescent="0.3">
      <c r="A102" t="s">
        <v>646</v>
      </c>
      <c r="B102" t="s">
        <v>2291</v>
      </c>
      <c r="C102" t="s">
        <v>1633</v>
      </c>
      <c r="D102" t="str">
        <f t="shared" si="3"/>
        <v>lồ,ki,1,kcn tân hương. xã,tân hương,hchâu thành, t, tân hương, đồng tháp, việt namquang viet tien giang</v>
      </c>
      <c r="E102" t="str">
        <f>SUBSTITUTE(SUBSTITUTE(SUBSTITUTE(LOWER(C102), "tphcm", "TP. Hồ Chí Minh"), "hcm", "TP. Hồ Chí Minh"), " q.", " Quận ")</f>
        <v>công ty tnhh xd tm dv biên hòa, trảng dài, đồng nai, việt namcông ty tnhh xd tm dv biên hòa</v>
      </c>
      <c r="F102" t="str">
        <f>PROPER(TRIM(RIGHT(SUBSTITUTE(D102, ",", REPT(" ", LEN(D102))), LEN(D102))))</f>
        <v>Việt Namquang Viet Tien Giang</v>
      </c>
      <c r="G102" t="str">
        <f t="shared" si="4"/>
        <v>Việt Namcông Ty Tnhh Xd Tm Dv Biên Hòa</v>
      </c>
      <c r="H102" t="str">
        <f>PROPER(TRIM(RIGHT(SUBSTITUTE(LEFT(D102, FIND("@", SUBSTITUTE(D102, ",", "@", LEN(D102)-LEN(SUBSTITUTE(D102, ",", ""))))-1), ",", REPT(" ", LEN(D102))), LEN(D102))))</f>
        <v>Đồng Tháp</v>
      </c>
      <c r="I102" t="str">
        <f t="shared" si="5"/>
        <v>Đồng Nai</v>
      </c>
    </row>
    <row r="103" spans="1:9" x14ac:dyDescent="0.3">
      <c r="A103" t="s">
        <v>653</v>
      </c>
      <c r="B103" t="s">
        <v>2315</v>
      </c>
      <c r="C103" t="s">
        <v>1647</v>
      </c>
      <c r="D103" t="str">
        <f t="shared" si="3"/>
        <v>cụm công nghiệp thị trấn bến lức, thị trấn bến lức, huyện bến lức, long cang, tây ninh, việt namcông ty tnhh sản xuất khuôn đúc chin chen fuh việt nam</v>
      </c>
      <c r="E103" t="str">
        <f>SUBSTITUTE(SUBSTITUTE(SUBSTITUTE(LOWER(C103), "tphcm", "TP. Hồ Chí Minh"), "hcm", "TP. Hồ Chí Minh"), " q.", " Quận ")</f>
        <v>công ty bến cát event, hòa lợi, hồ chí minh, việt namcông ty bến cát event</v>
      </c>
      <c r="F103" t="str">
        <f>PROPER(TRIM(RIGHT(SUBSTITUTE(D103, ",", REPT(" ", LEN(D103))), LEN(D103))))</f>
        <v>Việt Namcông Ty Tnhh Sản Xuất Khuôn Đúc Chin Chen Fuh Việt Nam</v>
      </c>
      <c r="G103" t="str">
        <f t="shared" si="4"/>
        <v>Việt Namcông Ty Bến Cát Event</v>
      </c>
      <c r="H103" t="str">
        <f>PROPER(TRIM(RIGHT(SUBSTITUTE(LEFT(D103, FIND("@", SUBSTITUTE(D103, ",", "@", LEN(D103)-LEN(SUBSTITUTE(D103, ",", ""))))-1), ",", REPT(" ", LEN(D103))), LEN(D103))))</f>
        <v>Tây Ninh</v>
      </c>
      <c r="I103" t="str">
        <f t="shared" si="5"/>
        <v>Hồ Chí Minh</v>
      </c>
    </row>
    <row r="104" spans="1:9" x14ac:dyDescent="0.3">
      <c r="A104" t="s">
        <v>659</v>
      </c>
      <c r="B104" t="s">
        <v>2333</v>
      </c>
      <c r="C104" t="s">
        <v>1658</v>
      </c>
      <c r="D104" t="str">
        <f t="shared" si="3"/>
        <v>việt nam, long an, cần đước, long định, road 14 lot d1công ty seapac việt nam</v>
      </c>
      <c r="E104" t="str">
        <f>SUBSTITUTE(SUBSTITUTE(SUBSTITUTE(LOWER(C104), "tphcm", "TP. Hồ Chí Minh"), "hcm", "TP. Hồ Chí Minh"), " q.", " Quận ")</f>
        <v>2n bình giã, tân bình, hồ chí minh, việt nam2n bình giã, tân bình, hồ chí minh, việt nam</v>
      </c>
      <c r="F104" t="str">
        <f>PROPER(TRIM(RIGHT(SUBSTITUTE(D104, ",", REPT(" ", LEN(D104))), LEN(D104))))</f>
        <v>Road 14 Lot D1Công Ty Seapac Việt Nam</v>
      </c>
      <c r="G104" t="str">
        <f t="shared" si="4"/>
        <v>Việt Nam</v>
      </c>
      <c r="H104" t="str">
        <f>PROPER(TRIM(RIGHT(SUBSTITUTE(LEFT(D104, FIND("@", SUBSTITUTE(D104, ",", "@", LEN(D104)-LEN(SUBSTITUTE(D104, ",", ""))))-1), ",", REPT(" ", LEN(D104))), LEN(D104))))</f>
        <v>Long Định</v>
      </c>
      <c r="I104" t="str">
        <f t="shared" si="5"/>
        <v>Hồ Chí Minh</v>
      </c>
    </row>
    <row r="105" spans="1:9" x14ac:dyDescent="0.3">
      <c r="A105" t="s">
        <v>666</v>
      </c>
      <c r="B105" t="s">
        <v>2358</v>
      </c>
      <c r="C105" t="s">
        <v>1669</v>
      </c>
      <c r="D105" t="str">
        <f t="shared" si="3"/>
        <v>long định, cần đước, long an, việt namokia optical vietnam</v>
      </c>
      <c r="E105" t="str">
        <f>SUBSTITUTE(SUBSTITUTE(SUBSTITUTE(LOWER(C105), "tphcm", "TP. Hồ Chí Minh"), "hcm", "TP. Hồ Chí Minh"), " q.", " Quận ")</f>
        <v>công ty cp khoáng sản xd tân uyên fico, bắc tân uyên, hồ chí minh, việt namcông ty cp khoáng sản xd tân uyên fico</v>
      </c>
      <c r="F105" t="str">
        <f>PROPER(TRIM(RIGHT(SUBSTITUTE(D105, ",", REPT(" ", LEN(D105))), LEN(D105))))</f>
        <v>Việt Namokia Optical Vietnam</v>
      </c>
      <c r="G105" t="str">
        <f t="shared" si="4"/>
        <v>Việt Namcông Ty Cp Khoáng Sản Xd Tân Uyên Fico</v>
      </c>
      <c r="H105" t="str">
        <f>PROPER(TRIM(RIGHT(SUBSTITUTE(LEFT(D105, FIND("@", SUBSTITUTE(D105, ",", "@", LEN(D105)-LEN(SUBSTITUTE(D105, ",", ""))))-1), ",", REPT(" ", LEN(D105))), LEN(D105))))</f>
        <v>Long An</v>
      </c>
      <c r="I105" t="str">
        <f t="shared" si="5"/>
        <v>Hồ Chí Minh</v>
      </c>
    </row>
    <row r="106" spans="1:9" x14ac:dyDescent="0.3">
      <c r="A106" t="s">
        <v>670</v>
      </c>
      <c r="B106" t="s">
        <v>2372</v>
      </c>
      <c r="C106" t="s">
        <v>1679</v>
      </c>
      <c r="D106" t="str">
        <f t="shared" si="3"/>
        <v>thị trấn, bến lức, long an, việt namcông ty tnhh richfield vn</v>
      </c>
      <c r="E106" t="str">
        <f>SUBSTITUTE(SUBSTITUTE(SUBSTITUTE(LOWER(C106), "tphcm", "TP. Hồ Chí Minh"), "hcm", "TP. Hồ Chí Minh"), " q.", " Quận ")</f>
        <v>công ty cổ phần thương mại tổng hợp thuận an, châu văn tiếp, lái thiêu, hồ chí minh, việt namcông ty cổ phần thương mại tổng hợp thuận an</v>
      </c>
      <c r="F106" t="str">
        <f>PROPER(TRIM(RIGHT(SUBSTITUTE(D106, ",", REPT(" ", LEN(D106))), LEN(D106))))</f>
        <v>Việt Namcông Ty Tnhh Richfield Vn</v>
      </c>
      <c r="G106" t="str">
        <f t="shared" si="4"/>
        <v>Việt Namcông Ty Cổ Phần Thương Mại Tổng Hợp Thuận An</v>
      </c>
      <c r="H106" t="str">
        <f>PROPER(TRIM(RIGHT(SUBSTITUTE(LEFT(D106, FIND("@", SUBSTITUTE(D106, ",", "@", LEN(D106)-LEN(SUBSTITUTE(D106, ",", ""))))-1), ",", REPT(" ", LEN(D106))), LEN(D106))))</f>
        <v>Long An</v>
      </c>
      <c r="I106" t="str">
        <f t="shared" si="5"/>
        <v>Hồ Chí Minh</v>
      </c>
    </row>
    <row r="107" spans="1:9" x14ac:dyDescent="0.3">
      <c r="A107" t="s">
        <v>675</v>
      </c>
      <c r="B107" t="s">
        <v>2380</v>
      </c>
      <c r="C107" t="s">
        <v>1689</v>
      </c>
      <c r="D107" t="str">
        <f t="shared" si="3"/>
        <v>lô b2/1, 6 đường vl1, kcn vĩnh lộc 2, bến lức, long an, việt namcông ty cổ phần in dica</v>
      </c>
      <c r="E107" t="str">
        <f>SUBSTITUTE(SUBSTITUTE(SUBSTITUTE(LOWER(C107), "tphcm", "TP. Hồ Chí Minh"), "hcm", "TP. Hồ Chí Minh"), " q.", " Quận ")</f>
        <v>công ty cổ phần đô thị amata biên hoà (amata), amata, long bình, đồng nai, việt namcông ty cổ phần đô thị amata biên hoà (amata)</v>
      </c>
      <c r="F107" t="str">
        <f>PROPER(TRIM(RIGHT(SUBSTITUTE(D107, ",", REPT(" ", LEN(D107))), LEN(D107))))</f>
        <v>Việt Namcông Ty Cổ Phần In Dica</v>
      </c>
      <c r="G107" t="str">
        <f t="shared" si="4"/>
        <v>Việt Namcông Ty Cổ Phần Đô Thị Amata Biên Hoà (Amata)</v>
      </c>
      <c r="H107" t="str">
        <f>PROPER(TRIM(RIGHT(SUBSTITUTE(LEFT(D107, FIND("@", SUBSTITUTE(D107, ",", "@", LEN(D107)-LEN(SUBSTITUTE(D107, ",", ""))))-1), ",", REPT(" ", LEN(D107))), LEN(D107))))</f>
        <v>Long An</v>
      </c>
      <c r="I107" t="str">
        <f t="shared" si="5"/>
        <v>Đồng Nai</v>
      </c>
    </row>
    <row r="108" spans="1:9" x14ac:dyDescent="0.3">
      <c r="A108" t="s">
        <v>685</v>
      </c>
      <c r="B108" t="s">
        <v>2387</v>
      </c>
      <c r="C108" t="s">
        <v>1707</v>
      </c>
      <c r="D108" t="str">
        <f t="shared" si="3"/>
        <v>vp-hiệp hội doanh nghiệp tỉnh long an, đường số 1, kcn thuận đạo, bến lức, tây ninh, việt namvp-hiệp hội doanh nghiệp tỉnh long an</v>
      </c>
      <c r="E108" t="str">
        <f>SUBSTITUTE(SUBSTITUTE(SUBSTITUTE(LOWER(C108), "tphcm", "TP. Hồ Chí Minh"), "hcm", "TP. Hồ Chí Minh"), " q.", " Quận ")</f>
        <v>công ty cổ phần nước thủ dầu một(nhà máy nước thô bàu bàng), trừ văn thố, hồ chí minh, việt namcông ty cổ phần nước thủ dầu một(nhà máy nước thô bàu bàng)</v>
      </c>
      <c r="F108" t="str">
        <f>PROPER(TRIM(RIGHT(SUBSTITUTE(D108, ",", REPT(" ", LEN(D108))), LEN(D108))))</f>
        <v>Việt Namvp-Hiệp Hội Doanh Nghiệp Tỉnh Long An</v>
      </c>
      <c r="G108" t="str">
        <f t="shared" si="4"/>
        <v>Việt Namcông Ty Cổ Phần Nước Thủ Dầu Một(Nhà Máy Nước Thô Bàu Bàng)</v>
      </c>
      <c r="H108" t="str">
        <f>PROPER(TRIM(RIGHT(SUBSTITUTE(LEFT(D108, FIND("@", SUBSTITUTE(D108, ",", "@", LEN(D108)-LEN(SUBSTITUTE(D108, ",", ""))))-1), ",", REPT(" ", LEN(D108))), LEN(D108))))</f>
        <v>Tây Ninh</v>
      </c>
      <c r="I108" t="str">
        <f t="shared" si="5"/>
        <v>Hồ Chí Minh</v>
      </c>
    </row>
    <row r="109" spans="1:9" x14ac:dyDescent="0.3">
      <c r="A109" t="s">
        <v>689</v>
      </c>
      <c r="B109" t="s">
        <v>2394</v>
      </c>
      <c r="C109" t="s">
        <v>1721</v>
      </c>
      <c r="D109" t="str">
        <f t="shared" si="3"/>
        <v>lô e3,e4, đường số 06, kcn phúc, bến lức, long an, việt namcông ty tnhh sản xuất ngũ kim hung hing hong kong (việt nam)</v>
      </c>
      <c r="E109" t="str">
        <f>SUBSTITUTE(SUBSTITUTE(SUBSTITUTE(LOWER(C109), "tphcm", "TP. Hồ Chí Minh"), "hcm", "TP. Hồ Chí Minh"), " q.", " Quận ")</f>
        <v>25 đường số 8 tđc, dĩ an, hồ chí minh, việt nam25 đường số 8 tđc, dĩ an, hồ chí minh, việt nam</v>
      </c>
      <c r="F109" t="str">
        <f>PROPER(TRIM(RIGHT(SUBSTITUTE(D109, ",", REPT(" ", LEN(D109))), LEN(D109))))</f>
        <v>Việt Namcông Ty Tnhh Sản Xuất Ngũ Kim Hung Hing Hong Kong (Việt Nam)</v>
      </c>
      <c r="G109" t="str">
        <f t="shared" si="4"/>
        <v>Việt Nam</v>
      </c>
      <c r="H109" t="str">
        <f>PROPER(TRIM(RIGHT(SUBSTITUTE(LEFT(D109, FIND("@", SUBSTITUTE(D109, ",", "@", LEN(D109)-LEN(SUBSTITUTE(D109, ",", ""))))-1), ",", REPT(" ", LEN(D109))), LEN(D109))))</f>
        <v>Long An</v>
      </c>
      <c r="I109" t="str">
        <f t="shared" si="5"/>
        <v>Hồ Chí Minh</v>
      </c>
    </row>
    <row r="110" spans="1:9" x14ac:dyDescent="0.3">
      <c r="A110" t="s">
        <v>699</v>
      </c>
      <c r="B110" t="s">
        <v>2403</v>
      </c>
      <c r="C110" t="s">
        <v>1731</v>
      </c>
      <c r="D110" t="str">
        <f t="shared" si="3"/>
        <v>lô f1, f2, f3, f4 và lô g1, g2 đ. số 1, khu công nghiệp, bến lức, long an, việt namcông ty tnhh mtv dệt công nghệ cao yu yuang việt nam</v>
      </c>
      <c r="E110" t="str">
        <f>SUBSTITUTE(SUBSTITUTE(SUBSTITUTE(LOWER(C110), "tphcm", "TP. Hồ Chí Minh"), "hcm", "TP. Hồ Chí Minh"), " q.", " Quận ")</f>
        <v>cong ty changshin long thanh, long thành, đồng nai, việt namcong ty changshin long thanh</v>
      </c>
      <c r="F110" t="str">
        <f>PROPER(TRIM(RIGHT(SUBSTITUTE(D110, ",", REPT(" ", LEN(D110))), LEN(D110))))</f>
        <v>Việt Namcông Ty Tnhh Mtv Dệt Công Nghệ Cao Yu Yuang Việt Nam</v>
      </c>
      <c r="G110" t="str">
        <f t="shared" si="4"/>
        <v>Việt Namcong Ty Changshin Long Thanh</v>
      </c>
      <c r="H110" t="str">
        <f>PROPER(TRIM(RIGHT(SUBSTITUTE(LEFT(D110, FIND("@", SUBSTITUTE(D110, ",", "@", LEN(D110)-LEN(SUBSTITUTE(D110, ",", ""))))-1), ",", REPT(" ", LEN(D110))), LEN(D110))))</f>
        <v>Long An</v>
      </c>
      <c r="I110" t="str">
        <f t="shared" si="5"/>
        <v>Đồng Nai</v>
      </c>
    </row>
    <row r="111" spans="1:9" x14ac:dyDescent="0.3">
      <c r="A111" t="s">
        <v>706</v>
      </c>
      <c r="B111" t="s">
        <v>2428</v>
      </c>
      <c r="C111" t="s">
        <v>1743</v>
      </c>
      <c r="D111" t="str">
        <f t="shared" si="3"/>
        <v>xã tân lập 1, huyện tân phước, tiền giang, việt namapache rubber room</v>
      </c>
      <c r="E111" t="str">
        <f>SUBSTITUTE(SUBSTITUTE(SUBSTITUTE(LOWER(C111), "tphcm", "TP. Hồ Chí Minh"), "hcm", "TP. Hồ Chí Minh"), " q.", " Quận ")</f>
        <v>công ty tnhh yakult việt nam tại bình dương - cửa hàng bến cát, khu phố 6, chánh phú hòa, thới hòa, hồ chí minh, việt namcông ty tnhh yakult việt nam tại bình dương - cửa hàng bến cát</v>
      </c>
      <c r="F111" t="str">
        <f>PROPER(TRIM(RIGHT(SUBSTITUTE(D111, ",", REPT(" ", LEN(D111))), LEN(D111))))</f>
        <v>Việt Namapache Rubber Room</v>
      </c>
      <c r="G111" t="str">
        <f t="shared" si="4"/>
        <v>Việt Namcông Ty Tnhh Yakult Việt Nam Tại Bình Dương - Cửa Hàng Bến Cát</v>
      </c>
      <c r="H111" t="str">
        <f>PROPER(TRIM(RIGHT(SUBSTITUTE(LEFT(D111, FIND("@", SUBSTITUTE(D111, ",", "@", LEN(D111)-LEN(SUBSTITUTE(D111, ",", ""))))-1), ",", REPT(" ", LEN(D111))), LEN(D111))))</f>
        <v>Tiền Giang</v>
      </c>
      <c r="I111" t="str">
        <f t="shared" si="5"/>
        <v>Hồ Chí Minh</v>
      </c>
    </row>
    <row r="112" spans="1:9" x14ac:dyDescent="0.3">
      <c r="A112" t="s">
        <v>710</v>
      </c>
      <c r="B112" t="s">
        <v>2436</v>
      </c>
      <c r="C112" t="s">
        <v>1761</v>
      </c>
      <c r="D112" t="str">
        <f t="shared" si="3"/>
        <v>công ty tnhh manly, đường tỉnh 835b, ấp phú ân, phước lý, tây ninh, việt namcông ty tnhh manly</v>
      </c>
      <c r="E112" t="str">
        <f>SUBSTITUTE(SUBSTITUTE(SUBSTITUTE(LOWER(C112), "tphcm", "TP. Hồ Chí Minh"), "hcm", "TP. Hồ Chí Minh"), " q.", " Quận ")</f>
        <v>486 ql13, hiệp bình, hồ chí minh, việt nam486 ql13, hiệp bình, hồ chí minh, việt nam</v>
      </c>
      <c r="F112" t="str">
        <f>PROPER(TRIM(RIGHT(SUBSTITUTE(D112, ",", REPT(" ", LEN(D112))), LEN(D112))))</f>
        <v>Việt Namcông Ty Tnhh Manly</v>
      </c>
      <c r="G112" t="str">
        <f t="shared" si="4"/>
        <v>Việt Nam</v>
      </c>
      <c r="H112" t="str">
        <f>PROPER(TRIM(RIGHT(SUBSTITUTE(LEFT(D112, FIND("@", SUBSTITUTE(D112, ",", "@", LEN(D112)-LEN(SUBSTITUTE(D112, ",", ""))))-1), ",", REPT(" ", LEN(D112))), LEN(D112))))</f>
        <v>Tây Ninh</v>
      </c>
      <c r="I112" t="str">
        <f t="shared" si="5"/>
        <v>Hồ Chí Minh</v>
      </c>
    </row>
    <row r="113" spans="1:9" x14ac:dyDescent="0.3">
      <c r="A113" t="s">
        <v>712</v>
      </c>
      <c r="B113" t="s">
        <v>2445</v>
      </c>
      <c r="C113" t="s">
        <v>1769</v>
      </c>
      <c r="D113" t="str">
        <f t="shared" si="3"/>
        <v>jhx2+9wf, phước lý, tây ninh, việt namjhx2+9wf, phước lý, tây ninh, việt nam</v>
      </c>
      <c r="E113" t="str">
        <f>SUBSTITUTE(SUBSTITUTE(SUBSTITUTE(LOWER(C113), "tphcm", "TP. Hồ Chí Minh"), "hcm", "TP. Hồ Chí Minh"), " q.", " Quận ")</f>
        <v>1b 32, tổ 8, hóc môn, hồ chí minh, việt nam1b 32, tổ 8, hóc môn, hồ chí minh, việt nam</v>
      </c>
      <c r="F113" t="str">
        <f>PROPER(TRIM(RIGHT(SUBSTITUTE(D113, ",", REPT(" ", LEN(D113))), LEN(D113))))</f>
        <v>Việt Nam</v>
      </c>
      <c r="G113" t="str">
        <f t="shared" si="4"/>
        <v>Việt Nam</v>
      </c>
      <c r="H113" t="str">
        <f>PROPER(TRIM(RIGHT(SUBSTITUTE(LEFT(D113, FIND("@", SUBSTITUTE(D113, ",", "@", LEN(D113)-LEN(SUBSTITUTE(D113, ",", ""))))-1), ",", REPT(" ", LEN(D113))), LEN(D113))))</f>
        <v>Tây Ninh</v>
      </c>
      <c r="I113" t="str">
        <f t="shared" si="5"/>
        <v>Hồ Chí Minh</v>
      </c>
    </row>
    <row r="114" spans="1:9" x14ac:dyDescent="0.3">
      <c r="A114" t="s">
        <v>719</v>
      </c>
      <c r="B114" t="s">
        <v>2464</v>
      </c>
      <c r="C114" t="s">
        <v>1794</v>
      </c>
      <c r="D114" t="str">
        <f t="shared" si="3"/>
        <v>công ty tnhh sunrich việt nam, đường số 1, kcn phúc, long hiệp, bến lức, long an, việt namcông ty tnhh sunrich việt nam</v>
      </c>
      <c r="E114" t="str">
        <f>SUBSTITUTE(SUBSTITUTE(SUBSTITUTE(LOWER(C114), "tphcm", "TP. Hồ Chí Minh"), "hcm", "TP. Hồ Chí Minh"), " q.", " Quận ")</f>
        <v>thủ đức garden homes, đường số 3, hiệp bình, hồ chí minh, việt namthủ đức garden homes</v>
      </c>
      <c r="F114" t="str">
        <f>PROPER(TRIM(RIGHT(SUBSTITUTE(D114, ",", REPT(" ", LEN(D114))), LEN(D114))))</f>
        <v>Việt Namcông Ty Tnhh Sunrich Việt Nam</v>
      </c>
      <c r="G114" t="str">
        <f t="shared" si="4"/>
        <v>Việt Namthủ Đức Garden Homes</v>
      </c>
      <c r="H114" t="str">
        <f>PROPER(TRIM(RIGHT(SUBSTITUTE(LEFT(D114, FIND("@", SUBSTITUTE(D114, ",", "@", LEN(D114)-LEN(SUBSTITUTE(D114, ",", ""))))-1), ",", REPT(" ", LEN(D114))), LEN(D114))))</f>
        <v>Long An</v>
      </c>
      <c r="I114" t="str">
        <f t="shared" si="5"/>
        <v>Hồ Chí Minh</v>
      </c>
    </row>
    <row r="115" spans="1:9" x14ac:dyDescent="0.3">
      <c r="A115" t="s">
        <v>727</v>
      </c>
      <c r="B115" t="s">
        <v>2482</v>
      </c>
      <c r="C115" t="s">
        <v>1817</v>
      </c>
      <c r="D115" t="str">
        <f t="shared" si="3"/>
        <v>tân lập 1, tân phước, tiền giang, việt namcông ty tnhh giay apache viet nam</v>
      </c>
      <c r="E115" t="str">
        <f>SUBSTITUTE(SUBSTITUTE(SUBSTITUTE(LOWER(C115), "tphcm", "TP. Hồ Chí Minh"), "hcm", "TP. Hồ Chí Minh"), " q.", " Quận ")</f>
        <v>phòng 11, hẻm/3 tổ 19, khu phố 3, an nhơn, hồ chí minh, việt namphòng 11, hẻm/3 tổ 19, khu phố 3, an nhơn, hồ chí minh, việt nam</v>
      </c>
      <c r="F115" t="str">
        <f>PROPER(TRIM(RIGHT(SUBSTITUTE(D115, ",", REPT(" ", LEN(D115))), LEN(D115))))</f>
        <v>Việt Namcông Ty Tnhh Giay Apache Viet Nam</v>
      </c>
      <c r="G115" t="str">
        <f t="shared" si="4"/>
        <v>Việt Nam</v>
      </c>
      <c r="H115" t="str">
        <f>PROPER(TRIM(RIGHT(SUBSTITUTE(LEFT(D115, FIND("@", SUBSTITUTE(D115, ",", "@", LEN(D115)-LEN(SUBSTITUTE(D115, ",", ""))))-1), ",", REPT(" ", LEN(D115))), LEN(D115))))</f>
        <v>Tiền Giang</v>
      </c>
      <c r="I115" t="str">
        <f t="shared" si="5"/>
        <v>Hồ Chí Minh</v>
      </c>
    </row>
    <row r="116" spans="1:9" x14ac:dyDescent="0.3">
      <c r="A116" t="s">
        <v>738</v>
      </c>
      <c r="B116" t="s">
        <v>2494</v>
      </c>
      <c r="C116" t="s">
        <v>1829</v>
      </c>
      <c r="D116" t="str">
        <f t="shared" si="3"/>
        <v>lô d1 29,30, đường vl2/ấp voi lá, kcn vĩnh lộc 2, bến lức, long an, việt namcông ty tnhh nippovina</v>
      </c>
      <c r="E116" t="str">
        <f>SUBSTITUTE(SUBSTITUTE(SUBSTITUTE(LOWER(C116), "tphcm", "TP. Hồ Chí Minh"), "hcm", "TP. Hồ Chí Minh"), " q.", " Quận ")</f>
        <v>tans (vietnam) co.,ltd, đường d1, khu công nghiệp mỹ phước1, bến cát, hồ chí minh, việt namtans (vietnam) co.,ltd</v>
      </c>
      <c r="F116" t="str">
        <f>PROPER(TRIM(RIGHT(SUBSTITUTE(D116, ",", REPT(" ", LEN(D116))), LEN(D116))))</f>
        <v>Việt Namcông Ty Tnhh Nippovina</v>
      </c>
      <c r="G116" t="str">
        <f t="shared" si="4"/>
        <v>Ltd</v>
      </c>
      <c r="H116" t="str">
        <f>PROPER(TRIM(RIGHT(SUBSTITUTE(LEFT(D116, FIND("@", SUBSTITUTE(D116, ",", "@", LEN(D116)-LEN(SUBSTITUTE(D116, ",", ""))))-1), ",", REPT(" ", LEN(D116))), LEN(D116))))</f>
        <v>Long An</v>
      </c>
      <c r="I116" t="str">
        <f t="shared" si="5"/>
        <v>Việt Namtans (Vietnam) Co.</v>
      </c>
    </row>
    <row r="117" spans="1:9" x14ac:dyDescent="0.3">
      <c r="A117" t="s">
        <v>742</v>
      </c>
      <c r="B117" t="s">
        <v>2508</v>
      </c>
      <c r="C117" t="s">
        <v>1843</v>
      </c>
      <c r="D117" t="str">
        <f t="shared" si="3"/>
        <v>lô b10, kcn phúc long, đ. số 13, long hiệp, bến lức, long an, việt namcông ty tnhh việt nông long an</v>
      </c>
      <c r="E117" t="str">
        <f>SUBSTITUTE(SUBSTITUTE(SUBSTITUTE(LOWER(C117), "tphcm", "TP. Hồ Chí Minh"), "hcm", "TP. Hồ Chí Minh"), " q.", " Quận ")</f>
        <v>công ty vinata 19 đường số 10. kcn vsip1. thuận an. bình dương, đường số 10, an phú, hồ chí minh, việt namcông ty vinata 19 đường số 10. kcn vsip1. thuận an. bình dương</v>
      </c>
      <c r="F117" t="str">
        <f>PROPER(TRIM(RIGHT(SUBSTITUTE(D117, ",", REPT(" ", LEN(D117))), LEN(D117))))</f>
        <v>Việt Namcông Ty Tnhh Việt Nông Long An</v>
      </c>
      <c r="G117" t="str">
        <f t="shared" si="4"/>
        <v>Việt Namcông Ty Vinata 19 Đường Số 10. Kcn Vsip1. Thuận An. Bình Dương</v>
      </c>
      <c r="H117" t="str">
        <f>PROPER(TRIM(RIGHT(SUBSTITUTE(LEFT(D117, FIND("@", SUBSTITUTE(D117, ",", "@", LEN(D117)-LEN(SUBSTITUTE(D117, ",", ""))))-1), ",", REPT(" ", LEN(D117))), LEN(D117))))</f>
        <v>Long An</v>
      </c>
      <c r="I117" t="str">
        <f t="shared" si="5"/>
        <v>Hồ Chí Minh</v>
      </c>
    </row>
    <row r="118" spans="1:9" x14ac:dyDescent="0.3">
      <c r="A118" t="s">
        <v>749</v>
      </c>
      <c r="B118" t="s">
        <v>2532</v>
      </c>
      <c r="C118" t="s">
        <v>1853</v>
      </c>
      <c r="D118" t="str">
        <f t="shared" si="3"/>
        <v>công ty tnhh sx,tm nhựa chợ lớn, tổ 9, phước lý, hồ chí minh, long an, việt namcông ty tnhh sx,tm nhựa chợ lớn</v>
      </c>
      <c r="E118" t="str">
        <f>SUBSTITUTE(SUBSTITUTE(SUBSTITUTE(LOWER(C118), "tphcm", "TP. Hồ Chí Minh"), "hcm", "TP. Hồ Chí Minh"), " q.", " Quận ")</f>
        <v>3rmj+62v, đh414, tân uyên, hồ chí minh, việt nam3rmj+62v, đh414, tân uyên, hồ chí minh, việt nam</v>
      </c>
      <c r="F118" t="str">
        <f>PROPER(TRIM(RIGHT(SUBSTITUTE(D118, ",", REPT(" ", LEN(D118))), LEN(D118))))</f>
        <v>Tm Nhựa Chợ Lớn</v>
      </c>
      <c r="G118" t="str">
        <f t="shared" si="4"/>
        <v>Việt Nam</v>
      </c>
      <c r="H118" t="str">
        <f>PROPER(TRIM(RIGHT(SUBSTITUTE(LEFT(D118, FIND("@", SUBSTITUTE(D118, ",", "@", LEN(D118)-LEN(SUBSTITUTE(D118, ",", ""))))-1), ",", REPT(" ", LEN(D118))), LEN(D118))))</f>
        <v>Việt Namcông Ty Tnhh Sx</v>
      </c>
      <c r="I118" t="str">
        <f t="shared" si="5"/>
        <v>Hồ Chí Minh</v>
      </c>
    </row>
    <row r="119" spans="1:9" x14ac:dyDescent="0.3">
      <c r="A119" t="s">
        <v>756</v>
      </c>
      <c r="B119" t="s">
        <v>2553</v>
      </c>
      <c r="C119" t="s">
        <v>1860</v>
      </c>
      <c r="D119" t="str">
        <f t="shared" si="3"/>
        <v>lo p2, duing kcn tiền giang, đường số 8, lợi bình nhơn, khánh hậu, tây ninh, việt namcty cp bao bi dai luc, nm long an</v>
      </c>
      <c r="E119" t="str">
        <f>SUBSTITUTE(SUBSTITUTE(SUBSTITUTE(LOWER(C119), "tphcm", "TP. Hồ Chí Minh"), "hcm", "TP. Hồ Chí Minh"), " q.", " Quận ")</f>
        <v>9j29+4hh, trừ văn thố, hồ chí minh, việt nam9j29+4hh, trừ văn thố, hồ chí minh, việt nam</v>
      </c>
      <c r="F119" t="str">
        <f>PROPER(TRIM(RIGHT(SUBSTITUTE(D119, ",", REPT(" ", LEN(D119))), LEN(D119))))</f>
        <v>Nm Long An</v>
      </c>
      <c r="G119" t="str">
        <f t="shared" si="4"/>
        <v>Việt Nam</v>
      </c>
      <c r="H119" t="str">
        <f>PROPER(TRIM(RIGHT(SUBSTITUTE(LEFT(D119, FIND("@", SUBSTITUTE(D119, ",", "@", LEN(D119)-LEN(SUBSTITUTE(D119, ",", ""))))-1), ",", REPT(" ", LEN(D119))), LEN(D119))))</f>
        <v>Việt Namcty Cp Bao Bi Dai Luc</v>
      </c>
      <c r="I119" t="str">
        <f t="shared" si="5"/>
        <v>Hồ Chí Minh</v>
      </c>
    </row>
    <row r="120" spans="1:9" x14ac:dyDescent="0.3">
      <c r="A120" t="s">
        <v>763</v>
      </c>
      <c r="B120" t="s">
        <v>2594</v>
      </c>
      <c r="C120" t="s">
        <v>1874</v>
      </c>
      <c r="D120" t="str">
        <f t="shared" si="3"/>
        <v>106 ql1a, phường 4, tân an, long an, việt namcông ty may phương vinh</v>
      </c>
      <c r="E120" t="str">
        <f>SUBSTITUTE(SUBSTITUTE(SUBSTITUTE(LOWER(C120), "tphcm", "TP. Hồ Chí Minh"), "hcm", "TP. Hồ Chí Minh"), " q.", " Quận ")</f>
        <v>căn hộ c2 p09.03 chung cư the canery heights, thuận giao, hồ chí minh, vietnamcăn hộ c2 p09.03 chung cư the canery heights</v>
      </c>
      <c r="F120" t="str">
        <f>PROPER(TRIM(RIGHT(SUBSTITUTE(D120, ",", REPT(" ", LEN(D120))), LEN(D120))))</f>
        <v>Việt Namcông Ty May Phương Vinh</v>
      </c>
      <c r="G120" t="str">
        <f t="shared" si="4"/>
        <v>Vietnamcăn Hộ C2 P09.03 Chung Cư The Canery Heights</v>
      </c>
      <c r="H120" t="str">
        <f>PROPER(TRIM(RIGHT(SUBSTITUTE(LEFT(D120, FIND("@", SUBSTITUTE(D120, ",", "@", LEN(D120)-LEN(SUBSTITUTE(D120, ",", ""))))-1), ",", REPT(" ", LEN(D120))), LEN(D120))))</f>
        <v>Long An</v>
      </c>
      <c r="I120" t="str">
        <f t="shared" si="5"/>
        <v>Hồ Chí Minh</v>
      </c>
    </row>
    <row r="121" spans="1:9" x14ac:dyDescent="0.3">
      <c r="A121" t="s">
        <v>772</v>
      </c>
      <c r="B121" t="s">
        <v>2605</v>
      </c>
      <c r="C121" t="s">
        <v>1885</v>
      </c>
      <c r="D121" t="str">
        <f t="shared" si="3"/>
        <v>jgvx+c8 phước lý, tây ninh, việt namjgvx+c8 phước lý, tây ninh, việt nam</v>
      </c>
      <c r="E121" t="str">
        <f>SUBSTITUTE(SUBSTITUTE(SUBSTITUTE(LOWER(C121), "tphcm", "TP. Hồ Chí Minh"), "hcm", "TP. Hồ Chí Minh"), " q.", " Quận ")</f>
        <v>7 đường số 1, khu công nghiệp biên, trấn biên, đồng nai 810000, việt nam7 đường số 1, khu công nghiệp biên, trấn biên, đồng nai 810000, việt nam</v>
      </c>
      <c r="F121" t="str">
        <f>PROPER(TRIM(RIGHT(SUBSTITUTE(D121, ",", REPT(" ", LEN(D121))), LEN(D121))))</f>
        <v>Việt Nam</v>
      </c>
      <c r="G121" t="str">
        <f t="shared" si="4"/>
        <v>Việt Nam</v>
      </c>
      <c r="H121" t="str">
        <f>PROPER(TRIM(RIGHT(SUBSTITUTE(LEFT(D121, FIND("@", SUBSTITUTE(D121, ",", "@", LEN(D121)-LEN(SUBSTITUTE(D121, ",", ""))))-1), ",", REPT(" ", LEN(D121))), LEN(D121))))</f>
        <v>Tây Ninh</v>
      </c>
      <c r="I121" t="str">
        <f t="shared" si="5"/>
        <v>Đồng Nai 810000</v>
      </c>
    </row>
    <row r="122" spans="1:9" x14ac:dyDescent="0.3">
      <c r="A122" t="s">
        <v>776</v>
      </c>
      <c r="B122" t="s">
        <v>2622</v>
      </c>
      <c r="C122" t="s">
        <v>1895</v>
      </c>
      <c r="D122" t="str">
        <f t="shared" si="3"/>
        <v>jgr6+gxv, mỹ yên, tây ninh, việt namjgr6+gxv, mỹ yên, tây ninh, việt nam</v>
      </c>
      <c r="E122" t="str">
        <f>SUBSTITUTE(SUBSTITUTE(SUBSTITUTE(LOWER(C122), "tphcm", "TP. Hồ Chí Minh"), "hcm", "TP. Hồ Chí Minh"), " q.", " Quận ")</f>
        <v>công ty cổ phần du lịch và truyền thông thủ đức, đường nguyễn duy trinh, khu phố 3, long trường, hồ chí minh, việt namcông ty cổ phần du lịch và truyền thông thủ đức</v>
      </c>
      <c r="F122" t="str">
        <f>PROPER(TRIM(RIGHT(SUBSTITUTE(D122, ",", REPT(" ", LEN(D122))), LEN(D122))))</f>
        <v>Việt Nam</v>
      </c>
      <c r="G122" t="str">
        <f t="shared" si="4"/>
        <v>Việt Namcông Ty Cổ Phần Du Lịch Và Truyền Thông Thủ Đức</v>
      </c>
      <c r="H122" t="str">
        <f>PROPER(TRIM(RIGHT(SUBSTITUTE(LEFT(D122, FIND("@", SUBSTITUTE(D122, ",", "@", LEN(D122)-LEN(SUBSTITUTE(D122, ",", ""))))-1), ",", REPT(" ", LEN(D122))), LEN(D122))))</f>
        <v>Tây Ninh</v>
      </c>
      <c r="I122" t="str">
        <f t="shared" si="5"/>
        <v>Hồ Chí Minh</v>
      </c>
    </row>
    <row r="123" spans="1:9" x14ac:dyDescent="0.3">
      <c r="A123" t="s">
        <v>783</v>
      </c>
      <c r="B123" t="s">
        <v>2656</v>
      </c>
      <c r="C123" t="s">
        <v>1905</v>
      </c>
      <c r="D123" t="str">
        <f t="shared" si="3"/>
        <v>jf3w+jj long cang, long an, việt namjf3w+jj long cang, long an, việt nam</v>
      </c>
      <c r="E123" t="str">
        <f>SUBSTITUTE(SUBSTITUTE(SUBSTITUTE(LOWER(C123), "tphcm", "TP. Hồ Chí Minh"), "hcm", "TP. Hồ Chí Minh"), " q.", " Quận ")</f>
        <v>qxvp+q3 long thành, đồng nai, việt namqxvp+q3 long thành, đồng nai, việt nam</v>
      </c>
      <c r="F123" t="str">
        <f>PROPER(TRIM(RIGHT(SUBSTITUTE(D123, ",", REPT(" ", LEN(D123))), LEN(D123))))</f>
        <v>Việt Nam</v>
      </c>
      <c r="G123" t="str">
        <f t="shared" si="4"/>
        <v>Việt Nam</v>
      </c>
      <c r="H123" t="str">
        <f>PROPER(TRIM(RIGHT(SUBSTITUTE(LEFT(D123, FIND("@", SUBSTITUTE(D123, ",", "@", LEN(D123)-LEN(SUBSTITUTE(D123, ",", ""))))-1), ",", REPT(" ", LEN(D123))), LEN(D123))))</f>
        <v>Long An</v>
      </c>
      <c r="I123" t="str">
        <f t="shared" si="5"/>
        <v>Đồng Nai</v>
      </c>
    </row>
    <row r="124" spans="1:9" x14ac:dyDescent="0.3">
      <c r="A124" t="s">
        <v>787</v>
      </c>
      <c r="B124" t="s">
        <v>2666</v>
      </c>
      <c r="C124" t="s">
        <v>1916</v>
      </c>
      <c r="D124" t="str">
        <f t="shared" si="3"/>
        <v>lô d4, đường số 3, ccn, lợi bình nhơn, tân an, long an, việt namcông ty tnhh carmi</v>
      </c>
      <c r="E124" t="str">
        <f>SUBSTITUTE(SUBSTITUTE(SUBSTITUTE(LOWER(C124), "tphcm", "TP. Hồ Chí Minh"), "hcm", "TP. Hồ Chí Minh"), " q.", " Quận ")</f>
        <v>372/13 hẻm 372 nơ trang long, bình lợi trung, hồ chí minh, việt nam372/13 hẻm 372 nơ trang long, bình lợi trung, hồ chí minh, việt nam</v>
      </c>
      <c r="F124" t="str">
        <f>PROPER(TRIM(RIGHT(SUBSTITUTE(D124, ",", REPT(" ", LEN(D124))), LEN(D124))))</f>
        <v>Việt Namcông Ty Tnhh Carmi</v>
      </c>
      <c r="G124" t="str">
        <f t="shared" si="4"/>
        <v>Việt Nam</v>
      </c>
      <c r="H124" t="str">
        <f>PROPER(TRIM(RIGHT(SUBSTITUTE(LEFT(D124, FIND("@", SUBSTITUTE(D124, ",", "@", LEN(D124)-LEN(SUBSTITUTE(D124, ",", ""))))-1), ",", REPT(" ", LEN(D124))), LEN(D124))))</f>
        <v>Long An</v>
      </c>
      <c r="I124" t="str">
        <f t="shared" si="5"/>
        <v>Hồ Chí Minh</v>
      </c>
    </row>
    <row r="125" spans="1:9" x14ac:dyDescent="0.3">
      <c r="A125" t="s">
        <v>794</v>
      </c>
      <c r="B125" t="s">
        <v>2762</v>
      </c>
      <c r="C125" t="s">
        <v>1923</v>
      </c>
      <c r="D125" t="str">
        <f t="shared" si="3"/>
        <v>xã tân lập 1, huyện tân phước, tiền giang, việt namcông ty tnhh công nghiệp đồng jintian việt nam</v>
      </c>
      <c r="E125" t="str">
        <f>SUBSTITUTE(SUBSTITUTE(SUBSTITUTE(LOWER(C125), "tphcm", "TP. Hồ Chí Minh"), "hcm", "TP. Hồ Chí Minh"), " q.", " Quận ")</f>
        <v>qpwm+3m6, 30 đ. số 3, khu phố 4, an khánh, hồ chí minh, việt namqpwm+3m6, 30 đ. số 3, khu phố 4, an khánh, hồ chí minh, việt nam</v>
      </c>
      <c r="F125" t="str">
        <f>PROPER(TRIM(RIGHT(SUBSTITUTE(D125, ",", REPT(" ", LEN(D125))), LEN(D125))))</f>
        <v>Việt Namcông Ty Tnhh Công Nghiệp Đồng Jintian Việt Nam</v>
      </c>
      <c r="G125" t="str">
        <f t="shared" si="4"/>
        <v>Việt Nam</v>
      </c>
      <c r="H125" t="str">
        <f>PROPER(TRIM(RIGHT(SUBSTITUTE(LEFT(D125, FIND("@", SUBSTITUTE(D125, ",", "@", LEN(D125)-LEN(SUBSTITUTE(D125, ",", ""))))-1), ",", REPT(" ", LEN(D125))), LEN(D125))))</f>
        <v>Tiền Giang</v>
      </c>
      <c r="I125" t="str">
        <f t="shared" si="5"/>
        <v>Hồ Chí Minh</v>
      </c>
    </row>
    <row r="126" spans="1:9" x14ac:dyDescent="0.3">
      <c r="A126" t="s">
        <v>804</v>
      </c>
      <c r="B126" t="s">
        <v>2773</v>
      </c>
      <c r="C126" t="s">
        <v>1930</v>
      </c>
      <c r="D126" t="str">
        <f t="shared" si="3"/>
        <v>đường d7, phường 6, tân an, long an, việt namđường d7, phường 6, tân an, long an, việt nam</v>
      </c>
      <c r="E126" t="str">
        <f>SUBSTITUTE(SUBSTITUTE(SUBSTITUTE(LOWER(C126), "tphcm", "TP. Hồ Chí Minh"), "hcm", "TP. Hồ Chí Minh"), " q.", " Quận ")</f>
        <v>công ty mesa - biên hòa, đường đồng khởi, tam hiệp, đồng nai, việt namcông ty mesa - biên hòa</v>
      </c>
      <c r="F126" t="str">
        <f>PROPER(TRIM(RIGHT(SUBSTITUTE(D126, ",", REPT(" ", LEN(D126))), LEN(D126))))</f>
        <v>Việt Nam</v>
      </c>
      <c r="G126" t="str">
        <f t="shared" si="4"/>
        <v>Việt Namcông Ty Mesa - Biên Hòa</v>
      </c>
      <c r="H126" t="str">
        <f>PROPER(TRIM(RIGHT(SUBSTITUTE(LEFT(D126, FIND("@", SUBSTITUTE(D126, ",", "@", LEN(D126)-LEN(SUBSTITUTE(D126, ",", ""))))-1), ",", REPT(" ", LEN(D126))), LEN(D126))))</f>
        <v>Long An</v>
      </c>
      <c r="I126" t="str">
        <f t="shared" si="5"/>
        <v>Đồng Nai</v>
      </c>
    </row>
    <row r="127" spans="1:9" x14ac:dyDescent="0.3">
      <c r="A127" t="s">
        <v>809</v>
      </c>
      <c r="B127" t="s">
        <v>2784</v>
      </c>
      <c r="C127" t="s">
        <v>1937</v>
      </c>
      <c r="D127" t="str">
        <f t="shared" si="3"/>
        <v>đường số 278, phường 7, tp. tân an, long an, việt nam182 đường số 278</v>
      </c>
      <c r="E127" t="str">
        <f>SUBSTITUTE(SUBSTITUTE(SUBSTITUTE(LOWER(C127), "tphcm", "TP. Hồ Chí Minh"), "hcm", "TP. Hồ Chí Minh"), " q.", " Quận ")</f>
        <v>rp83+65f, bình thạnh, hồ chí minh, việt namrp83+65f, bình thạnh, hồ chí minh, việt nam</v>
      </c>
      <c r="F127" t="str">
        <f>PROPER(TRIM(RIGHT(SUBSTITUTE(D127, ",", REPT(" ", LEN(D127))), LEN(D127))))</f>
        <v>Việt Nam182 Đường Số 278</v>
      </c>
      <c r="G127" t="str">
        <f t="shared" si="4"/>
        <v>Việt Nam</v>
      </c>
      <c r="H127" t="str">
        <f>PROPER(TRIM(RIGHT(SUBSTITUTE(LEFT(D127, FIND("@", SUBSTITUTE(D127, ",", "@", LEN(D127)-LEN(SUBSTITUTE(D127, ",", ""))))-1), ",", REPT(" ", LEN(D127))), LEN(D127))))</f>
        <v>Long An</v>
      </c>
      <c r="I127" t="str">
        <f t="shared" si="5"/>
        <v>Hồ Chí Minh</v>
      </c>
    </row>
    <row r="128" spans="1:9" x14ac:dyDescent="0.3">
      <c r="A128" t="s">
        <v>816</v>
      </c>
      <c r="B128" t="s">
        <v>2805</v>
      </c>
      <c r="C128" t="s">
        <v>1953</v>
      </c>
      <c r="D128" t="str">
        <f t="shared" si="3"/>
        <v>công ty tnhh quốc tế rythern (việt nam), đường số 14, long cang, tây ninh, việt namcông ty tnhh quốc tế rythern (việt nam)</v>
      </c>
      <c r="E128" t="str">
        <f>SUBSTITUTE(SUBSTITUTE(SUBSTITUTE(LOWER(C128), "tphcm", "TP. Hồ Chí Minh"), "hcm", "TP. Hồ Chí Minh"), " q.", " Quận ")</f>
        <v>13 đ. lê thị hồng, gò vấp, hồ chí minh, việt nam13 đ. lê thị hồng, gò vấp, hồ chí minh, việt nam</v>
      </c>
      <c r="F128" t="str">
        <f>PROPER(TRIM(RIGHT(SUBSTITUTE(D128, ",", REPT(" ", LEN(D128))), LEN(D128))))</f>
        <v>Việt Namcông Ty Tnhh Quốc Tế Rythern (Việt Nam)</v>
      </c>
      <c r="G128" t="str">
        <f t="shared" si="4"/>
        <v>Việt Nam</v>
      </c>
      <c r="H128" t="str">
        <f>PROPER(TRIM(RIGHT(SUBSTITUTE(LEFT(D128, FIND("@", SUBSTITUTE(D128, ",", "@", LEN(D128)-LEN(SUBSTITUTE(D128, ",", ""))))-1), ",", REPT(" ", LEN(D128))), LEN(D128))))</f>
        <v>Tây Ninh</v>
      </c>
      <c r="I128" t="str">
        <f t="shared" si="5"/>
        <v>Hồ Chí Minh</v>
      </c>
    </row>
    <row r="129" spans="1:9" x14ac:dyDescent="0.3">
      <c r="A129" t="s">
        <v>823</v>
      </c>
      <c r="B129" t="s">
        <v>2813</v>
      </c>
      <c r="C129" t="s">
        <v>1963</v>
      </c>
      <c r="D129" t="str">
        <f t="shared" si="3"/>
        <v>okia optical vietnam, long cang, tây ninh, việt namokia optical vietnam</v>
      </c>
      <c r="E129" t="str">
        <f>SUBSTITUTE(SUBSTITUTE(SUBSTITUTE(LOWER(C129), "tphcm", "TP. Hồ Chí Minh"), "hcm", "TP. Hồ Chí Minh"), " q.", " Quận ")</f>
        <v>công ty bibica biên hoà, đường số 1, kcn biên, trấn biên, đồng nai, việt namcông ty bibica biên hoà</v>
      </c>
      <c r="F129" t="str">
        <f>PROPER(TRIM(RIGHT(SUBSTITUTE(D129, ",", REPT(" ", LEN(D129))), LEN(D129))))</f>
        <v>Việt Namokia Optical Vietnam</v>
      </c>
      <c r="G129" t="str">
        <f t="shared" si="4"/>
        <v>Việt Namcông Ty Bibica Biên Hoà</v>
      </c>
      <c r="H129" t="str">
        <f>PROPER(TRIM(RIGHT(SUBSTITUTE(LEFT(D129, FIND("@", SUBSTITUTE(D129, ",", "@", LEN(D129)-LEN(SUBSTITUTE(D129, ",", ""))))-1), ",", REPT(" ", LEN(D129))), LEN(D129))))</f>
        <v>Tây Ninh</v>
      </c>
      <c r="I129" t="str">
        <f t="shared" si="5"/>
        <v>Đồng Nai</v>
      </c>
    </row>
    <row r="130" spans="1:9" x14ac:dyDescent="0.3">
      <c r="A130" t="s">
        <v>830</v>
      </c>
      <c r="B130" t="s">
        <v>2835</v>
      </c>
      <c r="C130" t="s">
        <v>1979</v>
      </c>
      <c r="D130" t="str">
        <f t="shared" si="3"/>
        <v>công ty tnhh sản xuất khuôn đúc chin chen fuh việt nam, long cang, tây ninh, việt namcông ty tnhh sản xuất khuôn đúc chin chen fuh việt nam</v>
      </c>
      <c r="E130" t="str">
        <f>SUBSTITUTE(SUBSTITUTE(SUBSTITUTE(LOWER(C130), "tphcm", "TP. Hồ Chí Minh"), "hcm", "TP. Hồ Chí Minh"), " q.", " Quận ")</f>
        <v>3a đ. lê văn việt, tăng nhơn phú, hồ chí minh, việt nam3a đ. lê văn việt, tăng nhơn phú, hồ chí minh, việt nam</v>
      </c>
      <c r="F130" t="str">
        <f>PROPER(TRIM(RIGHT(SUBSTITUTE(D130, ",", REPT(" ", LEN(D130))), LEN(D130))))</f>
        <v>Việt Namcông Ty Tnhh Sản Xuất Khuôn Đúc Chin Chen Fuh Việt Nam</v>
      </c>
      <c r="G130" t="str">
        <f t="shared" si="4"/>
        <v>Việt Nam</v>
      </c>
      <c r="H130" t="str">
        <f>PROPER(TRIM(RIGHT(SUBSTITUTE(LEFT(D130, FIND("@", SUBSTITUTE(D130, ",", "@", LEN(D130)-LEN(SUBSTITUTE(D130, ",", ""))))-1), ",", REPT(" ", LEN(D130))), LEN(D130))))</f>
        <v>Tây Ninh</v>
      </c>
      <c r="I130" t="str">
        <f t="shared" si="5"/>
        <v>Hồ Chí Minh</v>
      </c>
    </row>
    <row r="131" spans="1:9" x14ac:dyDescent="0.3">
      <c r="A131" t="s">
        <v>836</v>
      </c>
      <c r="B131" t="s">
        <v>2879</v>
      </c>
      <c r="C131" t="s">
        <v>1991</v>
      </c>
      <c r="D131" t="str">
        <f t="shared" ref="D131:D194" si="6">SUBSTITUTE(SUBSTITUTE(SUBSTITUTE(LOWER(B131), "tphcm", "TP. Hồ Chí Minh"), "hcm", "TP. Hồ Chí Minh"), " q.", " Quận ")</f>
        <v>asiasteel kcn thuận đạo, long cang, tây ninh, việt namasiasteel kcn thuận đạo</v>
      </c>
      <c r="E131" t="str">
        <f>SUBSTITUTE(SUBSTITUTE(SUBSTITUTE(LOWER(C131), "tphcm", "TP. Hồ Chí Minh"), "hcm", "TP. Hồ Chí Minh"), " q.", " Quận ")</f>
        <v>wpjq+qg an phú, bình dương, việt namwpjq+qg an phú, bình dương, việt nam</v>
      </c>
      <c r="F131" t="str">
        <f>PROPER(TRIM(RIGHT(SUBSTITUTE(D131, ",", REPT(" ", LEN(D131))), LEN(D131))))</f>
        <v>Việt Namasiasteel Kcn Thuận Đạo</v>
      </c>
      <c r="G131" t="str">
        <f t="shared" ref="G131:G194" si="7">PROPER(TRIM(RIGHT(SUBSTITUTE(E131, ",", REPT(" ", LEN(E131))), LEN(E131))))</f>
        <v>Việt Nam</v>
      </c>
      <c r="H131" t="str">
        <f>PROPER(TRIM(RIGHT(SUBSTITUTE(LEFT(D131, FIND("@", SUBSTITUTE(D131, ",", "@", LEN(D131)-LEN(SUBSTITUTE(D131, ",", ""))))-1), ",", REPT(" ", LEN(D131))), LEN(D131))))</f>
        <v>Tây Ninh</v>
      </c>
      <c r="I131" t="str">
        <f t="shared" ref="I131:I194" si="8">PROPER(TRIM(RIGHT(SUBSTITUTE(LEFT(E131, FIND("@", SUBSTITUTE(E131, ",", "@", LEN(E131)-LEN(SUBSTITUTE(E131, ",", ""))))-1), ",", REPT(" ", LEN(E131))), LEN(E131))))</f>
        <v>Bình Dương</v>
      </c>
    </row>
    <row r="132" spans="1:9" x14ac:dyDescent="0.3">
      <c r="A132" t="s">
        <v>841</v>
      </c>
      <c r="B132" t="s">
        <v>2886</v>
      </c>
      <c r="C132" t="s">
        <v>2013</v>
      </c>
      <c r="D132" t="str">
        <f t="shared" si="6"/>
        <v>cty kim tiền hải, đ. số 3, kcn phúc long, mỹ yên, tây ninh, việt namcty kim tiền hải</v>
      </c>
      <c r="E132" t="str">
        <f>SUBSTITUTE(SUBSTITUTE(SUBSTITUTE(LOWER(C132), "tphcm", "TP. Hồ Chí Minh"), "hcm", "TP. Hồ Chí Minh"), " q.", " Quận ")</f>
        <v>130 đ. nam cao, tăng nhơn phú, hồ chí minh, việt nam130 đ. nam cao, tăng nhơn phú, hồ chí minh, việt nam</v>
      </c>
      <c r="F132" t="str">
        <f>PROPER(TRIM(RIGHT(SUBSTITUTE(D132, ",", REPT(" ", LEN(D132))), LEN(D132))))</f>
        <v>Việt Namcty Kim Tiền Hải</v>
      </c>
      <c r="G132" t="str">
        <f t="shared" si="7"/>
        <v>Việt Nam</v>
      </c>
      <c r="H132" t="str">
        <f>PROPER(TRIM(RIGHT(SUBSTITUTE(LEFT(D132, FIND("@", SUBSTITUTE(D132, ",", "@", LEN(D132)-LEN(SUBSTITUTE(D132, ",", ""))))-1), ",", REPT(" ", LEN(D132))), LEN(D132))))</f>
        <v>Tây Ninh</v>
      </c>
      <c r="I132" t="str">
        <f t="shared" si="8"/>
        <v>Hồ Chí Minh</v>
      </c>
    </row>
    <row r="133" spans="1:9" x14ac:dyDescent="0.3">
      <c r="A133" t="s">
        <v>844</v>
      </c>
      <c r="B133" t="s">
        <v>2904</v>
      </c>
      <c r="C133" t="s">
        <v>2021</v>
      </c>
      <c r="D133" t="str">
        <f t="shared" si="6"/>
        <v>công ty tnhh thương mại và dược phẩm anh sang, đường vl4, khu công nghiệp, mỹ yên, tây ninh, việt namcông ty tnhh thương mại và dược phẩm anh sang</v>
      </c>
      <c r="E133" t="str">
        <f>SUBSTITUTE(SUBSTITUTE(SUBSTITUTE(LOWER(C133), "tphcm", "TP. Hồ Chí Minh"), "hcm", "TP. Hồ Chí Minh"), " q.", " Quận ")</f>
        <v>2/5/12 b bình giã, tân bình, hồ chí minh, việt nam2/5/12 b bình giã, tân bình, hồ chí minh, việt nam</v>
      </c>
      <c r="F133" t="str">
        <f>PROPER(TRIM(RIGHT(SUBSTITUTE(D133, ",", REPT(" ", LEN(D133))), LEN(D133))))</f>
        <v>Việt Namcông Ty Tnhh Thương Mại Và Dược Phẩm Anh Sang</v>
      </c>
      <c r="G133" t="str">
        <f t="shared" si="7"/>
        <v>Việt Nam</v>
      </c>
      <c r="H133" t="str">
        <f>PROPER(TRIM(RIGHT(SUBSTITUTE(LEFT(D133, FIND("@", SUBSTITUTE(D133, ",", "@", LEN(D133)-LEN(SUBSTITUTE(D133, ",", ""))))-1), ",", REPT(" ", LEN(D133))), LEN(D133))))</f>
        <v>Tây Ninh</v>
      </c>
      <c r="I133" t="str">
        <f t="shared" si="8"/>
        <v>Hồ Chí Minh</v>
      </c>
    </row>
    <row r="134" spans="1:9" x14ac:dyDescent="0.3">
      <c r="A134" t="s">
        <v>848</v>
      </c>
      <c r="B134" t="s">
        <v>2923</v>
      </c>
      <c r="C134" t="s">
        <v>2041</v>
      </c>
      <c r="D134" t="str">
        <f t="shared" si="6"/>
        <v>công ty tnhh mtv kookil dyeing việt nam, đường số 7, kcn phúc long, mỹ yên, tây ninh, việt namcông ty tnhh mtv kookil dyeing việt nam</v>
      </c>
      <c r="E134" t="str">
        <f>SUBSTITUTE(SUBSTITUTE(SUBSTITUTE(LOWER(C134), "tphcm", "TP. Hồ Chí Minh"), "hcm", "TP. Hồ Chí Minh"), " q.", " Quận ")</f>
        <v>qxv8+5p2, đt769, long thành, đồng nai, việt namqxv8+5p2, đt769, long thành, đồng nai, việt nam</v>
      </c>
      <c r="F134" t="str">
        <f>PROPER(TRIM(RIGHT(SUBSTITUTE(D134, ",", REPT(" ", LEN(D134))), LEN(D134))))</f>
        <v>Việt Namcông Ty Tnhh Mtv Kookil Dyeing Việt Nam</v>
      </c>
      <c r="G134" t="str">
        <f t="shared" si="7"/>
        <v>Việt Nam</v>
      </c>
      <c r="H134" t="str">
        <f>PROPER(TRIM(RIGHT(SUBSTITUTE(LEFT(D134, FIND("@", SUBSTITUTE(D134, ",", "@", LEN(D134)-LEN(SUBSTITUTE(D134, ",", ""))))-1), ",", REPT(" ", LEN(D134))), LEN(D134))))</f>
        <v>Tây Ninh</v>
      </c>
      <c r="I134" t="str">
        <f t="shared" si="8"/>
        <v>Đồng Nai</v>
      </c>
    </row>
    <row r="135" spans="1:9" x14ac:dyDescent="0.3">
      <c r="A135" t="s">
        <v>851</v>
      </c>
      <c r="B135" t="s">
        <v>2934</v>
      </c>
      <c r="C135" t="s">
        <v>2051</v>
      </c>
      <c r="D135" t="str">
        <f t="shared" si="6"/>
        <v>công ty tnhh hạt nhựa màu việt trung, quốc lộ 1a voi lá, mỹ yên, tây ninh, việt namcông ty tnhh hạt nhựa màu việt trung</v>
      </c>
      <c r="E135" t="str">
        <f>SUBSTITUTE(SUBSTITUTE(SUBSTITUTE(LOWER(C135), "tphcm", "TP. Hồ Chí Minh"), "hcm", "TP. Hồ Chí Minh"), " q.", " Quận ")</f>
        <v>công ty thủ đức land, gò cát, long trường, hồ chí minh, việt namcông ty thủ đức land</v>
      </c>
      <c r="F135" t="str">
        <f>PROPER(TRIM(RIGHT(SUBSTITUTE(D135, ",", REPT(" ", LEN(D135))), LEN(D135))))</f>
        <v>Việt Namcông Ty Tnhh Hạt Nhựa Màu Việt Trung</v>
      </c>
      <c r="G135" t="str">
        <f t="shared" si="7"/>
        <v>Việt Namcông Ty Thủ Đức Land</v>
      </c>
      <c r="H135" t="str">
        <f>PROPER(TRIM(RIGHT(SUBSTITUTE(LEFT(D135, FIND("@", SUBSTITUTE(D135, ",", "@", LEN(D135)-LEN(SUBSTITUTE(D135, ",", ""))))-1), ",", REPT(" ", LEN(D135))), LEN(D135))))</f>
        <v>Tây Ninh</v>
      </c>
      <c r="I135" t="str">
        <f t="shared" si="8"/>
        <v>Hồ Chí Minh</v>
      </c>
    </row>
    <row r="136" spans="1:9" x14ac:dyDescent="0.3">
      <c r="A136" t="s">
        <v>861</v>
      </c>
      <c r="B136" t="s">
        <v>2945</v>
      </c>
      <c r="C136" t="s">
        <v>2065</v>
      </c>
      <c r="D136" t="str">
        <f t="shared" si="6"/>
        <v>climaveneta vietnam, kcn phúc long, mỹ yên, tây ninh, việt namclimaveneta vietnam</v>
      </c>
      <c r="E136" t="str">
        <f>SUBSTITUTE(SUBSTITUTE(SUBSTITUTE(LOWER(C136), "tphcm", "TP. Hồ Chí Minh"), "hcm", "TP. Hồ Chí Minh"), " q.", " Quận ")</f>
        <v>wq46+h69, dĩ an, hồ chí minh, việt namwq46+h69, dĩ an, hồ chí minh, việt nam</v>
      </c>
      <c r="F136" t="str">
        <f>PROPER(TRIM(RIGHT(SUBSTITUTE(D136, ",", REPT(" ", LEN(D136))), LEN(D136))))</f>
        <v>Việt Namclimaveneta Vietnam</v>
      </c>
      <c r="G136" t="str">
        <f t="shared" si="7"/>
        <v>Việt Nam</v>
      </c>
      <c r="H136" t="str">
        <f>PROPER(TRIM(RIGHT(SUBSTITUTE(LEFT(D136, FIND("@", SUBSTITUTE(D136, ",", "@", LEN(D136)-LEN(SUBSTITUTE(D136, ",", ""))))-1), ",", REPT(" ", LEN(D136))), LEN(D136))))</f>
        <v>Tây Ninh</v>
      </c>
      <c r="I136" t="str">
        <f t="shared" si="8"/>
        <v>Hồ Chí Minh</v>
      </c>
    </row>
    <row r="137" spans="1:9" x14ac:dyDescent="0.3">
      <c r="A137" t="s">
        <v>868</v>
      </c>
      <c r="B137" t="s">
        <v>2994</v>
      </c>
      <c r="C137" t="s">
        <v>2077</v>
      </c>
      <c r="D137" t="str">
        <f t="shared" si="6"/>
        <v>công ty tnhh vy kỳ, đ. sân banh, phước lý, tây ninh, việt namcông ty tnhh vy kỳ</v>
      </c>
      <c r="E137" t="str">
        <f>SUBSTITUTE(SUBSTITUTE(SUBSTITUTE(LOWER(C137), "tphcm", "TP. Hồ Chí Minh"), "hcm", "TP. Hồ Chí Minh"), " q.", " Quận ")</f>
        <v>80 - 90đ đ. nguyễn thái sơn, hạnh thông, hồ chí minh, việt nam80 - 90đ đ. nguyễn thái sơn, hạnh thông, hồ chí minh, việt nam</v>
      </c>
      <c r="F137" t="str">
        <f>PROPER(TRIM(RIGHT(SUBSTITUTE(D137, ",", REPT(" ", LEN(D137))), LEN(D137))))</f>
        <v>Việt Namcông Ty Tnhh Vy Kỳ</v>
      </c>
      <c r="G137" t="str">
        <f t="shared" si="7"/>
        <v>Việt Nam</v>
      </c>
      <c r="H137" t="str">
        <f>PROPER(TRIM(RIGHT(SUBSTITUTE(LEFT(D137, FIND("@", SUBSTITUTE(D137, ",", "@", LEN(D137)-LEN(SUBSTITUTE(D137, ",", ""))))-1), ",", REPT(" ", LEN(D137))), LEN(D137))))</f>
        <v>Tây Ninh</v>
      </c>
      <c r="I137" t="str">
        <f t="shared" si="8"/>
        <v>Hồ Chí Minh</v>
      </c>
    </row>
    <row r="138" spans="1:9" x14ac:dyDescent="0.3">
      <c r="A138" t="s">
        <v>875</v>
      </c>
      <c r="B138" t="s">
        <v>3003</v>
      </c>
      <c r="C138" t="s">
        <v>2085</v>
      </c>
      <c r="D138" t="str">
        <f t="shared" si="6"/>
        <v>công ty tnhh sản xuất và thương mại khải tín huy, đường số 1, kcn thuận đạo (mở rộng, long cang, tây ninh, việt namcông ty tnhh sản xuất và thương mại khải tín huy</v>
      </c>
      <c r="E138" t="str">
        <f>SUBSTITUTE(SUBSTITUTE(SUBSTITUTE(LOWER(C138), "tphcm", "TP. Hồ Chí Minh"), "hcm", "TP. Hồ Chí Minh"), " q.", " Quận ")</f>
        <v>công ty tnnhh tmdv long thanh fly, ấp bình lâm, long thành, đồng nai, việt namcông ty tnnhh tmdv long thanh fly</v>
      </c>
      <c r="F138" t="str">
        <f>PROPER(TRIM(RIGHT(SUBSTITUTE(D138, ",", REPT(" ", LEN(D138))), LEN(D138))))</f>
        <v>Việt Namcông Ty Tnhh Sản Xuất Và Thương Mại Khải Tín Huy</v>
      </c>
      <c r="G138" t="str">
        <f t="shared" si="7"/>
        <v>Việt Namcông Ty Tnnhh Tmdv Long Thanh Fly</v>
      </c>
      <c r="H138" t="str">
        <f>PROPER(TRIM(RIGHT(SUBSTITUTE(LEFT(D138, FIND("@", SUBSTITUTE(D138, ",", "@", LEN(D138)-LEN(SUBSTITUTE(D138, ",", ""))))-1), ",", REPT(" ", LEN(D138))), LEN(D138))))</f>
        <v>Tây Ninh</v>
      </c>
      <c r="I138" t="str">
        <f t="shared" si="8"/>
        <v>Đồng Nai</v>
      </c>
    </row>
    <row r="139" spans="1:9" x14ac:dyDescent="0.3">
      <c r="A139" t="s">
        <v>879</v>
      </c>
      <c r="B139" t="s">
        <v>3034</v>
      </c>
      <c r="C139" t="s">
        <v>2092</v>
      </c>
      <c r="D139" t="str">
        <f t="shared" si="6"/>
        <v>jhv3+6rf, phước lý, tây ninh, việt namjhv3+6rf, phước lý, tây ninh, việt nam</v>
      </c>
      <c r="E139" t="str">
        <f>SUBSTITUTE(SUBSTITUTE(SUBSTITUTE(LOWER(C139), "tphcm", "TP. Hồ Chí Minh"), "hcm", "TP. Hồ Chí Minh"), " q.", " Quận ")</f>
        <v>43 đx 2, bình dương, hồ chí minh, việt nam43 đx 2, bình dương, hồ chí minh, việt nam</v>
      </c>
      <c r="F139" t="str">
        <f>PROPER(TRIM(RIGHT(SUBSTITUTE(D139, ",", REPT(" ", LEN(D139))), LEN(D139))))</f>
        <v>Việt Nam</v>
      </c>
      <c r="G139" t="str">
        <f t="shared" si="7"/>
        <v>Việt Nam</v>
      </c>
      <c r="H139" t="str">
        <f>PROPER(TRIM(RIGHT(SUBSTITUTE(LEFT(D139, FIND("@", SUBSTITUTE(D139, ",", "@", LEN(D139)-LEN(SUBSTITUTE(D139, ",", ""))))-1), ",", REPT(" ", LEN(D139))), LEN(D139))))</f>
        <v>Tây Ninh</v>
      </c>
      <c r="I139" t="str">
        <f t="shared" si="8"/>
        <v>Hồ Chí Minh</v>
      </c>
    </row>
    <row r="140" spans="1:9" x14ac:dyDescent="0.3">
      <c r="A140" t="s">
        <v>882</v>
      </c>
      <c r="B140" t="s">
        <v>3041</v>
      </c>
      <c r="C140" t="s">
        <v>2099</v>
      </c>
      <c r="D140" t="str">
        <f t="shared" si="6"/>
        <v>cty cp nhua doan minh long, đường vĩnh lộc kcn vĩnh lộc 2, mỹ yên, tây ninh, việt namcty cp nhua doan minh long</v>
      </c>
      <c r="E140" t="str">
        <f>SUBSTITUTE(SUBSTITUTE(SUBSTITUTE(LOWER(C140), "tphcm", "TP. Hồ Chí Minh"), "hcm", "TP. Hồ Chí Minh"), " q.", " Quận ")</f>
        <v>qrm5+q7c, long trường, hồ chí minh, việt namqrm5+q7c, long trường, hồ chí minh, việt nam</v>
      </c>
      <c r="F140" t="str">
        <f>PROPER(TRIM(RIGHT(SUBSTITUTE(D140, ",", REPT(" ", LEN(D140))), LEN(D140))))</f>
        <v>Việt Namcty Cp Nhua Doan Minh Long</v>
      </c>
      <c r="G140" t="str">
        <f t="shared" si="7"/>
        <v>Việt Nam</v>
      </c>
      <c r="H140" t="str">
        <f>PROPER(TRIM(RIGHT(SUBSTITUTE(LEFT(D140, FIND("@", SUBSTITUTE(D140, ",", "@", LEN(D140)-LEN(SUBSTITUTE(D140, ",", ""))))-1), ",", REPT(" ", LEN(D140))), LEN(D140))))</f>
        <v>Tây Ninh</v>
      </c>
      <c r="I140" t="str">
        <f t="shared" si="8"/>
        <v>Hồ Chí Minh</v>
      </c>
    </row>
    <row r="141" spans="1:9" x14ac:dyDescent="0.3">
      <c r="A141" t="s">
        <v>886</v>
      </c>
      <c r="B141" t="s">
        <v>3048</v>
      </c>
      <c r="C141" t="s">
        <v>2114</v>
      </c>
      <c r="D141" t="str">
        <f t="shared" si="6"/>
        <v>công ty tnhh sx tm dv xnk nhựa châu hưng, đường tỉnh 835b, ấp phú thành, phước lý, tây ninh, việt namcông ty tnhh sx tm dv xnk nhựa châu hưng</v>
      </c>
      <c r="E141" t="str">
        <f>SUBSTITUTE(SUBSTITUTE(SUBSTITUTE(LOWER(C141), "tphcm", "TP. Hồ Chí Minh"), "hcm", "TP. Hồ Chí Minh"), " q.", " Quận ")</f>
        <v>gò vấp highschool, đường nguyễn thái sơn, hạnh thông, hồ chí minh, việt namgò vấp highschool</v>
      </c>
      <c r="F141" t="str">
        <f>PROPER(TRIM(RIGHT(SUBSTITUTE(D141, ",", REPT(" ", LEN(D141))), LEN(D141))))</f>
        <v>Việt Namcông Ty Tnhh Sx Tm Dv Xnk Nhựa Châu Hưng</v>
      </c>
      <c r="G141" t="str">
        <f t="shared" si="7"/>
        <v>Việt Namgò Vấp Highschool</v>
      </c>
      <c r="H141" t="str">
        <f>PROPER(TRIM(RIGHT(SUBSTITUTE(LEFT(D141, FIND("@", SUBSTITUTE(D141, ",", "@", LEN(D141)-LEN(SUBSTITUTE(D141, ",", ""))))-1), ",", REPT(" ", LEN(D141))), LEN(D141))))</f>
        <v>Tây Ninh</v>
      </c>
      <c r="I141" t="str">
        <f t="shared" si="8"/>
        <v>Hồ Chí Minh</v>
      </c>
    </row>
    <row r="142" spans="1:9" x14ac:dyDescent="0.3">
      <c r="A142" t="s">
        <v>888</v>
      </c>
      <c r="B142" t="s">
        <v>3063</v>
      </c>
      <c r="C142" t="s">
        <v>2161</v>
      </c>
      <c r="D142" t="str">
        <f t="shared" si="6"/>
        <v>jhv6+hh3, phước lý, tây ninh, việt namjhv6+hh3, phước lý, tây ninh, việt nam</v>
      </c>
      <c r="E142" t="str">
        <f>SUBSTITUTE(SUBSTITUTE(SUBSTITUTE(LOWER(C142), "tphcm", "TP. Hồ Chí Minh"), "hcm", "TP. Hồ Chí Minh"), " q.", " Quận ")</f>
        <v>420 cầu rạch lăng, phường 13, quận bình thạnh, hồ chí minh, việt nam420 cầu rạch lăng</v>
      </c>
      <c r="F142" t="str">
        <f>PROPER(TRIM(RIGHT(SUBSTITUTE(D142, ",", REPT(" ", LEN(D142))), LEN(D142))))</f>
        <v>Việt Nam</v>
      </c>
      <c r="G142" t="str">
        <f t="shared" si="7"/>
        <v>Việt Nam420 Cầu Rạch Lăng</v>
      </c>
      <c r="H142" t="str">
        <f>PROPER(TRIM(RIGHT(SUBSTITUTE(LEFT(D142, FIND("@", SUBSTITUTE(D142, ",", "@", LEN(D142)-LEN(SUBSTITUTE(D142, ",", ""))))-1), ",", REPT(" ", LEN(D142))), LEN(D142))))</f>
        <v>Tây Ninh</v>
      </c>
      <c r="I142" t="str">
        <f t="shared" si="8"/>
        <v>Hồ Chí Minh</v>
      </c>
    </row>
    <row r="143" spans="1:9" x14ac:dyDescent="0.3">
      <c r="A143" t="s">
        <v>895</v>
      </c>
      <c r="B143" t="s">
        <v>3072</v>
      </c>
      <c r="C143" t="s">
        <v>2171</v>
      </c>
      <c r="D143" t="str">
        <f t="shared" si="6"/>
        <v>400 ql1a, kp9, mỹ yên, tây ninh, việt nam400 ql1a, kp9, mỹ yên, tây ninh, việt nam</v>
      </c>
      <c r="E143" t="str">
        <f>SUBSTITUTE(SUBSTITUTE(SUBSTITUTE(LOWER(C143), "tphcm", "TP. Hồ Chí Minh"), "hcm", "TP. Hồ Chí Minh"), " q.", " Quận ")</f>
        <v>331 đ. bình đông, phường xóm củi, quận 8, thành phố hồ chí minh, việt nam331 đường bình đông</v>
      </c>
      <c r="F143" t="str">
        <f>PROPER(TRIM(RIGHT(SUBSTITUTE(D143, ",", REPT(" ", LEN(D143))), LEN(D143))))</f>
        <v>Việt Nam</v>
      </c>
      <c r="G143" t="str">
        <f t="shared" si="7"/>
        <v>Việt Nam331 Đường Bình Đông</v>
      </c>
      <c r="H143" t="str">
        <f>PROPER(TRIM(RIGHT(SUBSTITUTE(LEFT(D143, FIND("@", SUBSTITUTE(D143, ",", "@", LEN(D143)-LEN(SUBSTITUTE(D143, ",", ""))))-1), ",", REPT(" ", LEN(D143))), LEN(D143))))</f>
        <v>Tây Ninh</v>
      </c>
      <c r="I143" t="str">
        <f t="shared" si="8"/>
        <v>Thành Phố Hồ Chí Minh</v>
      </c>
    </row>
    <row r="144" spans="1:9" x14ac:dyDescent="0.3">
      <c r="A144" t="s">
        <v>902</v>
      </c>
      <c r="B144" t="s">
        <v>3095</v>
      </c>
      <c r="C144" t="s">
        <v>2181</v>
      </c>
      <c r="D144" t="str">
        <f t="shared" si="6"/>
        <v>cty mỹ phẩm trị liệu, ba trung, phước lý, tây ninh, việt namcty mỹ phẩm trị liệu</v>
      </c>
      <c r="E144" t="str">
        <f>SUBSTITUTE(SUBSTITUTE(SUBSTITUTE(LOWER(C144), "tphcm", "TP. Hồ Chí Minh"), "hcm", "TP. Hồ Chí Minh"), " q.", " Quận ")</f>
        <v>chi nhánh củ chi, quốc lộ 22, ấp thượng, tân thông hội, củ chi, hồ chí minh, việt namcu chi branch</v>
      </c>
      <c r="F144" t="str">
        <f>PROPER(TRIM(RIGHT(SUBSTITUTE(D144, ",", REPT(" ", LEN(D144))), LEN(D144))))</f>
        <v>Việt Namcty Mỹ Phẩm Trị Liệu</v>
      </c>
      <c r="G144" t="str">
        <f t="shared" si="7"/>
        <v>Việt Namcu Chi Branch</v>
      </c>
      <c r="H144" t="str">
        <f>PROPER(TRIM(RIGHT(SUBSTITUTE(LEFT(D144, FIND("@", SUBSTITUTE(D144, ",", "@", LEN(D144)-LEN(SUBSTITUTE(D144, ",", ""))))-1), ",", REPT(" ", LEN(D144))), LEN(D144))))</f>
        <v>Tây Ninh</v>
      </c>
      <c r="I144" t="str">
        <f t="shared" si="8"/>
        <v>Hồ Chí Minh</v>
      </c>
    </row>
    <row r="145" spans="1:9" x14ac:dyDescent="0.3">
      <c r="A145" t="s">
        <v>909</v>
      </c>
      <c r="B145" t="s">
        <v>3237</v>
      </c>
      <c r="C145" t="s">
        <v>2190</v>
      </c>
      <c r="D145" t="str">
        <f t="shared" si="6"/>
        <v>knitpassion vietnam co, xã tân lập 1, huyện tân phước, tiền giang, việt namknitpassion vietnam co</v>
      </c>
      <c r="E145" t="str">
        <f>SUBSTITUTE(SUBSTITUTE(SUBSTITUTE(LOWER(C145), "tphcm", "TP. Hồ Chí Minh"), "hcm", "TP. Hồ Chí Minh"), " q.", " Quận ")</f>
        <v>can đước long an, phường 2, quận 10, hồ chí minh, việt namcan đước long an</v>
      </c>
      <c r="F145" t="str">
        <f>PROPER(TRIM(RIGHT(SUBSTITUTE(D145, ",", REPT(" ", LEN(D145))), LEN(D145))))</f>
        <v>Việt Namknitpassion Vietnam Co</v>
      </c>
      <c r="G145" t="str">
        <f t="shared" si="7"/>
        <v>Việt Namcan Đước Long An</v>
      </c>
      <c r="H145" t="str">
        <f>PROPER(TRIM(RIGHT(SUBSTITUTE(LEFT(D145, FIND("@", SUBSTITUTE(D145, ",", "@", LEN(D145)-LEN(SUBSTITUTE(D145, ",", ""))))-1), ",", REPT(" ", LEN(D145))), LEN(D145))))</f>
        <v>Tiền Giang</v>
      </c>
      <c r="I145" t="str">
        <f t="shared" si="8"/>
        <v>Hồ Chí Minh</v>
      </c>
    </row>
    <row r="146" spans="1:9" x14ac:dyDescent="0.3">
      <c r="A146" t="s">
        <v>912</v>
      </c>
      <c r="B146" t="s">
        <v>3248</v>
      </c>
      <c r="C146" t="s">
        <v>2200</v>
      </c>
      <c r="D146" t="str">
        <f t="shared" si="6"/>
        <v>cty tnhh hansae tg, xã tân hương, huyện châu thành, tiền giang, việt namcty tnhh hansae tg</v>
      </c>
      <c r="E146" t="str">
        <f>SUBSTITUTE(SUBSTITUTE(SUBSTITUTE(LOWER(C146), "tphcm", "TP. Hồ Chí Minh"), "hcm", "TP. Hồ Chí Minh"), " q.", " Quận ")</f>
        <v>phường 7, quận 8, hồ chí minh, việt namben luc kdc</v>
      </c>
      <c r="F146" t="str">
        <f>PROPER(TRIM(RIGHT(SUBSTITUTE(D146, ",", REPT(" ", LEN(D146))), LEN(D146))))</f>
        <v>Việt Namcty Tnhh Hansae Tg</v>
      </c>
      <c r="G146" t="str">
        <f t="shared" si="7"/>
        <v>Việt Namben Luc Kdc</v>
      </c>
      <c r="H146" t="str">
        <f>PROPER(TRIM(RIGHT(SUBSTITUTE(LEFT(D146, FIND("@", SUBSTITUTE(D146, ",", "@", LEN(D146)-LEN(SUBSTITUTE(D146, ",", ""))))-1), ",", REPT(" ", LEN(D146))), LEN(D146))))</f>
        <v>Tiền Giang</v>
      </c>
      <c r="I146" t="str">
        <f t="shared" si="8"/>
        <v>Hồ Chí Minh</v>
      </c>
    </row>
    <row r="147" spans="1:9" x14ac:dyDescent="0.3">
      <c r="A147" t="s">
        <v>919</v>
      </c>
      <c r="B147" t="s">
        <v>3258</v>
      </c>
      <c r="C147" t="s">
        <v>2210</v>
      </c>
      <c r="D147" t="str">
        <f t="shared" si="6"/>
        <v>công ty tnhh texray, đường số 1, xã lợi bình nhơn, tân an, long an, việt namcông ty tnhh texray</v>
      </c>
      <c r="E147" t="str">
        <f>SUBSTITUTE(SUBSTITUTE(SUBSTITUTE(LOWER(C147), "tphcm", "TP. Hồ Chí Minh"), "hcm", "TP. Hồ Chí Minh"), " q.", " Quận ")</f>
        <v>tp. biên hòa, đồng nai, việt nambien hoa</v>
      </c>
      <c r="F147" t="str">
        <f>PROPER(TRIM(RIGHT(SUBSTITUTE(D147, ",", REPT(" ", LEN(D147))), LEN(D147))))</f>
        <v>Việt Namcông Ty Tnhh Texray</v>
      </c>
      <c r="G147" t="str">
        <f t="shared" si="7"/>
        <v>Việt Nambien Hoa</v>
      </c>
      <c r="H147" t="str">
        <f>PROPER(TRIM(RIGHT(SUBSTITUTE(LEFT(D147, FIND("@", SUBSTITUTE(D147, ",", "@", LEN(D147)-LEN(SUBSTITUTE(D147, ",", ""))))-1), ",", REPT(" ", LEN(D147))), LEN(D147))))</f>
        <v>Long An</v>
      </c>
      <c r="I147" t="str">
        <f t="shared" si="8"/>
        <v>Đồng Nai</v>
      </c>
    </row>
    <row r="148" spans="1:9" x14ac:dyDescent="0.3">
      <c r="A148" t="s">
        <v>923</v>
      </c>
      <c r="B148" t="s">
        <v>3284</v>
      </c>
      <c r="C148" t="s">
        <v>2221</v>
      </c>
      <c r="D148" t="str">
        <f t="shared" si="6"/>
        <v>1005 ql.1a, phường khánh hậu, tân an, long an, việt nam1005 ql.1a, phường khánh hậu, tân an, long an, việt nam</v>
      </c>
      <c r="E148" t="str">
        <f>SUBSTITUTE(SUBSTITUTE(SUBSTITUTE(LOWER(C148), "tphcm", "TP. Hồ Chí Minh"), "hcm", "TP. Hồ Chí Minh"), " q.", " Quận ")</f>
        <v>my tho asphalt berth, đường tỉnh 864, trung an, đồng tháp, việt nammy tho asphalt berth</v>
      </c>
      <c r="F148" t="str">
        <f>PROPER(TRIM(RIGHT(SUBSTITUTE(D148, ",", REPT(" ", LEN(D148))), LEN(D148))))</f>
        <v>Việt Nam</v>
      </c>
      <c r="G148" t="str">
        <f t="shared" si="7"/>
        <v>Việt Nammy Tho Asphalt Berth</v>
      </c>
      <c r="H148" t="str">
        <f>PROPER(TRIM(RIGHT(SUBSTITUTE(LEFT(D148, FIND("@", SUBSTITUTE(D148, ",", "@", LEN(D148)-LEN(SUBSTITUTE(D148, ",", ""))))-1), ",", REPT(" ", LEN(D148))), LEN(D148))))</f>
        <v>Long An</v>
      </c>
      <c r="I148" t="str">
        <f t="shared" si="8"/>
        <v>Đồng Tháp</v>
      </c>
    </row>
    <row r="149" spans="1:9" x14ac:dyDescent="0.3">
      <c r="A149" t="s">
        <v>930</v>
      </c>
      <c r="B149" t="s">
        <v>3302</v>
      </c>
      <c r="C149" t="s">
        <v>2231</v>
      </c>
      <c r="D149" t="str">
        <f t="shared" si="6"/>
        <v>21 đường lê văn vịnh, thị trấn bến lức, huyện bến lức, long an, việt nam21 đường lê văn vịnh, thị trấn bến lức, huyện bến lức, long an, việt nam</v>
      </c>
      <c r="E149" t="str">
        <f>SUBSTITUTE(SUBSTITUTE(SUBSTITUTE(LOWER(C149), "tphcm", "TP. Hồ Chí Minh"), "hcm", "TP. Hồ Chí Minh"), " q.", " Quận ")</f>
        <v>phường tân, sơn hoà, ho chi minh city, vietnamsân bay tân sơn nhất nhà ga t1 - đón trả khách xe máy</v>
      </c>
      <c r="F149" t="str">
        <f>PROPER(TRIM(RIGHT(SUBSTITUTE(D149, ",", REPT(" ", LEN(D149))), LEN(D149))))</f>
        <v>Việt Nam</v>
      </c>
      <c r="G149" t="str">
        <f t="shared" si="7"/>
        <v>Vietnamsân Bay Tân Sơn Nhất Nhà Ga T1 - Đón Trả Khách Xe Máy</v>
      </c>
      <c r="H149" t="str">
        <f>PROPER(TRIM(RIGHT(SUBSTITUTE(LEFT(D149, FIND("@", SUBSTITUTE(D149, ",", "@", LEN(D149)-LEN(SUBSTITUTE(D149, ",", ""))))-1), ",", REPT(" ", LEN(D149))), LEN(D149))))</f>
        <v>Long An</v>
      </c>
      <c r="I149" t="str">
        <f t="shared" si="8"/>
        <v>Ho Chi Minh City</v>
      </c>
    </row>
    <row r="150" spans="1:9" x14ac:dyDescent="0.3">
      <c r="A150" t="s">
        <v>937</v>
      </c>
      <c r="B150" t="s">
        <v>3313</v>
      </c>
      <c r="C150" t="s">
        <v>2241</v>
      </c>
      <c r="D150" t="str">
        <f t="shared" si="6"/>
        <v>100 đ. đoàn thị nghiệp, khu phố 10, đạo thạnh, đồng tháp, việt nam100 đường đoàn thị nghiệp</v>
      </c>
      <c r="E150" t="str">
        <f>SUBSTITUTE(SUBSTITUTE(SUBSTITUTE(LOWER(C150), "tphcm", "TP. Hồ Chí Minh"), "hcm", "TP. Hồ Chí Minh"), " q.", " Quận ")</f>
        <v>đức hòa, long an, việt namđức hòa</v>
      </c>
      <c r="F150" t="str">
        <f>PROPER(TRIM(RIGHT(SUBSTITUTE(D150, ",", REPT(" ", LEN(D150))), LEN(D150))))</f>
        <v>Việt Nam100 Đường Đoàn Thị Nghiệp</v>
      </c>
      <c r="G150" t="str">
        <f t="shared" si="7"/>
        <v>Việt Namđức Hòa</v>
      </c>
      <c r="H150" t="str">
        <f>PROPER(TRIM(RIGHT(SUBSTITUTE(LEFT(D150, FIND("@", SUBSTITUTE(D150, ",", "@", LEN(D150)-LEN(SUBSTITUTE(D150, ",", ""))))-1), ",", REPT(" ", LEN(D150))), LEN(D150))))</f>
        <v>Đồng Tháp</v>
      </c>
      <c r="I150" t="str">
        <f t="shared" si="8"/>
        <v>Long An</v>
      </c>
    </row>
    <row r="151" spans="1:9" x14ac:dyDescent="0.3">
      <c r="A151" t="s">
        <v>941</v>
      </c>
      <c r="B151" t="s">
        <v>3325</v>
      </c>
      <c r="C151" t="s">
        <v>2251</v>
      </c>
      <c r="D151" t="str">
        <f t="shared" si="6"/>
        <v>apache rubber room, xã tân lập 1, huyện tân phước, tiền giang, việt namapache rubber room</v>
      </c>
      <c r="E151" t="str">
        <f>SUBSTITUTE(SUBSTITUTE(SUBSTITUTE(LOWER(C151), "tphcm", "TP. Hồ Chí Minh"), "hcm", "TP. Hồ Chí Minh"), " q.", " Quận ")</f>
        <v>b5/14 khu phố bình thuận, số 2, thuận giao, thuận an, bình dương, việt namtrung tâm bán trú minh trí</v>
      </c>
      <c r="F151" t="str">
        <f>PROPER(TRIM(RIGHT(SUBSTITUTE(D151, ",", REPT(" ", LEN(D151))), LEN(D151))))</f>
        <v>Việt Namapache Rubber Room</v>
      </c>
      <c r="G151" t="str">
        <f t="shared" si="7"/>
        <v>Việt Namtrung Tâm Bán Trú Minh Trí</v>
      </c>
      <c r="H151" t="str">
        <f>PROPER(TRIM(RIGHT(SUBSTITUTE(LEFT(D151, FIND("@", SUBSTITUTE(D151, ",", "@", LEN(D151)-LEN(SUBSTITUTE(D151, ",", ""))))-1), ",", REPT(" ", LEN(D151))), LEN(D151))))</f>
        <v>Tiền Giang</v>
      </c>
      <c r="I151" t="str">
        <f t="shared" si="8"/>
        <v>Bình Dương</v>
      </c>
    </row>
    <row r="152" spans="1:9" x14ac:dyDescent="0.3">
      <c r="A152" t="s">
        <v>945</v>
      </c>
      <c r="B152" t="s">
        <v>3333</v>
      </c>
      <c r="C152" t="s">
        <v>2261</v>
      </c>
      <c r="D152" t="str">
        <f t="shared" si="6"/>
        <v>23 đường nguyễn văn nhân, xã thanh phú, huyện bến lức, long an, việt nam23 đường nguyễn văn nhân, xã thanh phú, huyện bến lức, long an, việt nam</v>
      </c>
      <c r="E152" t="str">
        <f>SUBSTITUTE(SUBSTITUTE(SUBSTITUTE(LOWER(C152), "tphcm", "TP. Hồ Chí Minh"), "hcm", "TP. Hồ Chí Minh"), " q.", " Quận ")</f>
        <v>bình chánh, hồ chí minh, việt nambình chánh</v>
      </c>
      <c r="F152" t="str">
        <f>PROPER(TRIM(RIGHT(SUBSTITUTE(D152, ",", REPT(" ", LEN(D152))), LEN(D152))))</f>
        <v>Việt Nam</v>
      </c>
      <c r="G152" t="str">
        <f t="shared" si="7"/>
        <v>Việt Nambình Chánh</v>
      </c>
      <c r="H152" t="str">
        <f>PROPER(TRIM(RIGHT(SUBSTITUTE(LEFT(D152, FIND("@", SUBSTITUTE(D152, ",", "@", LEN(D152)-LEN(SUBSTITUTE(D152, ",", ""))))-1), ",", REPT(" ", LEN(D152))), LEN(D152))))</f>
        <v>Long An</v>
      </c>
      <c r="I152" t="str">
        <f t="shared" si="8"/>
        <v>Hồ Chí Minh</v>
      </c>
    </row>
    <row r="153" spans="1:9" x14ac:dyDescent="0.3">
      <c r="A153" t="s">
        <v>949</v>
      </c>
      <c r="B153" t="s">
        <v>3343</v>
      </c>
      <c r="C153" t="s">
        <v>2271</v>
      </c>
      <c r="D153" t="str">
        <f t="shared" si="6"/>
        <v>công ty thuốc thú y apa, xã long hiệp, huyện bến lức, long an, việt namcông ty thuốc thú y apa</v>
      </c>
      <c r="E153" t="str">
        <f>SUBSTITUTE(SUBSTITUTE(SUBSTITUTE(LOWER(C153), "tphcm", "TP. Hồ Chí Minh"), "hcm", "TP. Hồ Chí Minh"), " q.", " Quận ")</f>
        <v>xuyên á, tt. củ chi, củ chi, hồ chí minh, việt namchợ củ chi</v>
      </c>
      <c r="F153" t="str">
        <f>PROPER(TRIM(RIGHT(SUBSTITUTE(D153, ",", REPT(" ", LEN(D153))), LEN(D153))))</f>
        <v>Việt Namcông Ty Thuốc Thú Y Apa</v>
      </c>
      <c r="G153" t="str">
        <f t="shared" si="7"/>
        <v>Việt Namchợ Củ Chi</v>
      </c>
      <c r="H153" t="str">
        <f>PROPER(TRIM(RIGHT(SUBSTITUTE(LEFT(D153, FIND("@", SUBSTITUTE(D153, ",", "@", LEN(D153)-LEN(SUBSTITUTE(D153, ",", ""))))-1), ",", REPT(" ", LEN(D153))), LEN(D153))))</f>
        <v>Long An</v>
      </c>
      <c r="I153" t="str">
        <f t="shared" si="8"/>
        <v>Hồ Chí Minh</v>
      </c>
    </row>
    <row r="154" spans="1:9" x14ac:dyDescent="0.3">
      <c r="A154" t="s">
        <v>953</v>
      </c>
      <c r="B154" t="s">
        <v>3351</v>
      </c>
      <c r="C154" t="s">
        <v>2281</v>
      </c>
      <c r="D154" t="str">
        <f t="shared" si="6"/>
        <v>ymuv dormitory gate, xã tân hương, huyện châu thành, tiền giang, việt namymuv dormitory gate</v>
      </c>
      <c r="E154" t="str">
        <f>SUBSTITUTE(SUBSTITUTE(SUBSTITUTE(LOWER(C154), "tphcm", "TP. Hồ Chí Minh"), "hcm", "TP. Hồ Chí Minh"), " q.", " Quận ")</f>
        <v>đường an dương vương,72711cn3 cong ty tnhh thuong mai hung thinh</v>
      </c>
      <c r="F154" t="str">
        <f>PROPER(TRIM(RIGHT(SUBSTITUTE(D154, ",", REPT(" ", LEN(D154))), LEN(D154))))</f>
        <v>Việt Namymuv Dormitory Gate</v>
      </c>
      <c r="G154" t="str">
        <f t="shared" si="7"/>
        <v>72711Cn3 Cong Ty Tnhh Thuong Mai Hung Thinh</v>
      </c>
      <c r="H154" t="str">
        <f>PROPER(TRIM(RIGHT(SUBSTITUTE(LEFT(D154, FIND("@", SUBSTITUTE(D154, ",", "@", LEN(D154)-LEN(SUBSTITUTE(D154, ",", ""))))-1), ",", REPT(" ", LEN(D154))), LEN(D154))))</f>
        <v>Tiền Giang</v>
      </c>
      <c r="I154" t="str">
        <f t="shared" si="8"/>
        <v>Đường An Dương Vương</v>
      </c>
    </row>
    <row r="155" spans="1:9" x14ac:dyDescent="0.3">
      <c r="A155" t="s">
        <v>957</v>
      </c>
      <c r="B155" t="s">
        <v>3360</v>
      </c>
      <c r="C155" t="s">
        <v>2292</v>
      </c>
      <c r="D155" t="str">
        <f t="shared" si="6"/>
        <v>2a đường nguyễn văn tiếp, phường 5, tân an, long an, việt nam2a đường nguyễn văn tiếp, phường 5, tân an, long an, việt nam</v>
      </c>
      <c r="E155" t="str">
        <f>SUBSTITUTE(SUBSTITUTE(SUBSTITUTE(LOWER(C155), "tphcm", "TP. Hồ Chí Minh"), "hcm", "TP. Hồ Chí Minh"), " q.", " Quận ")</f>
        <v>10 dc79, phường, thuận an, bình dương, việt nam10 dc79</v>
      </c>
      <c r="F155" t="str">
        <f>PROPER(TRIM(RIGHT(SUBSTITUTE(D155, ",", REPT(" ", LEN(D155))), LEN(D155))))</f>
        <v>Việt Nam</v>
      </c>
      <c r="G155" t="str">
        <f t="shared" si="7"/>
        <v>Việt Nam10 Dc79</v>
      </c>
      <c r="H155" t="str">
        <f>PROPER(TRIM(RIGHT(SUBSTITUTE(LEFT(D155, FIND("@", SUBSTITUTE(D155, ",", "@", LEN(D155)-LEN(SUBSTITUTE(D155, ",", ""))))-1), ",", REPT(" ", LEN(D155))), LEN(D155))))</f>
        <v>Long An</v>
      </c>
      <c r="I155" t="str">
        <f t="shared" si="8"/>
        <v>Bình Dương</v>
      </c>
    </row>
    <row r="156" spans="1:9" x14ac:dyDescent="0.3">
      <c r="A156" t="s">
        <v>961</v>
      </c>
      <c r="B156" t="s">
        <v>3371</v>
      </c>
      <c r="C156" t="s">
        <v>2299</v>
      </c>
      <c r="D156" t="str">
        <f t="shared" si="6"/>
        <v>đường số 22, phường 6, tân an, long an, việt namđường số 22, phường 6, tân an, long an, việt nam</v>
      </c>
      <c r="E156" t="str">
        <f>SUBSTITUTE(SUBSTITUTE(SUBSTITUTE(LOWER(C156), "tphcm", "TP. Hồ Chí Minh"), "hcm", "TP. Hồ Chí Minh"), " q.", " Quận ")</f>
        <v>326c lương định của, an phú, thành phố thủ đức, thành phố hồ chí minh, việt namcông ty tnhh nbh group</v>
      </c>
      <c r="F156" t="str">
        <f>PROPER(TRIM(RIGHT(SUBSTITUTE(D156, ",", REPT(" ", LEN(D156))), LEN(D156))))</f>
        <v>Việt Nam</v>
      </c>
      <c r="G156" t="str">
        <f t="shared" si="7"/>
        <v>Việt Namcông Ty Tnhh Nbh Group</v>
      </c>
      <c r="H156" t="str">
        <f>PROPER(TRIM(RIGHT(SUBSTITUTE(LEFT(D156, FIND("@", SUBSTITUTE(D156, ",", "@", LEN(D156)-LEN(SUBSTITUTE(D156, ",", ""))))-1), ",", REPT(" ", LEN(D156))), LEN(D156))))</f>
        <v>Long An</v>
      </c>
      <c r="I156" t="str">
        <f t="shared" si="8"/>
        <v>Thành Phố Hồ Chí Minh</v>
      </c>
    </row>
    <row r="157" spans="1:9" x14ac:dyDescent="0.3">
      <c r="A157" t="s">
        <v>963</v>
      </c>
      <c r="B157" t="s">
        <v>3381</v>
      </c>
      <c r="C157" t="s">
        <v>2306</v>
      </c>
      <c r="D157" t="str">
        <f t="shared" si="6"/>
        <v>73 đường nguyễn đình chiểu, phường 1, tân an, long an, việt nam73 đường nguyễn đình chiểu, phường 1, tân an, long an, việt nam</v>
      </c>
      <c r="E157" t="str">
        <f>SUBSTITUTE(SUBSTITUTE(SUBSTITUTE(LOWER(C157), "tphcm", "TP. Hồ Chí Minh"), "hcm", "TP. Hồ Chí Minh"), " q.", " Quận ")</f>
        <v>đ. số 4, khu công nghiệp vĩnh lộc, bình tân, hồ chí minh 700000, việt namcông ty tnhh thang máy mitsu nhật bản</v>
      </c>
      <c r="F157" t="str">
        <f>PROPER(TRIM(RIGHT(SUBSTITUTE(D157, ",", REPT(" ", LEN(D157))), LEN(D157))))</f>
        <v>Việt Nam</v>
      </c>
      <c r="G157" t="str">
        <f t="shared" si="7"/>
        <v>Việt Namcông Ty Tnhh Thang Máy Mitsu Nhật Bản</v>
      </c>
      <c r="H157" t="str">
        <f>PROPER(TRIM(RIGHT(SUBSTITUTE(LEFT(D157, FIND("@", SUBSTITUTE(D157, ",", "@", LEN(D157)-LEN(SUBSTITUTE(D157, ",", ""))))-1), ",", REPT(" ", LEN(D157))), LEN(D157))))</f>
        <v>Long An</v>
      </c>
      <c r="I157" t="str">
        <f t="shared" si="8"/>
        <v>Hồ Chí Minh 700000</v>
      </c>
    </row>
    <row r="158" spans="1:9" x14ac:dyDescent="0.3">
      <c r="A158" t="s">
        <v>970</v>
      </c>
      <c r="B158" t="s">
        <v>3391</v>
      </c>
      <c r="C158" t="s">
        <v>2316</v>
      </c>
      <c r="D158" t="str">
        <f t="shared" si="6"/>
        <v>đt.866, xã tân lý đông, huyện châu thành, tiền giang, việt namđt.866, xã tân lý đông, huyện châu thành, tiền giang, việt nam</v>
      </c>
      <c r="E158" t="str">
        <f>SUBSTITUTE(SUBSTITUTE(SUBSTITUTE(LOWER(C158), "tphcm", "TP. Hồ Chí Minh"), "hcm", "TP. Hồ Chí Minh"), " q.", " Quận ")</f>
        <v>14 đường số 19a, an bình, thành phố biên hòa, đồng nai, việt namcông ty cp scavi việt nam</v>
      </c>
      <c r="F158" t="str">
        <f>PROPER(TRIM(RIGHT(SUBSTITUTE(D158, ",", REPT(" ", LEN(D158))), LEN(D158))))</f>
        <v>Việt Nam</v>
      </c>
      <c r="G158" t="str">
        <f t="shared" si="7"/>
        <v>Việt Namcông Ty Cp Scavi Việt Nam</v>
      </c>
      <c r="H158" t="str">
        <f>PROPER(TRIM(RIGHT(SUBSTITUTE(LEFT(D158, FIND("@", SUBSTITUTE(D158, ",", "@", LEN(D158)-LEN(SUBSTITUTE(D158, ",", ""))))-1), ",", REPT(" ", LEN(D158))), LEN(D158))))</f>
        <v>Tiền Giang</v>
      </c>
      <c r="I158" t="str">
        <f t="shared" si="8"/>
        <v>Đồng Nai</v>
      </c>
    </row>
    <row r="159" spans="1:9" x14ac:dyDescent="0.3">
      <c r="A159" t="s">
        <v>977</v>
      </c>
      <c r="B159" t="s">
        <v>3402</v>
      </c>
      <c r="C159" t="s">
        <v>2324</v>
      </c>
      <c r="D159" t="str">
        <f t="shared" si="6"/>
        <v>16-18 hẻm 76 nguyễn đình chiểu, phường 1, tân an, long an, việt nam16-18 hẻm 76 nguyễn đình chiểu, phường 1, tân an, long an, việt nam</v>
      </c>
      <c r="E159" t="str">
        <f>SUBSTITUTE(SUBSTITUTE(SUBSTITUTE(LOWER(C159), "tphcm", "TP. Hồ Chí Minh"), "hcm", "TP. Hồ Chí Minh"), " q.", " Quận ")</f>
        <v>phường uyên hưng, thị xã tân uyên, bình dương, việt namcông ty cổ phần s furniture</v>
      </c>
      <c r="F159" t="str">
        <f>PROPER(TRIM(RIGHT(SUBSTITUTE(D159, ",", REPT(" ", LEN(D159))), LEN(D159))))</f>
        <v>Việt Nam</v>
      </c>
      <c r="G159" t="str">
        <f t="shared" si="7"/>
        <v>Việt Namcông Ty Cổ Phần S Furniture</v>
      </c>
      <c r="H159" t="str">
        <f>PROPER(TRIM(RIGHT(SUBSTITUTE(LEFT(D159, FIND("@", SUBSTITUTE(D159, ",", "@", LEN(D159)-LEN(SUBSTITUTE(D159, ",", ""))))-1), ",", REPT(" ", LEN(D159))), LEN(D159))))</f>
        <v>Long An</v>
      </c>
      <c r="I159" t="str">
        <f t="shared" si="8"/>
        <v>Bình Dương</v>
      </c>
    </row>
    <row r="160" spans="1:9" x14ac:dyDescent="0.3">
      <c r="A160" t="s">
        <v>983</v>
      </c>
      <c r="B160" t="s">
        <v>3413</v>
      </c>
      <c r="C160" t="s">
        <v>2334</v>
      </c>
      <c r="D160" t="str">
        <f t="shared" si="6"/>
        <v>460b đường quốc lộ 62, phường 6, tân an, long an, việt nam460b đường quốc lộ 62, phường 6, tân an, long an, việt nam</v>
      </c>
      <c r="E160" t="str">
        <f>SUBSTITUTE(SUBSTITUTE(SUBSTITUTE(LOWER(C160), "tphcm", "TP. Hồ Chí Minh"), "hcm", "TP. Hồ Chí Minh"), " q.", " Quận ")</f>
        <v>214 ql13, phường 26, bình thạnh, hồ chí minh, việt namcông ty tnhh việt tân phát</v>
      </c>
      <c r="F160" t="str">
        <f>PROPER(TRIM(RIGHT(SUBSTITUTE(D160, ",", REPT(" ", LEN(D160))), LEN(D160))))</f>
        <v>Việt Nam</v>
      </c>
      <c r="G160" t="str">
        <f t="shared" si="7"/>
        <v>Việt Namcông Ty Tnhh Việt Tân Phát</v>
      </c>
      <c r="H160" t="str">
        <f>PROPER(TRIM(RIGHT(SUBSTITUTE(LEFT(D160, FIND("@", SUBSTITUTE(D160, ",", "@", LEN(D160)-LEN(SUBSTITUTE(D160, ",", ""))))-1), ",", REPT(" ", LEN(D160))), LEN(D160))))</f>
        <v>Long An</v>
      </c>
      <c r="I160" t="str">
        <f t="shared" si="8"/>
        <v>Hồ Chí Minh</v>
      </c>
    </row>
    <row r="161" spans="1:9" x14ac:dyDescent="0.3">
      <c r="A161" t="s">
        <v>992</v>
      </c>
      <c r="B161" t="s">
        <v>3439</v>
      </c>
      <c r="C161" t="s">
        <v>2341</v>
      </c>
      <c r="D161" t="str">
        <f t="shared" si="6"/>
        <v>104 đt.833, phường 5, tân an, long an, việt nam104 đt.833, phường 5, tân an, long an, việt nam</v>
      </c>
      <c r="E161" t="str">
        <f>SUBSTITUTE(SUBSTITUTE(SUBSTITUTE(LOWER(C161), "tphcm", "TP. Hồ Chí Minh"), "hcm", "TP. Hồ Chí Minh"), " q.", " Quận ")</f>
        <v>40vsip, vietnam singapore industrial part, street no 6, an phú, thuận an, bình dương, việt nammidea consumer electric (viet nam) co., ltd</v>
      </c>
      <c r="F161" t="str">
        <f>PROPER(TRIM(RIGHT(SUBSTITUTE(D161, ",", REPT(" ", LEN(D161))), LEN(D161))))</f>
        <v>Việt Nam</v>
      </c>
      <c r="G161" t="str">
        <f t="shared" si="7"/>
        <v>Ltd</v>
      </c>
      <c r="H161" t="str">
        <f>PROPER(TRIM(RIGHT(SUBSTITUTE(LEFT(D161, FIND("@", SUBSTITUTE(D161, ",", "@", LEN(D161)-LEN(SUBSTITUTE(D161, ",", ""))))-1), ",", REPT(" ", LEN(D161))), LEN(D161))))</f>
        <v>Long An</v>
      </c>
      <c r="I161" t="str">
        <f t="shared" si="8"/>
        <v>Việt Nammidea Consumer Electric (Viet Nam) Co.</v>
      </c>
    </row>
    <row r="162" spans="1:9" x14ac:dyDescent="0.3">
      <c r="A162" t="s">
        <v>995</v>
      </c>
      <c r="B162" t="s">
        <v>3449</v>
      </c>
      <c r="C162" t="s">
        <v>2348</v>
      </c>
      <c r="D162" t="str">
        <f t="shared" si="6"/>
        <v>109 đt.833, phường 5, tân an, long an, việt nam109 đt.833, phường 5, tân an, long an, việt nam</v>
      </c>
      <c r="E162" t="str">
        <f>SUBSTITUTE(SUBSTITUTE(SUBSTITUTE(LOWER(C162), "tphcm", "TP. Hồ Chí Minh"), "hcm", "TP. Hồ Chí Minh"), " q.", " Quận ")</f>
        <v>long an, long thành, đồng nai, việt namcông ty tnhh shin heung đồng nai</v>
      </c>
      <c r="F162" t="str">
        <f>PROPER(TRIM(RIGHT(SUBSTITUTE(D162, ",", REPT(" ", LEN(D162))), LEN(D162))))</f>
        <v>Việt Nam</v>
      </c>
      <c r="G162" t="str">
        <f t="shared" si="7"/>
        <v>Việt Namcông Ty Tnhh Shin Heung Đồng Nai</v>
      </c>
      <c r="H162" t="str">
        <f>PROPER(TRIM(RIGHT(SUBSTITUTE(LEFT(D162, FIND("@", SUBSTITUTE(D162, ",", "@", LEN(D162)-LEN(SUBSTITUTE(D162, ",", ""))))-1), ",", REPT(" ", LEN(D162))), LEN(D162))))</f>
        <v>Long An</v>
      </c>
      <c r="I162" t="str">
        <f t="shared" si="8"/>
        <v>Đồng Nai</v>
      </c>
    </row>
    <row r="163" spans="1:9" x14ac:dyDescent="0.3">
      <c r="A163" t="s">
        <v>998</v>
      </c>
      <c r="B163" t="s">
        <v>3460</v>
      </c>
      <c r="C163" t="s">
        <v>2359</v>
      </c>
      <c r="D163" t="str">
        <f t="shared" si="6"/>
        <v>22 hẻm 2a đường đoàn văn bơ, phường 16, quận 4, hồ chí minh, việt nam22 hẻm 2a đường đoàn văn bơ, phường 16, quận 4, hồ chí minh, việt nam</v>
      </c>
      <c r="E163" t="str">
        <f>SUBSTITUTE(SUBSTITUTE(SUBSTITUTE(LOWER(C163), "tphcm", "TP. Hồ Chí Minh"), "hcm", "TP. Hồ Chí Minh"), " q.", " Quận ")</f>
        <v>đường d1, mỹ phước, bến cát, bình dương, việt namcông ty yazaki eds việt nam ltd</v>
      </c>
      <c r="F163" t="str">
        <f>PROPER(TRIM(RIGHT(SUBSTITUTE(D163, ",", REPT(" ", LEN(D163))), LEN(D163))))</f>
        <v>Việt Nam</v>
      </c>
      <c r="G163" t="str">
        <f t="shared" si="7"/>
        <v>Việt Namcông Ty Yazaki Eds Việt Nam Ltd</v>
      </c>
      <c r="H163" t="str">
        <f>PROPER(TRIM(RIGHT(SUBSTITUTE(LEFT(D163, FIND("@", SUBSTITUTE(D163, ",", "@", LEN(D163)-LEN(SUBSTITUTE(D163, ",", ""))))-1), ",", REPT(" ", LEN(D163))), LEN(D163))))</f>
        <v>Hồ Chí Minh</v>
      </c>
      <c r="I163" t="str">
        <f t="shared" si="8"/>
        <v>Bình Dương</v>
      </c>
    </row>
    <row r="164" spans="1:9" x14ac:dyDescent="0.3">
      <c r="A164" t="s">
        <v>1005</v>
      </c>
      <c r="B164" t="s">
        <v>3470</v>
      </c>
      <c r="C164" t="s">
        <v>2373</v>
      </c>
      <c r="D164" t="str">
        <f t="shared" si="6"/>
        <v>178 đường nguyễn trung trực, thị trấn bến lức, huyện bến lức, long an, việt nam178 đường nguyễn trung trực, thị trấn bến lức, huyện bến lức, long an, việt nam</v>
      </c>
      <c r="E164" t="str">
        <f>SUBSTITUTE(SUBSTITUTE(SUBSTITUTE(LOWER(C164), "tphcm", "TP. Hồ Chí Minh"), "hcm", "TP. Hồ Chí Minh"), " q.", " Quận ")</f>
        <v>2,1 đ. d2, tăng nhơn phú b, quận 9, hồ chí minh, việt namcông ty tnhh mtv daeyoung electronics vina</v>
      </c>
      <c r="F164" t="str">
        <f>PROPER(TRIM(RIGHT(SUBSTITUTE(D164, ",", REPT(" ", LEN(D164))), LEN(D164))))</f>
        <v>Việt Nam</v>
      </c>
      <c r="G164" t="str">
        <f t="shared" si="7"/>
        <v>Việt Namcông Ty Tnhh Mtv Daeyoung Electronics Vina</v>
      </c>
      <c r="H164" t="str">
        <f>PROPER(TRIM(RIGHT(SUBSTITUTE(LEFT(D164, FIND("@", SUBSTITUTE(D164, ",", "@", LEN(D164)-LEN(SUBSTITUTE(D164, ",", ""))))-1), ",", REPT(" ", LEN(D164))), LEN(D164))))</f>
        <v>Long An</v>
      </c>
      <c r="I164" t="str">
        <f t="shared" si="8"/>
        <v>Hồ Chí Minh</v>
      </c>
    </row>
    <row r="165" spans="1:9" x14ac:dyDescent="0.3">
      <c r="A165" t="s">
        <v>1010</v>
      </c>
      <c r="B165" t="s">
        <v>3480</v>
      </c>
      <c r="C165" t="s">
        <v>2404</v>
      </c>
      <c r="D165" t="str">
        <f t="shared" si="6"/>
        <v>279a đường bà hom, phường 13, quận 6, hồ chí minh, việt nam279a đường bà hom, phường 13, quận 6, hồ chí minh, việt nam</v>
      </c>
      <c r="E165" t="str">
        <f>SUBSTITUTE(SUBSTITUTE(SUBSTITUTE(LOWER(C165), "tphcm", "TP. Hồ Chí Minh"), "hcm", "TP. Hồ Chí Minh"), " q.", " Quận ")</f>
        <v>158 ngô gia tự, chánh nghĩa, thủ dầu một, bình dương 820000, việt namcông ty cổ phần uniland</v>
      </c>
      <c r="F165" t="str">
        <f>PROPER(TRIM(RIGHT(SUBSTITUTE(D165, ",", REPT(" ", LEN(D165))), LEN(D165))))</f>
        <v>Việt Nam</v>
      </c>
      <c r="G165" t="str">
        <f t="shared" si="7"/>
        <v>Việt Namcông Ty Cổ Phần Uniland</v>
      </c>
      <c r="H165" t="str">
        <f>PROPER(TRIM(RIGHT(SUBSTITUTE(LEFT(D165, FIND("@", SUBSTITUTE(D165, ",", "@", LEN(D165)-LEN(SUBSTITUTE(D165, ",", ""))))-1), ",", REPT(" ", LEN(D165))), LEN(D165))))</f>
        <v>Hồ Chí Minh</v>
      </c>
      <c r="I165" t="str">
        <f t="shared" si="8"/>
        <v>Bình Dương 820000</v>
      </c>
    </row>
    <row r="166" spans="1:9" x14ac:dyDescent="0.3">
      <c r="A166" t="s">
        <v>1016</v>
      </c>
      <c r="B166" t="s">
        <v>3494</v>
      </c>
      <c r="C166" t="s">
        <v>2411</v>
      </c>
      <c r="D166" t="str">
        <f t="shared" si="6"/>
        <v>apache footwear vietnam hq, xã tân lập 1, huyện tân phước, tiền giang, việt namapache footwear vietnam hq</v>
      </c>
      <c r="E166" t="str">
        <f>SUBSTITUTE(SUBSTITUTE(SUBSTITUTE(LOWER(C166), "tphcm", "TP. Hồ Chí Minh"), "hcm", "TP. Hồ Chí Minh"), " q.", " Quận ")</f>
        <v>7a, khu công nghiệp sóng thần, 2 thống nhất, quận, dĩ an, bình dương, việt namcông ty tnhh eins vina co., ltd</v>
      </c>
      <c r="F166" t="str">
        <f>PROPER(TRIM(RIGHT(SUBSTITUTE(D166, ",", REPT(" ", LEN(D166))), LEN(D166))))</f>
        <v>Việt Namapache Footwear Vietnam Hq</v>
      </c>
      <c r="G166" t="str">
        <f t="shared" si="7"/>
        <v>Ltd</v>
      </c>
      <c r="H166" t="str">
        <f>PROPER(TRIM(RIGHT(SUBSTITUTE(LEFT(D166, FIND("@", SUBSTITUTE(D166, ",", "@", LEN(D166)-LEN(SUBSTITUTE(D166, ",", ""))))-1), ",", REPT(" ", LEN(D166))), LEN(D166))))</f>
        <v>Tiền Giang</v>
      </c>
      <c r="I166" t="str">
        <f t="shared" si="8"/>
        <v>Việt Namcông Ty Tnhh Eins Vina Co.</v>
      </c>
    </row>
    <row r="167" spans="1:9" x14ac:dyDescent="0.3">
      <c r="A167" t="s">
        <v>1021</v>
      </c>
      <c r="B167" t="s">
        <v>3504</v>
      </c>
      <c r="C167" t="s">
        <v>2418</v>
      </c>
      <c r="D167" t="str">
        <f t="shared" si="6"/>
        <v>đường số 3, xã lợi bình nhơn, tân an, long an, việt namđường số 3, xã lợi bình nhơn, tân an, long an, việt nam</v>
      </c>
      <c r="E167" t="str">
        <f>SUBSTITUTE(SUBSTITUTE(SUBSTITUTE(LOWER(C167), "tphcm", "TP. Hồ Chí Minh"), "hcm", "TP. Hồ Chí Minh"), " q.", " Quận ")</f>
        <v>47/3 khu phố 3, hóc môn, hồ chí minh, việt nam3 khu phố 3</v>
      </c>
      <c r="F167" t="str">
        <f>PROPER(TRIM(RIGHT(SUBSTITUTE(D167, ",", REPT(" ", LEN(D167))), LEN(D167))))</f>
        <v>Việt Nam</v>
      </c>
      <c r="G167" t="str">
        <f t="shared" si="7"/>
        <v>Việt Nam3 Khu Phố 3</v>
      </c>
      <c r="H167" t="str">
        <f>PROPER(TRIM(RIGHT(SUBSTITUTE(LEFT(D167, FIND("@", SUBSTITUTE(D167, ",", "@", LEN(D167)-LEN(SUBSTITUTE(D167, ",", ""))))-1), ",", REPT(" ", LEN(D167))), LEN(D167))))</f>
        <v>Long An</v>
      </c>
      <c r="I167" t="str">
        <f t="shared" si="8"/>
        <v>Hồ Chí Minh</v>
      </c>
    </row>
    <row r="168" spans="1:9" x14ac:dyDescent="0.3">
      <c r="A168" t="s">
        <v>1028</v>
      </c>
      <c r="B168" t="s">
        <v>3550</v>
      </c>
      <c r="C168" t="s">
        <v>2429</v>
      </c>
      <c r="D168" t="str">
        <f t="shared" si="6"/>
        <v>ngọc trâm, ql.1a, xã tân lý tây, huyện châu thành, tiền giang, việt namngọc trâm</v>
      </c>
      <c r="E168" t="str">
        <f>SUBSTITUTE(SUBSTITUTE(SUBSTITUTE(LOWER(C168), "tphcm", "TP. Hồ Chí Minh"), "hcm", "TP. Hồ Chí Minh"), " q.", " Quận ")</f>
        <v>lô f, đường số 6, kcn sóng thần 2, dĩ an, bình dương, vietnamnippon express vietnam</v>
      </c>
      <c r="F168" t="str">
        <f>PROPER(TRIM(RIGHT(SUBSTITUTE(D168, ",", REPT(" ", LEN(D168))), LEN(D168))))</f>
        <v>Việt Namngọc Trâm</v>
      </c>
      <c r="G168" t="str">
        <f t="shared" si="7"/>
        <v>Vietnamnippon Express Vietnam</v>
      </c>
      <c r="H168" t="str">
        <f>PROPER(TRIM(RIGHT(SUBSTITUTE(LEFT(D168, FIND("@", SUBSTITUTE(D168, ",", "@", LEN(D168)-LEN(SUBSTITUTE(D168, ",", ""))))-1), ",", REPT(" ", LEN(D168))), LEN(D168))))</f>
        <v>Tiền Giang</v>
      </c>
      <c r="I168" t="str">
        <f t="shared" si="8"/>
        <v>Bình Dương</v>
      </c>
    </row>
    <row r="169" spans="1:9" x14ac:dyDescent="0.3">
      <c r="A169" t="s">
        <v>1031</v>
      </c>
      <c r="B169" t="s">
        <v>3570</v>
      </c>
      <c r="C169" t="s">
        <v>2446</v>
      </c>
      <c r="D169" t="str">
        <f t="shared" si="6"/>
        <v>công ty tnhh công nghiệp chính xác jl, xã tân lập 1, huyện tân phước, tiền giang, việt namcông ty tnhh công nghiệp chính xác jl</v>
      </c>
      <c r="E169" t="str">
        <f>SUBSTITUTE(SUBSTITUTE(SUBSTITUTE(LOWER(C169), "tphcm", "TP. Hồ Chí Minh"), "hcm", "TP. Hồ Chí Minh"), " q.", " Quận ")</f>
        <v>2/5b bình giã, tân bình, hồ chí minh, vietnamcông ty tnhh thương mại &amp; dịch vụ</v>
      </c>
      <c r="F169" t="str">
        <f>PROPER(TRIM(RIGHT(SUBSTITUTE(D169, ",", REPT(" ", LEN(D169))), LEN(D169))))</f>
        <v>Việt Namcông Ty Tnhh Công Nghiệp Chính Xác Jl</v>
      </c>
      <c r="G169" t="str">
        <f t="shared" si="7"/>
        <v>Vietnamcông Ty Tnhh Thương Mại &amp; Dịch Vụ</v>
      </c>
      <c r="H169" t="str">
        <f>PROPER(TRIM(RIGHT(SUBSTITUTE(LEFT(D169, FIND("@", SUBSTITUTE(D169, ",", "@", LEN(D169)-LEN(SUBSTITUTE(D169, ",", ""))))-1), ",", REPT(" ", LEN(D169))), LEN(D169))))</f>
        <v>Tiền Giang</v>
      </c>
      <c r="I169" t="str">
        <f t="shared" si="8"/>
        <v>Hồ Chí Minh</v>
      </c>
    </row>
    <row r="170" spans="1:9" x14ac:dyDescent="0.3">
      <c r="A170" t="s">
        <v>1035</v>
      </c>
      <c r="B170" t="s">
        <v>3586</v>
      </c>
      <c r="C170" t="s">
        <v>2453</v>
      </c>
      <c r="D170" t="str">
        <f t="shared" si="6"/>
        <v>long định, cần đước, long an, việt namvietnam sst , dinco e&amp;c.</v>
      </c>
      <c r="E170" t="str">
        <f>SUBSTITUTE(SUBSTITUTE(SUBSTITUTE(LOWER(C170), "tphcm", "TP. Hồ Chí Minh"), "hcm", "TP. Hồ Chí Minh"), " q.", " Quận ")</f>
        <v>26b tân thới nhất 17, tân thới nhất, quận 12, hồ chí minh 700000, việt namcông ty tnhh tm dv trí lực việt</v>
      </c>
      <c r="F170" t="str">
        <f>PROPER(TRIM(RIGHT(SUBSTITUTE(D170, ",", REPT(" ", LEN(D170))), LEN(D170))))</f>
        <v>Dinco E&amp;C.</v>
      </c>
      <c r="G170" t="str">
        <f t="shared" si="7"/>
        <v>Việt Namcông Ty Tnhh Tm Dv Trí Lực Việt</v>
      </c>
      <c r="H170" t="str">
        <f>PROPER(TRIM(RIGHT(SUBSTITUTE(LEFT(D170, FIND("@", SUBSTITUTE(D170, ",", "@", LEN(D170)-LEN(SUBSTITUTE(D170, ",", ""))))-1), ",", REPT(" ", LEN(D170))), LEN(D170))))</f>
        <v>Việt Namvietnam Sst</v>
      </c>
      <c r="I170" t="str">
        <f t="shared" si="8"/>
        <v>Hồ Chí Minh 700000</v>
      </c>
    </row>
    <row r="171" spans="1:9" x14ac:dyDescent="0.3">
      <c r="A171" t="s">
        <v>1039</v>
      </c>
      <c r="B171" t="s">
        <v>3594</v>
      </c>
      <c r="C171" t="s">
        <v>2483</v>
      </c>
      <c r="D171" t="str">
        <f t="shared" si="6"/>
        <v>lô h5,2, đường số 9, kcn thuận đạo mở rộng, xã, long định, cần đước, long an, việt namcông ty tnhh mtv san,ei vn (有限会社三栄ベトナム）</v>
      </c>
      <c r="E171" t="str">
        <f>SUBSTITUTE(SUBSTITUTE(SUBSTITUTE(LOWER(C171), "tphcm", "TP. Hồ Chí Minh"), "hcm", "TP. Hồ Chí Minh"), " q.", " Quận ")</f>
        <v>trương công định, tt. cần giuộc, cần giuộc, long an, việt namchợ cần giuộc</v>
      </c>
      <c r="F171" t="str">
        <f>PROPER(TRIM(RIGHT(SUBSTITUTE(D171, ",", REPT(" ", LEN(D171))), LEN(D171))))</f>
        <v>Ei Vn (有限会社三栄ベトナム）</v>
      </c>
      <c r="G171" t="str">
        <f t="shared" si="7"/>
        <v>Việt Namchợ Cần Giuộc</v>
      </c>
      <c r="H171" t="str">
        <f>PROPER(TRIM(RIGHT(SUBSTITUTE(LEFT(D171, FIND("@", SUBSTITUTE(D171, ",", "@", LEN(D171)-LEN(SUBSTITUTE(D171, ",", ""))))-1), ",", REPT(" ", LEN(D171))), LEN(D171))))</f>
        <v>Việt Namcông Ty Tnhh Mtv San</v>
      </c>
      <c r="I171" t="str">
        <f t="shared" si="8"/>
        <v>Long An</v>
      </c>
    </row>
    <row r="172" spans="1:9" x14ac:dyDescent="0.3">
      <c r="A172" t="s">
        <v>1045</v>
      </c>
      <c r="B172" t="s">
        <v>3603</v>
      </c>
      <c r="C172" t="s">
        <v>2501</v>
      </c>
      <c r="D172" t="str">
        <f t="shared" si="6"/>
        <v>36 hẻm 56 quốc lộ 1a, phường 2, tân an, long an, việt nam36 hẻm 56 quốc lộ 1a</v>
      </c>
      <c r="E172" t="str">
        <f>SUBSTITUTE(SUBSTITUTE(SUBSTITUTE(LOWER(C172), "tphcm", "TP. Hồ Chí Minh"), "hcm", "TP. Hồ Chí Minh"), " q.", " Quận ")</f>
        <v>180/7b ấp tân thới 3, tân hiệp, hóc môn, hồ chí minh, việt namthang máng cáp bestray</v>
      </c>
      <c r="F172" t="str">
        <f>PROPER(TRIM(RIGHT(SUBSTITUTE(D172, ",", REPT(" ", LEN(D172))), LEN(D172))))</f>
        <v>Việt Nam36 Hẻm 56 Quốc Lộ 1A</v>
      </c>
      <c r="G172" t="str">
        <f t="shared" si="7"/>
        <v>Việt Namthang Máng Cáp Bestray</v>
      </c>
      <c r="H172" t="str">
        <f>PROPER(TRIM(RIGHT(SUBSTITUTE(LEFT(D172, FIND("@", SUBSTITUTE(D172, ",", "@", LEN(D172)-LEN(SUBSTITUTE(D172, ",", ""))))-1), ",", REPT(" ", LEN(D172))), LEN(D172))))</f>
        <v>Long An</v>
      </c>
      <c r="I172" t="str">
        <f t="shared" si="8"/>
        <v>Hồ Chí Minh</v>
      </c>
    </row>
    <row r="173" spans="1:9" x14ac:dyDescent="0.3">
      <c r="A173" t="s">
        <v>1052</v>
      </c>
      <c r="B173" t="s">
        <v>3613</v>
      </c>
      <c r="C173" t="s">
        <v>2544</v>
      </c>
      <c r="D173" t="str">
        <f t="shared" si="6"/>
        <v>cty tnhh tm,dv bao bì lâm hưng, long định, cần đước, long an, việt namcty tnhh tm,dv bao bì lâm hưng</v>
      </c>
      <c r="E173" t="str">
        <f>SUBSTITUTE(SUBSTITUTE(SUBSTITUTE(LOWER(C173), "tphcm", "TP. Hồ Chí Minh"), "hcm", "TP. Hồ Chí Minh"), " q.", " Quận ")</f>
        <v>khu phố 5, bình hưng hòa b, bình tân, hồ chí minh, việt nambinh chanh house</v>
      </c>
      <c r="F173" t="str">
        <f>PROPER(TRIM(RIGHT(SUBSTITUTE(D173, ",", REPT(" ", LEN(D173))), LEN(D173))))</f>
        <v>Dv Bao Bì Lâm Hưng</v>
      </c>
      <c r="G173" t="str">
        <f t="shared" si="7"/>
        <v>Việt Nambinh Chanh House</v>
      </c>
      <c r="H173" t="str">
        <f>PROPER(TRIM(RIGHT(SUBSTITUTE(LEFT(D173, FIND("@", SUBSTITUTE(D173, ",", "@", LEN(D173)-LEN(SUBSTITUTE(D173, ",", ""))))-1), ",", REPT(" ", LEN(D173))), LEN(D173))))</f>
        <v>Việt Namcty Tnhh Tm</v>
      </c>
      <c r="I173" t="str">
        <f t="shared" si="8"/>
        <v>Hồ Chí Minh</v>
      </c>
    </row>
    <row r="174" spans="1:9" x14ac:dyDescent="0.3">
      <c r="A174" t="s">
        <v>1056</v>
      </c>
      <c r="B174" t="s">
        <v>3623</v>
      </c>
      <c r="C174" t="s">
        <v>2554</v>
      </c>
      <c r="D174" t="str">
        <f t="shared" si="6"/>
        <v>long định, cần đước, long an, việt namcông ty tnhh quốc tế rythern (việt nam)</v>
      </c>
      <c r="E174" t="str">
        <f>SUBSTITUTE(SUBSTITUTE(SUBSTITUTE(LOWER(C174), "tphcm", "TP. Hồ Chí Minh"), "hcm", "TP. Hồ Chí Minh"), " q.", " Quận ")</f>
        <v>tây thạnh, tân phú, thành phố hồ chí minh, việt namcông ty tnhh an an</v>
      </c>
      <c r="F174" t="str">
        <f>PROPER(TRIM(RIGHT(SUBSTITUTE(D174, ",", REPT(" ", LEN(D174))), LEN(D174))))</f>
        <v>Việt Namcông Ty Tnhh Quốc Tế Rythern (Việt Nam)</v>
      </c>
      <c r="G174" t="str">
        <f t="shared" si="7"/>
        <v>Việt Namcông Ty Tnhh An An</v>
      </c>
      <c r="H174" t="str">
        <f>PROPER(TRIM(RIGHT(SUBSTITUTE(LEFT(D174, FIND("@", SUBSTITUTE(D174, ",", "@", LEN(D174)-LEN(SUBSTITUTE(D174, ",", ""))))-1), ",", REPT(" ", LEN(D174))), LEN(D174))))</f>
        <v>Long An</v>
      </c>
      <c r="I174" t="str">
        <f t="shared" si="8"/>
        <v>Thành Phố Hồ Chí Minh</v>
      </c>
    </row>
    <row r="175" spans="1:9" x14ac:dyDescent="0.3">
      <c r="A175" t="s">
        <v>1059</v>
      </c>
      <c r="B175" t="s">
        <v>3633</v>
      </c>
      <c r="C175" t="s">
        <v>2561</v>
      </c>
      <c r="D175" t="str">
        <f t="shared" si="6"/>
        <v>khu công nghiệp thuận đạo mở rộng, d1,1 đường số 14, long định, cần đước, long an, việt namcông ty tnhh công nghệ crm ( việt nam ) , crm(越南)化工科技有限公司</v>
      </c>
      <c r="E175" t="str">
        <f>SUBSTITUTE(SUBSTITUTE(SUBSTITUTE(LOWER(C175), "tphcm", "TP. Hồ Chí Minh"), "hcm", "TP. Hồ Chí Minh"), " q.", " Quận ")</f>
        <v>27/38 trần khắc chân, phường tân định, quận 1, hồ chí minh, việt namquận 1</v>
      </c>
      <c r="F175" t="str">
        <f>PROPER(TRIM(RIGHT(SUBSTITUTE(D175, ",", REPT(" ", LEN(D175))), LEN(D175))))</f>
        <v>Crm(越南)化工科技有限公司</v>
      </c>
      <c r="G175" t="str">
        <f t="shared" si="7"/>
        <v>Việt Namquận 1</v>
      </c>
      <c r="H175" t="str">
        <f>PROPER(TRIM(RIGHT(SUBSTITUTE(LEFT(D175, FIND("@", SUBSTITUTE(D175, ",", "@", LEN(D175)-LEN(SUBSTITUTE(D175, ",", ""))))-1), ",", REPT(" ", LEN(D175))), LEN(D175))))</f>
        <v>Việt Namcông Ty Tnhh Công Nghệ Crm ( Việt Nam )</v>
      </c>
      <c r="I175" t="str">
        <f t="shared" si="8"/>
        <v>Hồ Chí Minh</v>
      </c>
    </row>
    <row r="176" spans="1:9" x14ac:dyDescent="0.3">
      <c r="A176" t="s">
        <v>1062</v>
      </c>
      <c r="B176" t="s">
        <v>3647</v>
      </c>
      <c r="C176" t="s">
        <v>2571</v>
      </c>
      <c r="D176" t="str">
        <f t="shared" si="6"/>
        <v>đường số 2,82112tan an foods processing export co</v>
      </c>
      <c r="E176" t="str">
        <f>SUBSTITUTE(SUBSTITUTE(SUBSTITUTE(LOWER(C176), "tphcm", "TP. Hồ Chí Minh"), "hcm", "TP. Hồ Chí Minh"), " q.", " Quận ")</f>
        <v>301 hoà hảo, phường 2, quận 10, hồ chí minh, việt namcao ốc a , ngô gia tự</v>
      </c>
      <c r="F176" t="str">
        <f>PROPER(TRIM(RIGHT(SUBSTITUTE(D176, ",", REPT(" ", LEN(D176))), LEN(D176))))</f>
        <v>82112Tan An Foods Processing Export Co</v>
      </c>
      <c r="G176" t="str">
        <f t="shared" si="7"/>
        <v>Ngô Gia Tự</v>
      </c>
      <c r="H176" t="str">
        <f>PROPER(TRIM(RIGHT(SUBSTITUTE(LEFT(D176, FIND("@", SUBSTITUTE(D176, ",", "@", LEN(D176)-LEN(SUBSTITUTE(D176, ",", ""))))-1), ",", REPT(" ", LEN(D176))), LEN(D176))))</f>
        <v>Đường Số 2</v>
      </c>
      <c r="I176" t="str">
        <f t="shared" si="8"/>
        <v>Việt Namcao Ốc A</v>
      </c>
    </row>
    <row r="177" spans="1:9" x14ac:dyDescent="0.3">
      <c r="A177" t="s">
        <v>1070</v>
      </c>
      <c r="B177" t="s">
        <v>3659</v>
      </c>
      <c r="C177" t="s">
        <v>2580</v>
      </c>
      <c r="D177" t="str">
        <f t="shared" si="6"/>
        <v>công ty tnhh korviet vina, đường số 7, kcn phúc long, long hiệp, bến lức, long an, việt namcông ty tnhh korviet vina</v>
      </c>
      <c r="E177" t="str">
        <f>SUBSTITUTE(SUBSTITUTE(SUBSTITUTE(LOWER(C177), "tphcm", "TP. Hồ Chí Minh"), "hcm", "TP. Hồ Chí Minh"), " q.", " Quận ")</f>
        <v>quận 7 nhà bè, phường 15, tân bình, thành phố hồ chí minh, việt namquận 7 nhà bè</v>
      </c>
      <c r="F177" t="str">
        <f>PROPER(TRIM(RIGHT(SUBSTITUTE(D177, ",", REPT(" ", LEN(D177))), LEN(D177))))</f>
        <v>Việt Namcông Ty Tnhh Korviet Vina</v>
      </c>
      <c r="G177" t="str">
        <f t="shared" si="7"/>
        <v>Việt Namquận 7 Nhà Bè</v>
      </c>
      <c r="H177" t="str">
        <f>PROPER(TRIM(RIGHT(SUBSTITUTE(LEFT(D177, FIND("@", SUBSTITUTE(D177, ",", "@", LEN(D177)-LEN(SUBSTITUTE(D177, ",", ""))))-1), ",", REPT(" ", LEN(D177))), LEN(D177))))</f>
        <v>Long An</v>
      </c>
      <c r="I177" t="str">
        <f t="shared" si="8"/>
        <v>Thành Phố Hồ Chí Minh</v>
      </c>
    </row>
    <row r="178" spans="1:9" x14ac:dyDescent="0.3">
      <c r="A178" t="s">
        <v>1074</v>
      </c>
      <c r="B178" t="s">
        <v>3674</v>
      </c>
      <c r="C178" t="s">
        <v>2595</v>
      </c>
      <c r="D178" t="str">
        <f t="shared" si="6"/>
        <v>185 đường châu thị kim, phường 7, tân an, long an, việt nam185 đường châu thị kim, phường 7, tân an, long an, việt nam</v>
      </c>
      <c r="E178" t="str">
        <f>SUBSTITUTE(SUBSTITUTE(SUBSTITUTE(LOWER(C178), "tphcm", "TP. Hồ Chí Minh"), "hcm", "TP. Hồ Chí Minh"), " q.", " Quận ")</f>
        <v>ô5, 156a, khu phố thanh bình a, gò dầu, tây ninh, việt namô5, 156a, khu phố thanh bình a, gò dầu, tây ninh, việt nam</v>
      </c>
      <c r="F178" t="str">
        <f>PROPER(TRIM(RIGHT(SUBSTITUTE(D178, ",", REPT(" ", LEN(D178))), LEN(D178))))</f>
        <v>Việt Nam</v>
      </c>
      <c r="G178" t="str">
        <f t="shared" si="7"/>
        <v>Việt Nam</v>
      </c>
      <c r="H178" t="str">
        <f>PROPER(TRIM(RIGHT(SUBSTITUTE(LEFT(D178, FIND("@", SUBSTITUTE(D178, ",", "@", LEN(D178)-LEN(SUBSTITUTE(D178, ",", ""))))-1), ",", REPT(" ", LEN(D178))), LEN(D178))))</f>
        <v>Long An</v>
      </c>
      <c r="I178" t="str">
        <f t="shared" si="8"/>
        <v>Tây Ninh</v>
      </c>
    </row>
    <row r="179" spans="1:9" x14ac:dyDescent="0.3">
      <c r="A179" t="s">
        <v>1081</v>
      </c>
      <c r="B179" t="s">
        <v>3691</v>
      </c>
      <c r="C179" t="s">
        <v>2606</v>
      </c>
      <c r="D179" t="str">
        <f t="shared" si="6"/>
        <v>lô h4b, kcn, phúc long, long hiệp, bến lức, long an, việt namcty sejin vina</v>
      </c>
      <c r="E179" t="str">
        <f>SUBSTITUTE(SUBSTITUTE(SUBSTITUTE(LOWER(C179), "tphcm", "TP. Hồ Chí Minh"), "hcm", "TP. Hồ Chí Minh"), " q.", " Quận ")</f>
        <v>65/80 trần tuấn khải, an đông, hồ chí minh, việt namquận 5</v>
      </c>
      <c r="F179" t="str">
        <f>PROPER(TRIM(RIGHT(SUBSTITUTE(D179, ",", REPT(" ", LEN(D179))), LEN(D179))))</f>
        <v>Việt Namcty Sejin Vina</v>
      </c>
      <c r="G179" t="str">
        <f t="shared" si="7"/>
        <v>Việt Namquận 5</v>
      </c>
      <c r="H179" t="str">
        <f>PROPER(TRIM(RIGHT(SUBSTITUTE(LEFT(D179, FIND("@", SUBSTITUTE(D179, ",", "@", LEN(D179)-LEN(SUBSTITUTE(D179, ",", ""))))-1), ",", REPT(" ", LEN(D179))), LEN(D179))))</f>
        <v>Long An</v>
      </c>
      <c r="I179" t="str">
        <f t="shared" si="8"/>
        <v>Hồ Chí Minh</v>
      </c>
    </row>
    <row r="180" spans="1:9" x14ac:dyDescent="0.3">
      <c r="A180" t="s">
        <v>1085</v>
      </c>
      <c r="B180" t="s">
        <v>3732</v>
      </c>
      <c r="C180" t="s">
        <v>2613</v>
      </c>
      <c r="D180" t="str">
        <f t="shared" si="6"/>
        <v>long hiệp, bến lức, long an, việt namcông ty cổ phần thiêt kê nôi thât trung nam</v>
      </c>
      <c r="E180" t="str">
        <f>SUBSTITUTE(SUBSTITUTE(SUBSTITUTE(LOWER(C180), "tphcm", "TP. Hồ Chí Minh"), "hcm", "TP. Hồ Chí Minh"), " q.", " Quận ")</f>
        <v>quận 8, việt namquận 8, việt nam</v>
      </c>
      <c r="F180" t="str">
        <f>PROPER(TRIM(RIGHT(SUBSTITUTE(D180, ",", REPT(" ", LEN(D180))), LEN(D180))))</f>
        <v>Việt Namcông Ty Cổ Phần Thiêt Kê Nôi Thât Trung Nam</v>
      </c>
      <c r="G180" t="str">
        <f t="shared" si="7"/>
        <v>Việt Nam</v>
      </c>
      <c r="H180" t="str">
        <f>PROPER(TRIM(RIGHT(SUBSTITUTE(LEFT(D180, FIND("@", SUBSTITUTE(D180, ",", "@", LEN(D180)-LEN(SUBSTITUTE(D180, ",", ""))))-1), ",", REPT(" ", LEN(D180))), LEN(D180))))</f>
        <v>Long An</v>
      </c>
      <c r="I180" t="str">
        <f t="shared" si="8"/>
        <v>Việt Namquận 8</v>
      </c>
    </row>
    <row r="181" spans="1:9" x14ac:dyDescent="0.3">
      <c r="A181" t="s">
        <v>1089</v>
      </c>
      <c r="B181" t="s">
        <v>3746</v>
      </c>
      <c r="C181" t="s">
        <v>2623</v>
      </c>
      <c r="D181" t="str">
        <f t="shared" si="6"/>
        <v>công ty tnhh in phun sơn phụ liệu giày long thuận, long cang, tây ninh, việt namcông ty tnhh in phun sơn phụ liệu giày long thuận</v>
      </c>
      <c r="E181" t="str">
        <f>SUBSTITUTE(SUBSTITUTE(SUBSTITUTE(LOWER(C181), "tphcm", "TP. Hồ Chí Minh"), "hcm", "TP. Hồ Chí Minh"), " q.", " Quận ")</f>
        <v>phố cát linh,11509hà nội</v>
      </c>
      <c r="F181" t="str">
        <f>PROPER(TRIM(RIGHT(SUBSTITUTE(D181, ",", REPT(" ", LEN(D181))), LEN(D181))))</f>
        <v>Việt Namcông Ty Tnhh In Phun Sơn Phụ Liệu Giày Long Thuận</v>
      </c>
      <c r="G181" t="str">
        <f t="shared" si="7"/>
        <v>11509Hà Nội</v>
      </c>
      <c r="H181" t="str">
        <f>PROPER(TRIM(RIGHT(SUBSTITUTE(LEFT(D181, FIND("@", SUBSTITUTE(D181, ",", "@", LEN(D181)-LEN(SUBSTITUTE(D181, ",", ""))))-1), ",", REPT(" ", LEN(D181))), LEN(D181))))</f>
        <v>Tây Ninh</v>
      </c>
      <c r="I181" t="str">
        <f t="shared" si="8"/>
        <v>Phố Cát Linh</v>
      </c>
    </row>
    <row r="182" spans="1:9" x14ac:dyDescent="0.3">
      <c r="A182" t="s">
        <v>1093</v>
      </c>
      <c r="B182" t="s">
        <v>3753</v>
      </c>
      <c r="C182" t="s">
        <v>2630</v>
      </c>
      <c r="D182" t="str">
        <f t="shared" si="6"/>
        <v>lô m3, đ. số 4 phúc long, kcn, bến lức, long an, việt namcông ty tnhh ushiwaka mg việt nam</v>
      </c>
      <c r="E182" t="str">
        <f>SUBSTITUTE(SUBSTITUTE(SUBSTITUTE(LOWER(C182), "tphcm", "TP. Hồ Chí Minh"), "hcm", "TP. Hồ Chí Minh"), " q.", " Quận ")</f>
        <v>phường 3, quận 4, hồ chí minh, việt namquận 4</v>
      </c>
      <c r="F182" t="str">
        <f>PROPER(TRIM(RIGHT(SUBSTITUTE(D182, ",", REPT(" ", LEN(D182))), LEN(D182))))</f>
        <v>Việt Namcông Ty Tnhh Ushiwaka Mg Việt Nam</v>
      </c>
      <c r="G182" t="str">
        <f t="shared" si="7"/>
        <v>Việt Namquận 4</v>
      </c>
      <c r="H182" t="str">
        <f>PROPER(TRIM(RIGHT(SUBSTITUTE(LEFT(D182, FIND("@", SUBSTITUTE(D182, ",", "@", LEN(D182)-LEN(SUBSTITUTE(D182, ",", ""))))-1), ",", REPT(" ", LEN(D182))), LEN(D182))))</f>
        <v>Long An</v>
      </c>
      <c r="I182" t="str">
        <f t="shared" si="8"/>
        <v>Hồ Chí Minh</v>
      </c>
    </row>
    <row r="183" spans="1:9" x14ac:dyDescent="0.3">
      <c r="A183" t="s">
        <v>1097</v>
      </c>
      <c r="B183" t="s">
        <v>3760</v>
      </c>
      <c r="C183" t="s">
        <v>2641</v>
      </c>
      <c r="D183" t="str">
        <f t="shared" si="6"/>
        <v>đt866, tân hương, tiền giang, việt namđường tỉnh 866</v>
      </c>
      <c r="E183" t="str">
        <f>SUBSTITUTE(SUBSTITUTE(SUBSTITUTE(LOWER(C183), "tphcm", "TP. Hồ Chí Minh"), "hcm", "TP. Hồ Chí Minh"), " q.", " Quận ")</f>
        <v>hưng phước 4, tân phong, quận 7, hồ chí minh, việt namquận 7</v>
      </c>
      <c r="F183" t="str">
        <f>PROPER(TRIM(RIGHT(SUBSTITUTE(D183, ",", REPT(" ", LEN(D183))), LEN(D183))))</f>
        <v>Việt Namđường Tỉnh 866</v>
      </c>
      <c r="G183" t="str">
        <f t="shared" si="7"/>
        <v>Việt Namquận 7</v>
      </c>
      <c r="H183" t="str">
        <f>PROPER(TRIM(RIGHT(SUBSTITUTE(LEFT(D183, FIND("@", SUBSTITUTE(D183, ",", "@", LEN(D183)-LEN(SUBSTITUTE(D183, ",", ""))))-1), ",", REPT(" ", LEN(D183))), LEN(D183))))</f>
        <v>Tiền Giang</v>
      </c>
      <c r="I183" t="str">
        <f t="shared" si="8"/>
        <v>Hồ Chí Minh</v>
      </c>
    </row>
    <row r="184" spans="1:9" x14ac:dyDescent="0.3">
      <c r="A184" t="s">
        <v>1101</v>
      </c>
      <c r="B184" t="s">
        <v>3769</v>
      </c>
      <c r="C184" t="s">
        <v>2648</v>
      </c>
      <c r="D184" t="str">
        <f t="shared" si="6"/>
        <v>công ty tnhh vật liệu công nghệ cao longda weifang việt nam, đ. số 1, khu công nghiệp phúc long, mỹ yên, tây ninh, việt namcông ty tnhh vật liệu công nghệ cao longda weifang việt nam</v>
      </c>
      <c r="E184" t="str">
        <f>SUBSTITUTE(SUBSTITUTE(SUBSTITUTE(LOWER(C184), "tphcm", "TP. Hồ Chí Minh"), "hcm", "TP. Hồ Chí Minh"), " q.", " Quận ")</f>
        <v>32/21 cao thắng, phường 5, quận 3, hồ chí minh, việt namquận 3</v>
      </c>
      <c r="F184" t="str">
        <f>PROPER(TRIM(RIGHT(SUBSTITUTE(D184, ",", REPT(" ", LEN(D184))), LEN(D184))))</f>
        <v>Việt Namcông Ty Tnhh Vật Liệu Công Nghệ Cao Longda Weifang Việt Nam</v>
      </c>
      <c r="G184" t="str">
        <f t="shared" si="7"/>
        <v>Việt Namquận 3</v>
      </c>
      <c r="H184" t="str">
        <f>PROPER(TRIM(RIGHT(SUBSTITUTE(LEFT(D184, FIND("@", SUBSTITUTE(D184, ",", "@", LEN(D184)-LEN(SUBSTITUTE(D184, ",", ""))))-1), ",", REPT(" ", LEN(D184))), LEN(D184))))</f>
        <v>Tây Ninh</v>
      </c>
      <c r="I184" t="str">
        <f t="shared" si="8"/>
        <v>Hồ Chí Minh</v>
      </c>
    </row>
    <row r="185" spans="1:9" x14ac:dyDescent="0.3">
      <c r="A185" t="s">
        <v>1108</v>
      </c>
      <c r="B185" t="s">
        <v>3780</v>
      </c>
      <c r="C185" t="s">
        <v>2657</v>
      </c>
      <c r="D185" t="str">
        <f t="shared" si="6"/>
        <v>công ty tnhh xiangye, đường số 13, kcn phúc long, mỹ yên, tây ninh, việt namcông ty tnhh xiangye</v>
      </c>
      <c r="E185" t="str">
        <f>SUBSTITUTE(SUBSTITUTE(SUBSTITUTE(LOWER(C185), "tphcm", "TP. Hồ Chí Minh"), "hcm", "TP. Hồ Chí Minh"), " q.", " Quận ")</f>
        <v>208,210 phan chu trinh, phường 2, vũng tàu, bà rịa , vũng tàu 79000, việt namvung tau luxury hotel</v>
      </c>
      <c r="F185" t="str">
        <f>PROPER(TRIM(RIGHT(SUBSTITUTE(D185, ",", REPT(" ", LEN(D185))), LEN(D185))))</f>
        <v>Việt Namcông Ty Tnhh Xiangye</v>
      </c>
      <c r="G185" t="str">
        <f t="shared" si="7"/>
        <v>Việt Namvung Tau Luxury Hotel</v>
      </c>
      <c r="H185" t="str">
        <f>PROPER(TRIM(RIGHT(SUBSTITUTE(LEFT(D185, FIND("@", SUBSTITUTE(D185, ",", "@", LEN(D185)-LEN(SUBSTITUTE(D185, ",", ""))))-1), ",", REPT(" ", LEN(D185))), LEN(D185))))</f>
        <v>Tây Ninh</v>
      </c>
      <c r="I185" t="str">
        <f t="shared" si="8"/>
        <v>Vũng Tàu 79000</v>
      </c>
    </row>
    <row r="186" spans="1:9" x14ac:dyDescent="0.3">
      <c r="A186" t="s">
        <v>1116</v>
      </c>
      <c r="B186" t="s">
        <v>3791</v>
      </c>
      <c r="C186" t="s">
        <v>2667</v>
      </c>
      <c r="D186" t="str">
        <f t="shared" si="6"/>
        <v>8 đ. sân banh, phước lý, tây ninh, việt namcông ty tnhh vy kỳ</v>
      </c>
      <c r="E186" t="str">
        <f>SUBSTITUTE(SUBSTITUTE(SUBSTITUTE(LOWER(C186), "tphcm", "TP. Hồ Chí Minh"), "hcm", "TP. Hồ Chí Minh"), " q.", " Quận ")</f>
        <v>cần đước, long hựu tây, cần đước, long an, việt namcần đước</v>
      </c>
      <c r="F186" t="str">
        <f>PROPER(TRIM(RIGHT(SUBSTITUTE(D186, ",", REPT(" ", LEN(D186))), LEN(D186))))</f>
        <v>Việt Namcông Ty Tnhh Vy Kỳ</v>
      </c>
      <c r="G186" t="str">
        <f t="shared" si="7"/>
        <v>Việt Namcần Đước</v>
      </c>
      <c r="H186" t="str">
        <f>PROPER(TRIM(RIGHT(SUBSTITUTE(LEFT(D186, FIND("@", SUBSTITUTE(D186, ",", "@", LEN(D186)-LEN(SUBSTITUTE(D186, ",", ""))))-1), ",", REPT(" ", LEN(D186))), LEN(D186))))</f>
        <v>Tây Ninh</v>
      </c>
      <c r="I186" t="str">
        <f t="shared" si="8"/>
        <v>Long An</v>
      </c>
    </row>
    <row r="187" spans="1:9" x14ac:dyDescent="0.3">
      <c r="A187" t="s">
        <v>1120</v>
      </c>
      <c r="B187" t="s">
        <v>3798</v>
      </c>
      <c r="C187" t="s">
        <v>2682</v>
      </c>
      <c r="D187" t="str">
        <f t="shared" si="6"/>
        <v>cty cp nông nghiệp việt nam symbio, đường vl2, mỹ yên, tây ninh, việt namcty cp nông nghiệp việt nam symbio</v>
      </c>
      <c r="E187" t="str">
        <f>SUBSTITUTE(SUBSTITUTE(SUBSTITUTE(LOWER(C187), "tphcm", "TP. Hồ Chí Minh"), "hcm", "TP. Hồ Chí Minh"), " q.", " Quận ")</f>
        <v>quận 9, long trường, thủ đức, hồ chí minh, việt namquận 9</v>
      </c>
      <c r="F187" t="str">
        <f>PROPER(TRIM(RIGHT(SUBSTITUTE(D187, ",", REPT(" ", LEN(D187))), LEN(D187))))</f>
        <v>Việt Namcty Cp Nông Nghiệp Việt Nam Symbio</v>
      </c>
      <c r="G187" t="str">
        <f t="shared" si="7"/>
        <v>Việt Namquận 9</v>
      </c>
      <c r="H187" t="str">
        <f>PROPER(TRIM(RIGHT(SUBSTITUTE(LEFT(D187, FIND("@", SUBSTITUTE(D187, ",", "@", LEN(D187)-LEN(SUBSTITUTE(D187, ",", ""))))-1), ",", REPT(" ", LEN(D187))), LEN(D187))))</f>
        <v>Tây Ninh</v>
      </c>
      <c r="I187" t="str">
        <f t="shared" si="8"/>
        <v>Hồ Chí Minh</v>
      </c>
    </row>
    <row r="188" spans="1:9" x14ac:dyDescent="0.3">
      <c r="A188" t="s">
        <v>1124</v>
      </c>
      <c r="B188" t="s">
        <v>3810</v>
      </c>
      <c r="C188" t="s">
        <v>2689</v>
      </c>
      <c r="D188" t="str">
        <f t="shared" si="6"/>
        <v>lô a1,17, khu công nghiệp vĩnh lộc 2, đường vĩnh lộc 2, ấp voi lá, xã long, hiệp, long hiệp, bến lức, long an 850000, việt namkhông gian công nghiệp leadpark business hub</v>
      </c>
      <c r="E188" t="str">
        <f>SUBSTITUTE(SUBSTITUTE(SUBSTITUTE(LOWER(C188), "tphcm", "TP. Hồ Chí Minh"), "hcm", "TP. Hồ Chí Minh"), " q.", " Quận ")</f>
        <v>quận 12, thới an, thành phố hồ chí minh, hồ chí minh, việt namquận 12</v>
      </c>
      <c r="F188" t="str">
        <f>PROPER(TRIM(RIGHT(SUBSTITUTE(D188, ",", REPT(" ", LEN(D188))), LEN(D188))))</f>
        <v>Việt Namkhông Gian Công Nghiệp Leadpark Business Hub</v>
      </c>
      <c r="G188" t="str">
        <f t="shared" si="7"/>
        <v>Việt Namquận 12</v>
      </c>
      <c r="H188" t="str">
        <f>PROPER(TRIM(RIGHT(SUBSTITUTE(LEFT(D188, FIND("@", SUBSTITUTE(D188, ",", "@", LEN(D188)-LEN(SUBSTITUTE(D188, ",", ""))))-1), ",", REPT(" ", LEN(D188))), LEN(D188))))</f>
        <v>Long An 850000</v>
      </c>
      <c r="I188" t="str">
        <f t="shared" si="8"/>
        <v>Hồ Chí Minh</v>
      </c>
    </row>
    <row r="189" spans="1:9" x14ac:dyDescent="0.3">
      <c r="A189" t="s">
        <v>1131</v>
      </c>
      <c r="B189" t="s">
        <v>3825</v>
      </c>
      <c r="C189" t="s">
        <v>2706</v>
      </c>
      <c r="D189" t="str">
        <f t="shared" si="6"/>
        <v>35b, ấp, cần giuộc, long an, việt namcông ty tnhh triệu tín</v>
      </c>
      <c r="E189" t="str">
        <f>SUBSTITUTE(SUBSTITUTE(SUBSTITUTE(LOWER(C189), "tphcm", "TP. Hồ Chí Minh"), "hcm", "TP. Hồ Chí Minh"), " q.", " Quận ")</f>
        <v>13 đ. nguyễn chí thanh, phường 9, quận 10, hồ chí minh, việt namquận 10</v>
      </c>
      <c r="F189" t="str">
        <f>PROPER(TRIM(RIGHT(SUBSTITUTE(D189, ",", REPT(" ", LEN(D189))), LEN(D189))))</f>
        <v>Việt Namcông Ty Tnhh Triệu Tín</v>
      </c>
      <c r="G189" t="str">
        <f t="shared" si="7"/>
        <v>Việt Namquận 10</v>
      </c>
      <c r="H189" t="str">
        <f>PROPER(TRIM(RIGHT(SUBSTITUTE(LEFT(D189, FIND("@", SUBSTITUTE(D189, ",", "@", LEN(D189)-LEN(SUBSTITUTE(D189, ",", ""))))-1), ",", REPT(" ", LEN(D189))), LEN(D189))))</f>
        <v>Long An</v>
      </c>
      <c r="I189" t="str">
        <f t="shared" si="8"/>
        <v>Hồ Chí Minh</v>
      </c>
    </row>
    <row r="190" spans="1:9" x14ac:dyDescent="0.3">
      <c r="A190" t="s">
        <v>1138</v>
      </c>
      <c r="B190" t="s">
        <v>3838</v>
      </c>
      <c r="C190" t="s">
        <v>2713</v>
      </c>
      <c r="D190" t="str">
        <f t="shared" si="6"/>
        <v>cty tnhh thương mại kỹ thuật xuất nhập khẩu nam hải, lộ đình, phước lý, cần giuộc, long an, việt namcty tnhh thương mại kỹ thuật xuất nhập khẩu nam hải</v>
      </c>
      <c r="E190" t="str">
        <f>SUBSTITUTE(SUBSTITUTE(SUBSTITUTE(LOWER(C190), "tphcm", "TP. Hồ Chí Minh"), "hcm", "TP. Hồ Chí Minh"), " q.", " Quận ")</f>
        <v>chung cư bộ công an, đ. số 3, phường an khánh, thủ đức, hồ chí minh, việt namquận 2</v>
      </c>
      <c r="F190" t="str">
        <f>PROPER(TRIM(RIGHT(SUBSTITUTE(D190, ",", REPT(" ", LEN(D190))), LEN(D190))))</f>
        <v>Việt Namcty Tnhh Thương Mại Kỹ Thuật Xuất Nhập Khẩu Nam Hải</v>
      </c>
      <c r="G190" t="str">
        <f t="shared" si="7"/>
        <v>Việt Namquận 2</v>
      </c>
      <c r="H190" t="str">
        <f>PROPER(TRIM(RIGHT(SUBSTITUTE(LEFT(D190, FIND("@", SUBSTITUTE(D190, ",", "@", LEN(D190)-LEN(SUBSTITUTE(D190, ",", ""))))-1), ",", REPT(" ", LEN(D190))), LEN(D190))))</f>
        <v>Long An</v>
      </c>
      <c r="I190" t="str">
        <f t="shared" si="8"/>
        <v>Hồ Chí Minh</v>
      </c>
    </row>
    <row r="191" spans="1:9" x14ac:dyDescent="0.3">
      <c r="A191" t="s">
        <v>1145</v>
      </c>
      <c r="B191" t="s">
        <v>3847</v>
      </c>
      <c r="C191" t="s">
        <v>2720</v>
      </c>
      <c r="D191" t="str">
        <f t="shared" si="6"/>
        <v>jhw8+92, phước lý, tây ninh, việt namjhw8+92, phước lý, tây ninh, việt nam</v>
      </c>
      <c r="E191" t="str">
        <f>SUBSTITUTE(SUBSTITUTE(SUBSTITUTE(LOWER(C191), "tphcm", "TP. Hồ Chí Minh"), "hcm", "TP. Hồ Chí Minh"), " q.", " Quận ")</f>
        <v>76/7 đ. xóm đất, phường 8, quận 11, hồ chí minh, việt namquận 11</v>
      </c>
      <c r="F191" t="str">
        <f>PROPER(TRIM(RIGHT(SUBSTITUTE(D191, ",", REPT(" ", LEN(D191))), LEN(D191))))</f>
        <v>Việt Nam</v>
      </c>
      <c r="G191" t="str">
        <f t="shared" si="7"/>
        <v>Việt Namquận 11</v>
      </c>
      <c r="H191" t="str">
        <f>PROPER(TRIM(RIGHT(SUBSTITUTE(LEFT(D191, FIND("@", SUBSTITUTE(D191, ",", "@", LEN(D191)-LEN(SUBSTITUTE(D191, ",", ""))))-1), ",", REPT(" ", LEN(D191))), LEN(D191))))</f>
        <v>Tây Ninh</v>
      </c>
      <c r="I191" t="str">
        <f t="shared" si="8"/>
        <v>Hồ Chí Minh</v>
      </c>
    </row>
    <row r="192" spans="1:9" x14ac:dyDescent="0.3">
      <c r="A192" t="s">
        <v>1155</v>
      </c>
      <c r="B192" t="s">
        <v>3857</v>
      </c>
      <c r="C192" t="s">
        <v>2745</v>
      </c>
      <c r="D192" t="str">
        <f t="shared" si="6"/>
        <v>jhw2+m2 phước lý, tây ninh, việt namjhw2+m2 phước lý, tây ninh, việt nam</v>
      </c>
      <c r="E192" t="str">
        <f>SUBSTITUTE(SUBSTITUTE(SUBSTITUTE(LOWER(C192), "tphcm", "TP. Hồ Chí Minh"), "hcm", "TP. Hồ Chí Minh"), " q.", " Quận ")</f>
        <v>to 125 thới tam thôn 17, tân chánh hiệp, hóc môn, thành phố hồ chí minh, việt namhoc mon</v>
      </c>
      <c r="F192" t="str">
        <f>PROPER(TRIM(RIGHT(SUBSTITUTE(D192, ",", REPT(" ", LEN(D192))), LEN(D192))))</f>
        <v>Việt Nam</v>
      </c>
      <c r="G192" t="str">
        <f t="shared" si="7"/>
        <v>Việt Namhoc Mon</v>
      </c>
      <c r="H192" t="str">
        <f>PROPER(TRIM(RIGHT(SUBSTITUTE(LEFT(D192, FIND("@", SUBSTITUTE(D192, ",", "@", LEN(D192)-LEN(SUBSTITUTE(D192, ",", ""))))-1), ",", REPT(" ", LEN(D192))), LEN(D192))))</f>
        <v>Tây Ninh</v>
      </c>
      <c r="I192" t="str">
        <f t="shared" si="8"/>
        <v>Thành Phố Hồ Chí Minh</v>
      </c>
    </row>
    <row r="193" spans="1:9" x14ac:dyDescent="0.3">
      <c r="A193" t="s">
        <v>1159</v>
      </c>
      <c r="B193" t="s">
        <v>3867</v>
      </c>
      <c r="C193" t="s">
        <v>2763</v>
      </c>
      <c r="D193" t="str">
        <f t="shared" si="6"/>
        <v>14 đt835b, phước lý, tây ninh 853000, việt nam14 đt835b, phước lý, tây ninh 853000, việt nam</v>
      </c>
      <c r="E193" t="str">
        <f>SUBSTITUTE(SUBSTITUTE(SUBSTITUTE(LOWER(C193), "tphcm", "TP. Hồ Chí Minh"), "hcm", "TP. Hồ Chí Minh"), " q.", " Quận ")</f>
        <v>7 đ. nguyễn văn bá, phước long a, thủ đức, hồ chí minh, việt nam7 đường nguyễn văn bá</v>
      </c>
      <c r="F193" t="str">
        <f>PROPER(TRIM(RIGHT(SUBSTITUTE(D193, ",", REPT(" ", LEN(D193))), LEN(D193))))</f>
        <v>Việt Nam</v>
      </c>
      <c r="G193" t="str">
        <f t="shared" si="7"/>
        <v>Việt Nam7 Đường Nguyễn Văn Bá</v>
      </c>
      <c r="H193" t="str">
        <f>PROPER(TRIM(RIGHT(SUBSTITUTE(LEFT(D193, FIND("@", SUBSTITUTE(D193, ",", "@", LEN(D193)-LEN(SUBSTITUTE(D193, ",", ""))))-1), ",", REPT(" ", LEN(D193))), LEN(D193))))</f>
        <v>Tây Ninh 853000</v>
      </c>
      <c r="I193" t="str">
        <f t="shared" si="8"/>
        <v>Hồ Chí Minh</v>
      </c>
    </row>
    <row r="194" spans="1:9" x14ac:dyDescent="0.3">
      <c r="A194" t="s">
        <v>1163</v>
      </c>
      <c r="B194" t="s">
        <v>3996</v>
      </c>
      <c r="C194" t="s">
        <v>2774</v>
      </c>
      <c r="D194" t="str">
        <f t="shared" si="6"/>
        <v>đường chưa đặt tên, mỹ hạnh, tây ninh, việt namđường chưa đặt tên</v>
      </c>
      <c r="E194" t="str">
        <f>SUBSTITUTE(SUBSTITUTE(SUBSTITUTE(LOWER(C194), "tphcm", "TP. Hồ Chí Minh"), "hcm", "TP. Hồ Chí Minh"), " q.", " Quận ")</f>
        <v>thuận giao, thuận an, bình dương, việt namaeon mall binh duong canary</v>
      </c>
      <c r="F194" t="str">
        <f>PROPER(TRIM(RIGHT(SUBSTITUTE(D194, ",", REPT(" ", LEN(D194))), LEN(D194))))</f>
        <v>Việt Namđường Chưa Đặt Tên</v>
      </c>
      <c r="G194" t="str">
        <f t="shared" si="7"/>
        <v>Việt Namaeon Mall Binh Duong Canary</v>
      </c>
      <c r="H194" t="str">
        <f>PROPER(TRIM(RIGHT(SUBSTITUTE(LEFT(D194, FIND("@", SUBSTITUTE(D194, ",", "@", LEN(D194)-LEN(SUBSTITUTE(D194, ",", ""))))-1), ",", REPT(" ", LEN(D194))), LEN(D194))))</f>
        <v>Tây Ninh</v>
      </c>
      <c r="I194" t="str">
        <f t="shared" si="8"/>
        <v>Bình Dương</v>
      </c>
    </row>
    <row r="195" spans="1:9" x14ac:dyDescent="0.3">
      <c r="A195" t="s">
        <v>1167</v>
      </c>
      <c r="B195" t="s">
        <v>4018</v>
      </c>
      <c r="C195" t="s">
        <v>2785</v>
      </c>
      <c r="D195" t="str">
        <f t="shared" ref="D195:D258" si="9">SUBSTITUTE(SUBSTITUTE(SUBSTITUTE(LOWER(B195), "tphcm", "TP. Hồ Chí Minh"), "hcm", "TP. Hồ Chí Minh"), " q.", " Quận ")</f>
        <v>373/172/29 đường lý thường kiệt, phường 8, tân bình, hồ chí minh, việt nam373/172/29 đường lý thường kiệt</v>
      </c>
      <c r="E195" t="str">
        <f>SUBSTITUTE(SUBSTITUTE(SUBSTITUTE(LOWER(C195), "tphcm", "TP. Hồ Chí Minh"), "hcm", "TP. Hồ Chí Minh"), " q.", " Quận ")</f>
        <v>ct tnhh tm dv huỳnh gia phát, phường tân đông hiệp, dĩ an, hồ chí minh, việt namct tnhh tm dv huỳnh gia phát</v>
      </c>
      <c r="F195" t="str">
        <f>PROPER(TRIM(RIGHT(SUBSTITUTE(D195, ",", REPT(" ", LEN(D195))), LEN(D195))))</f>
        <v>Việt Nam373/172/29 Đường Lý Thường Kiệt</v>
      </c>
      <c r="G195" t="str">
        <f t="shared" ref="G195:G258" si="10">PROPER(TRIM(RIGHT(SUBSTITUTE(E195, ",", REPT(" ", LEN(E195))), LEN(E195))))</f>
        <v>Việt Namct Tnhh Tm Dv Huỳnh Gia Phát</v>
      </c>
      <c r="H195" t="str">
        <f>PROPER(TRIM(RIGHT(SUBSTITUTE(LEFT(D195, FIND("@", SUBSTITUTE(D195, ",", "@", LEN(D195)-LEN(SUBSTITUTE(D195, ",", ""))))-1), ",", REPT(" ", LEN(D195))), LEN(D195))))</f>
        <v>Hồ Chí Minh</v>
      </c>
      <c r="I195" t="str">
        <f t="shared" ref="I195:I258" si="11">PROPER(TRIM(RIGHT(SUBSTITUTE(LEFT(E195, FIND("@", SUBSTITUTE(E195, ",", "@", LEN(E195)-LEN(SUBSTITUTE(E195, ",", ""))))-1), ",", REPT(" ", LEN(E195))), LEN(E195))))</f>
        <v>Hồ Chí Minh</v>
      </c>
    </row>
    <row r="196" spans="1:9" x14ac:dyDescent="0.3">
      <c r="A196" t="s">
        <v>1174</v>
      </c>
      <c r="B196" t="s">
        <v>4029</v>
      </c>
      <c r="C196" t="s">
        <v>2796</v>
      </c>
      <c r="D196" t="str">
        <f t="shared" si="9"/>
        <v>công ty tnhh supply solutions &amp; trading - chi nhánh long an, long cang, tây ninh, việt namcông ty tnhh supply solutions &amp; trading - chi nhánh long an</v>
      </c>
      <c r="E196" t="str">
        <f>SUBSTITUTE(SUBSTITUTE(SUBSTITUTE(LOWER(C196), "tphcm", "TP. Hồ Chí Minh"), "hcm", "TP. Hồ Chí Minh"), " q.", " Quận ")</f>
        <v>công ty tnhh hùng kim hoa, khu 3, thủ dầu một, hồ chí minh, việt namcông ty tnhh hùng kim hoa</v>
      </c>
      <c r="F196" t="str">
        <f>PROPER(TRIM(RIGHT(SUBSTITUTE(D196, ",", REPT(" ", LEN(D196))), LEN(D196))))</f>
        <v>Việt Namcông Ty Tnhh Supply Solutions &amp; Trading - Chi Nhánh Long An</v>
      </c>
      <c r="G196" t="str">
        <f t="shared" si="10"/>
        <v>Việt Namcông Ty Tnhh Hùng Kim Hoa</v>
      </c>
      <c r="H196" t="str">
        <f>PROPER(TRIM(RIGHT(SUBSTITUTE(LEFT(D196, FIND("@", SUBSTITUTE(D196, ",", "@", LEN(D196)-LEN(SUBSTITUTE(D196, ",", ""))))-1), ",", REPT(" ", LEN(D196))), LEN(D196))))</f>
        <v>Tây Ninh</v>
      </c>
      <c r="I196" t="str">
        <f t="shared" si="11"/>
        <v>Hồ Chí Minh</v>
      </c>
    </row>
    <row r="197" spans="1:9" x14ac:dyDescent="0.3">
      <c r="A197" t="s">
        <v>1178</v>
      </c>
      <c r="B197" t="s">
        <v>4050</v>
      </c>
      <c r="C197" t="s">
        <v>2806</v>
      </c>
      <c r="D197" t="str">
        <f t="shared" si="9"/>
        <v>khu a và khu b, đường số 10, khu công nghiệp thuận đạomở rộng, cần đước, long an, việt namshundao (vietnam) industrial company limited</v>
      </c>
      <c r="E197" t="str">
        <f>SUBSTITUTE(SUBSTITUTE(SUBSTITUTE(LOWER(C197), "tphcm", "TP. Hồ Chí Minh"), "hcm", "TP. Hồ Chí Minh"), " q.", " Quận ")</f>
        <v>công ty taekwang vina - chi nhánh long bình, p, long bình, đồng nai, việt namcông ty taekwang vina - chi nhánh long bình</v>
      </c>
      <c r="F197" t="str">
        <f>PROPER(TRIM(RIGHT(SUBSTITUTE(D197, ",", REPT(" ", LEN(D197))), LEN(D197))))</f>
        <v>Việt Namshundao (Vietnam) Industrial Company Limited</v>
      </c>
      <c r="G197" t="str">
        <f t="shared" si="10"/>
        <v>Việt Namcông Ty Taekwang Vina - Chi Nhánh Long Bình</v>
      </c>
      <c r="H197" t="str">
        <f>PROPER(TRIM(RIGHT(SUBSTITUTE(LEFT(D197, FIND("@", SUBSTITUTE(D197, ",", "@", LEN(D197)-LEN(SUBSTITUTE(D197, ",", ""))))-1), ",", REPT(" ", LEN(D197))), LEN(D197))))</f>
        <v>Long An</v>
      </c>
      <c r="I197" t="str">
        <f t="shared" si="11"/>
        <v>Đồng Nai</v>
      </c>
    </row>
    <row r="198" spans="1:9" x14ac:dyDescent="0.3">
      <c r="A198" t="s">
        <v>1183</v>
      </c>
      <c r="B198" t="s">
        <v>4060</v>
      </c>
      <c r="C198" t="s">
        <v>2814</v>
      </c>
      <c r="D198" t="str">
        <f t="shared" si="9"/>
        <v>thuan dao industrial park, tt. bến lức, bến lức, long an, việt namcông ty ching luh</v>
      </c>
      <c r="E198" t="str">
        <f>SUBSTITUTE(SUBSTITUTE(SUBSTITUTE(LOWER(C198), "tphcm", "TP. Hồ Chí Minh"), "hcm", "TP. Hồ Chí Minh"), " q.", " Quận ")</f>
        <v>công ty cp sx htd bình tân, hương lộ 2, bình trị đông, hồ chí minh, việt namcông ty cp sx htd bình tân</v>
      </c>
      <c r="F198" t="str">
        <f>PROPER(TRIM(RIGHT(SUBSTITUTE(D198, ",", REPT(" ", LEN(D198))), LEN(D198))))</f>
        <v>Việt Namcông Ty Ching Luh</v>
      </c>
      <c r="G198" t="str">
        <f t="shared" si="10"/>
        <v>Việt Namcông Ty Cp Sx Htd Bình Tân</v>
      </c>
      <c r="H198" t="str">
        <f>PROPER(TRIM(RIGHT(SUBSTITUTE(LEFT(D198, FIND("@", SUBSTITUTE(D198, ",", "@", LEN(D198)-LEN(SUBSTITUTE(D198, ",", ""))))-1), ",", REPT(" ", LEN(D198))), LEN(D198))))</f>
        <v>Long An</v>
      </c>
      <c r="I198" t="str">
        <f t="shared" si="11"/>
        <v>Hồ Chí Minh</v>
      </c>
    </row>
    <row r="199" spans="1:9" x14ac:dyDescent="0.3">
      <c r="A199" t="s">
        <v>1191</v>
      </c>
      <c r="B199" t="s">
        <v>4099</v>
      </c>
      <c r="C199" t="s">
        <v>2826</v>
      </c>
      <c r="D199" t="str">
        <f t="shared" si="9"/>
        <v>synergy in motion viet nam, long định, cần đước, long an, việt namsynergy in motion viet nam</v>
      </c>
      <c r="E199" t="str">
        <f>SUBSTITUTE(SUBSTITUTE(SUBSTITUTE(LOWER(C199), "tphcm", "TP. Hồ Chí Minh"), "hcm", "TP. Hồ Chí Minh"), " q.", " Quận ")</f>
        <v>công ty yazaki eds việt nam ltd, đường d1, bến cát, hồ chí minh, việt namcông ty yazaki eds việt nam ltd</v>
      </c>
      <c r="F199" t="str">
        <f>PROPER(TRIM(RIGHT(SUBSTITUTE(D199, ",", REPT(" ", LEN(D199))), LEN(D199))))</f>
        <v>Việt Namsynergy In Motion Viet Nam</v>
      </c>
      <c r="G199" t="str">
        <f t="shared" si="10"/>
        <v>Việt Namcông Ty Yazaki Eds Việt Nam Ltd</v>
      </c>
      <c r="H199" t="str">
        <f>PROPER(TRIM(RIGHT(SUBSTITUTE(LEFT(D199, FIND("@", SUBSTITUTE(D199, ",", "@", LEN(D199)-LEN(SUBSTITUTE(D199, ",", ""))))-1), ",", REPT(" ", LEN(D199))), LEN(D199))))</f>
        <v>Long An</v>
      </c>
      <c r="I199" t="str">
        <f t="shared" si="11"/>
        <v>Hồ Chí Minh</v>
      </c>
    </row>
    <row r="200" spans="1:9" x14ac:dyDescent="0.3">
      <c r="A200" t="s">
        <v>1195</v>
      </c>
      <c r="B200" t="s">
        <v>4141</v>
      </c>
      <c r="C200" t="s">
        <v>2836</v>
      </c>
      <c r="D200" t="str">
        <f t="shared" si="9"/>
        <v>công ty tnhh hitisa, khu công nghiệp phúc long, đường số 8, long hiệp, bến lức, long an, việt namcông ty tnhh hitisa</v>
      </c>
      <c r="E200" t="str">
        <f>SUBSTITUTE(SUBSTITUTE(SUBSTITUTE(LOWER(C200), "tphcm", "TP. Hồ Chí Minh"), "hcm", "TP. Hồ Chí Minh"), " q.", " Quận ")</f>
        <v>công ty tnhh fujikura fiber optics vn, đường số 6, kcn việt nam-singapore (vsip1, thuận giao, hồ chí minh, việt namcông ty tnhh fujikura fiber optics vn</v>
      </c>
      <c r="F200" t="str">
        <f>PROPER(TRIM(RIGHT(SUBSTITUTE(D200, ",", REPT(" ", LEN(D200))), LEN(D200))))</f>
        <v>Việt Namcông Ty Tnhh Hitisa</v>
      </c>
      <c r="G200" t="str">
        <f t="shared" si="10"/>
        <v>Việt Namcông Ty Tnhh Fujikura Fiber Optics Vn</v>
      </c>
      <c r="H200" t="str">
        <f>PROPER(TRIM(RIGHT(SUBSTITUTE(LEFT(D200, FIND("@", SUBSTITUTE(D200, ",", "@", LEN(D200)-LEN(SUBSTITUTE(D200, ",", ""))))-1), ",", REPT(" ", LEN(D200))), LEN(D200))))</f>
        <v>Long An</v>
      </c>
      <c r="I200" t="str">
        <f t="shared" si="11"/>
        <v>Hồ Chí Minh</v>
      </c>
    </row>
    <row r="201" spans="1:9" x14ac:dyDescent="0.3">
      <c r="A201" t="s">
        <v>1202</v>
      </c>
      <c r="B201" t="s">
        <v>4150</v>
      </c>
      <c r="C201" t="s">
        <v>2843</v>
      </c>
      <c r="D201" t="str">
        <f t="shared" si="9"/>
        <v>lô b4ab, đường số 04, kcn, phúc long, long hiệp, bến lức, long an, việt namcông ty tnhh yutian việt nam</v>
      </c>
      <c r="E201" t="str">
        <f>SUBSTITUTE(SUBSTITUTE(SUBSTITUTE(LOWER(C201), "tphcm", "TP. Hồ Chí Minh"), "hcm", "TP. Hồ Chí Minh"), " q.", " Quận ")</f>
        <v>c&amp;h vina company limited, area 5, ward, tân uyên, hồ chí minh, việt namc&amp;h vina company limited</v>
      </c>
      <c r="F201" t="str">
        <f>PROPER(TRIM(RIGHT(SUBSTITUTE(D201, ",", REPT(" ", LEN(D201))), LEN(D201))))</f>
        <v>Việt Namcông Ty Tnhh Yutian Việt Nam</v>
      </c>
      <c r="G201" t="str">
        <f t="shared" si="10"/>
        <v>Việt Namc&amp;H Vina Company Limited</v>
      </c>
      <c r="H201" t="str">
        <f>PROPER(TRIM(RIGHT(SUBSTITUTE(LEFT(D201, FIND("@", SUBSTITUTE(D201, ",", "@", LEN(D201)-LEN(SUBSTITUTE(D201, ",", ""))))-1), ",", REPT(" ", LEN(D201))), LEN(D201))))</f>
        <v>Long An</v>
      </c>
      <c r="I201" t="str">
        <f t="shared" si="11"/>
        <v>Hồ Chí Minh</v>
      </c>
    </row>
    <row r="202" spans="1:9" x14ac:dyDescent="0.3">
      <c r="A202" t="s">
        <v>1207</v>
      </c>
      <c r="B202" t="s">
        <v>4162</v>
      </c>
      <c r="C202" t="s">
        <v>2858</v>
      </c>
      <c r="D202" t="str">
        <f t="shared" si="9"/>
        <v>lô n 6, đ. số 6, kcn phúc long, bến lức, long an, việt namcông ty tnhh european snack food (việt nam)</v>
      </c>
      <c r="E202" t="str">
        <f>SUBSTITUTE(SUBSTITUTE(SUBSTITUTE(LOWER(C202), "tphcm", "TP. Hồ Chí Minh"), "hcm", "TP. Hồ Chí Minh"), " q.", " Quận ")</f>
        <v>ojitex (vietnam) co.,ltd. - long thanh branch, khu công nghiệp, long thành, đồng nai, việt namojitex (vietnam) co.,ltd. - long thanh branch</v>
      </c>
      <c r="F202" t="str">
        <f>PROPER(TRIM(RIGHT(SUBSTITUTE(D202, ",", REPT(" ", LEN(D202))), LEN(D202))))</f>
        <v>Việt Namcông Ty Tnhh European Snack Food (Việt Nam)</v>
      </c>
      <c r="G202" t="str">
        <f t="shared" si="10"/>
        <v>Ltd. - Long Thanh Branch</v>
      </c>
      <c r="H202" t="str">
        <f>PROPER(TRIM(RIGHT(SUBSTITUTE(LEFT(D202, FIND("@", SUBSTITUTE(D202, ",", "@", LEN(D202)-LEN(SUBSTITUTE(D202, ",", ""))))-1), ",", REPT(" ", LEN(D202))), LEN(D202))))</f>
        <v>Long An</v>
      </c>
      <c r="I202" t="str">
        <f t="shared" si="11"/>
        <v>Việt Namojitex (Vietnam) Co.</v>
      </c>
    </row>
    <row r="203" spans="1:9" x14ac:dyDescent="0.3">
      <c r="A203" t="s">
        <v>1211</v>
      </c>
      <c r="B203" t="s">
        <v>4184</v>
      </c>
      <c r="C203" t="s">
        <v>2865</v>
      </c>
      <c r="D203" t="str">
        <f t="shared" si="9"/>
        <v>công ty tnhh sx,tm tân kim phụng, phước lý, cần giuộc, long an, việt namcông ty tnhh sx,tm tân kim phụng</v>
      </c>
      <c r="E203" t="str">
        <f>SUBSTITUTE(SUBSTITUTE(SUBSTITUTE(LOWER(C203), "tphcm", "TP. Hồ Chí Minh"), "hcm", "TP. Hồ Chí Minh"), " q.", " Quận ")</f>
        <v>win.d gaming quận bình thạnh, đường võ oanh, thạnh mỹ tây, hồ chí minh, việt namwin.d gaming quận bình thạnh</v>
      </c>
      <c r="F203" t="str">
        <f>PROPER(TRIM(RIGHT(SUBSTITUTE(D203, ",", REPT(" ", LEN(D203))), LEN(D203))))</f>
        <v>Tm Tân Kim Phụng</v>
      </c>
      <c r="G203" t="str">
        <f t="shared" si="10"/>
        <v>Việt Namwin.D Gaming Quận Bình Thạnh</v>
      </c>
      <c r="H203" t="str">
        <f>PROPER(TRIM(RIGHT(SUBSTITUTE(LEFT(D203, FIND("@", SUBSTITUTE(D203, ",", "@", LEN(D203)-LEN(SUBSTITUTE(D203, ",", ""))))-1), ",", REPT(" ", LEN(D203))), LEN(D203))))</f>
        <v>Việt Namcông Ty Tnhh Sx</v>
      </c>
      <c r="I203" t="str">
        <f t="shared" si="11"/>
        <v>Hồ Chí Minh</v>
      </c>
    </row>
    <row r="204" spans="1:9" x14ac:dyDescent="0.3">
      <c r="A204" t="s">
        <v>1216</v>
      </c>
      <c r="B204" t="s">
        <v>4195</v>
      </c>
      <c r="C204" t="s">
        <v>2872</v>
      </c>
      <c r="D204" t="str">
        <f t="shared" si="9"/>
        <v>jhw2+p2 phước lý, tây ninh, việt namjhw2+p2 phước lý, tây ninh, việt nam</v>
      </c>
      <c r="E204" t="str">
        <f>SUBSTITUTE(SUBSTITUTE(SUBSTITUTE(LOWER(C204), "tphcm", "TP. Hồ Chí Minh"), "hcm", "TP. Hồ Chí Minh"), " q.", " Quận ")</f>
        <v>công ty tnhh cntt aureole (cn gò vấp), nguyễn oanh, gò vấp, hồ chí minh, việt namcông ty tnhh cntt aureole (cn gò vấp)</v>
      </c>
      <c r="F204" t="str">
        <f>PROPER(TRIM(RIGHT(SUBSTITUTE(D204, ",", REPT(" ", LEN(D204))), LEN(D204))))</f>
        <v>Việt Nam</v>
      </c>
      <c r="G204" t="str">
        <f t="shared" si="10"/>
        <v>Việt Namcông Ty Tnhh Cntt Aureole (Cn Gò Vấp)</v>
      </c>
      <c r="H204" t="str">
        <f>PROPER(TRIM(RIGHT(SUBSTITUTE(LEFT(D204, FIND("@", SUBSTITUTE(D204, ",", "@", LEN(D204)-LEN(SUBSTITUTE(D204, ",", ""))))-1), ",", REPT(" ", LEN(D204))), LEN(D204))))</f>
        <v>Tây Ninh</v>
      </c>
      <c r="I204" t="str">
        <f t="shared" si="11"/>
        <v>Hồ Chí Minh</v>
      </c>
    </row>
    <row r="205" spans="1:9" x14ac:dyDescent="0.3">
      <c r="A205" t="s">
        <v>1220</v>
      </c>
      <c r="B205" t="s">
        <v>4255</v>
      </c>
      <c r="C205" t="s">
        <v>2897</v>
      </c>
      <c r="D205" t="str">
        <f t="shared" si="9"/>
        <v>công ty tnhh prince vn, đường sô 1, cụm cn lợi, khánh hậu, tây ninh, việt namcông ty tnhh prince vn</v>
      </c>
      <c r="E205" t="str">
        <f>SUBSTITUTE(SUBSTITUTE(SUBSTITUTE(LOWER(C205), "tphcm", "TP. Hồ Chí Minh"), "hcm", "TP. Hồ Chí Minh"), " q.", " Quận ")</f>
        <v>cty tnhh tk-xd-tm quốc thắng tại hóc môn, ngô quyền, hóc môn, hồ chí minh, việt namcty tnhh tk-xd-tm quốc thắng tại hóc môn</v>
      </c>
      <c r="F205" t="str">
        <f>PROPER(TRIM(RIGHT(SUBSTITUTE(D205, ",", REPT(" ", LEN(D205))), LEN(D205))))</f>
        <v>Việt Namcông Ty Tnhh Prince Vn</v>
      </c>
      <c r="G205" t="str">
        <f t="shared" si="10"/>
        <v>Việt Namcty Tnhh Tk-Xd-Tm Quốc Thắng Tại Hóc Môn</v>
      </c>
      <c r="H205" t="str">
        <f>PROPER(TRIM(RIGHT(SUBSTITUTE(LEFT(D205, FIND("@", SUBSTITUTE(D205, ",", "@", LEN(D205)-LEN(SUBSTITUTE(D205, ",", ""))))-1), ",", REPT(" ", LEN(D205))), LEN(D205))))</f>
        <v>Tây Ninh</v>
      </c>
      <c r="I205" t="str">
        <f t="shared" si="11"/>
        <v>Hồ Chí Minh</v>
      </c>
    </row>
    <row r="206" spans="1:9" x14ac:dyDescent="0.3">
      <c r="A206" t="s">
        <v>1224</v>
      </c>
      <c r="B206" t="s">
        <v>4273</v>
      </c>
      <c r="C206" t="s">
        <v>2952</v>
      </c>
      <c r="D206" t="str">
        <f t="shared" si="9"/>
        <v>306, tp. tân an, long an, việt namhẻm 306</v>
      </c>
      <c r="E206" t="str">
        <f>SUBSTITUTE(SUBSTITUTE(SUBSTITUTE(LOWER(C206), "tphcm", "TP. Hồ Chí Minh"), "hcm", "TP. Hồ Chí Minh"), " q.", " Quận ")</f>
        <v>công ty tnhh techtronic tools (tti quận 9), tp, đường d14a công nghệ cao, tăng nhơn phú, hồ chí minh, việt namcông ty tnhh techtronic tools (tti quận 9)</v>
      </c>
      <c r="F206" t="str">
        <f>PROPER(TRIM(RIGHT(SUBSTITUTE(D206, ",", REPT(" ", LEN(D206))), LEN(D206))))</f>
        <v>Việt Namhẻm 306</v>
      </c>
      <c r="G206" t="str">
        <f t="shared" si="10"/>
        <v>Việt Namcông Ty Tnhh Techtronic Tools (Tti Quận 9)</v>
      </c>
      <c r="H206" t="str">
        <f>PROPER(TRIM(RIGHT(SUBSTITUTE(LEFT(D206, FIND("@", SUBSTITUTE(D206, ",", "@", LEN(D206)-LEN(SUBSTITUTE(D206, ",", ""))))-1), ",", REPT(" ", LEN(D206))), LEN(D206))))</f>
        <v>Long An</v>
      </c>
      <c r="I206" t="str">
        <f t="shared" si="11"/>
        <v>Hồ Chí Minh</v>
      </c>
    </row>
    <row r="207" spans="1:9" x14ac:dyDescent="0.3">
      <c r="A207" t="s">
        <v>1228</v>
      </c>
      <c r="B207" t="s">
        <v>4303</v>
      </c>
      <c r="C207" t="s">
        <v>2967</v>
      </c>
      <c r="D207" t="str">
        <f t="shared" si="9"/>
        <v>400 ql1a, bến lức, tây ninh, việt nam400 quốc lộ 1a</v>
      </c>
      <c r="E207" t="str">
        <f>SUBSTITUTE(SUBSTITUTE(SUBSTITUTE(LOWER(C207), "tphcm", "TP. Hồ Chí Minh"), "hcm", "TP. Hồ Chí Minh"), " q.", " Quận ")</f>
        <v>công ty tnhh tm eurochem, đường số 2, thủ đức, hồ chí minh, việt namcông ty tnhh tm eurochem</v>
      </c>
      <c r="F207" t="str">
        <f>PROPER(TRIM(RIGHT(SUBSTITUTE(D207, ",", REPT(" ", LEN(D207))), LEN(D207))))</f>
        <v>Việt Nam400 Quốc Lộ 1A</v>
      </c>
      <c r="G207" t="str">
        <f t="shared" si="10"/>
        <v>Việt Namcông Ty Tnhh Tm Eurochem</v>
      </c>
      <c r="H207" t="str">
        <f>PROPER(TRIM(RIGHT(SUBSTITUTE(LEFT(D207, FIND("@", SUBSTITUTE(D207, ",", "@", LEN(D207)-LEN(SUBSTITUTE(D207, ",", ""))))-1), ",", REPT(" ", LEN(D207))), LEN(D207))))</f>
        <v>Tây Ninh</v>
      </c>
      <c r="I207" t="str">
        <f t="shared" si="11"/>
        <v>Hồ Chí Minh</v>
      </c>
    </row>
    <row r="208" spans="1:9" x14ac:dyDescent="0.3">
      <c r="A208" t="s">
        <v>1235</v>
      </c>
      <c r="B208" t="s">
        <v>4372</v>
      </c>
      <c r="C208" t="s">
        <v>3004</v>
      </c>
      <c r="D208" t="str">
        <f t="shared" si="9"/>
        <v>công ty tnhh bestway, khu công nghiệp, tân lập 1, tân phước, tiền giang, việt namcông ty tnhh bestway</v>
      </c>
      <c r="E208" t="str">
        <f>SUBSTITUTE(SUBSTITUTE(SUBSTITUTE(LOWER(C208), "tphcm", "TP. Hồ Chí Minh"), "hcm", "TP. Hồ Chí Minh"), " q.", " Quận ")</f>
        <v>công ty tnhh quốc tế chutex, thống nhất, kcn sóng thần2, dĩ an, hồ chí minh, việt namcông ty tnhh quốc tế chutex</v>
      </c>
      <c r="F208" t="str">
        <f>PROPER(TRIM(RIGHT(SUBSTITUTE(D208, ",", REPT(" ", LEN(D208))), LEN(D208))))</f>
        <v>Việt Namcông Ty Tnhh Bestway</v>
      </c>
      <c r="G208" t="str">
        <f t="shared" si="10"/>
        <v>Việt Namcông Ty Tnhh Quốc Tế Chutex</v>
      </c>
      <c r="H208" t="str">
        <f>PROPER(TRIM(RIGHT(SUBSTITUTE(LEFT(D208, FIND("@", SUBSTITUTE(D208, ",", "@", LEN(D208)-LEN(SUBSTITUTE(D208, ",", ""))))-1), ",", REPT(" ", LEN(D208))), LEN(D208))))</f>
        <v>Tiền Giang</v>
      </c>
      <c r="I208" t="str">
        <f t="shared" si="11"/>
        <v>Hồ Chí Minh</v>
      </c>
    </row>
    <row r="209" spans="1:9" x14ac:dyDescent="0.3">
      <c r="A209" t="s">
        <v>1239</v>
      </c>
      <c r="B209" t="s">
        <v>4410</v>
      </c>
      <c r="C209" t="s">
        <v>3019</v>
      </c>
      <c r="D209" t="str">
        <f t="shared" si="9"/>
        <v>trạm gas south , yongjin, tân lập 1, tân phước, tiền giang, việt namtrạm gas south , yongjin</v>
      </c>
      <c r="E209" t="str">
        <f>SUBSTITUTE(SUBSTITUTE(SUBSTITUTE(LOWER(C209), "tphcm", "TP. Hồ Chí Minh"), "hcm", "TP. Hồ Chí Minh"), " q.", " Quận ")</f>
        <v>công ty cp thực phẩm siam quận 2, đường số 19, an khánh, hồ chí minh, việt namcông ty cp thực phẩm siam quận 2</v>
      </c>
      <c r="F209" t="str">
        <f>PROPER(TRIM(RIGHT(SUBSTITUTE(D209, ",", REPT(" ", LEN(D209))), LEN(D209))))</f>
        <v>Yongjin</v>
      </c>
      <c r="G209" t="str">
        <f t="shared" si="10"/>
        <v>Việt Namcông Ty Cp Thực Phẩm Siam Quận 2</v>
      </c>
      <c r="H209" t="str">
        <f>PROPER(TRIM(RIGHT(SUBSTITUTE(LEFT(D209, FIND("@", SUBSTITUTE(D209, ",", "@", LEN(D209)-LEN(SUBSTITUTE(D209, ",", ""))))-1), ",", REPT(" ", LEN(D209))), LEN(D209))))</f>
        <v>Việt Namtrạm Gas South</v>
      </c>
      <c r="I209" t="str">
        <f t="shared" si="11"/>
        <v>Hồ Chí Minh</v>
      </c>
    </row>
    <row r="210" spans="1:9" x14ac:dyDescent="0.3">
      <c r="A210" t="s">
        <v>1245</v>
      </c>
      <c r="B210" t="s">
        <v>4430</v>
      </c>
      <c r="C210" t="s">
        <v>3073</v>
      </c>
      <c r="D210" t="str">
        <f t="shared" si="9"/>
        <v>hai, đ.cây đ./469 ấp bình tiền 2, đức hòa hạ, đức hòa, long an, việt nam469 dường cây dương</v>
      </c>
      <c r="E210" t="str">
        <f>SUBSTITUTE(SUBSTITUTE(SUBSTITUTE(LOWER(C210), "tphcm", "TP. Hồ Chí Minh"), "hcm", "TP. Hồ Chí Minh"), " q.", " Quận ")</f>
        <v>can gio resort, thạnh thới, cần giờ, hồ chí minh, việt namcan gio resort</v>
      </c>
      <c r="F210" t="str">
        <f>PROPER(TRIM(RIGHT(SUBSTITUTE(D210, ",", REPT(" ", LEN(D210))), LEN(D210))))</f>
        <v>Việt Nam469 Dường Cây Dương</v>
      </c>
      <c r="G210" t="str">
        <f t="shared" si="10"/>
        <v>Việt Namcan Gio Resort</v>
      </c>
      <c r="H210" t="str">
        <f>PROPER(TRIM(RIGHT(SUBSTITUTE(LEFT(D210, FIND("@", SUBSTITUTE(D210, ",", "@", LEN(D210)-LEN(SUBSTITUTE(D210, ",", ""))))-1), ",", REPT(" ", LEN(D210))), LEN(D210))))</f>
        <v>Long An</v>
      </c>
      <c r="I210" t="str">
        <f t="shared" si="11"/>
        <v>Hồ Chí Minh</v>
      </c>
    </row>
    <row r="211" spans="1:9" x14ac:dyDescent="0.3">
      <c r="A211" t="s">
        <v>1250</v>
      </c>
      <c r="B211" t="s">
        <v>4450</v>
      </c>
      <c r="C211" t="s">
        <v>3104</v>
      </c>
      <c r="D211" t="str">
        <f t="shared" si="9"/>
        <v>thị trấn bến lức, huyện bến lức, long an, việt namquán ăn đồng quê 1</v>
      </c>
      <c r="E211" t="str">
        <f>SUBSTITUTE(SUBSTITUTE(SUBSTITUTE(LOWER(C211), "tphcm", "TP. Hồ Chí Minh"), "hcm", "TP. Hồ Chí Minh"), " q.", " Quận ")</f>
        <v>quận 4 tp TP. Hồ Chí Minh, tân hưng, hồ chí minh, việt namquận 4 tp TP. Hồ Chí Minh</v>
      </c>
      <c r="F211" t="str">
        <f>PROPER(TRIM(RIGHT(SUBSTITUTE(D211, ",", REPT(" ", LEN(D211))), LEN(D211))))</f>
        <v>Việt Namquán Ăn Đồng Quê 1</v>
      </c>
      <c r="G211" t="str">
        <f t="shared" si="10"/>
        <v>Việt Namquận 4 Tp Tp. Hồ Chí Minh</v>
      </c>
      <c r="H211" t="str">
        <f>PROPER(TRIM(RIGHT(SUBSTITUTE(LEFT(D211, FIND("@", SUBSTITUTE(D211, ",", "@", LEN(D211)-LEN(SUBSTITUTE(D211, ",", ""))))-1), ",", REPT(" ", LEN(D211))), LEN(D211))))</f>
        <v>Long An</v>
      </c>
      <c r="I211" t="str">
        <f t="shared" si="11"/>
        <v>Hồ Chí Minh</v>
      </c>
    </row>
    <row r="212" spans="1:9" x14ac:dyDescent="0.3">
      <c r="A212" t="s">
        <v>1254</v>
      </c>
      <c r="B212" t="s">
        <v>4474</v>
      </c>
      <c r="C212" t="s">
        <v>3124</v>
      </c>
      <c r="D212" t="str">
        <f t="shared" si="9"/>
        <v>ql.1a,82107quán ăn hương quê</v>
      </c>
      <c r="E212" t="str">
        <f>SUBSTITUTE(SUBSTITUTE(SUBSTITUTE(LOWER(C212), "tphcm", "TP. Hồ Chí Minh"), "hcm", "TP. Hồ Chí Minh"), " q.", " Quận ")</f>
        <v>cần thơ, ninh kiều, cần thơ, việt namcần thơ</v>
      </c>
      <c r="F212" t="str">
        <f>PROPER(TRIM(RIGHT(SUBSTITUTE(D212, ",", REPT(" ", LEN(D212))), LEN(D212))))</f>
        <v>82107Quán Ăn Hương Quê</v>
      </c>
      <c r="G212" t="str">
        <f t="shared" si="10"/>
        <v>Việt Namcần Thơ</v>
      </c>
      <c r="H212" t="str">
        <f>PROPER(TRIM(RIGHT(SUBSTITUTE(LEFT(D212, FIND("@", SUBSTITUTE(D212, ",", "@", LEN(D212)-LEN(SUBSTITUTE(D212, ",", ""))))-1), ",", REPT(" ", LEN(D212))), LEN(D212))))</f>
        <v>Ql.1A</v>
      </c>
      <c r="I212" t="str">
        <f t="shared" si="11"/>
        <v>Cần Thơ</v>
      </c>
    </row>
    <row r="213" spans="1:9" x14ac:dyDescent="0.3">
      <c r="A213" t="s">
        <v>1261</v>
      </c>
      <c r="B213" t="s">
        <v>4482</v>
      </c>
      <c r="C213" t="s">
        <v>3139</v>
      </c>
      <c r="D213" t="str">
        <f t="shared" si="9"/>
        <v>164 đường võ công tồn, thị trấn bến lức, huyện bến lức, long an, việt namtiệm bánh sầu riêng bé te</v>
      </c>
      <c r="E213" t="str">
        <f>SUBSTITUTE(SUBSTITUTE(SUBSTITUTE(LOWER(C213), "tphcm", "TP. Hồ Chí Minh"), "hcm", "TP. Hồ Chí Minh"), " q.", " Quận ")</f>
        <v>công ty tnhh, trần não, quận 2, an khánh, hồ chí minh, việt namcông ty tnhh</v>
      </c>
      <c r="F213" t="str">
        <f>PROPER(TRIM(RIGHT(SUBSTITUTE(D213, ",", REPT(" ", LEN(D213))), LEN(D213))))</f>
        <v>Việt Namtiệm Bánh Sầu Riêng Bé Te</v>
      </c>
      <c r="G213" t="str">
        <f t="shared" si="10"/>
        <v>Việt Namcông Ty Tnhh</v>
      </c>
      <c r="H213" t="str">
        <f>PROPER(TRIM(RIGHT(SUBSTITUTE(LEFT(D213, FIND("@", SUBSTITUTE(D213, ",", "@", LEN(D213)-LEN(SUBSTITUTE(D213, ",", ""))))-1), ",", REPT(" ", LEN(D213))), LEN(D213))))</f>
        <v>Long An</v>
      </c>
      <c r="I213" t="str">
        <f t="shared" si="11"/>
        <v>Hồ Chí Minh</v>
      </c>
    </row>
    <row r="214" spans="1:9" x14ac:dyDescent="0.3">
      <c r="A214" t="s">
        <v>1265</v>
      </c>
      <c r="B214" t="s">
        <v>4514</v>
      </c>
      <c r="C214" t="s">
        <v>3146</v>
      </c>
      <c r="D214" t="str">
        <f t="shared" si="9"/>
        <v>đường hùng vương nối dài,82110mv beauty</v>
      </c>
      <c r="E214" t="str">
        <f>SUBSTITUTE(SUBSTITUTE(SUBSTITUTE(LOWER(C214), "tphcm", "TP. Hồ Chí Minh"), "hcm", "TP. Hồ Chí Minh"), " q.", " Quận ")</f>
        <v>công ty tnhh tv-tk-xd phát minh - văn phòng quận 9, đường 18 tổ 8, khu phố 6, phước long, hồ chí minh, việt namcông ty tnhh tv-tk-xd phát minh - văn phòng quận 9</v>
      </c>
      <c r="F214" t="str">
        <f>PROPER(TRIM(RIGHT(SUBSTITUTE(D214, ",", REPT(" ", LEN(D214))), LEN(D214))))</f>
        <v>82110Mv Beauty</v>
      </c>
      <c r="G214" t="str">
        <f t="shared" si="10"/>
        <v>Việt Namcông Ty Tnhh Tv-Tk-Xd Phát Minh - Văn Phòng Quận 9</v>
      </c>
      <c r="H214" t="str">
        <f>PROPER(TRIM(RIGHT(SUBSTITUTE(LEFT(D214, FIND("@", SUBSTITUTE(D214, ",", "@", LEN(D214)-LEN(SUBSTITUTE(D214, ",", ""))))-1), ",", REPT(" ", LEN(D214))), LEN(D214))))</f>
        <v>Đường Hùng Vương Nối Dài</v>
      </c>
      <c r="I214" t="str">
        <f t="shared" si="11"/>
        <v>Hồ Chí Minh</v>
      </c>
    </row>
    <row r="215" spans="1:9" x14ac:dyDescent="0.3">
      <c r="A215" t="s">
        <v>1272</v>
      </c>
      <c r="B215" t="s">
        <v>4524</v>
      </c>
      <c r="C215" t="s">
        <v>3161</v>
      </c>
      <c r="D215" t="str">
        <f t="shared" si="9"/>
        <v>77 đt866, tân hương, đồng tháp, việt nam77 đường tỉnh 866</v>
      </c>
      <c r="E215" t="str">
        <f>SUBSTITUTE(SUBSTITUTE(SUBSTITUTE(LOWER(C215), "tphcm", "TP. Hồ Chí Minh"), "hcm", "TP. Hồ Chí Minh"), " q.", " Quận ")</f>
        <v>chung cư phạm thế hiển quận 8, bưu điện chánh hưng, đường phạm thế hiển, chánh hưng, hồ chí minh, việt namchung cư phạm thế hiển quận 8</v>
      </c>
      <c r="F215" t="str">
        <f>PROPER(TRIM(RIGHT(SUBSTITUTE(D215, ",", REPT(" ", LEN(D215))), LEN(D215))))</f>
        <v>Việt Nam77 Đường Tỉnh 866</v>
      </c>
      <c r="G215" t="str">
        <f t="shared" si="10"/>
        <v>Việt Namchung Cư Phạm Thế Hiển Quận 8</v>
      </c>
      <c r="H215" t="str">
        <f>PROPER(TRIM(RIGHT(SUBSTITUTE(LEFT(D215, FIND("@", SUBSTITUTE(D215, ",", "@", LEN(D215)-LEN(SUBSTITUTE(D215, ",", ""))))-1), ",", REPT(" ", LEN(D215))), LEN(D215))))</f>
        <v>Đồng Tháp</v>
      </c>
      <c r="I215" t="str">
        <f t="shared" si="11"/>
        <v>Hồ Chí Minh</v>
      </c>
    </row>
    <row r="216" spans="1:9" x14ac:dyDescent="0.3">
      <c r="A216" t="s">
        <v>1276</v>
      </c>
      <c r="B216" t="s">
        <v>4534</v>
      </c>
      <c r="C216" t="s">
        <v>3178</v>
      </c>
      <c r="D216" t="str">
        <f t="shared" si="9"/>
        <v>84 tuyến tránh ql 1, long an, tây ninh, việt nam84 tuyến tránh ql 1</v>
      </c>
      <c r="E216" t="str">
        <f>SUBSTITUTE(SUBSTITUTE(SUBSTITUTE(LOWER(C216), "tphcm", "TP. Hồ Chí Minh"), "hcm", "TP. Hồ Chí Minh"), " q.", " Quận ")</f>
        <v>công ty cổ phần thương mại dịch vụ quận 3, lý chính thắng, nhiêu lộc, hồ chí minh, việt namcông ty cổ phần thương mại dịch vụ quận 3</v>
      </c>
      <c r="F216" t="str">
        <f>PROPER(TRIM(RIGHT(SUBSTITUTE(D216, ",", REPT(" ", LEN(D216))), LEN(D216))))</f>
        <v>Việt Nam84 Tuyến Tránh Ql 1</v>
      </c>
      <c r="G216" t="str">
        <f t="shared" si="10"/>
        <v>Việt Namcông Ty Cổ Phần Thương Mại Dịch Vụ Quận 3</v>
      </c>
      <c r="H216" t="str">
        <f>PROPER(TRIM(RIGHT(SUBSTITUTE(LEFT(D216, FIND("@", SUBSTITUTE(D216, ",", "@", LEN(D216)-LEN(SUBSTITUTE(D216, ",", ""))))-1), ",", REPT(" ", LEN(D216))), LEN(D216))))</f>
        <v>Tây Ninh</v>
      </c>
      <c r="I216" t="str">
        <f t="shared" si="11"/>
        <v>Hồ Chí Minh</v>
      </c>
    </row>
    <row r="217" spans="1:9" x14ac:dyDescent="0.3">
      <c r="A217" t="s">
        <v>1283</v>
      </c>
      <c r="B217" t="s">
        <v>4560</v>
      </c>
      <c r="C217" t="s">
        <v>3185</v>
      </c>
      <c r="D217" t="str">
        <f t="shared" si="9"/>
        <v>lô c1 đường sô 1, cụm cn, khánh hậu, tây ninh, việt namlô c1 đường sô 1</v>
      </c>
      <c r="E217" t="str">
        <f>SUBSTITUTE(SUBSTITUTE(SUBSTITUTE(LOWER(C217), "tphcm", "TP. Hồ Chí Minh"), "hcm", "TP. Hồ Chí Minh"), " q.", " Quận ")</f>
        <v>công ty tnhh mtv dịch vụ công ích quận 5, đường lê hồng phong, chợ quán, hồ chí minh, việt namcông ty tnhh mtv dịch vụ công ích quận 5</v>
      </c>
      <c r="F217" t="str">
        <f>PROPER(TRIM(RIGHT(SUBSTITUTE(D217, ",", REPT(" ", LEN(D217))), LEN(D217))))</f>
        <v>Việt Namlô C1 Đường Sô 1</v>
      </c>
      <c r="G217" t="str">
        <f t="shared" si="10"/>
        <v>Việt Namcông Ty Tnhh Mtv Dịch Vụ Công Ích Quận 5</v>
      </c>
      <c r="H217" t="str">
        <f>PROPER(TRIM(RIGHT(SUBSTITUTE(LEFT(D217, FIND("@", SUBSTITUTE(D217, ",", "@", LEN(D217)-LEN(SUBSTITUTE(D217, ",", ""))))-1), ",", REPT(" ", LEN(D217))), LEN(D217))))</f>
        <v>Tây Ninh</v>
      </c>
      <c r="I217" t="str">
        <f t="shared" si="11"/>
        <v>Hồ Chí Minh</v>
      </c>
    </row>
    <row r="218" spans="1:9" x14ac:dyDescent="0.3">
      <c r="A218" t="s">
        <v>1287</v>
      </c>
      <c r="B218" t="s">
        <v>4570</v>
      </c>
      <c r="C218" t="s">
        <v>3200</v>
      </c>
      <c r="D218" t="str">
        <f t="shared" si="9"/>
        <v>20 đường số 6, lợi bình nhơn, tân an, long an, việt nambao bì đại lục cn long an kho mới</v>
      </c>
      <c r="E218" t="str">
        <f>SUBSTITUTE(SUBSTITUTE(SUBSTITUTE(LOWER(C218), "tphcm", "TP. Hồ Chí Minh"), "hcm", "TP. Hồ Chí Minh"), " q.", " Quận ")</f>
        <v>công ty cp dược phẩm quận 10, đường ngô gia tự, vườn lài, hồ chí minh, việt namcông ty cp dược phẩm quận 10</v>
      </c>
      <c r="F218" t="str">
        <f>PROPER(TRIM(RIGHT(SUBSTITUTE(D218, ",", REPT(" ", LEN(D218))), LEN(D218))))</f>
        <v>Việt Nambao Bì Đại Lục Cn Long An Kho Mới</v>
      </c>
      <c r="G218" t="str">
        <f t="shared" si="10"/>
        <v>Việt Namcông Ty Cp Dược Phẩm Quận 10</v>
      </c>
      <c r="H218" t="str">
        <f>PROPER(TRIM(RIGHT(SUBSTITUTE(LEFT(D218, FIND("@", SUBSTITUTE(D218, ",", "@", LEN(D218)-LEN(SUBSTITUTE(D218, ",", ""))))-1), ",", REPT(" ", LEN(D218))), LEN(D218))))</f>
        <v>Long An</v>
      </c>
      <c r="I218" t="str">
        <f t="shared" si="11"/>
        <v>Hồ Chí Minh</v>
      </c>
    </row>
    <row r="219" spans="1:9" x14ac:dyDescent="0.3">
      <c r="A219" t="s">
        <v>1291</v>
      </c>
      <c r="B219" t="s">
        <v>4580</v>
      </c>
      <c r="C219" t="s">
        <v>3223</v>
      </c>
      <c r="D219" t="str">
        <f t="shared" si="9"/>
        <v>đ. số 1, tân hương, đồng tháp, việt namđ. số 1</v>
      </c>
      <c r="E219" t="str">
        <f>SUBSTITUTE(SUBSTITUTE(SUBSTITUTE(LOWER(C219), "tphcm", "TP. Hồ Chí Minh"), "hcm", "TP. Hồ Chí Minh"), " q.", " Quận ")</f>
        <v>công ty dv công ích quận 11, đường số 2, phú thọ, hồ chí minh, việt namcông ty dv công ích quận 11</v>
      </c>
      <c r="F219" t="str">
        <f>PROPER(TRIM(RIGHT(SUBSTITUTE(D219, ",", REPT(" ", LEN(D219))), LEN(D219))))</f>
        <v>Việt Namđ. Số 1</v>
      </c>
      <c r="G219" t="str">
        <f t="shared" si="10"/>
        <v>Việt Namcông Ty Dv Công Ích Quận 11</v>
      </c>
      <c r="H219" t="str">
        <f>PROPER(TRIM(RIGHT(SUBSTITUTE(LEFT(D219, FIND("@", SUBSTITUTE(D219, ",", "@", LEN(D219)-LEN(SUBSTITUTE(D219, ",", ""))))-1), ",", REPT(" ", LEN(D219))), LEN(D219))))</f>
        <v>Đồng Tháp</v>
      </c>
      <c r="I219" t="str">
        <f t="shared" si="11"/>
        <v>Hồ Chí Minh</v>
      </c>
    </row>
    <row r="220" spans="1:9" x14ac:dyDescent="0.3">
      <c r="A220" t="s">
        <v>1296</v>
      </c>
      <c r="B220" t="s">
        <v>4597</v>
      </c>
      <c r="C220" t="s">
        <v>3238</v>
      </c>
      <c r="D220" t="str">
        <f t="shared" si="9"/>
        <v>đt.866,84610xã tân lý đông</v>
      </c>
      <c r="E220" t="str">
        <f>SUBSTITUTE(SUBSTITUTE(SUBSTITUTE(LOWER(C220), "tphcm", "TP. Hồ Chí Minh"), "hcm", "TP. Hồ Chí Minh"), " q.", " Quận ")</f>
        <v>cần đước, long an, việt namcần đước</v>
      </c>
      <c r="F220" t="str">
        <f>PROPER(TRIM(RIGHT(SUBSTITUTE(D220, ",", REPT(" ", LEN(D220))), LEN(D220))))</f>
        <v>84610Xã Tân Lý Đông</v>
      </c>
      <c r="G220" t="str">
        <f t="shared" si="10"/>
        <v>Việt Namcần Đước</v>
      </c>
      <c r="H220" t="str">
        <f>PROPER(TRIM(RIGHT(SUBSTITUTE(LEFT(D220, FIND("@", SUBSTITUTE(D220, ",", "@", LEN(D220)-LEN(SUBSTITUTE(D220, ",", ""))))-1), ",", REPT(" ", LEN(D220))), LEN(D220))))</f>
        <v>Đt.866</v>
      </c>
      <c r="I220" t="str">
        <f t="shared" si="11"/>
        <v>Long An</v>
      </c>
    </row>
    <row r="221" spans="1:9" x14ac:dyDescent="0.3">
      <c r="A221" t="s">
        <v>1303</v>
      </c>
      <c r="B221" t="s">
        <v>4607</v>
      </c>
      <c r="C221" t="s">
        <v>3249</v>
      </c>
      <c r="D221" t="str">
        <f t="shared" si="9"/>
        <v>công ty tnhh advance knitting việt nam, commune, long cang, tây ninh, việt namcông ty tnhh advance knitting việt nam</v>
      </c>
      <c r="E221" t="str">
        <f>SUBSTITUTE(SUBSTITUTE(SUBSTITUTE(LOWER(C221), "tphcm", "TP. Hồ Chí Minh"), "hcm", "TP. Hồ Chí Minh"), " q.", " Quận ")</f>
        <v>104 hẻm 212/170 nguyễn văn nguyễn, phường tân định, quận 1, hồ chí minh, việt nam104 hẻm 212/170 nguyễn văn nguyễn, phường tân định, quận 1, hồ chí minh, việt nam</v>
      </c>
      <c r="F221" t="str">
        <f>PROPER(TRIM(RIGHT(SUBSTITUTE(D221, ",", REPT(" ", LEN(D221))), LEN(D221))))</f>
        <v>Việt Namcông Ty Tnhh Advance Knitting Việt Nam</v>
      </c>
      <c r="G221" t="str">
        <f t="shared" si="10"/>
        <v>Việt Nam</v>
      </c>
      <c r="H221" t="str">
        <f>PROPER(TRIM(RIGHT(SUBSTITUTE(LEFT(D221, FIND("@", SUBSTITUTE(D221, ",", "@", LEN(D221)-LEN(SUBSTITUTE(D221, ",", ""))))-1), ",", REPT(" ", LEN(D221))), LEN(D221))))</f>
        <v>Tây Ninh</v>
      </c>
      <c r="I221" t="str">
        <f t="shared" si="11"/>
        <v>Hồ Chí Minh</v>
      </c>
    </row>
    <row r="222" spans="1:9" x14ac:dyDescent="0.3">
      <c r="A222" t="s">
        <v>1307</v>
      </c>
      <c r="B222" t="s">
        <v>4626</v>
      </c>
      <c r="C222" t="s">
        <v>3259</v>
      </c>
      <c r="D222" t="str">
        <f t="shared" si="9"/>
        <v>đ. d3, tân hương, châu thành, tiền giang, việt namcty tnhh hansae tg</v>
      </c>
      <c r="E222" t="str">
        <f>SUBSTITUTE(SUBSTITUTE(SUBSTITUTE(LOWER(C222), "tphcm", "TP. Hồ Chí Minh"), "hcm", "TP. Hồ Chí Minh"), " q.", " Quận ")</f>
        <v>56 đường phan bội châu, phường dĩ an, dĩ an, bình dương, việt nam56 đường phan bội châu, phường dĩ an, dĩ an, bình dương, việt nam</v>
      </c>
      <c r="F222" t="str">
        <f>PROPER(TRIM(RIGHT(SUBSTITUTE(D222, ",", REPT(" ", LEN(D222))), LEN(D222))))</f>
        <v>Việt Namcty Tnhh Hansae Tg</v>
      </c>
      <c r="G222" t="str">
        <f t="shared" si="10"/>
        <v>Việt Nam</v>
      </c>
      <c r="H222" t="str">
        <f>PROPER(TRIM(RIGHT(SUBSTITUTE(LEFT(D222, FIND("@", SUBSTITUTE(D222, ",", "@", LEN(D222)-LEN(SUBSTITUTE(D222, ",", ""))))-1), ",", REPT(" ", LEN(D222))), LEN(D222))))</f>
        <v>Tiền Giang</v>
      </c>
      <c r="I222" t="str">
        <f t="shared" si="11"/>
        <v>Bình Dương</v>
      </c>
    </row>
    <row r="223" spans="1:9" x14ac:dyDescent="0.3">
      <c r="A223" t="s">
        <v>1314</v>
      </c>
      <c r="B223" t="s">
        <v>4643</v>
      </c>
      <c r="C223" t="s">
        <v>3266</v>
      </c>
      <c r="D223" t="str">
        <f t="shared" si="9"/>
        <v>1193 ql1a, khánh hậu, tân an, long an, việt nam1193 quốc lộ 1a</v>
      </c>
      <c r="E223" t="str">
        <f>SUBSTITUTE(SUBSTITUTE(SUBSTITUTE(LOWER(C223), "tphcm", "TP. Hồ Chí Minh"), "hcm", "TP. Hồ Chí Minh"), " q.", " Quận ")</f>
        <v>cắt tóc nam nữ chánh, phường tân đông hiệp, dĩ an, bình dương, việt namcắt tóc nam nữ chánh</v>
      </c>
      <c r="F223" t="str">
        <f>PROPER(TRIM(RIGHT(SUBSTITUTE(D223, ",", REPT(" ", LEN(D223))), LEN(D223))))</f>
        <v>Việt Nam1193 Quốc Lộ 1A</v>
      </c>
      <c r="G223" t="str">
        <f t="shared" si="10"/>
        <v>Việt Namcắt Tóc Nam Nữ Chánh</v>
      </c>
      <c r="H223" t="str">
        <f>PROPER(TRIM(RIGHT(SUBSTITUTE(LEFT(D223, FIND("@", SUBSTITUTE(D223, ",", "@", LEN(D223)-LEN(SUBSTITUTE(D223, ",", ""))))-1), ",", REPT(" ", LEN(D223))), LEN(D223))))</f>
        <v>Long An</v>
      </c>
      <c r="I223" t="str">
        <f t="shared" si="11"/>
        <v>Bình Dương</v>
      </c>
    </row>
    <row r="224" spans="1:9" x14ac:dyDescent="0.3">
      <c r="A224" t="s">
        <v>1318</v>
      </c>
      <c r="B224" t="s">
        <v>4658</v>
      </c>
      <c r="C224" t="s">
        <v>3275</v>
      </c>
      <c r="D224" t="str">
        <f t="shared" si="9"/>
        <v>công ty cổ phần sơn và chống thấm việt nhật, đường số 8, khu công nghiệp phúc long, mỹ yên, tây ninh, việt namcông ty cổ phần sơn và chống thấm việt nhật</v>
      </c>
      <c r="E224" t="str">
        <f>SUBSTITUTE(SUBSTITUTE(SUBSTITUTE(LOWER(C224), "tphcm", "TP. Hồ Chí Minh"), "hcm", "TP. Hồ Chí Minh"), " q.", " Quận ")</f>
        <v>212 hẻm 230 trường chinh, phường 13, quận tân bình, hồ chí minh, việt nam212 hẻm 230 trường chinh, phường 13, quận tân bình, hồ chí minh, việt nam</v>
      </c>
      <c r="F224" t="str">
        <f>PROPER(TRIM(RIGHT(SUBSTITUTE(D224, ",", REPT(" ", LEN(D224))), LEN(D224))))</f>
        <v>Việt Namcông Ty Cổ Phần Sơn Và Chống Thấm Việt Nhật</v>
      </c>
      <c r="G224" t="str">
        <f t="shared" si="10"/>
        <v>Việt Nam</v>
      </c>
      <c r="H224" t="str">
        <f>PROPER(TRIM(RIGHT(SUBSTITUTE(LEFT(D224, FIND("@", SUBSTITUTE(D224, ",", "@", LEN(D224)-LEN(SUBSTITUTE(D224, ",", ""))))-1), ",", REPT(" ", LEN(D224))), LEN(D224))))</f>
        <v>Tây Ninh</v>
      </c>
      <c r="I224" t="str">
        <f t="shared" si="11"/>
        <v>Hồ Chí Minh</v>
      </c>
    </row>
    <row r="225" spans="1:9" x14ac:dyDescent="0.3">
      <c r="A225" t="s">
        <v>1322</v>
      </c>
      <c r="B225" t="s">
        <v>4668</v>
      </c>
      <c r="C225" t="s">
        <v>3291</v>
      </c>
      <c r="D225" t="str">
        <f t="shared" si="9"/>
        <v>công ty tnhh hitisa vina, đường tỉnh 835, mỹ yên, tây ninh, việt namcông ty tnhh hitisa vina</v>
      </c>
      <c r="E225" t="str">
        <f>SUBSTITUTE(SUBSTITUTE(SUBSTITUTE(LOWER(C225), "tphcm", "TP. Hồ Chí Minh"), "hcm", "TP. Hồ Chí Minh"), " q.", " Quận ")</f>
        <v>168 đường lê văn tiên, phường tân đông hiệp, dĩ an, bình dương, việt nam168 đường lê văn tiên, phường tân đông hiệp, dĩ an, bình dương, việt nam</v>
      </c>
      <c r="F225" t="str">
        <f>PROPER(TRIM(RIGHT(SUBSTITUTE(D225, ",", REPT(" ", LEN(D225))), LEN(D225))))</f>
        <v>Việt Namcông Ty Tnhh Hitisa Vina</v>
      </c>
      <c r="G225" t="str">
        <f t="shared" si="10"/>
        <v>Việt Nam</v>
      </c>
      <c r="H225" t="str">
        <f>PROPER(TRIM(RIGHT(SUBSTITUTE(LEFT(D225, FIND("@", SUBSTITUTE(D225, ",", "@", LEN(D225)-LEN(SUBSTITUTE(D225, ",", ""))))-1), ",", REPT(" ", LEN(D225))), LEN(D225))))</f>
        <v>Tây Ninh</v>
      </c>
      <c r="I225" t="str">
        <f t="shared" si="11"/>
        <v>Bình Dương</v>
      </c>
    </row>
    <row r="226" spans="1:9" x14ac:dyDescent="0.3">
      <c r="A226" t="s">
        <v>1329</v>
      </c>
      <c r="B226" t="s">
        <v>4683</v>
      </c>
      <c r="C226" t="s">
        <v>3303</v>
      </c>
      <c r="D226" t="str">
        <f t="shared" si="9"/>
        <v>công ty tnhh richfield vn, bến lức, tây ninh, việt namcông ty tnhh richfield vn</v>
      </c>
      <c r="E226" t="str">
        <f>SUBSTITUTE(SUBSTITUTE(SUBSTITUTE(LOWER(C226), "tphcm", "TP. Hồ Chí Minh"), "hcm", "TP. Hồ Chí Minh"), " q.", " Quận ")</f>
        <v>1g1 hẻm 97, phường an phú đông, quận 12, hồ chí minh, việt nam1g1 hẻm 97, phường an phú đông, quận 12, hồ chí minh, việt nam</v>
      </c>
      <c r="F226" t="str">
        <f>PROPER(TRIM(RIGHT(SUBSTITUTE(D226, ",", REPT(" ", LEN(D226))), LEN(D226))))</f>
        <v>Việt Namcông Ty Tnhh Richfield Vn</v>
      </c>
      <c r="G226" t="str">
        <f t="shared" si="10"/>
        <v>Việt Nam</v>
      </c>
      <c r="H226" t="str">
        <f>PROPER(TRIM(RIGHT(SUBSTITUTE(LEFT(D226, FIND("@", SUBSTITUTE(D226, ",", "@", LEN(D226)-LEN(SUBSTITUTE(D226, ",", ""))))-1), ",", REPT(" ", LEN(D226))), LEN(D226))))</f>
        <v>Tây Ninh</v>
      </c>
      <c r="I226" t="str">
        <f t="shared" si="11"/>
        <v>Hồ Chí Minh</v>
      </c>
    </row>
    <row r="227" spans="1:9" x14ac:dyDescent="0.3">
      <c r="A227" t="s">
        <v>1334</v>
      </c>
      <c r="B227" t="s">
        <v>4690</v>
      </c>
      <c r="C227" t="s">
        <v>3314</v>
      </c>
      <c r="D227" t="str">
        <f t="shared" si="9"/>
        <v>bình quốc tế bến lức, đường phan văn mãng, bến lức, tây ninh, việt nambình quốc tế bến lức</v>
      </c>
      <c r="E227" t="str">
        <f>SUBSTITUTE(SUBSTITUTE(SUBSTITUTE(LOWER(C227), "tphcm", "TP. Hồ Chí Minh"), "hcm", "TP. Hồ Chí Minh"), " q.", " Quận ")</f>
        <v>54 đường lô c, phường tam bình, thủ đức, hồ chí minh, việt nam54 đường lô c, phường tam bình, thủ đức, hồ chí minh, việt nam</v>
      </c>
      <c r="F227" t="str">
        <f>PROPER(TRIM(RIGHT(SUBSTITUTE(D227, ",", REPT(" ", LEN(D227))), LEN(D227))))</f>
        <v>Việt Nambình Quốc Tế Bến Lức</v>
      </c>
      <c r="G227" t="str">
        <f t="shared" si="10"/>
        <v>Việt Nam</v>
      </c>
      <c r="H227" t="str">
        <f>PROPER(TRIM(RIGHT(SUBSTITUTE(LEFT(D227, FIND("@", SUBSTITUTE(D227, ",", "@", LEN(D227)-LEN(SUBSTITUTE(D227, ",", ""))))-1), ",", REPT(" ", LEN(D227))), LEN(D227))))</f>
        <v>Tây Ninh</v>
      </c>
      <c r="I227" t="str">
        <f t="shared" si="11"/>
        <v>Hồ Chí Minh</v>
      </c>
    </row>
    <row r="228" spans="1:9" x14ac:dyDescent="0.3">
      <c r="A228" t="s">
        <v>1338</v>
      </c>
      <c r="B228" t="s">
        <v>4699</v>
      </c>
      <c r="C228" t="s">
        <v>3344</v>
      </c>
      <c r="D228" t="str">
        <f t="shared" si="9"/>
        <v>công ty tnhh korviet vina, đường số 7, kcn phúc long, mỹ yên, tây ninh, việt namcông ty tnhh korviet vina</v>
      </c>
      <c r="E228" t="str">
        <f>SUBSTITUTE(SUBSTITUTE(SUBSTITUTE(LOWER(C228), "tphcm", "TP. Hồ Chí Minh"), "hcm", "TP. Hồ Chí Minh"), " q.", " Quận ")</f>
        <v>57 hẻm 96 nguyễn văn tỏ, phường long bình tân, biên hòa, đồng nai, việt nam57 hẻm 96 nguyễn văn tỏ, phường long bình tân, biên hòa, đồng nai, việt nam</v>
      </c>
      <c r="F228" t="str">
        <f>PROPER(TRIM(RIGHT(SUBSTITUTE(D228, ",", REPT(" ", LEN(D228))), LEN(D228))))</f>
        <v>Việt Namcông Ty Tnhh Korviet Vina</v>
      </c>
      <c r="G228" t="str">
        <f t="shared" si="10"/>
        <v>Việt Nam</v>
      </c>
      <c r="H228" t="str">
        <f>PROPER(TRIM(RIGHT(SUBSTITUTE(LEFT(D228, FIND("@", SUBSTITUTE(D228, ",", "@", LEN(D228)-LEN(SUBSTITUTE(D228, ",", ""))))-1), ",", REPT(" ", LEN(D228))), LEN(D228))))</f>
        <v>Tây Ninh</v>
      </c>
      <c r="I228" t="str">
        <f t="shared" si="11"/>
        <v>Đồng Nai</v>
      </c>
    </row>
    <row r="229" spans="1:9" x14ac:dyDescent="0.3">
      <c r="A229" t="s">
        <v>1344</v>
      </c>
      <c r="B229" t="s">
        <v>4709</v>
      </c>
      <c r="C229" t="s">
        <v>3361</v>
      </c>
      <c r="D229" t="str">
        <f t="shared" si="9"/>
        <v>công ty tnhh quốc tế fanski, đ. số 1, khu công nghiệp phúc long, mỹ yên, tây ninh, việt namcông ty tnhh quốc tế fanski</v>
      </c>
      <c r="E229" t="str">
        <f>SUBSTITUTE(SUBSTITUTE(SUBSTITUTE(LOWER(C229), "tphcm", "TP. Hồ Chí Minh"), "hcm", "TP. Hồ Chí Minh"), " q.", " Quận ")</f>
        <v>đường số 4, phường long bình, biên hòa, đồng nai, việt namđường số 4, phường long bình, biên hòa, đồng nai, việt nam</v>
      </c>
      <c r="F229" t="str">
        <f>PROPER(TRIM(RIGHT(SUBSTITUTE(D229, ",", REPT(" ", LEN(D229))), LEN(D229))))</f>
        <v>Việt Namcông Ty Tnhh Quốc Tế Fanski</v>
      </c>
      <c r="G229" t="str">
        <f t="shared" si="10"/>
        <v>Việt Nam</v>
      </c>
      <c r="H229" t="str">
        <f>PROPER(TRIM(RIGHT(SUBSTITUTE(LEFT(D229, FIND("@", SUBSTITUTE(D229, ",", "@", LEN(D229)-LEN(SUBSTITUTE(D229, ",", ""))))-1), ",", REPT(" ", LEN(D229))), LEN(D229))))</f>
        <v>Tây Ninh</v>
      </c>
      <c r="I229" t="str">
        <f t="shared" si="11"/>
        <v>Đồng Nai</v>
      </c>
    </row>
    <row r="230" spans="1:9" x14ac:dyDescent="0.3">
      <c r="A230" t="s">
        <v>1355</v>
      </c>
      <c r="B230" t="s">
        <v>4726</v>
      </c>
      <c r="C230" t="s">
        <v>3372</v>
      </c>
      <c r="D230" t="str">
        <f t="shared" si="9"/>
        <v>522 đ. số 2, khu đô thị, khánh hậu, tây ninh, việt nam522 đường số 2</v>
      </c>
      <c r="E230" t="str">
        <f>SUBSTITUTE(SUBSTITUTE(SUBSTITUTE(LOWER(C230), "tphcm", "TP. Hồ Chí Minh"), "hcm", "TP. Hồ Chí Minh"), " q.", " Quận ")</f>
        <v>121 tl.746, xã tân định, huyện bắc tân uyên, bình dương, việt nam121 tl.746, xã tân định, huyện bắc tân uyên, bình dương, việt nam</v>
      </c>
      <c r="F230" t="str">
        <f>PROPER(TRIM(RIGHT(SUBSTITUTE(D230, ",", REPT(" ", LEN(D230))), LEN(D230))))</f>
        <v>Việt Nam522 Đường Số 2</v>
      </c>
      <c r="G230" t="str">
        <f t="shared" si="10"/>
        <v>Việt Nam</v>
      </c>
      <c r="H230" t="str">
        <f>PROPER(TRIM(RIGHT(SUBSTITUTE(LEFT(D230, FIND("@", SUBSTITUTE(D230, ",", "@", LEN(D230)-LEN(SUBSTITUTE(D230, ",", ""))))-1), ",", REPT(" ", LEN(D230))), LEN(D230))))</f>
        <v>Tây Ninh</v>
      </c>
      <c r="I230" t="str">
        <f t="shared" si="11"/>
        <v>Bình Dương</v>
      </c>
    </row>
    <row r="231" spans="1:9" x14ac:dyDescent="0.3">
      <c r="A231" t="s">
        <v>1365</v>
      </c>
      <c r="B231" t="s">
        <v>4736</v>
      </c>
      <c r="C231" t="s">
        <v>3382</v>
      </c>
      <c r="D231" t="str">
        <f t="shared" si="9"/>
        <v>công ty cargill long an, bến lức, tây ninh, việt namcông ty cargill long an</v>
      </c>
      <c r="E231" t="str">
        <f>SUBSTITUTE(SUBSTITUTE(SUBSTITUTE(LOWER(C231), "tphcm", "TP. Hồ Chí Minh"), "hcm", "TP. Hồ Chí Minh"), " q.", " Quận ")</f>
        <v>39a đường ấp chợ xóm đồng, xã tân phú trung, huyện củ chi, hồ chí minh, việt nam39a đường ấp chợ xóm đồng, xã tân phú trung, huyện củ chi, hồ chí minh, việt nam</v>
      </c>
      <c r="F231" t="str">
        <f>PROPER(TRIM(RIGHT(SUBSTITUTE(D231, ",", REPT(" ", LEN(D231))), LEN(D231))))</f>
        <v>Việt Namcông Ty Cargill Long An</v>
      </c>
      <c r="G231" t="str">
        <f t="shared" si="10"/>
        <v>Việt Nam</v>
      </c>
      <c r="H231" t="str">
        <f>PROPER(TRIM(RIGHT(SUBSTITUTE(LEFT(D231, FIND("@", SUBSTITUTE(D231, ",", "@", LEN(D231)-LEN(SUBSTITUTE(D231, ",", ""))))-1), ",", REPT(" ", LEN(D231))), LEN(D231))))</f>
        <v>Tây Ninh</v>
      </c>
      <c r="I231" t="str">
        <f t="shared" si="11"/>
        <v>Hồ Chí Minh</v>
      </c>
    </row>
    <row r="232" spans="1:9" x14ac:dyDescent="0.3">
      <c r="A232" t="s">
        <v>1373</v>
      </c>
      <c r="B232" t="s">
        <v>4744</v>
      </c>
      <c r="C232" t="s">
        <v>3392</v>
      </c>
      <c r="D232" t="str">
        <f t="shared" si="9"/>
        <v>công ty tnhh may mặc iz direct vn, đường số 4 phúc long, kcn, mỹ yên, tây ninh, việt namcông ty tnhh may mặc iz direct vn</v>
      </c>
      <c r="E232" t="str">
        <f>SUBSTITUTE(SUBSTITUTE(SUBSTITUTE(LOWER(C232), "tphcm", "TP. Hồ Chí Minh"), "hcm", "TP. Hồ Chí Minh"), " q.", " Quận ")</f>
        <v>đường huỳnh bá chánh, xã tân kiên, huyện bình chánh, hồ chí minh, việt namđường huỳnh bá chánh, xã tân kiên, huyện bình chánh, hồ chí minh, việt nam</v>
      </c>
      <c r="F232" t="str">
        <f>PROPER(TRIM(RIGHT(SUBSTITUTE(D232, ",", REPT(" ", LEN(D232))), LEN(D232))))</f>
        <v>Việt Namcông Ty Tnhh May Mặc Iz Direct Vn</v>
      </c>
      <c r="G232" t="str">
        <f t="shared" si="10"/>
        <v>Việt Nam</v>
      </c>
      <c r="H232" t="str">
        <f>PROPER(TRIM(RIGHT(SUBSTITUTE(LEFT(D232, FIND("@", SUBSTITUTE(D232, ",", "@", LEN(D232)-LEN(SUBSTITUTE(D232, ",", ""))))-1), ",", REPT(" ", LEN(D232))), LEN(D232))))</f>
        <v>Tây Ninh</v>
      </c>
      <c r="I232" t="str">
        <f t="shared" si="11"/>
        <v>Hồ Chí Minh</v>
      </c>
    </row>
    <row r="233" spans="1:9" x14ac:dyDescent="0.3">
      <c r="A233" t="s">
        <v>1384</v>
      </c>
      <c r="B233" t="s">
        <v>4781</v>
      </c>
      <c r="C233" t="s">
        <v>3403</v>
      </c>
      <c r="D233" t="str">
        <f t="shared" si="9"/>
        <v>đường nguyễn trung trực,82111hung phu fitness and sports store</v>
      </c>
      <c r="E233" t="str">
        <f>SUBSTITUTE(SUBSTITUTE(SUBSTITUTE(LOWER(C233), "tphcm", "TP. Hồ Chí Minh"), "hcm", "TP. Hồ Chí Minh"), " q.", " Quận ")</f>
        <v>đường nguyễn văn linh, phường tân phong, quận 7, hồ chí minh, việt namđường nguyễn văn linh, phường tân phong, quận 7, hồ chí minh, việt nam</v>
      </c>
      <c r="F233" t="str">
        <f>PROPER(TRIM(RIGHT(SUBSTITUTE(D233, ",", REPT(" ", LEN(D233))), LEN(D233))))</f>
        <v>82111Hung Phu Fitness And Sports Store</v>
      </c>
      <c r="G233" t="str">
        <f t="shared" si="10"/>
        <v>Việt Nam</v>
      </c>
      <c r="H233" t="str">
        <f>PROPER(TRIM(RIGHT(SUBSTITUTE(LEFT(D233, FIND("@", SUBSTITUTE(D233, ",", "@", LEN(D233)-LEN(SUBSTITUTE(D233, ",", ""))))-1), ",", REPT(" ", LEN(D233))), LEN(D233))))</f>
        <v>Đường Nguyễn Trung Trực</v>
      </c>
      <c r="I233" t="str">
        <f t="shared" si="11"/>
        <v>Hồ Chí Minh</v>
      </c>
    </row>
    <row r="234" spans="1:9" x14ac:dyDescent="0.3">
      <c r="A234" t="s">
        <v>1386</v>
      </c>
      <c r="B234" t="s">
        <v>4794</v>
      </c>
      <c r="C234" t="s">
        <v>3414</v>
      </c>
      <c r="D234" t="str">
        <f t="shared" si="9"/>
        <v>công ty tnhh ishikawa kikou việt nam, đường số 13, kcn phúc long, mỹ yên, tây ninh, việt namcông ty tnhh ishikawa kikou việt nam</v>
      </c>
      <c r="E234" t="str">
        <f>SUBSTITUTE(SUBSTITUTE(SUBSTITUTE(LOWER(C234), "tphcm", "TP. Hồ Chí Minh"), "hcm", "TP. Hồ Chí Minh"), " q.", " Quận ")</f>
        <v>price list of vietuc varea ben luc project, xã lương hòa, huyện bến lức, long an, việt namprice list of vietuc varea ben luc project</v>
      </c>
      <c r="F234" t="str">
        <f>PROPER(TRIM(RIGHT(SUBSTITUTE(D234, ",", REPT(" ", LEN(D234))), LEN(D234))))</f>
        <v>Việt Namcông Ty Tnhh Ishikawa Kikou Việt Nam</v>
      </c>
      <c r="G234" t="str">
        <f t="shared" si="10"/>
        <v>Việt Namprice List Of Vietuc Varea Ben Luc Project</v>
      </c>
      <c r="H234" t="str">
        <f>PROPER(TRIM(RIGHT(SUBSTITUTE(LEFT(D234, FIND("@", SUBSTITUTE(D234, ",", "@", LEN(D234)-LEN(SUBSTITUTE(D234, ",", ""))))-1), ",", REPT(" ", LEN(D234))), LEN(D234))))</f>
        <v>Tây Ninh</v>
      </c>
      <c r="I234" t="str">
        <f t="shared" si="11"/>
        <v>Long An</v>
      </c>
    </row>
    <row r="235" spans="1:9" x14ac:dyDescent="0.3">
      <c r="A235" t="s">
        <v>1396</v>
      </c>
      <c r="B235" t="s">
        <v>4821</v>
      </c>
      <c r="C235" t="s">
        <v>3423</v>
      </c>
      <c r="D235" t="str">
        <f t="shared" si="9"/>
        <v>công ty tnhh mtv cellutane việt nam, đường số 4 phúc long, kcn, mỹ yên, tây ninh, việt namcông ty tnhh mtv cellutane việt nam</v>
      </c>
      <c r="E235" t="str">
        <f>SUBSTITUTE(SUBSTITUTE(SUBSTITUTE(LOWER(C235), "tphcm", "TP. Hồ Chí Minh"), "hcm", "TP. Hồ Chí Minh"), " q.", " Quận ")</f>
        <v>45 đường số 6a, xã tân kiên, huyện bình chánh, hồ chí minh, việt nam45 đường số 6a, xã tân kiên, huyện bình chánh, hồ chí minh, việt nam</v>
      </c>
      <c r="F235" t="str">
        <f>PROPER(TRIM(RIGHT(SUBSTITUTE(D235, ",", REPT(" ", LEN(D235))), LEN(D235))))</f>
        <v>Việt Namcông Ty Tnhh Mtv Cellutane Việt Nam</v>
      </c>
      <c r="G235" t="str">
        <f t="shared" si="10"/>
        <v>Việt Nam</v>
      </c>
      <c r="H235" t="str">
        <f>PROPER(TRIM(RIGHT(SUBSTITUTE(LEFT(D235, FIND("@", SUBSTITUTE(D235, ",", "@", LEN(D235)-LEN(SUBSTITUTE(D235, ",", ""))))-1), ",", REPT(" ", LEN(D235))), LEN(D235))))</f>
        <v>Tây Ninh</v>
      </c>
      <c r="I235" t="str">
        <f t="shared" si="11"/>
        <v>Hồ Chí Minh</v>
      </c>
    </row>
    <row r="236" spans="1:9" x14ac:dyDescent="0.3">
      <c r="A236" t="s">
        <v>1401</v>
      </c>
      <c r="B236" t="s">
        <v>4846</v>
      </c>
      <c r="C236" t="s">
        <v>3430</v>
      </c>
      <c r="D236" t="str">
        <f t="shared" si="9"/>
        <v>petfood evolution co., ltd, đường số 1, khu công nghiệp thuận đạo mở rộng, long cang, tây ninh, việt nampetfood evolution co., ltd</v>
      </c>
      <c r="E236" t="str">
        <f>SUBSTITUTE(SUBSTITUTE(SUBSTITUTE(LOWER(C236), "tphcm", "TP. Hồ Chí Minh"), "hcm", "TP. Hồ Chí Minh"), " q.", " Quận ")</f>
        <v>37515 ql. 1, xã an phú tây, huyện bình chánh, hồ chí minh, việt nam37515 ql. 1, xã an phú tây, huyện bình chánh, hồ chí minh, việt nam</v>
      </c>
      <c r="F236" t="str">
        <f>PROPER(TRIM(RIGHT(SUBSTITUTE(D236, ",", REPT(" ", LEN(D236))), LEN(D236))))</f>
        <v>Ltd</v>
      </c>
      <c r="G236" t="str">
        <f t="shared" si="10"/>
        <v>Việt Nam</v>
      </c>
      <c r="H236" t="str">
        <f>PROPER(TRIM(RIGHT(SUBSTITUTE(LEFT(D236, FIND("@", SUBSTITUTE(D236, ",", "@", LEN(D236)-LEN(SUBSTITUTE(D236, ",", ""))))-1), ",", REPT(" ", LEN(D236))), LEN(D236))))</f>
        <v>Việt Nampetfood Evolution Co.</v>
      </c>
      <c r="I236" t="str">
        <f t="shared" si="11"/>
        <v>Hồ Chí Minh</v>
      </c>
    </row>
    <row r="237" spans="1:9" x14ac:dyDescent="0.3">
      <c r="A237" t="s">
        <v>1405</v>
      </c>
      <c r="B237" t="s">
        <v>4874</v>
      </c>
      <c r="C237" t="s">
        <v>3440</v>
      </c>
      <c r="D237" t="str">
        <f t="shared" si="9"/>
        <v>jhv3+qcp, phước lý, tây ninh, việt namjhv3+qcp, phước lý, tây ninh, việt nam</v>
      </c>
      <c r="E237" t="str">
        <f>SUBSTITUTE(SUBSTITUTE(SUBSTITUTE(LOWER(C237), "tphcm", "TP. Hồ Chí Minh"), "hcm", "TP. Hồ Chí Minh"), " q.", " Quận ")</f>
        <v>hẻm 15 nguyễn huệ, phường long hoa, thị xã hòa thành, tây ninh, việt namhẻm 15 nguyễn huệ, phường long hoa, thị xã hòa thành, tây ninh, việt nam</v>
      </c>
      <c r="F237" t="str">
        <f>PROPER(TRIM(RIGHT(SUBSTITUTE(D237, ",", REPT(" ", LEN(D237))), LEN(D237))))</f>
        <v>Việt Nam</v>
      </c>
      <c r="G237" t="str">
        <f t="shared" si="10"/>
        <v>Việt Nam</v>
      </c>
      <c r="H237" t="str">
        <f>PROPER(TRIM(RIGHT(SUBSTITUTE(LEFT(D237, FIND("@", SUBSTITUTE(D237, ",", "@", LEN(D237)-LEN(SUBSTITUTE(D237, ",", ""))))-1), ",", REPT(" ", LEN(D237))), LEN(D237))))</f>
        <v>Tây Ninh</v>
      </c>
      <c r="I237" t="str">
        <f t="shared" si="11"/>
        <v>Tây Ninh</v>
      </c>
    </row>
    <row r="238" spans="1:9" x14ac:dyDescent="0.3">
      <c r="A238" t="s">
        <v>1415</v>
      </c>
      <c r="B238" t="s">
        <v>4885</v>
      </c>
      <c r="C238" t="s">
        <v>3450</v>
      </c>
      <c r="D238" t="str">
        <f t="shared" si="9"/>
        <v>kho công ty tnhh daiichi sankyo việt nam, đường vl1 khu công nghiệp, vĩnh lộc 2, mỹ yên, tây ninh, việt namkho công ty tnhh daiichi sankyo việt nam</v>
      </c>
      <c r="E238" t="str">
        <f>SUBSTITUTE(SUBSTITUTE(SUBSTITUTE(LOWER(C238), "tphcm", "TP. Hồ Chí Minh"), "hcm", "TP. Hồ Chí Minh"), " q.", " Quận ")</f>
        <v>đường nữ dân công, xã vĩnh lộc a, huyện bình chánh, hồ chí minh, việt namđường nữ dân công, xã vĩnh lộc a, huyện bình chánh, hồ chí minh, việt nam</v>
      </c>
      <c r="F238" t="str">
        <f>PROPER(TRIM(RIGHT(SUBSTITUTE(D238, ",", REPT(" ", LEN(D238))), LEN(D238))))</f>
        <v>Việt Namkho Công Ty Tnhh Daiichi Sankyo Việt Nam</v>
      </c>
      <c r="G238" t="str">
        <f t="shared" si="10"/>
        <v>Việt Nam</v>
      </c>
      <c r="H238" t="str">
        <f>PROPER(TRIM(RIGHT(SUBSTITUTE(LEFT(D238, FIND("@", SUBSTITUTE(D238, ",", "@", LEN(D238)-LEN(SUBSTITUTE(D238, ",", ""))))-1), ",", REPT(" ", LEN(D238))), LEN(D238))))</f>
        <v>Tây Ninh</v>
      </c>
      <c r="I238" t="str">
        <f t="shared" si="11"/>
        <v>Hồ Chí Minh</v>
      </c>
    </row>
    <row r="239" spans="1:9" x14ac:dyDescent="0.3">
      <c r="A239" t="s">
        <v>1425</v>
      </c>
      <c r="B239" t="s">
        <v>4918</v>
      </c>
      <c r="C239" t="s">
        <v>3461</v>
      </c>
      <c r="D239" t="str">
        <f t="shared" si="9"/>
        <v>omv company limited, long cang, tây ninh, việt namomv company limited</v>
      </c>
      <c r="E239" t="str">
        <f>SUBSTITUTE(SUBSTITUTE(SUBSTITUTE(LOWER(C239), "tphcm", "TP. Hồ Chí Minh"), "hcm", "TP. Hồ Chí Minh"), " q.", " Quận ")</f>
        <v>4d đường khu phố 2-04, thị trấn hóc môn, huyện hóc môn, hồ chí minh, việt nam4d đường khu phố 2-04, thị trấn hóc môn, huyện hóc môn, hồ chí minh, việt nam</v>
      </c>
      <c r="F239" t="str">
        <f>PROPER(TRIM(RIGHT(SUBSTITUTE(D239, ",", REPT(" ", LEN(D239))), LEN(D239))))</f>
        <v>Việt Namomv Company Limited</v>
      </c>
      <c r="G239" t="str">
        <f t="shared" si="10"/>
        <v>Việt Nam</v>
      </c>
      <c r="H239" t="str">
        <f>PROPER(TRIM(RIGHT(SUBSTITUTE(LEFT(D239, FIND("@", SUBSTITUTE(D239, ",", "@", LEN(D239)-LEN(SUBSTITUTE(D239, ",", ""))))-1), ",", REPT(" ", LEN(D239))), LEN(D239))))</f>
        <v>Tây Ninh</v>
      </c>
      <c r="I239" t="str">
        <f t="shared" si="11"/>
        <v>Hồ Chí Minh</v>
      </c>
    </row>
    <row r="240" spans="1:9" x14ac:dyDescent="0.3">
      <c r="A240" t="s">
        <v>1430</v>
      </c>
      <c r="B240" t="s">
        <v>4959</v>
      </c>
      <c r="C240" t="s">
        <v>3471</v>
      </c>
      <c r="D240" t="str">
        <f t="shared" si="9"/>
        <v>công ty tnhh intec việt nam holdings ( xưởng gia công), đường số 1, kcn thuận đạo mở rộng, long cang, tây ninh, việt namcông ty tnhh intec việt nam holdings ( xưởng gia công)</v>
      </c>
      <c r="E240" t="str">
        <f>SUBSTITUTE(SUBSTITUTE(SUBSTITUTE(LOWER(C240), "tphcm", "TP. Hồ Chí Minh"), "hcm", "TP. Hồ Chí Minh"), " q.", " Quận ")</f>
        <v>quốc lộ 22, xã xuân thới sơn, huyện hóc môn, hồ chí minh, việt namquốc lộ 22, xã xuân thới sơn, huyện hóc môn, hồ chí minh, việt nam</v>
      </c>
      <c r="F240" t="str">
        <f>PROPER(TRIM(RIGHT(SUBSTITUTE(D240, ",", REPT(" ", LEN(D240))), LEN(D240))))</f>
        <v>Việt Namcông Ty Tnhh Intec Việt Nam Holdings ( Xưởng Gia Công)</v>
      </c>
      <c r="G240" t="str">
        <f t="shared" si="10"/>
        <v>Việt Nam</v>
      </c>
      <c r="H240" t="str">
        <f>PROPER(TRIM(RIGHT(SUBSTITUTE(LEFT(D240, FIND("@", SUBSTITUTE(D240, ",", "@", LEN(D240)-LEN(SUBSTITUTE(D240, ",", ""))))-1), ",", REPT(" ", LEN(D240))), LEN(D240))))</f>
        <v>Tây Ninh</v>
      </c>
      <c r="I240" t="str">
        <f t="shared" si="11"/>
        <v>Hồ Chí Minh</v>
      </c>
    </row>
    <row r="241" spans="1:9" x14ac:dyDescent="0.3">
      <c r="A241" t="s">
        <v>1434</v>
      </c>
      <c r="B241" t="s">
        <v>4969</v>
      </c>
      <c r="C241" t="s">
        <v>3495</v>
      </c>
      <c r="D241" t="str">
        <f t="shared" si="9"/>
        <v>công ty tnhh quang học sun tat việt nam, đường số 15, khu công nghiệp thuận đạo mở rộng, long cang, tây ninh, việt namcông ty tnhh quang học sun tat việt nam</v>
      </c>
      <c r="E241" t="str">
        <f>SUBSTITUTE(SUBSTITUTE(SUBSTITUTE(LOWER(C241), "tphcm", "TP. Hồ Chí Minh"), "hcm", "TP. Hồ Chí Minh"), " q.", " Quận ")</f>
        <v>14 hẻm 60/13 phan văn bảy, xã hiệp phước, huyện nhà bè, hồ chí minh, việt nam14 hẻm 60/13 phan văn bảy, xã hiệp phước, huyện nhà bè, hồ chí minh, việt nam</v>
      </c>
      <c r="F241" t="str">
        <f>PROPER(TRIM(RIGHT(SUBSTITUTE(D241, ",", REPT(" ", LEN(D241))), LEN(D241))))</f>
        <v>Việt Namcông Ty Tnhh Quang Học Sun Tat Việt Nam</v>
      </c>
      <c r="G241" t="str">
        <f t="shared" si="10"/>
        <v>Việt Nam</v>
      </c>
      <c r="H241" t="str">
        <f>PROPER(TRIM(RIGHT(SUBSTITUTE(LEFT(D241, FIND("@", SUBSTITUTE(D241, ",", "@", LEN(D241)-LEN(SUBSTITUTE(D241, ",", ""))))-1), ",", REPT(" ", LEN(D241))), LEN(D241))))</f>
        <v>Tây Ninh</v>
      </c>
      <c r="I241" t="str">
        <f t="shared" si="11"/>
        <v>Hồ Chí Minh</v>
      </c>
    </row>
    <row r="242" spans="1:9" x14ac:dyDescent="0.3">
      <c r="A242" t="s">
        <v>1442</v>
      </c>
      <c r="B242" t="s">
        <v>4985</v>
      </c>
      <c r="C242" t="s">
        <v>3505</v>
      </c>
      <c r="D242" t="str">
        <f t="shared" si="9"/>
        <v>cty sejin vina, phúc long, mỹ yên, tây ninh, việt namcty sejin vina</v>
      </c>
      <c r="E242" t="str">
        <f>SUBSTITUTE(SUBSTITUTE(SUBSTITUTE(LOWER(C242), "tphcm", "TP. Hồ Chí Minh"), "hcm", "TP. Hồ Chí Minh"), " q.", " Quận ")</f>
        <v>phong nhã coffee &amp; restaurant, đường nguyễn lương bằng, phường tân phú, quận 7, hồ chí minh, việt namphong nhã coffee &amp; restaurant</v>
      </c>
      <c r="F242" t="str">
        <f>PROPER(TRIM(RIGHT(SUBSTITUTE(D242, ",", REPT(" ", LEN(D242))), LEN(D242))))</f>
        <v>Việt Namcty Sejin Vina</v>
      </c>
      <c r="G242" t="str">
        <f t="shared" si="10"/>
        <v>Việt Namphong Nhã Coffee &amp; Restaurant</v>
      </c>
      <c r="H242" t="str">
        <f>PROPER(TRIM(RIGHT(SUBSTITUTE(LEFT(D242, FIND("@", SUBSTITUTE(D242, ",", "@", LEN(D242)-LEN(SUBSTITUTE(D242, ",", ""))))-1), ",", REPT(" ", LEN(D242))), LEN(D242))))</f>
        <v>Tây Ninh</v>
      </c>
      <c r="I242" t="str">
        <f t="shared" si="11"/>
        <v>Hồ Chí Minh</v>
      </c>
    </row>
    <row r="243" spans="1:9" x14ac:dyDescent="0.3">
      <c r="A243" t="s">
        <v>1453</v>
      </c>
      <c r="B243" t="s">
        <v>4995</v>
      </c>
      <c r="C243" t="s">
        <v>3514</v>
      </c>
      <c r="D243" t="str">
        <f t="shared" si="9"/>
        <v>công ty tnhh keum woo, đ. số 1, khu công nghiệp, mỹ yên, tây ninh, việt namcông ty tnhh keum woo</v>
      </c>
      <c r="E243" t="str">
        <f>SUBSTITUTE(SUBSTITUTE(SUBSTITUTE(LOWER(C243), "tphcm", "TP. Hồ Chí Minh"), "hcm", "TP. Hồ Chí Minh"), " q.", " Quận ")</f>
        <v>đường n2, phường khánh bình, thị xã tân uyên, bình dương, việt namđường n2, phường khánh bình, thị xã tân uyên, bình dương, việt nam</v>
      </c>
      <c r="F243" t="str">
        <f>PROPER(TRIM(RIGHT(SUBSTITUTE(D243, ",", REPT(" ", LEN(D243))), LEN(D243))))</f>
        <v>Việt Namcông Ty Tnhh Keum Woo</v>
      </c>
      <c r="G243" t="str">
        <f t="shared" si="10"/>
        <v>Việt Nam</v>
      </c>
      <c r="H243" t="str">
        <f>PROPER(TRIM(RIGHT(SUBSTITUTE(LEFT(D243, FIND("@", SUBSTITUTE(D243, ",", "@", LEN(D243)-LEN(SUBSTITUTE(D243, ",", ""))))-1), ",", REPT(" ", LEN(D243))), LEN(D243))))</f>
        <v>Tây Ninh</v>
      </c>
      <c r="I243" t="str">
        <f t="shared" si="11"/>
        <v>Bình Dương</v>
      </c>
    </row>
    <row r="244" spans="1:9" x14ac:dyDescent="0.3">
      <c r="A244" t="s">
        <v>1460</v>
      </c>
      <c r="B244" t="s">
        <v>5052</v>
      </c>
      <c r="C244" t="s">
        <v>3523</v>
      </c>
      <c r="D244" t="str">
        <f t="shared" si="9"/>
        <v>jfgr+g2h, bến lức, tây ninh, việt namjfgr+g2h, bến lức, tây ninh, việt nam</v>
      </c>
      <c r="E244" t="str">
        <f>SUBSTITUTE(SUBSTITUTE(SUBSTITUTE(LOWER(C244), "tphcm", "TP. Hồ Chí Minh"), "hcm", "TP. Hồ Chí Minh"), " q.", " Quận ")</f>
        <v>moka, xã xuân thới thượng, huyện hóc môn, hồ chí minh, việt nammoka</v>
      </c>
      <c r="F244" t="str">
        <f>PROPER(TRIM(RIGHT(SUBSTITUTE(D244, ",", REPT(" ", LEN(D244))), LEN(D244))))</f>
        <v>Việt Nam</v>
      </c>
      <c r="G244" t="str">
        <f t="shared" si="10"/>
        <v>Việt Nammoka</v>
      </c>
      <c r="H244" t="str">
        <f>PROPER(TRIM(RIGHT(SUBSTITUTE(LEFT(D244, FIND("@", SUBSTITUTE(D244, ",", "@", LEN(D244)-LEN(SUBSTITUTE(D244, ",", ""))))-1), ",", REPT(" ", LEN(D244))), LEN(D244))))</f>
        <v>Tây Ninh</v>
      </c>
      <c r="I244" t="str">
        <f t="shared" si="11"/>
        <v>Hồ Chí Minh</v>
      </c>
    </row>
    <row r="245" spans="1:9" x14ac:dyDescent="0.3">
      <c r="A245" t="s">
        <v>1463</v>
      </c>
      <c r="B245" t="s">
        <v>5077</v>
      </c>
      <c r="C245" t="s">
        <v>3532</v>
      </c>
      <c r="D245" t="str">
        <f t="shared" si="9"/>
        <v>chang mao vietnam co., ltd, nhà xưởng n 5, đ. số 1, mỹ yên, tây ninh, việt namchang mao vietnam co., ltd</v>
      </c>
      <c r="E245" t="str">
        <f>SUBSTITUTE(SUBSTITUTE(SUBSTITUTE(LOWER(C245), "tphcm", "TP. Hồ Chí Minh"), "hcm", "TP. Hồ Chí Minh"), " q.", " Quận ")</f>
        <v>đường tân đức, xã đức hòa hạ, huyện đức hòa, long an, việt namđường tân đức, xã đức hòa hạ, huyện đức hòa, long an, việt nam</v>
      </c>
      <c r="F245" t="str">
        <f>PROPER(TRIM(RIGHT(SUBSTITUTE(D245, ",", REPT(" ", LEN(D245))), LEN(D245))))</f>
        <v>Ltd</v>
      </c>
      <c r="G245" t="str">
        <f t="shared" si="10"/>
        <v>Việt Nam</v>
      </c>
      <c r="H245" t="str">
        <f>PROPER(TRIM(RIGHT(SUBSTITUTE(LEFT(D245, FIND("@", SUBSTITUTE(D245, ",", "@", LEN(D245)-LEN(SUBSTITUTE(D245, ",", ""))))-1), ",", REPT(" ", LEN(D245))), LEN(D245))))</f>
        <v>Việt Namchang Mao Vietnam Co.</v>
      </c>
      <c r="I245" t="str">
        <f t="shared" si="11"/>
        <v>Long An</v>
      </c>
    </row>
    <row r="246" spans="1:9" x14ac:dyDescent="0.3">
      <c r="A246" t="s">
        <v>1473</v>
      </c>
      <c r="B246" t="s">
        <v>5106</v>
      </c>
      <c r="C246" t="s">
        <v>3541</v>
      </c>
      <c r="D246" t="str">
        <f t="shared" si="9"/>
        <v>công ty tnhh solvay peroxides việt nam, đ. số 1, khu công nghiệp, mỹ yên, tây ninh, việt namcông ty tnhh solvay peroxides việt nam</v>
      </c>
      <c r="E246" t="str">
        <f>SUBSTITUTE(SUBSTITUTE(SUBSTITUTE(LOWER(C246), "tphcm", "TP. Hồ Chí Minh"), "hcm", "TP. Hồ Chí Minh"), " q.", " Quận ")</f>
        <v>10/16g đường đoàn nguyễn tuân, xã bình chánh, huyện bình chánh, hồ chí minh, việt nam10/16g đường đoàn nguyễn tuân, xã bình chánh, huyện bình chánh, hồ chí minh, việt nam</v>
      </c>
      <c r="F246" t="str">
        <f>PROPER(TRIM(RIGHT(SUBSTITUTE(D246, ",", REPT(" ", LEN(D246))), LEN(D246))))</f>
        <v>Việt Namcông Ty Tnhh Solvay Peroxides Việt Nam</v>
      </c>
      <c r="G246" t="str">
        <f t="shared" si="10"/>
        <v>Việt Nam</v>
      </c>
      <c r="H246" t="str">
        <f>PROPER(TRIM(RIGHT(SUBSTITUTE(LEFT(D246, FIND("@", SUBSTITUTE(D246, ",", "@", LEN(D246)-LEN(SUBSTITUTE(D246, ",", ""))))-1), ",", REPT(" ", LEN(D246))), LEN(D246))))</f>
        <v>Tây Ninh</v>
      </c>
      <c r="I246" t="str">
        <f t="shared" si="11"/>
        <v>Hồ Chí Minh</v>
      </c>
    </row>
    <row r="247" spans="1:9" x14ac:dyDescent="0.3">
      <c r="A247" t="s">
        <v>1476</v>
      </c>
      <c r="B247" t="s">
        <v>5137</v>
      </c>
      <c r="C247" t="s">
        <v>3551</v>
      </c>
      <c r="D247" t="str">
        <f t="shared" si="9"/>
        <v>jgm2+qj6, bến lức, tây ninh, việt namjgm2+qj6, bến lức, tây ninh, việt nam</v>
      </c>
      <c r="E247" t="str">
        <f>SUBSTITUTE(SUBSTITUTE(SUBSTITUTE(LOWER(C247), "tphcm", "TP. Hồ Chí Minh"), "hcm", "TP. Hồ Chí Minh"), " q.", " Quận ")</f>
        <v>nhà nghỉ jumaily tran, xã trường bình, huyện cần giuộc, long an, việt namnhà nghỉ jumaily tran</v>
      </c>
      <c r="F247" t="str">
        <f>PROPER(TRIM(RIGHT(SUBSTITUTE(D247, ",", REPT(" ", LEN(D247))), LEN(D247))))</f>
        <v>Việt Nam</v>
      </c>
      <c r="G247" t="str">
        <f t="shared" si="10"/>
        <v>Việt Namnhà Nghỉ Jumaily Tran</v>
      </c>
      <c r="H247" t="str">
        <f>PROPER(TRIM(RIGHT(SUBSTITUTE(LEFT(D247, FIND("@", SUBSTITUTE(D247, ",", "@", LEN(D247)-LEN(SUBSTITUTE(D247, ",", ""))))-1), ",", REPT(" ", LEN(D247))), LEN(D247))))</f>
        <v>Tây Ninh</v>
      </c>
      <c r="I247" t="str">
        <f t="shared" si="11"/>
        <v>Long An</v>
      </c>
    </row>
    <row r="248" spans="1:9" x14ac:dyDescent="0.3">
      <c r="A248" t="s">
        <v>1487</v>
      </c>
      <c r="B248" t="s">
        <v>5163</v>
      </c>
      <c r="C248" t="s">
        <v>3561</v>
      </c>
      <c r="D248" t="str">
        <f t="shared" si="9"/>
        <v>công ty thuốc thú y apa, đường vl3, mỹ yên, tây ninh, việt namcông ty thuốc thú y apa</v>
      </c>
      <c r="E248" t="str">
        <f>SUBSTITUTE(SUBSTITUTE(SUBSTITUTE(LOWER(C248), "tphcm", "TP. Hồ Chí Minh"), "hcm", "TP. Hồ Chí Minh"), " q.", " Quận ")</f>
        <v>hẻm 186 nguyễn kim cương, xã tân thạnh đông, huyện củ chi, hồ chí minh, việt namhẻm 186 nguyễn kim cương, xã tân thạnh đông, huyện củ chi, hồ chí minh, việt nam</v>
      </c>
      <c r="F248" t="str">
        <f>PROPER(TRIM(RIGHT(SUBSTITUTE(D248, ",", REPT(" ", LEN(D248))), LEN(D248))))</f>
        <v>Việt Namcông Ty Thuốc Thú Y Apa</v>
      </c>
      <c r="G248" t="str">
        <f t="shared" si="10"/>
        <v>Việt Nam</v>
      </c>
      <c r="H248" t="str">
        <f>PROPER(TRIM(RIGHT(SUBSTITUTE(LEFT(D248, FIND("@", SUBSTITUTE(D248, ",", "@", LEN(D248)-LEN(SUBSTITUTE(D248, ",", ""))))-1), ",", REPT(" ", LEN(D248))), LEN(D248))))</f>
        <v>Tây Ninh</v>
      </c>
      <c r="I248" t="str">
        <f t="shared" si="11"/>
        <v>Hồ Chí Minh</v>
      </c>
    </row>
    <row r="249" spans="1:9" x14ac:dyDescent="0.3">
      <c r="A249" t="s">
        <v>1494</v>
      </c>
      <c r="B249" t="s">
        <v>5183</v>
      </c>
      <c r="C249" t="s">
        <v>3571</v>
      </c>
      <c r="D249" t="str">
        <f t="shared" si="9"/>
        <v>kho công ty tnhh g&amp;f việt nam, ba trung, phước lý, tây ninh, việt namkho công ty tnhh g&amp;f việt nam</v>
      </c>
      <c r="E249" t="str">
        <f>SUBSTITUTE(SUBSTITUTE(SUBSTITUTE(LOWER(C249), "tphcm", "TP. Hồ Chí Minh"), "hcm", "TP. Hồ Chí Minh"), " q.", " Quận ")</f>
        <v>đường trường sơn, phường 2, quận tân bình, hồ chí minh, việt namđường trường sơn, phường 2, quận tân bình, hồ chí minh, việt nam</v>
      </c>
      <c r="F249" t="str">
        <f>PROPER(TRIM(RIGHT(SUBSTITUTE(D249, ",", REPT(" ", LEN(D249))), LEN(D249))))</f>
        <v>Việt Namkho Công Ty Tnhh G&amp;F Việt Nam</v>
      </c>
      <c r="G249" t="str">
        <f t="shared" si="10"/>
        <v>Việt Nam</v>
      </c>
      <c r="H249" t="str">
        <f>PROPER(TRIM(RIGHT(SUBSTITUTE(LEFT(D249, FIND("@", SUBSTITUTE(D249, ",", "@", LEN(D249)-LEN(SUBSTITUTE(D249, ",", ""))))-1), ",", REPT(" ", LEN(D249))), LEN(D249))))</f>
        <v>Tây Ninh</v>
      </c>
      <c r="I249" t="str">
        <f t="shared" si="11"/>
        <v>Hồ Chí Minh</v>
      </c>
    </row>
    <row r="250" spans="1:9" x14ac:dyDescent="0.3">
      <c r="A250" t="s">
        <v>1497</v>
      </c>
      <c r="B250" t="s">
        <v>5210</v>
      </c>
      <c r="C250" t="s">
        <v>3579</v>
      </c>
      <c r="D250" t="str">
        <f t="shared" si="9"/>
        <v>tlt electronics vietnam, đường vĩnh lộc 3 voi lá, kcn vĩnh lộc 2, mỹ yên, tây ninh, việt namtlt electronics vietnam</v>
      </c>
      <c r="E250" t="str">
        <f>SUBSTITUTE(SUBSTITUTE(SUBSTITUTE(LOWER(C250), "tphcm", "TP. Hồ Chí Minh"), "hcm", "TP. Hồ Chí Minh"), " q.", " Quận ")</f>
        <v>18a đường cộng hòa, phường 12, quận tân bình, hồ chí minh, việt nam18a đường cộng hòa, phường 12, quận tân bình, hồ chí minh, việt nam</v>
      </c>
      <c r="F250" t="str">
        <f>PROPER(TRIM(RIGHT(SUBSTITUTE(D250, ",", REPT(" ", LEN(D250))), LEN(D250))))</f>
        <v>Việt Namtlt Electronics Vietnam</v>
      </c>
      <c r="G250" t="str">
        <f t="shared" si="10"/>
        <v>Việt Nam</v>
      </c>
      <c r="H250" t="str">
        <f>PROPER(TRIM(RIGHT(SUBSTITUTE(LEFT(D250, FIND("@", SUBSTITUTE(D250, ",", "@", LEN(D250)-LEN(SUBSTITUTE(D250, ",", ""))))-1), ",", REPT(" ", LEN(D250))), LEN(D250))))</f>
        <v>Tây Ninh</v>
      </c>
      <c r="I250" t="str">
        <f t="shared" si="11"/>
        <v>Hồ Chí Minh</v>
      </c>
    </row>
    <row r="251" spans="1:9" x14ac:dyDescent="0.3">
      <c r="A251" t="s">
        <v>1507</v>
      </c>
      <c r="B251" t="s">
        <v>5289</v>
      </c>
      <c r="C251" t="s">
        <v>3604</v>
      </c>
      <c r="D251" t="str">
        <f t="shared" si="9"/>
        <v>shundao (vietnam) industrial company limited, đường số 10, khu công nghiệp thuận đạomở rộng, long cang, tây ninh, việt namshundao (vietnam) industrial company limited</v>
      </c>
      <c r="E251" t="str">
        <f>SUBSTITUTE(SUBSTITUTE(SUBSTITUTE(LOWER(C251), "tphcm", "TP. Hồ Chí Minh"), "hcm", "TP. Hồ Chí Minh"), " q.", " Quận ")</f>
        <v>cát lái, hồ chí minh, việt namcát lái</v>
      </c>
      <c r="F251" t="str">
        <f>PROPER(TRIM(RIGHT(SUBSTITUTE(D251, ",", REPT(" ", LEN(D251))), LEN(D251))))</f>
        <v>Việt Namshundao (Vietnam) Industrial Company Limited</v>
      </c>
      <c r="G251" t="str">
        <f t="shared" si="10"/>
        <v>Việt Namcát Lái</v>
      </c>
      <c r="H251" t="str">
        <f>PROPER(TRIM(RIGHT(SUBSTITUTE(LEFT(D251, FIND("@", SUBSTITUTE(D251, ",", "@", LEN(D251)-LEN(SUBSTITUTE(D251, ",", ""))))-1), ",", REPT(" ", LEN(D251))), LEN(D251))))</f>
        <v>Tây Ninh</v>
      </c>
      <c r="I251" t="str">
        <f t="shared" si="11"/>
        <v>Hồ Chí Minh</v>
      </c>
    </row>
    <row r="252" spans="1:9" x14ac:dyDescent="0.3">
      <c r="A252" t="s">
        <v>1514</v>
      </c>
      <c r="B252" t="s">
        <v>5320</v>
      </c>
      <c r="C252" t="s">
        <v>3614</v>
      </c>
      <c r="D252" t="str">
        <f t="shared" si="9"/>
        <v>jhv5+w9x, đt835b, phước lý, tây ninh 82511, việt namjhv5+w9x, đt835b, phước lý, tây ninh 82511, việt nam</v>
      </c>
      <c r="E252" t="str">
        <f>SUBSTITUTE(SUBSTITUTE(SUBSTITUTE(LOWER(C252), "tphcm", "TP. Hồ Chí Minh"), "hcm", "TP. Hồ Chí Minh"), " q.", " Quận ")</f>
        <v>công ty tnhh dệt liên châu, đường n4, kcn sóng thần 3, phường phú tân, thủ dầu một, bình dương, việt namcông ty tnhh dệt liên châu</v>
      </c>
      <c r="F252" t="str">
        <f>PROPER(TRIM(RIGHT(SUBSTITUTE(D252, ",", REPT(" ", LEN(D252))), LEN(D252))))</f>
        <v>Việt Nam</v>
      </c>
      <c r="G252" t="str">
        <f t="shared" si="10"/>
        <v>Việt Namcông Ty Tnhh Dệt Liên Châu</v>
      </c>
      <c r="H252" t="str">
        <f>PROPER(TRIM(RIGHT(SUBSTITUTE(LEFT(D252, FIND("@", SUBSTITUTE(D252, ",", "@", LEN(D252)-LEN(SUBSTITUTE(D252, ",", ""))))-1), ",", REPT(" ", LEN(D252))), LEN(D252))))</f>
        <v>Tây Ninh 82511</v>
      </c>
      <c r="I252" t="str">
        <f t="shared" si="11"/>
        <v>Bình Dương</v>
      </c>
    </row>
    <row r="253" spans="1:9" x14ac:dyDescent="0.3">
      <c r="A253" t="s">
        <v>1522</v>
      </c>
      <c r="B253" t="s">
        <v>5349</v>
      </c>
      <c r="C253" t="s">
        <v>3624</v>
      </c>
      <c r="D253" t="str">
        <f t="shared" si="9"/>
        <v>tqt textile j.s.c, đ. số 1, kcn phúc long, mỹ yên, tây ninh, việt namtqt textile j.s.c</v>
      </c>
      <c r="E253" t="str">
        <f>SUBSTITUTE(SUBSTITUTE(SUBSTITUTE(LOWER(C253), "tphcm", "TP. Hồ Chí Minh"), "hcm", "TP. Hồ Chí Minh"), " q.", " Quận ")</f>
        <v>ql51, long đức, long thành, đồng nai, việt namcông ty tnhh cự thành</v>
      </c>
      <c r="F253" t="str">
        <f>PROPER(TRIM(RIGHT(SUBSTITUTE(D253, ",", REPT(" ", LEN(D253))), LEN(D253))))</f>
        <v>Việt Namtqt Textile J.S.C</v>
      </c>
      <c r="G253" t="str">
        <f t="shared" si="10"/>
        <v>Việt Namcông Ty Tnhh Cự Thành</v>
      </c>
      <c r="H253" t="str">
        <f>PROPER(TRIM(RIGHT(SUBSTITUTE(LEFT(D253, FIND("@", SUBSTITUTE(D253, ",", "@", LEN(D253)-LEN(SUBSTITUTE(D253, ",", ""))))-1), ",", REPT(" ", LEN(D253))), LEN(D253))))</f>
        <v>Tây Ninh</v>
      </c>
      <c r="I253" t="str">
        <f t="shared" si="11"/>
        <v>Đồng Nai</v>
      </c>
    </row>
    <row r="254" spans="1:9" x14ac:dyDescent="0.3">
      <c r="A254" t="s">
        <v>1529</v>
      </c>
      <c r="B254" t="s">
        <v>5515</v>
      </c>
      <c r="C254" t="s">
        <v>3634</v>
      </c>
      <c r="D254" t="str">
        <f t="shared" si="9"/>
        <v>an phú tây - hưng long, bình chánh, hồ chí minh, việt naman phú tây - hưng long</v>
      </c>
      <c r="E254" t="str">
        <f>SUBSTITUTE(SUBSTITUTE(SUBSTITUTE(LOWER(C254), "tphcm", "TP. Hồ Chí Minh"), "hcm", "TP. Hồ Chí Minh"), " q.", " Quận ")</f>
        <v>162/59 đ. nguyễn văn khối, phường 9, gò vấp, thành phố hồ chí minh, việt namcông ty tnhh tm dv hoàng tân khang</v>
      </c>
      <c r="F254" t="str">
        <f>PROPER(TRIM(RIGHT(SUBSTITUTE(D254, ",", REPT(" ", LEN(D254))), LEN(D254))))</f>
        <v>Việt Naman Phú Tây - Hưng Long</v>
      </c>
      <c r="G254" t="str">
        <f t="shared" si="10"/>
        <v>Việt Namcông Ty Tnhh Tm Dv Hoàng Tân Khang</v>
      </c>
      <c r="H254" t="str">
        <f>PROPER(TRIM(RIGHT(SUBSTITUTE(LEFT(D254, FIND("@", SUBSTITUTE(D254, ",", "@", LEN(D254)-LEN(SUBSTITUTE(D254, ",", ""))))-1), ",", REPT(" ", LEN(D254))), LEN(D254))))</f>
        <v>Hồ Chí Minh</v>
      </c>
      <c r="I254" t="str">
        <f t="shared" si="11"/>
        <v>Thành Phố Hồ Chí Minh</v>
      </c>
    </row>
    <row r="255" spans="1:9" x14ac:dyDescent="0.3">
      <c r="A255" t="s">
        <v>1536</v>
      </c>
      <c r="B255" t="s">
        <v>6074</v>
      </c>
      <c r="C255" t="s">
        <v>3648</v>
      </c>
      <c r="D255" t="str">
        <f t="shared" si="9"/>
        <v>công ty cổ phần sx tm khang việt, ấp voi lá, mỹ yên, tây ninh, việt namcông ty cổ phần sx tm khang việt</v>
      </c>
      <c r="E255" t="str">
        <f>SUBSTITUTE(SUBSTITUTE(SUBSTITUTE(LOWER(C255), "tphcm", "TP. Hồ Chí Minh"), "hcm", "TP. Hồ Chí Minh"), " q.", " Quận ")</f>
        <v>7a 24, tổ 26, hóc môn, hồ chí minh, việt nam7a hẻm 24</v>
      </c>
      <c r="F255" t="str">
        <f>PROPER(TRIM(RIGHT(SUBSTITUTE(D255, ",", REPT(" ", LEN(D255))), LEN(D255))))</f>
        <v>Việt Namcông Ty Cổ Phần Sx Tm Khang Việt</v>
      </c>
      <c r="G255" t="str">
        <f t="shared" si="10"/>
        <v>Việt Nam7A Hẻm 24</v>
      </c>
      <c r="H255" t="str">
        <f>PROPER(TRIM(RIGHT(SUBSTITUTE(LEFT(D255, FIND("@", SUBSTITUTE(D255, ",", "@", LEN(D255)-LEN(SUBSTITUTE(D255, ",", ""))))-1), ",", REPT(" ", LEN(D255))), LEN(D255))))</f>
        <v>Tây Ninh</v>
      </c>
      <c r="I255" t="str">
        <f t="shared" si="11"/>
        <v>Hồ Chí Minh</v>
      </c>
    </row>
    <row r="256" spans="1:9" x14ac:dyDescent="0.3">
      <c r="A256" t="s">
        <v>1543</v>
      </c>
      <c r="B256" t="s">
        <v>6280</v>
      </c>
      <c r="C256" t="s">
        <v>3666</v>
      </c>
      <c r="D256" t="str">
        <f t="shared" si="9"/>
        <v>jfpw+rjh, bến lức, tây ninh, việt namjfpw+rjh, bến lức, tây ninh, việt nam</v>
      </c>
      <c r="E256" t="str">
        <f>SUBSTITUTE(SUBSTITUTE(SUBSTITUTE(LOWER(C256), "tphcm", "TP. Hồ Chí Minh"), "hcm", "TP. Hồ Chí Minh"), " q.", " Quận ")</f>
        <v>37 hẻm 710 phan văn trị, phường 10, gò vấp, hồ chí minh, việt nam37 hẻm 710 phan văn trị, phường 10, gò vấp, hồ chí minh, việt nam</v>
      </c>
      <c r="F256" t="str">
        <f>PROPER(TRIM(RIGHT(SUBSTITUTE(D256, ",", REPT(" ", LEN(D256))), LEN(D256))))</f>
        <v>Việt Nam</v>
      </c>
      <c r="G256" t="str">
        <f t="shared" si="10"/>
        <v>Việt Nam</v>
      </c>
      <c r="H256" t="str">
        <f>PROPER(TRIM(RIGHT(SUBSTITUTE(LEFT(D256, FIND("@", SUBSTITUTE(D256, ",", "@", LEN(D256)-LEN(SUBSTITUTE(D256, ",", ""))))-1), ",", REPT(" ", LEN(D256))), LEN(D256))))</f>
        <v>Tây Ninh</v>
      </c>
      <c r="I256" t="str">
        <f t="shared" si="11"/>
        <v>Hồ Chí Minh</v>
      </c>
    </row>
    <row r="257" spans="1:9" x14ac:dyDescent="0.3">
      <c r="A257" t="s">
        <v>1548</v>
      </c>
      <c r="B257" t="s">
        <v>6882</v>
      </c>
      <c r="C257" t="s">
        <v>3675</v>
      </c>
      <c r="D257" t="str">
        <f t="shared" si="9"/>
        <v>unnamed road, tân hương, châu thành, tiền giang, việt namvăn phòng cty hansae</v>
      </c>
      <c r="E257" t="str">
        <f>SUBSTITUTE(SUBSTITUTE(SUBSTITUTE(LOWER(C257), "tphcm", "TP. Hồ Chí Minh"), "hcm", "TP. Hồ Chí Minh"), " q.", " Quận ")</f>
        <v>tổ 10, 140/5a ấp 5, bà điểm, hồ chí minh, việt nam5a tổ 10 hẻm 140</v>
      </c>
      <c r="F257" t="str">
        <f>PROPER(TRIM(RIGHT(SUBSTITUTE(D257, ",", REPT(" ", LEN(D257))), LEN(D257))))</f>
        <v>Việt Namvăn Phòng Cty Hansae</v>
      </c>
      <c r="G257" t="str">
        <f t="shared" si="10"/>
        <v>Việt Nam5A Tổ 10 Hẻm 140</v>
      </c>
      <c r="H257" t="str">
        <f>PROPER(TRIM(RIGHT(SUBSTITUTE(LEFT(D257, FIND("@", SUBSTITUTE(D257, ",", "@", LEN(D257)-LEN(SUBSTITUTE(D257, ",", ""))))-1), ",", REPT(" ", LEN(D257))), LEN(D257))))</f>
        <v>Tiền Giang</v>
      </c>
      <c r="I257" t="str">
        <f t="shared" si="11"/>
        <v>Hồ Chí Minh</v>
      </c>
    </row>
    <row r="258" spans="1:9" x14ac:dyDescent="0.3">
      <c r="A258" t="s">
        <v>1556</v>
      </c>
      <c r="B258" t="s">
        <v>6890</v>
      </c>
      <c r="C258" t="s">
        <v>3692</v>
      </c>
      <c r="D258" t="str">
        <f t="shared" si="9"/>
        <v>xã tân lập 1, huyện tân phước, tiền giang, việt namhailang vietnam copper manufacturing co</v>
      </c>
      <c r="E258" t="str">
        <f>SUBSTITUTE(SUBSTITUTE(SUBSTITUTE(LOWER(C258), "tphcm", "TP. Hồ Chí Minh"), "hcm", "TP. Hồ Chí Minh"), " q.", " Quận ")</f>
        <v>công ty tnhh eb tân phú, đường trường chinh, tây thạnh, hồ chí minh, việt namcông ty tnhh eb tân phú</v>
      </c>
      <c r="F258" t="str">
        <f>PROPER(TRIM(RIGHT(SUBSTITUTE(D258, ",", REPT(" ", LEN(D258))), LEN(D258))))</f>
        <v>Việt Namhailang Vietnam Copper Manufacturing Co</v>
      </c>
      <c r="G258" t="str">
        <f t="shared" si="10"/>
        <v>Việt Namcông Ty Tnhh Eb Tân Phú</v>
      </c>
      <c r="H258" t="str">
        <f>PROPER(TRIM(RIGHT(SUBSTITUTE(LEFT(D258, FIND("@", SUBSTITUTE(D258, ",", "@", LEN(D258)-LEN(SUBSTITUTE(D258, ",", ""))))-1), ",", REPT(" ", LEN(D258))), LEN(D258))))</f>
        <v>Tiền Giang</v>
      </c>
      <c r="I258" t="str">
        <f t="shared" si="11"/>
        <v>Hồ Chí Minh</v>
      </c>
    </row>
    <row r="259" spans="1:9" x14ac:dyDescent="0.3">
      <c r="A259" t="s">
        <v>1564</v>
      </c>
      <c r="B259" t="s">
        <v>6908</v>
      </c>
      <c r="C259" t="s">
        <v>3709</v>
      </c>
      <c r="D259" t="str">
        <f t="shared" ref="D259:D315" si="12">SUBSTITUTE(SUBSTITUTE(SUBSTITUTE(LOWER(B259), "tphcm", "TP. Hồ Chí Minh"), "hcm", "TP. Hồ Chí Minh"), " q.", " Quận ")</f>
        <v>kcn, lợi bình nhơn, tân an, long an, việt namcông ty tnhh chế biến nông sản thực phẩm xuất khẩu tân an</v>
      </c>
      <c r="E259" t="str">
        <f>SUBSTITUTE(SUBSTITUTE(SUBSTITUTE(LOWER(C259), "tphcm", "TP. Hồ Chí Minh"), "hcm", "TP. Hồ Chí Minh"), " q.", " Quận ")</f>
        <v>99 đường đông minh, đông hoà, bình dương, 75000, việt namnội thất thông minh hữu an bàn ghế xếp</v>
      </c>
      <c r="F259" t="str">
        <f>PROPER(TRIM(RIGHT(SUBSTITUTE(D259, ",", REPT(" ", LEN(D259))), LEN(D259))))</f>
        <v>Việt Namcông Ty Tnhh Chế Biến Nông Sản Thực Phẩm Xuất Khẩu Tân An</v>
      </c>
      <c r="G259" t="str">
        <f t="shared" ref="G259:G322" si="13">PROPER(TRIM(RIGHT(SUBSTITUTE(E259, ",", REPT(" ", LEN(E259))), LEN(E259))))</f>
        <v>Việt Namnội Thất Thông Minh Hữu An Bàn Ghế Xếp</v>
      </c>
      <c r="H259" t="str">
        <f>PROPER(TRIM(RIGHT(SUBSTITUTE(LEFT(D259, FIND("@", SUBSTITUTE(D259, ",", "@", LEN(D259)-LEN(SUBSTITUTE(D259, ",", ""))))-1), ",", REPT(" ", LEN(D259))), LEN(D259))))</f>
        <v>Long An</v>
      </c>
      <c r="I259" t="str">
        <f t="shared" ref="I259:I322" si="14">PROPER(TRIM(RIGHT(SUBSTITUTE(LEFT(E259, FIND("@", SUBSTITUTE(E259, ",", "@", LEN(E259)-LEN(SUBSTITUTE(E259, ",", ""))))-1), ",", REPT(" ", LEN(E259))), LEN(E259))))</f>
        <v>75000</v>
      </c>
    </row>
    <row r="260" spans="1:9" x14ac:dyDescent="0.3">
      <c r="A260" t="s">
        <v>1574</v>
      </c>
      <c r="B260" t="s">
        <v>6918</v>
      </c>
      <c r="C260" t="s">
        <v>3717</v>
      </c>
      <c r="D260" t="str">
        <f t="shared" si="12"/>
        <v>đường n4, tân hương, châu thành, tiền giang, việt namcông ty tnhh quảng việt tiền giang</v>
      </c>
      <c r="E260" t="str">
        <f>SUBSTITUTE(SUBSTITUTE(SUBSTITUTE(LOWER(C260), "tphcm", "TP. Hồ Chí Minh"), "hcm", "TP. Hồ Chí Minh"), " q.", " Quận ")</f>
        <v>200 đ. nguyễn văn bá, phước long a, thủ đức, hồ chí minh, việt namcông ty tnhh jm (jmgroup)</v>
      </c>
      <c r="F260" t="str">
        <f>PROPER(TRIM(RIGHT(SUBSTITUTE(D260, ",", REPT(" ", LEN(D260))), LEN(D260))))</f>
        <v>Việt Namcông Ty Tnhh Quảng Việt Tiền Giang</v>
      </c>
      <c r="G260" t="str">
        <f t="shared" si="13"/>
        <v>Việt Namcông Ty Tnhh Jm (Jmgroup)</v>
      </c>
      <c r="H260" t="str">
        <f>PROPER(TRIM(RIGHT(SUBSTITUTE(LEFT(D260, FIND("@", SUBSTITUTE(D260, ",", "@", LEN(D260)-LEN(SUBSTITUTE(D260, ",", ""))))-1), ",", REPT(" ", LEN(D260))), LEN(D260))))</f>
        <v>Tiền Giang</v>
      </c>
      <c r="I260" t="str">
        <f t="shared" si="14"/>
        <v>Hồ Chí Minh</v>
      </c>
    </row>
    <row r="261" spans="1:9" x14ac:dyDescent="0.3">
      <c r="A261" t="s">
        <v>1581</v>
      </c>
      <c r="B261" t="s">
        <v>6978</v>
      </c>
      <c r="C261" t="s">
        <v>3770</v>
      </c>
      <c r="D261" t="str">
        <f t="shared" si="12"/>
        <v>xã tân lập 1, huyện tân phước, tiền giang, việt namapache footwear vietnam hq</v>
      </c>
      <c r="E261" t="str">
        <f>SUBSTITUTE(SUBSTITUTE(SUBSTITUTE(LOWER(C261), "tphcm", "TP. Hồ Chí Minh"), "hcm", "TP. Hồ Chí Minh"), " q.", " Quận ")</f>
        <v>công ty yazaki eds việt nam ltd, đường d1, thị xã bến cát, bình dươngcông ty yazaki eds việt nam ltd, đường d1</v>
      </c>
      <c r="F261" t="str">
        <f>PROPER(TRIM(RIGHT(SUBSTITUTE(D261, ",", REPT(" ", LEN(D261))), LEN(D261))))</f>
        <v>Việt Namapache Footwear Vietnam Hq</v>
      </c>
      <c r="G261" t="str">
        <f t="shared" si="13"/>
        <v>Đường D1</v>
      </c>
      <c r="H261" t="str">
        <f>PROPER(TRIM(RIGHT(SUBSTITUTE(LEFT(D261, FIND("@", SUBSTITUTE(D261, ",", "@", LEN(D261)-LEN(SUBSTITUTE(D261, ",", ""))))-1), ",", REPT(" ", LEN(D261))), LEN(D261))))</f>
        <v>Tiền Giang</v>
      </c>
      <c r="I261" t="str">
        <f t="shared" si="14"/>
        <v>Bình Dươngcông Ty Yazaki Eds Việt Nam Ltd</v>
      </c>
    </row>
    <row r="262" spans="1:9" x14ac:dyDescent="0.3">
      <c r="A262" t="s">
        <v>1585</v>
      </c>
      <c r="B262" t="s">
        <v>6993</v>
      </c>
      <c r="C262" t="s">
        <v>3781</v>
      </c>
      <c r="D262" t="str">
        <f t="shared" si="12"/>
        <v>shuyi aeon tân an, tuyến tránh ql 1, phường 6, tân an, long an, việt namshuyi aeon tân an</v>
      </c>
      <c r="E262" t="str">
        <f>SUBSTITUTE(SUBSTITUTE(SUBSTITUTE(LOWER(C262), "tphcm", "TP. Hồ Chí Minh"), "hcm", "TP. Hồ Chí Minh"), " q.", " Quận ")</f>
        <v>45 đường số 29, khu phố 1, an khánh, hồ chí minh 70000, việt namcông ty tnhh nbh group</v>
      </c>
      <c r="F262" t="str">
        <f>PROPER(TRIM(RIGHT(SUBSTITUTE(D262, ",", REPT(" ", LEN(D262))), LEN(D262))))</f>
        <v>Việt Namshuyi Aeon Tân An</v>
      </c>
      <c r="G262" t="str">
        <f t="shared" si="13"/>
        <v>Việt Namcông Ty Tnhh Nbh Group</v>
      </c>
      <c r="H262" t="str">
        <f>PROPER(TRIM(RIGHT(SUBSTITUTE(LEFT(D262, FIND("@", SUBSTITUTE(D262, ",", "@", LEN(D262)-LEN(SUBSTITUTE(D262, ",", ""))))-1), ",", REPT(" ", LEN(D262))), LEN(D262))))</f>
        <v>Long An</v>
      </c>
      <c r="I262" t="str">
        <f t="shared" si="14"/>
        <v>Hồ Chí Minh 70000</v>
      </c>
    </row>
    <row r="263" spans="1:9" x14ac:dyDescent="0.3">
      <c r="A263" t="s">
        <v>1594</v>
      </c>
      <c r="B263" t="s">
        <v>7003</v>
      </c>
      <c r="C263" t="s">
        <v>3839</v>
      </c>
      <c r="D263" t="str">
        <f t="shared" si="12"/>
        <v>cty cổ phần màng châu âu, đường sô 1, lợi bình nhơn, tân an, long an, việt namcty cổ phần màng châu âu</v>
      </c>
      <c r="E263" t="str">
        <f>SUBSTITUTE(SUBSTITUTE(SUBSTITUTE(LOWER(C263), "tphcm", "TP. Hồ Chí Minh"), "hcm", "TP. Hồ Chí Minh"), " q.", " Quận ")</f>
        <v>công ty tnhh dy plus, vinhomes tân cảng, thạnh mỹ tây, hồ chí minh, việt namcông ty tnhh dy plus</v>
      </c>
      <c r="F263" t="str">
        <f>PROPER(TRIM(RIGHT(SUBSTITUTE(D263, ",", REPT(" ", LEN(D263))), LEN(D263))))</f>
        <v>Việt Namcty Cổ Phần Màng Châu Âu</v>
      </c>
      <c r="G263" t="str">
        <f t="shared" si="13"/>
        <v>Việt Namcông Ty Tnhh Dy Plus</v>
      </c>
      <c r="H263" t="str">
        <f>PROPER(TRIM(RIGHT(SUBSTITUTE(LEFT(D263, FIND("@", SUBSTITUTE(D263, ",", "@", LEN(D263)-LEN(SUBSTITUTE(D263, ",", ""))))-1), ",", REPT(" ", LEN(D263))), LEN(D263))))</f>
        <v>Long An</v>
      </c>
      <c r="I263" t="str">
        <f t="shared" si="14"/>
        <v>Hồ Chí Minh</v>
      </c>
    </row>
    <row r="264" spans="1:9" x14ac:dyDescent="0.3">
      <c r="A264" t="s">
        <v>1601</v>
      </c>
      <c r="B264" t="s">
        <v>7013</v>
      </c>
      <c r="C264" t="s">
        <v>3848</v>
      </c>
      <c r="D264" t="str">
        <f t="shared" si="12"/>
        <v>ql.1a,82107happiness wedding studio</v>
      </c>
      <c r="E264" t="str">
        <f>SUBSTITUTE(SUBSTITUTE(SUBSTITUTE(LOWER(C264), "tphcm", "TP. Hồ Chí Minh"), "hcm", "TP. Hồ Chí Minh"), " q.", " Quận ")</f>
        <v>221/2h đ. phan văn khỏe, phường 2, quận 6, hồ chí minh, việt namquận 6</v>
      </c>
      <c r="F264" t="str">
        <f>PROPER(TRIM(RIGHT(SUBSTITUTE(D264, ",", REPT(" ", LEN(D264))), LEN(D264))))</f>
        <v>82107Happiness Wedding Studio</v>
      </c>
      <c r="G264" t="str">
        <f t="shared" si="13"/>
        <v>Việt Namquận 6</v>
      </c>
      <c r="H264" t="str">
        <f>PROPER(TRIM(RIGHT(SUBSTITUTE(LEFT(D264, FIND("@", SUBSTITUTE(D264, ",", "@", LEN(D264)-LEN(SUBSTITUTE(D264, ",", ""))))-1), ",", REPT(" ", LEN(D264))), LEN(D264))))</f>
        <v>Ql.1A</v>
      </c>
      <c r="I264" t="str">
        <f t="shared" si="14"/>
        <v>Hồ Chí Minh</v>
      </c>
    </row>
    <row r="265" spans="1:9" x14ac:dyDescent="0.3">
      <c r="A265" t="s">
        <v>1605</v>
      </c>
      <c r="B265" t="s">
        <v>7236</v>
      </c>
      <c r="C265" t="s">
        <v>3858</v>
      </c>
      <c r="D265" t="str">
        <f t="shared" si="12"/>
        <v>đường nguyễn cửu vân 141e, 82114 tân an, việt namcông ty tnhh xây dựng trần house</v>
      </c>
      <c r="E265" t="str">
        <f>SUBSTITUTE(SUBSTITUTE(SUBSTITUTE(LOWER(C265), "tphcm", "TP. Hồ Chí Minh"), "hcm", "TP. Hồ Chí Minh"), " q.", " Quận ")</f>
        <v>quận 2, an khánh, thủ đức, hồ chí minh, việt namquận 2</v>
      </c>
      <c r="F265" t="str">
        <f>PROPER(TRIM(RIGHT(SUBSTITUTE(D265, ",", REPT(" ", LEN(D265))), LEN(D265))))</f>
        <v>Việt Namcông Ty Tnhh Xây Dựng Trần House</v>
      </c>
      <c r="G265" t="str">
        <f t="shared" si="13"/>
        <v>Việt Namquận 2</v>
      </c>
      <c r="H265" t="str">
        <f>PROPER(TRIM(RIGHT(SUBSTITUTE(LEFT(D265, FIND("@", SUBSTITUTE(D265, ",", "@", LEN(D265)-LEN(SUBSTITUTE(D265, ",", ""))))-1), ",", REPT(" ", LEN(D265))), LEN(D265))))</f>
        <v>82114 Tân An</v>
      </c>
      <c r="I265" t="str">
        <f t="shared" si="14"/>
        <v>Hồ Chí Minh</v>
      </c>
    </row>
    <row r="266" spans="1:9" x14ac:dyDescent="0.3">
      <c r="A266" t="s">
        <v>1612</v>
      </c>
      <c r="B266" t="s">
        <v>7246</v>
      </c>
      <c r="C266" t="s">
        <v>3868</v>
      </c>
      <c r="D266" t="str">
        <f t="shared" si="12"/>
        <v>jg87+3w long cang, long an, việt namjg87+3w long cang, long an, việt nam</v>
      </c>
      <c r="E266" t="str">
        <f>SUBSTITUTE(SUBSTITUTE(SUBSTITUTE(LOWER(C266), "tphcm", "TP. Hồ Chí Minh"), "hcm", "TP. Hồ Chí Minh"), " q.", " Quận ")</f>
        <v>quận 11, đường hòa bình, hòa bình, hồ chí minh, việt namquận 11</v>
      </c>
      <c r="F266" t="str">
        <f>PROPER(TRIM(RIGHT(SUBSTITUTE(D266, ",", REPT(" ", LEN(D266))), LEN(D266))))</f>
        <v>Việt Nam</v>
      </c>
      <c r="G266" t="str">
        <f t="shared" si="13"/>
        <v>Việt Namquận 11</v>
      </c>
      <c r="H266" t="str">
        <f>PROPER(TRIM(RIGHT(SUBSTITUTE(LEFT(D266, FIND("@", SUBSTITUTE(D266, ",", "@", LEN(D266)-LEN(SUBSTITUTE(D266, ",", ""))))-1), ",", REPT(" ", LEN(D266))), LEN(D266))))</f>
        <v>Long An</v>
      </c>
      <c r="I266" t="str">
        <f t="shared" si="14"/>
        <v>Hồ Chí Minh</v>
      </c>
    </row>
    <row r="267" spans="1:9" x14ac:dyDescent="0.3">
      <c r="A267" t="s">
        <v>1620</v>
      </c>
      <c r="B267" t="s">
        <v>7337</v>
      </c>
      <c r="C267" t="s">
        <v>3881</v>
      </c>
      <c r="D267" t="str">
        <f t="shared" si="12"/>
        <v>công ty tnhh sunrich việt nam, đ. số 1, kcn phúc, mỹ yên, tây ninh, việt namcông ty tnhh sunrich việt nam</v>
      </c>
      <c r="E267" t="str">
        <f>SUBSTITUTE(SUBSTITUTE(SUBSTITUTE(LOWER(C267), "tphcm", "TP. Hồ Chí Minh"), "hcm", "TP. Hồ Chí Minh"), " q.", " Quận ")</f>
        <v>quận 9, tăng nhơn phú a, thủ đức, hồ chí minh, việt namquận 9, tăng nhơn phú a, thủ đức, hồ chí minh, việt nam</v>
      </c>
      <c r="F267" t="str">
        <f>PROPER(TRIM(RIGHT(SUBSTITUTE(D267, ",", REPT(" ", LEN(D267))), LEN(D267))))</f>
        <v>Việt Namcông Ty Tnhh Sunrich Việt Nam</v>
      </c>
      <c r="G267" t="str">
        <f t="shared" si="13"/>
        <v>Việt Nam</v>
      </c>
      <c r="H267" t="str">
        <f>PROPER(TRIM(RIGHT(SUBSTITUTE(LEFT(D267, FIND("@", SUBSTITUTE(D267, ",", "@", LEN(D267)-LEN(SUBSTITUTE(D267, ",", ""))))-1), ",", REPT(" ", LEN(D267))), LEN(D267))))</f>
        <v>Tây Ninh</v>
      </c>
      <c r="I267" t="str">
        <f t="shared" si="14"/>
        <v>Hồ Chí Minh</v>
      </c>
    </row>
    <row r="268" spans="1:9" x14ac:dyDescent="0.3">
      <c r="A268" t="s">
        <v>1627</v>
      </c>
      <c r="B268" t="s">
        <v>7503</v>
      </c>
      <c r="C268" t="s">
        <v>3904</v>
      </c>
      <c r="D268" t="str">
        <f t="shared" si="12"/>
        <v>jf9r+f63, bến lức, tây ninh, việt namjf9r+f63, bến lức, tây ninh, việt nam</v>
      </c>
      <c r="E268" t="str">
        <f>SUBSTITUTE(SUBSTITUTE(SUBSTITUTE(LOWER(C268), "tphcm", "TP. Hồ Chí Minh"), "hcm", "TP. Hồ Chí Minh"), " q.", " Quận ")</f>
        <v>907 đường phạm thế hiển, phường 4, quận 8, hồ chí minh, việt namcông ty tnhh mtv dịch vụ công ích quận 8</v>
      </c>
      <c r="F268" t="str">
        <f>PROPER(TRIM(RIGHT(SUBSTITUTE(D268, ",", REPT(" ", LEN(D268))), LEN(D268))))</f>
        <v>Việt Nam</v>
      </c>
      <c r="G268" t="str">
        <f t="shared" si="13"/>
        <v>Việt Namcông Ty Tnhh Mtv Dịch Vụ Công Ích Quận 8</v>
      </c>
      <c r="H268" t="str">
        <f>PROPER(TRIM(RIGHT(SUBSTITUTE(LEFT(D268, FIND("@", SUBSTITUTE(D268, ",", "@", LEN(D268)-LEN(SUBSTITUTE(D268, ",", ""))))-1), ",", REPT(" ", LEN(D268))), LEN(D268))))</f>
        <v>Tây Ninh</v>
      </c>
      <c r="I268" t="str">
        <f t="shared" si="14"/>
        <v>Hồ Chí Minh</v>
      </c>
    </row>
    <row r="269" spans="1:9" x14ac:dyDescent="0.3">
      <c r="A269" t="s">
        <v>1634</v>
      </c>
      <c r="B269" t="s">
        <v>7521</v>
      </c>
      <c r="C269" t="s">
        <v>3911</v>
      </c>
      <c r="D269" t="str">
        <f t="shared" si="12"/>
        <v>jfc8+cm bình đức, long an, việt namjfc8+cm bình đức, long an, việt nam</v>
      </c>
      <c r="E269" t="str">
        <f>SUBSTITUTE(SUBSTITUTE(SUBSTITUTE(LOWER(C269), "tphcm", "TP. Hồ Chí Minh"), "hcm", "TP. Hồ Chí Minh"), " q.", " Quận ")</f>
        <v>301 đ. hoàng diệu, phường 9, quận 4, hồ chí minh, việt namcông ty tnhh mtv dịch vụ công ích quận 4</v>
      </c>
      <c r="F269" t="str">
        <f>PROPER(TRIM(RIGHT(SUBSTITUTE(D269, ",", REPT(" ", LEN(D269))), LEN(D269))))</f>
        <v>Việt Nam</v>
      </c>
      <c r="G269" t="str">
        <f t="shared" si="13"/>
        <v>Việt Namcông Ty Tnhh Mtv Dịch Vụ Công Ích Quận 4</v>
      </c>
      <c r="H269" t="str">
        <f>PROPER(TRIM(RIGHT(SUBSTITUTE(LEFT(D269, FIND("@", SUBSTITUTE(D269, ",", "@", LEN(D269)-LEN(SUBSTITUTE(D269, ",", ""))))-1), ",", REPT(" ", LEN(D269))), LEN(D269))))</f>
        <v>Long An</v>
      </c>
      <c r="I269" t="str">
        <f t="shared" si="14"/>
        <v>Hồ Chí Minh</v>
      </c>
    </row>
    <row r="270" spans="1:9" x14ac:dyDescent="0.3">
      <c r="A270" t="s">
        <v>1638</v>
      </c>
      <c r="B270" t="s">
        <v>7622</v>
      </c>
      <c r="C270" t="s">
        <v>3918</v>
      </c>
      <c r="D270" t="str">
        <f t="shared" si="12"/>
        <v>631 ql.1a, xã thân cửu nghĩa, huyện châu thành, tiền giang, việt nam631 ql.1a, xã thân cửu nghĩa, huyện châu thành, tiền giang, việt nam</v>
      </c>
      <c r="E270" t="str">
        <f>SUBSTITUTE(SUBSTITUTE(SUBSTITUTE(LOWER(C270), "tphcm", "TP. Hồ Chí Minh"), "hcm", "TP. Hồ Chí Minh"), " q.", " Quận ")</f>
        <v>công ty thiet thach , quận 5, đường hùng vương, phường 9 (quận 5), quận 5, thành phố hồ chí minh, việt namcông ty thiet thach , quận 5</v>
      </c>
      <c r="F270" t="str">
        <f>PROPER(TRIM(RIGHT(SUBSTITUTE(D270, ",", REPT(" ", LEN(D270))), LEN(D270))))</f>
        <v>Việt Nam</v>
      </c>
      <c r="G270" t="str">
        <f t="shared" si="13"/>
        <v>Quận 5</v>
      </c>
      <c r="H270" t="str">
        <f>PROPER(TRIM(RIGHT(SUBSTITUTE(LEFT(D270, FIND("@", SUBSTITUTE(D270, ",", "@", LEN(D270)-LEN(SUBSTITUTE(D270, ",", ""))))-1), ",", REPT(" ", LEN(D270))), LEN(D270))))</f>
        <v>Tiền Giang</v>
      </c>
      <c r="I270" t="str">
        <f t="shared" si="14"/>
        <v>Việt Namcông Ty Thiet Thach</v>
      </c>
    </row>
    <row r="271" spans="1:9" x14ac:dyDescent="0.3">
      <c r="A271" t="s">
        <v>1648</v>
      </c>
      <c r="B271" t="s">
        <v>7630</v>
      </c>
      <c r="C271" t="s">
        <v>3925</v>
      </c>
      <c r="D271" t="str">
        <f t="shared" si="12"/>
        <v>chim rừng, phường 2, quận tân bình, hồ chí minh, việt namchim rừng</v>
      </c>
      <c r="E271" t="str">
        <f>SUBSTITUTE(SUBSTITUTE(SUBSTITUTE(LOWER(C271), "tphcm", "TP. Hồ Chí Minh"), "hcm", "TP. Hồ Chí Minh"), " q.", " Quận ")</f>
        <v>275g phạm ngũ lão, phường phạm ngũ lão, quận 1, thành phố hồ chí minh, việt namcông ty cổ phần ngọc trang tiêu cục , chi nhánh quận 1</v>
      </c>
      <c r="F271" t="str">
        <f>PROPER(TRIM(RIGHT(SUBSTITUTE(D271, ",", REPT(" ", LEN(D271))), LEN(D271))))</f>
        <v>Việt Namchim Rừng</v>
      </c>
      <c r="G271" t="str">
        <f t="shared" si="13"/>
        <v>Chi Nhánh Quận 1</v>
      </c>
      <c r="H271" t="str">
        <f>PROPER(TRIM(RIGHT(SUBSTITUTE(LEFT(D271, FIND("@", SUBSTITUTE(D271, ",", "@", LEN(D271)-LEN(SUBSTITUTE(D271, ",", ""))))-1), ",", REPT(" ", LEN(D271))), LEN(D271))))</f>
        <v>Hồ Chí Minh</v>
      </c>
      <c r="I271" t="str">
        <f t="shared" si="14"/>
        <v>Việt Namcông Ty Cổ Phần Ngọc Trang Tiêu Cục</v>
      </c>
    </row>
    <row r="272" spans="1:9" x14ac:dyDescent="0.3">
      <c r="A272" t="s">
        <v>1652</v>
      </c>
      <c r="B272" t="s">
        <v>7637</v>
      </c>
      <c r="C272" t="s">
        <v>3932</v>
      </c>
      <c r="D272" t="str">
        <f t="shared" si="12"/>
        <v>200/11 đường trần văn quang, phường 10, quận tân bình, hồ chí minh, việt nam200/11 đường trần văn quang, phường 10, quận tân bình, hồ chí minh, việt nam</v>
      </c>
      <c r="E272" t="str">
        <f>SUBSTITUTE(SUBSTITUTE(SUBSTITUTE(LOWER(C272), "tphcm", "TP. Hồ Chí Minh"), "hcm", "TP. Hồ Chí Minh"), " q.", " Quận ")</f>
        <v>42,44 đ. chợ lớn, phường 11, quận 6, thành phố hồ chí minh, việt namcông ty tnhh một thành viên dịch vụ công ích quận 6</v>
      </c>
      <c r="F272" t="str">
        <f>PROPER(TRIM(RIGHT(SUBSTITUTE(D272, ",", REPT(" ", LEN(D272))), LEN(D272))))</f>
        <v>Việt Nam</v>
      </c>
      <c r="G272" t="str">
        <f t="shared" si="13"/>
        <v>Việt Namcông Ty Tnhh Một Thành Viên Dịch Vụ Công Ích Quận 6</v>
      </c>
      <c r="H272" t="str">
        <f>PROPER(TRIM(RIGHT(SUBSTITUTE(LEFT(D272, FIND("@", SUBSTITUTE(D272, ",", "@", LEN(D272)-LEN(SUBSTITUTE(D272, ",", ""))))-1), ",", REPT(" ", LEN(D272))), LEN(D272))))</f>
        <v>Hồ Chí Minh</v>
      </c>
      <c r="I272" t="str">
        <f t="shared" si="14"/>
        <v>Thành Phố Hồ Chí Minh</v>
      </c>
    </row>
    <row r="273" spans="1:9" x14ac:dyDescent="0.3">
      <c r="A273" t="s">
        <v>1659</v>
      </c>
      <c r="B273" t="s">
        <v>7662</v>
      </c>
      <c r="C273" t="s">
        <v>3939</v>
      </c>
      <c r="D273" t="str">
        <f t="shared" si="12"/>
        <v>233 đường nguyễn văn rành, phường 7, tân an, long an, việt nam233 đường nguyễn văn rành, phường 7, tân an, long an, việt nam</v>
      </c>
      <c r="E273" t="str">
        <f>SUBSTITUTE(SUBSTITUTE(SUBSTITUTE(LOWER(C273), "tphcm", "TP. Hồ Chí Minh"), "hcm", "TP. Hồ Chí Minh"), " q.", " Quận ")</f>
        <v>hẻm 10 đường số 2,71106công ty tnhh nhi khoa healthcare city quận 2</v>
      </c>
      <c r="F273" t="str">
        <f>PROPER(TRIM(RIGHT(SUBSTITUTE(D273, ",", REPT(" ", LEN(D273))), LEN(D273))))</f>
        <v>Việt Nam</v>
      </c>
      <c r="G273" t="str">
        <f t="shared" si="13"/>
        <v>71106Công Ty Tnhh Nhi Khoa Healthcare City Quận 2</v>
      </c>
      <c r="H273" t="str">
        <f>PROPER(TRIM(RIGHT(SUBSTITUTE(LEFT(D273, FIND("@", SUBSTITUTE(D273, ",", "@", LEN(D273)-LEN(SUBSTITUTE(D273, ",", ""))))-1), ",", REPT(" ", LEN(D273))), LEN(D273))))</f>
        <v>Long An</v>
      </c>
      <c r="I273" t="str">
        <f t="shared" si="14"/>
        <v>Hẻm 10 Đường Số 2</v>
      </c>
    </row>
    <row r="274" spans="1:9" x14ac:dyDescent="0.3">
      <c r="A274" t="s">
        <v>1670</v>
      </c>
      <c r="B274" t="s">
        <v>7680</v>
      </c>
      <c r="C274" t="s">
        <v>3950</v>
      </c>
      <c r="D274" t="str">
        <f t="shared" si="12"/>
        <v>206 đường số 1, xã lợi bình nhơn, tân an, long an, việt nam206 đường số 1, xã lợi bình nhơn, tân an, long an, việt nam</v>
      </c>
      <c r="E274" t="str">
        <f>SUBSTITUTE(SUBSTITUTE(SUBSTITUTE(LOWER(C274), "tphcm", "TP. Hồ Chí Minh"), "hcm", "TP. Hồ Chí Minh"), " q.", " Quận ")</f>
        <v>đường nguyễn thị thập,72912công ty tnhh mtv sơn quận 7</v>
      </c>
      <c r="F274" t="str">
        <f>PROPER(TRIM(RIGHT(SUBSTITUTE(D274, ",", REPT(" ", LEN(D274))), LEN(D274))))</f>
        <v>Việt Nam</v>
      </c>
      <c r="G274" t="str">
        <f t="shared" si="13"/>
        <v>72912Công Ty Tnhh Mtv Sơn Quận 7</v>
      </c>
      <c r="H274" t="str">
        <f>PROPER(TRIM(RIGHT(SUBSTITUTE(LEFT(D274, FIND("@", SUBSTITUTE(D274, ",", "@", LEN(D274)-LEN(SUBSTITUTE(D274, ",", ""))))-1), ",", REPT(" ", LEN(D274))), LEN(D274))))</f>
        <v>Long An</v>
      </c>
      <c r="I274" t="str">
        <f t="shared" si="14"/>
        <v>Đường Nguyễn Thị Thập</v>
      </c>
    </row>
    <row r="275" spans="1:9" x14ac:dyDescent="0.3">
      <c r="A275" t="s">
        <v>1680</v>
      </c>
      <c r="B275" t="s">
        <v>7690</v>
      </c>
      <c r="C275" t="s">
        <v>3957</v>
      </c>
      <c r="D275" t="str">
        <f t="shared" si="12"/>
        <v>316 ql.1a, phường 2, tân an, long an, việt nam316 ql.1a, phường 2, tân an, long an, việt nam</v>
      </c>
      <c r="E275" t="str">
        <f>SUBSTITUTE(SUBSTITUTE(SUBSTITUTE(LOWER(C275), "tphcm", "TP. Hồ Chí Minh"), "hcm", "TP. Hồ Chí Minh"), " q.", " Quận ")</f>
        <v>16 lô c đ. trường sơn, cư xá bắc hải, quận 10, hồ chí minh 700000, việt namcông ty cắt khắc laser phan long quận 10 TP. Hồ Chí Minh sài gòn</v>
      </c>
      <c r="F275" t="str">
        <f>PROPER(TRIM(RIGHT(SUBSTITUTE(D275, ",", REPT(" ", LEN(D275))), LEN(D275))))</f>
        <v>Việt Nam</v>
      </c>
      <c r="G275" t="str">
        <f t="shared" si="13"/>
        <v>Việt Namcông Ty Cắt Khắc Laser Phan Long Quận 10 Tp. Hồ Chí Minh Sài Gòn</v>
      </c>
      <c r="H275" t="str">
        <f>PROPER(TRIM(RIGHT(SUBSTITUTE(LEFT(D275, FIND("@", SUBSTITUTE(D275, ",", "@", LEN(D275)-LEN(SUBSTITUTE(D275, ",", ""))))-1), ",", REPT(" ", LEN(D275))), LEN(D275))))</f>
        <v>Long An</v>
      </c>
      <c r="I275" t="str">
        <f t="shared" si="14"/>
        <v>Hồ Chí Minh 700000</v>
      </c>
    </row>
    <row r="276" spans="1:9" x14ac:dyDescent="0.3">
      <c r="A276" t="s">
        <v>1690</v>
      </c>
      <c r="B276" t="s">
        <v>7700</v>
      </c>
      <c r="C276" t="s">
        <v>3964</v>
      </c>
      <c r="D276" t="str">
        <f t="shared" si="12"/>
        <v>đường số 6, xã lợi bình nhơn, tân an, long an, việt namđường số 6, xã lợi bình nhơn, tân an, long an, việt nam</v>
      </c>
      <c r="E276" t="str">
        <f>SUBSTITUTE(SUBSTITUTE(SUBSTITUTE(LOWER(C276), "tphcm", "TP. Hồ Chí Minh"), "hcm", "TP. Hồ Chí Minh"), " q.", " Quận ")</f>
        <v>270, 272 đ. bình thới, phường 10, quận 11, hồ chí minh, việt namcông an quận 11</v>
      </c>
      <c r="F276" t="str">
        <f>PROPER(TRIM(RIGHT(SUBSTITUTE(D276, ",", REPT(" ", LEN(D276))), LEN(D276))))</f>
        <v>Việt Nam</v>
      </c>
      <c r="G276" t="str">
        <f t="shared" si="13"/>
        <v>Việt Namcông An Quận 11</v>
      </c>
      <c r="H276" t="str">
        <f>PROPER(TRIM(RIGHT(SUBSTITUTE(LEFT(D276, FIND("@", SUBSTITUTE(D276, ",", "@", LEN(D276)-LEN(SUBSTITUTE(D276, ",", ""))))-1), ",", REPT(" ", LEN(D276))), LEN(D276))))</f>
        <v>Long An</v>
      </c>
      <c r="I276" t="str">
        <f t="shared" si="14"/>
        <v>Hồ Chí Minh</v>
      </c>
    </row>
    <row r="277" spans="1:9" x14ac:dyDescent="0.3">
      <c r="A277" t="s">
        <v>1694</v>
      </c>
      <c r="B277" t="s">
        <v>7715</v>
      </c>
      <c r="C277" t="s">
        <v>3987</v>
      </c>
      <c r="D277" t="str">
        <f t="shared" si="12"/>
        <v>115 đường nguyễn văn tuôi, thị trấn bến lức, huyện bến lức, long an, việt nam115 đường nguyễn văn tuôi, thị trấn bến lức, huyện bến lức, long an, việt nam</v>
      </c>
      <c r="E277" t="str">
        <f>SUBSTITUTE(SUBSTITUTE(SUBSTITUTE(LOWER(C277), "tphcm", "TP. Hồ Chí Minh"), "hcm", "TP. Hồ Chí Minh"), " q.", " Quận ")</f>
        <v>khu, tp, 14.5 đường d14a công nghệ cao, tăng nhơn phú b, thủ đức, hồ chí minh, việt namcông ty tnhh techtronic tools (tti quận 9)</v>
      </c>
      <c r="F277" t="str">
        <f>PROPER(TRIM(RIGHT(SUBSTITUTE(D277, ",", REPT(" ", LEN(D277))), LEN(D277))))</f>
        <v>Việt Nam</v>
      </c>
      <c r="G277" t="str">
        <f t="shared" si="13"/>
        <v>Việt Namcông Ty Tnhh Techtronic Tools (Tti Quận 9)</v>
      </c>
      <c r="H277" t="str">
        <f>PROPER(TRIM(RIGHT(SUBSTITUTE(LEFT(D277, FIND("@", SUBSTITUTE(D277, ",", "@", LEN(D277)-LEN(SUBSTITUTE(D277, ",", ""))))-1), ",", REPT(" ", LEN(D277))), LEN(D277))))</f>
        <v>Long An</v>
      </c>
      <c r="I277" t="str">
        <f t="shared" si="14"/>
        <v>Hồ Chí Minh</v>
      </c>
    </row>
    <row r="278" spans="1:9" x14ac:dyDescent="0.3">
      <c r="A278" t="s">
        <v>1698</v>
      </c>
      <c r="B278" t="s">
        <v>7724</v>
      </c>
      <c r="C278" t="s">
        <v>4003</v>
      </c>
      <c r="D278" t="str">
        <f t="shared" si="12"/>
        <v>công ty tnhh sản phẩm công nghiệp shc, xã tân lập 1, huyện tân phước, tiền giang, việt namcông ty tnhh sản phẩm công nghiệp shc</v>
      </c>
      <c r="E278" t="str">
        <f>SUBSTITUTE(SUBSTITUTE(SUBSTITUTE(LOWER(C278), "tphcm", "TP. Hồ Chí Minh"), "hcm", "TP. Hồ Chí Minh"), " q.", " Quận ")</f>
        <v>quận 9, tăng nhơn phú, thành phố hồ chí minh, hồ chí minh, việt namquận 9</v>
      </c>
      <c r="F278" t="str">
        <f>PROPER(TRIM(RIGHT(SUBSTITUTE(D278, ",", REPT(" ", LEN(D278))), LEN(D278))))</f>
        <v>Việt Namcông Ty Tnhh Sản Phẩm Công Nghiệp Shc</v>
      </c>
      <c r="G278" t="str">
        <f t="shared" si="13"/>
        <v>Việt Namquận 9</v>
      </c>
      <c r="H278" t="str">
        <f>PROPER(TRIM(RIGHT(SUBSTITUTE(LEFT(D278, FIND("@", SUBSTITUTE(D278, ",", "@", LEN(D278)-LEN(SUBSTITUTE(D278, ",", ""))))-1), ",", REPT(" ", LEN(D278))), LEN(D278))))</f>
        <v>Tiền Giang</v>
      </c>
      <c r="I278" t="str">
        <f t="shared" si="14"/>
        <v>Hồ Chí Minh</v>
      </c>
    </row>
    <row r="279" spans="1:9" x14ac:dyDescent="0.3">
      <c r="A279" t="s">
        <v>1708</v>
      </c>
      <c r="B279" t="s">
        <v>7732</v>
      </c>
      <c r="C279" t="s">
        <v>4019</v>
      </c>
      <c r="D279" t="str">
        <f t="shared" si="12"/>
        <v>tongwei feed mill, xã tân hương, huyện châu thành, tiền giang, việt namtongwei feed mill</v>
      </c>
      <c r="E279" t="str">
        <f>SUBSTITUTE(SUBSTITUTE(SUBSTITUTE(LOWER(C279), "tphcm", "TP. Hồ Chí Minh"), "hcm", "TP. Hồ Chí Minh"), " q.", " Quận ")</f>
        <v>siemens việt nam , vsip 1, đường số 9, an phú, thuận an, bình dương, việt namsiemens việt nam , vsip 1</v>
      </c>
      <c r="F279" t="str">
        <f>PROPER(TRIM(RIGHT(SUBSTITUTE(D279, ",", REPT(" ", LEN(D279))), LEN(D279))))</f>
        <v>Việt Namtongwei Feed Mill</v>
      </c>
      <c r="G279" t="str">
        <f t="shared" si="13"/>
        <v>Vsip 1</v>
      </c>
      <c r="H279" t="str">
        <f>PROPER(TRIM(RIGHT(SUBSTITUTE(LEFT(D279, FIND("@", SUBSTITUTE(D279, ",", "@", LEN(D279)-LEN(SUBSTITUTE(D279, ",", ""))))-1), ",", REPT(" ", LEN(D279))), LEN(D279))))</f>
        <v>Tiền Giang</v>
      </c>
      <c r="I279" t="str">
        <f t="shared" si="14"/>
        <v>Việt Namsiemens Việt Nam</v>
      </c>
    </row>
    <row r="280" spans="1:9" x14ac:dyDescent="0.3">
      <c r="A280" t="s">
        <v>1712</v>
      </c>
      <c r="B280" t="s">
        <v>7739</v>
      </c>
      <c r="C280" t="s">
        <v>4030</v>
      </c>
      <c r="D280" t="str">
        <f t="shared" si="12"/>
        <v>2 hẻm 350 châu thị kim, phường 7, tân an, long an, việt nam2 hẻm 350 châu thị kim, phường 7, tân an, long an, việt nam</v>
      </c>
      <c r="E280" t="str">
        <f>SUBSTITUTE(SUBSTITUTE(SUBSTITUTE(LOWER(C280), "tphcm", "TP. Hồ Chí Minh"), "hcm", "TP. Hồ Chí Minh"), " q.", " Quận ")</f>
        <v>đường đh603, thới hoà, bến cát, bình dương 75000, việt namchi nhánh công ty tnhh tm dv hc vt</v>
      </c>
      <c r="F280" t="str">
        <f>PROPER(TRIM(RIGHT(SUBSTITUTE(D280, ",", REPT(" ", LEN(D280))), LEN(D280))))</f>
        <v>Việt Nam</v>
      </c>
      <c r="G280" t="str">
        <f t="shared" si="13"/>
        <v>Việt Namchi Nhánh Công Ty Tnhh Tm Dv Hc Vt</v>
      </c>
      <c r="H280" t="str">
        <f>PROPER(TRIM(RIGHT(SUBSTITUTE(LEFT(D280, FIND("@", SUBSTITUTE(D280, ",", "@", LEN(D280)-LEN(SUBSTITUTE(D280, ",", ""))))-1), ",", REPT(" ", LEN(D280))), LEN(D280))))</f>
        <v>Long An</v>
      </c>
      <c r="I280" t="str">
        <f t="shared" si="14"/>
        <v>Bình Dương 75000</v>
      </c>
    </row>
    <row r="281" spans="1:9" x14ac:dyDescent="0.3">
      <c r="A281" t="s">
        <v>1722</v>
      </c>
      <c r="B281" t="s">
        <v>7777</v>
      </c>
      <c r="C281" t="s">
        <v>4041</v>
      </c>
      <c r="D281" t="str">
        <f t="shared" si="12"/>
        <v>tl.834, xã bình thạnh, huyện thủ thừa, long an, việt namtl.834, xã bình thạnh, huyện thủ thừa, long an, việt nam</v>
      </c>
      <c r="E281" t="str">
        <f>SUBSTITUTE(SUBSTITUTE(SUBSTITUTE(LOWER(C281), "tphcm", "TP. Hồ Chí Minh"), "hcm", "TP. Hồ Chí Minh"), " q.", " Quận ")</f>
        <v>54/6e ấp tiền lân, bà điểm, hóc môn, hồ chí minh 71000, việt namcông ty tnhh vn đại phong</v>
      </c>
      <c r="F281" t="str">
        <f>PROPER(TRIM(RIGHT(SUBSTITUTE(D281, ",", REPT(" ", LEN(D281))), LEN(D281))))</f>
        <v>Việt Nam</v>
      </c>
      <c r="G281" t="str">
        <f t="shared" si="13"/>
        <v>Việt Namcông Ty Tnhh Vn Đại Phong</v>
      </c>
      <c r="H281" t="str">
        <f>PROPER(TRIM(RIGHT(SUBSTITUTE(LEFT(D281, FIND("@", SUBSTITUTE(D281, ",", "@", LEN(D281)-LEN(SUBSTITUTE(D281, ",", ""))))-1), ",", REPT(" ", LEN(D281))), LEN(D281))))</f>
        <v>Long An</v>
      </c>
      <c r="I281" t="str">
        <f t="shared" si="14"/>
        <v>Hồ Chí Minh 71000</v>
      </c>
    </row>
    <row r="282" spans="1:9" x14ac:dyDescent="0.3">
      <c r="A282" t="s">
        <v>1732</v>
      </c>
      <c r="B282" t="s">
        <v>7787</v>
      </c>
      <c r="C282" t="s">
        <v>4051</v>
      </c>
      <c r="D282" t="str">
        <f t="shared" si="12"/>
        <v>đường ấp xuân hòa 1, xã lợi bình nhơn, tân an, long an, việt namđường ấp xuân hòa 1, xã lợi bình nhơn, tân an, long an, việt nam</v>
      </c>
      <c r="E282" t="str">
        <f>SUBSTITUTE(SUBSTITUTE(SUBSTITUTE(LOWER(C282), "tphcm", "TP. Hồ Chí Minh"), "hcm", "TP. Hồ Chí Minh"), " q.", " Quận ")</f>
        <v>rr2g+7w long trường, hồ chí minh, việt namrr2g+7w long trường, hồ chí minh, việt nam</v>
      </c>
      <c r="F282" t="str">
        <f>PROPER(TRIM(RIGHT(SUBSTITUTE(D282, ",", REPT(" ", LEN(D282))), LEN(D282))))</f>
        <v>Việt Nam</v>
      </c>
      <c r="G282" t="str">
        <f t="shared" si="13"/>
        <v>Việt Nam</v>
      </c>
      <c r="H282" t="str">
        <f>PROPER(TRIM(RIGHT(SUBSTITUTE(LEFT(D282, FIND("@", SUBSTITUTE(D282, ",", "@", LEN(D282)-LEN(SUBSTITUTE(D282, ",", ""))))-1), ",", REPT(" ", LEN(D282))), LEN(D282))))</f>
        <v>Long An</v>
      </c>
      <c r="I282" t="str">
        <f t="shared" si="14"/>
        <v>Hồ Chí Minh</v>
      </c>
    </row>
    <row r="283" spans="1:9" x14ac:dyDescent="0.3">
      <c r="A283" t="s">
        <v>1737</v>
      </c>
      <c r="B283" t="s">
        <v>7798</v>
      </c>
      <c r="C283" t="s">
        <v>4061</v>
      </c>
      <c r="D283" t="str">
        <f t="shared" si="12"/>
        <v>32 đường lê văn tưởng, phường 5, tân an, long an, việt nam32 đường lê văn tưởng, phường 5, tân an, long an, việt nam</v>
      </c>
      <c r="E283" t="str">
        <f>SUBSTITUTE(SUBSTITUTE(SUBSTITUTE(LOWER(C283), "tphcm", "TP. Hồ Chí Minh"), "hcm", "TP. Hồ Chí Minh"), " q.", " Quận ")</f>
        <v>9 đ. nguyễn văn bá, phước long a, thủ đức, thành phố hồ chí minh, việt namcông ty cơ điện thủ đức</v>
      </c>
      <c r="F283" t="str">
        <f>PROPER(TRIM(RIGHT(SUBSTITUTE(D283, ",", REPT(" ", LEN(D283))), LEN(D283))))</f>
        <v>Việt Nam</v>
      </c>
      <c r="G283" t="str">
        <f t="shared" si="13"/>
        <v>Việt Namcông Ty Cơ Điện Thủ Đức</v>
      </c>
      <c r="H283" t="str">
        <f>PROPER(TRIM(RIGHT(SUBSTITUTE(LEFT(D283, FIND("@", SUBSTITUTE(D283, ",", "@", LEN(D283)-LEN(SUBSTITUTE(D283, ",", ""))))-1), ",", REPT(" ", LEN(D283))), LEN(D283))))</f>
        <v>Long An</v>
      </c>
      <c r="I283" t="str">
        <f t="shared" si="14"/>
        <v>Thành Phố Hồ Chí Minh</v>
      </c>
    </row>
    <row r="284" spans="1:9" x14ac:dyDescent="0.3">
      <c r="A284" t="s">
        <v>1744</v>
      </c>
      <c r="B284" t="s">
        <v>7808</v>
      </c>
      <c r="C284" t="s">
        <v>4068</v>
      </c>
      <c r="D284" t="str">
        <f t="shared" si="12"/>
        <v>thế giới vi tính 3 0 vĩnh kim, xã đông hòa, huyện châu thành, tiền giang, việt namthế giới vi tính 3 0 vĩnh kim</v>
      </c>
      <c r="E284" t="str">
        <f>SUBSTITUTE(SUBSTITUTE(SUBSTITUTE(LOWER(C284), "tphcm", "TP. Hồ Chí Minh"), "hcm", "TP. Hồ Chí Minh"), " q.", " Quận ")</f>
        <v>135, 37/41 hẻm 117 nguyễn hữu cảnh, thạnh mỹ tây, hồ chí minh, việt nam135, 37/41 hẻm 117 nguyễn hữu cảnh, thạnh mỹ tây, hồ chí minh, việt nam</v>
      </c>
      <c r="F284" t="str">
        <f>PROPER(TRIM(RIGHT(SUBSTITUTE(D284, ",", REPT(" ", LEN(D284))), LEN(D284))))</f>
        <v>Việt Namthế Giới Vi Tính 3 0 Vĩnh Kim</v>
      </c>
      <c r="G284" t="str">
        <f t="shared" si="13"/>
        <v>Việt Nam</v>
      </c>
      <c r="H284" t="str">
        <f>PROPER(TRIM(RIGHT(SUBSTITUTE(LEFT(D284, FIND("@", SUBSTITUTE(D284, ",", "@", LEN(D284)-LEN(SUBSTITUTE(D284, ",", ""))))-1), ",", REPT(" ", LEN(D284))), LEN(D284))))</f>
        <v>Tiền Giang</v>
      </c>
      <c r="I284" t="str">
        <f t="shared" si="14"/>
        <v>Hồ Chí Minh</v>
      </c>
    </row>
    <row r="285" spans="1:9" x14ac:dyDescent="0.3">
      <c r="A285" t="s">
        <v>1748</v>
      </c>
      <c r="B285" t="s">
        <v>7817</v>
      </c>
      <c r="C285" t="s">
        <v>4076</v>
      </c>
      <c r="D285" t="str">
        <f t="shared" si="12"/>
        <v>15 đường số 23, phường bình trị đông b, quận bình tân, hồ chí minh, việt nam15 đường số 23, phường bình trị đông b, quận bình tân, hồ chí minh, việt nam</v>
      </c>
      <c r="E285" t="str">
        <f>SUBSTITUTE(SUBSTITUTE(SUBSTITUTE(LOWER(C285), "tphcm", "TP. Hồ Chí Minh"), "hcm", "TP. Hồ Chí Minh"), " q.", " Quận ")</f>
        <v>công ty tnhh công nghệ quang lâm, phan huy ích, phường 12, gò vấp, hồ chí minh, việt namcông ty tnhh công nghệ quang lâm</v>
      </c>
      <c r="F285" t="str">
        <f>PROPER(TRIM(RIGHT(SUBSTITUTE(D285, ",", REPT(" ", LEN(D285))), LEN(D285))))</f>
        <v>Việt Nam</v>
      </c>
      <c r="G285" t="str">
        <f t="shared" si="13"/>
        <v>Việt Namcông Ty Tnhh Công Nghệ Quang Lâm</v>
      </c>
      <c r="H285" t="str">
        <f>PROPER(TRIM(RIGHT(SUBSTITUTE(LEFT(D285, FIND("@", SUBSTITUTE(D285, ",", "@", LEN(D285)-LEN(SUBSTITUTE(D285, ",", ""))))-1), ",", REPT(" ", LEN(D285))), LEN(D285))))</f>
        <v>Hồ Chí Minh</v>
      </c>
      <c r="I285" t="str">
        <f t="shared" si="14"/>
        <v>Hồ Chí Minh</v>
      </c>
    </row>
    <row r="286" spans="1:9" x14ac:dyDescent="0.3">
      <c r="A286" t="s">
        <v>1752</v>
      </c>
      <c r="B286" t="s">
        <v>7824</v>
      </c>
      <c r="C286" t="s">
        <v>4083</v>
      </c>
      <c r="D286" t="str">
        <f t="shared" si="12"/>
        <v>2a đt.833, phường 5, tân an, long an, việt nam2a đt.833, phường 5, tân an, long an, việt nam</v>
      </c>
      <c r="E286" t="str">
        <f>SUBSTITUTE(SUBSTITUTE(SUBSTITUTE(LOWER(C286), "tphcm", "TP. Hồ Chí Minh"), "hcm", "TP. Hồ Chí Minh"), " q.", " Quận ")</f>
        <v>c90 tổ 1, khu phố 3, biên hòa, đồng nai, việt namcổng 2 công ty cổ phần taekwang vina , chi nhánh long bình</v>
      </c>
      <c r="F286" t="str">
        <f>PROPER(TRIM(RIGHT(SUBSTITUTE(D286, ",", REPT(" ", LEN(D286))), LEN(D286))))</f>
        <v>Việt Nam</v>
      </c>
      <c r="G286" t="str">
        <f t="shared" si="13"/>
        <v>Chi Nhánh Long Bình</v>
      </c>
      <c r="H286" t="str">
        <f>PROPER(TRIM(RIGHT(SUBSTITUTE(LEFT(D286, FIND("@", SUBSTITUTE(D286, ",", "@", LEN(D286)-LEN(SUBSTITUTE(D286, ",", ""))))-1), ",", REPT(" ", LEN(D286))), LEN(D286))))</f>
        <v>Long An</v>
      </c>
      <c r="I286" t="str">
        <f t="shared" si="14"/>
        <v>Việt Namcổng 2 Công Ty Cổ Phần Taekwang Vina</v>
      </c>
    </row>
    <row r="287" spans="1:9" x14ac:dyDescent="0.3">
      <c r="A287" t="s">
        <v>1762</v>
      </c>
      <c r="B287" t="s">
        <v>7835</v>
      </c>
      <c r="C287" t="s">
        <v>4090</v>
      </c>
      <c r="D287" t="str">
        <f t="shared" si="12"/>
        <v>1054/3 hẻm 1054 cách mạng tháng 8, phường 4, quận tân bình, hồ chí minh, việt nam1054/3 hẻm 1054 cách mạng tháng 8, phường 4, quận tân bình, hồ chí minh, việt nam</v>
      </c>
      <c r="E287" t="str">
        <f>SUBSTITUTE(SUBSTITUTE(SUBSTITUTE(LOWER(C287), "tphcm", "TP. Hồ Chí Minh"), "hcm", "TP. Hồ Chí Minh"), " q.", " Quận ")</f>
        <v>hội nghĩa, tân uyên, bình dương, việt namcông ty tnhh xinhui</v>
      </c>
      <c r="F287" t="str">
        <f>PROPER(TRIM(RIGHT(SUBSTITUTE(D287, ",", REPT(" ", LEN(D287))), LEN(D287))))</f>
        <v>Việt Nam</v>
      </c>
      <c r="G287" t="str">
        <f t="shared" si="13"/>
        <v>Việt Namcông Ty Tnhh Xinhui</v>
      </c>
      <c r="H287" t="str">
        <f>PROPER(TRIM(RIGHT(SUBSTITUTE(LEFT(D287, FIND("@", SUBSTITUTE(D287, ",", "@", LEN(D287)-LEN(SUBSTITUTE(D287, ",", ""))))-1), ",", REPT(" ", LEN(D287))), LEN(D287))))</f>
        <v>Hồ Chí Minh</v>
      </c>
      <c r="I287" t="str">
        <f t="shared" si="14"/>
        <v>Bình Dương</v>
      </c>
    </row>
    <row r="288" spans="1:9" x14ac:dyDescent="0.3">
      <c r="A288" t="s">
        <v>1770</v>
      </c>
      <c r="B288" t="s">
        <v>7867</v>
      </c>
      <c r="C288" t="s">
        <v>4100</v>
      </c>
      <c r="D288" t="str">
        <f t="shared" si="12"/>
        <v>gi fitting factory, xã tân lập 1, huyện tân phước, tiền giang, việt namgi fitting factory</v>
      </c>
      <c r="E288" t="str">
        <f>SUBSTITUTE(SUBSTITUTE(SUBSTITUTE(LOWER(C288), "tphcm", "TP. Hồ Chí Minh"), "hcm", "TP. Hồ Chí Minh"), " q.", " Quận ")</f>
        <v>944 đ. trường chinh, phường 15, tân bình, hồ chí minh, việt namcông ty trần công danh</v>
      </c>
      <c r="F288" t="str">
        <f>PROPER(TRIM(RIGHT(SUBSTITUTE(D288, ",", REPT(" ", LEN(D288))), LEN(D288))))</f>
        <v>Việt Namgi Fitting Factory</v>
      </c>
      <c r="G288" t="str">
        <f t="shared" si="13"/>
        <v>Việt Namcông Ty Trần Công Danh</v>
      </c>
      <c r="H288" t="str">
        <f>PROPER(TRIM(RIGHT(SUBSTITUTE(LEFT(D288, FIND("@", SUBSTITUTE(D288, ",", "@", LEN(D288)-LEN(SUBSTITUTE(D288, ",", ""))))-1), ",", REPT(" ", LEN(D288))), LEN(D288))))</f>
        <v>Tiền Giang</v>
      </c>
      <c r="I288" t="str">
        <f t="shared" si="14"/>
        <v>Hồ Chí Minh</v>
      </c>
    </row>
    <row r="289" spans="1:9" x14ac:dyDescent="0.3">
      <c r="A289" t="s">
        <v>1774</v>
      </c>
      <c r="B289" t="s">
        <v>7881</v>
      </c>
      <c r="C289" t="s">
        <v>4107</v>
      </c>
      <c r="D289" t="str">
        <f t="shared" si="12"/>
        <v>nhà vợ, bình yên đông 3, phường 4, tân an, long an, việt namnhà vợ</v>
      </c>
      <c r="E289" t="str">
        <f>SUBSTITUTE(SUBSTITUTE(SUBSTITUTE(LOWER(C289), "tphcm", "TP. Hồ Chí Minh"), "hcm", "TP. Hồ Chí Minh"), " q.", " Quận ")</f>
        <v>đường số 6, khu phố 5, bình tân, hồ chí minh, vietnamcông ty vinh phát</v>
      </c>
      <c r="F289" t="str">
        <f>PROPER(TRIM(RIGHT(SUBSTITUTE(D289, ",", REPT(" ", LEN(D289))), LEN(D289))))</f>
        <v>Việt Namnhà Vợ</v>
      </c>
      <c r="G289" t="str">
        <f t="shared" si="13"/>
        <v>Vietnamcông Ty Vinh Phát</v>
      </c>
      <c r="H289" t="str">
        <f>PROPER(TRIM(RIGHT(SUBSTITUTE(LEFT(D289, FIND("@", SUBSTITUTE(D289, ",", "@", LEN(D289)-LEN(SUBSTITUTE(D289, ",", ""))))-1), ",", REPT(" ", LEN(D289))), LEN(D289))))</f>
        <v>Long An</v>
      </c>
      <c r="I289" t="str">
        <f t="shared" si="14"/>
        <v>Hồ Chí Minh</v>
      </c>
    </row>
    <row r="290" spans="1:9" x14ac:dyDescent="0.3">
      <c r="A290" t="s">
        <v>1778</v>
      </c>
      <c r="B290" t="s">
        <v>7893</v>
      </c>
      <c r="C290" t="s">
        <v>4118</v>
      </c>
      <c r="D290" t="str">
        <f t="shared" si="12"/>
        <v>130-132 đường nguyễn hữu thọ, thị trấn bến lức, huyện bến lức, long an, việt nam130-132 đường nguyễn hữu thọ</v>
      </c>
      <c r="E290" t="str">
        <f>SUBSTITUTE(SUBSTITUTE(SUBSTITUTE(LOWER(C290), "tphcm", "TP. Hồ Chí Minh"), "hcm", "TP. Hồ Chí Minh"), " q.", " Quận ")</f>
        <v>lô d kcn lộc an bình sơn, long an, long thành, đồng nai, việt namcông ty tnhh topband smart đồng nai việt nam</v>
      </c>
      <c r="F290" t="str">
        <f>PROPER(TRIM(RIGHT(SUBSTITUTE(D290, ",", REPT(" ", LEN(D290))), LEN(D290))))</f>
        <v>Việt Nam130-132 Đường Nguyễn Hữu Thọ</v>
      </c>
      <c r="G290" t="str">
        <f t="shared" si="13"/>
        <v>Việt Namcông Ty Tnhh Topband Smart Đồng Nai Việt Nam</v>
      </c>
      <c r="H290" t="str">
        <f>PROPER(TRIM(RIGHT(SUBSTITUTE(LEFT(D290, FIND("@", SUBSTITUTE(D290, ",", "@", LEN(D290)-LEN(SUBSTITUTE(D290, ",", ""))))-1), ",", REPT(" ", LEN(D290))), LEN(D290))))</f>
        <v>Long An</v>
      </c>
      <c r="I290" t="str">
        <f t="shared" si="14"/>
        <v>Đồng Nai</v>
      </c>
    </row>
    <row r="291" spans="1:9" x14ac:dyDescent="0.3">
      <c r="A291" t="s">
        <v>1783</v>
      </c>
      <c r="B291" t="s">
        <v>7902</v>
      </c>
      <c r="C291" t="s">
        <v>4151</v>
      </c>
      <c r="D291" t="str">
        <f t="shared" si="12"/>
        <v>840 an dương vương, an lạc, quận 6, hồ chí minh, việt nam840/10 đường an dương vương</v>
      </c>
      <c r="E291" t="str">
        <f>SUBSTITUTE(SUBSTITUTE(SUBSTITUTE(LOWER(C291), "tphcm", "TP. Hồ Chí Minh"), "hcm", "TP. Hồ Chí Minh"), " q.", " Quận ")</f>
        <v>qppg+h68, an khánh, hồ chí minh, việt namqppg+h68, an khánh, hồ chí minh, việt nam</v>
      </c>
      <c r="F291" t="str">
        <f>PROPER(TRIM(RIGHT(SUBSTITUTE(D291, ",", REPT(" ", LEN(D291))), LEN(D291))))</f>
        <v>Việt Nam840/10 Đường An Dương Vương</v>
      </c>
      <c r="G291" t="str">
        <f t="shared" si="13"/>
        <v>Việt Nam</v>
      </c>
      <c r="H291" t="str">
        <f>PROPER(TRIM(RIGHT(SUBSTITUTE(LEFT(D291, FIND("@", SUBSTITUTE(D291, ",", "@", LEN(D291)-LEN(SUBSTITUTE(D291, ",", ""))))-1), ",", REPT(" ", LEN(D291))), LEN(D291))))</f>
        <v>Hồ Chí Minh</v>
      </c>
      <c r="I291" t="str">
        <f t="shared" si="14"/>
        <v>Hồ Chí Minh</v>
      </c>
    </row>
    <row r="292" spans="1:9" x14ac:dyDescent="0.3">
      <c r="A292" t="s">
        <v>1788</v>
      </c>
      <c r="B292" t="s">
        <v>7923</v>
      </c>
      <c r="C292" t="s">
        <v>4177</v>
      </c>
      <c r="D292" t="str">
        <f t="shared" si="12"/>
        <v>purelife home (vietnam) company limited, đường số 1, kcn phúc long, long hiệp, bến lức, long an, việt nampurelife home (vietnam) company limited</v>
      </c>
      <c r="E292" t="str">
        <f>SUBSTITUTE(SUBSTITUTE(SUBSTITUTE(LOWER(C292), "tphcm", "TP. Hồ Chí Minh"), "hcm", "TP. Hồ Chí Minh"), " q.", " Quận ")</f>
        <v>10/16 đ. chùa hội khánh, phú cường, thủ dầu một, bình dương, việt namcông ty tnhh mtv nhựa ngọc thắng</v>
      </c>
      <c r="F292" t="str">
        <f>PROPER(TRIM(RIGHT(SUBSTITUTE(D292, ",", REPT(" ", LEN(D292))), LEN(D292))))</f>
        <v>Việt Nampurelife Home (Vietnam) Company Limited</v>
      </c>
      <c r="G292" t="str">
        <f t="shared" si="13"/>
        <v>Việt Namcông Ty Tnhh Mtv Nhựa Ngọc Thắng</v>
      </c>
      <c r="H292" t="str">
        <f>PROPER(TRIM(RIGHT(SUBSTITUTE(LEFT(D292, FIND("@", SUBSTITUTE(D292, ",", "@", LEN(D292)-LEN(SUBSTITUTE(D292, ",", ""))))-1), ",", REPT(" ", LEN(D292))), LEN(D292))))</f>
        <v>Long An</v>
      </c>
      <c r="I292" t="str">
        <f t="shared" si="14"/>
        <v>Bình Dương</v>
      </c>
    </row>
    <row r="293" spans="1:9" x14ac:dyDescent="0.3">
      <c r="A293" t="s">
        <v>1795</v>
      </c>
      <c r="B293" t="s">
        <v>7934</v>
      </c>
      <c r="C293" t="s">
        <v>4203</v>
      </c>
      <c r="D293" t="str">
        <f t="shared" si="12"/>
        <v>khu công nghiệp thuận đạo mở rộng, long định, cần đước, long an, việt nambw thuan dao logistics park</v>
      </c>
      <c r="E293" t="str">
        <f>SUBSTITUTE(SUBSTITUTE(SUBSTITUTE(LOWER(C293), "tphcm", "TP. Hồ Chí Minh"), "hcm", "TP. Hồ Chí Minh"), " q.", " Quận ")</f>
        <v>quận 8, đường số 18, ấp 2, bình hưng, bình chánh, thành phố hồ chí minh, việt namquận 8</v>
      </c>
      <c r="F293" t="str">
        <f>PROPER(TRIM(RIGHT(SUBSTITUTE(D293, ",", REPT(" ", LEN(D293))), LEN(D293))))</f>
        <v>Việt Nambw Thuan Dao Logistics Park</v>
      </c>
      <c r="G293" t="str">
        <f t="shared" si="13"/>
        <v>Việt Namquận 8</v>
      </c>
      <c r="H293" t="str">
        <f>PROPER(TRIM(RIGHT(SUBSTITUTE(LEFT(D293, FIND("@", SUBSTITUTE(D293, ",", "@", LEN(D293)-LEN(SUBSTITUTE(D293, ",", ""))))-1), ",", REPT(" ", LEN(D293))), LEN(D293))))</f>
        <v>Long An</v>
      </c>
      <c r="I293" t="str">
        <f t="shared" si="14"/>
        <v>Thành Phố Hồ Chí Minh</v>
      </c>
    </row>
    <row r="294" spans="1:9" x14ac:dyDescent="0.3">
      <c r="A294" t="s">
        <v>1800</v>
      </c>
      <c r="B294" t="s">
        <v>8001</v>
      </c>
      <c r="C294" t="s">
        <v>4210</v>
      </c>
      <c r="D294" t="str">
        <f t="shared" si="12"/>
        <v>công ty tnhh mtv woosung việt nam, phúc long, long hiệp, bến lức, long an, việt namcông ty tnhh mtv woosung việt nam</v>
      </c>
      <c r="E294" t="str">
        <f>SUBSTITUTE(SUBSTITUTE(SUBSTITUTE(LOWER(C294), "tphcm", "TP. Hồ Chí Minh"), "hcm", "TP. Hồ Chí Minh"), " q.", " Quận ")</f>
        <v>1502/8/27, nguyễn duy trinh, long trường, hồ chí minh, việt nam1502/8/27, nguyễn duy trinh, long trường, hồ chí minh, việt nam</v>
      </c>
      <c r="F294" t="str">
        <f>PROPER(TRIM(RIGHT(SUBSTITUTE(D294, ",", REPT(" ", LEN(D294))), LEN(D294))))</f>
        <v>Việt Namcông Ty Tnhh Mtv Woosung Việt Nam</v>
      </c>
      <c r="G294" t="str">
        <f t="shared" si="13"/>
        <v>Việt Nam</v>
      </c>
      <c r="H294" t="str">
        <f>PROPER(TRIM(RIGHT(SUBSTITUTE(LEFT(D294, FIND("@", SUBSTITUTE(D294, ",", "@", LEN(D294)-LEN(SUBSTITUTE(D294, ",", ""))))-1), ",", REPT(" ", LEN(D294))), LEN(D294))))</f>
        <v>Long An</v>
      </c>
      <c r="I294" t="str">
        <f t="shared" si="14"/>
        <v>Hồ Chí Minh</v>
      </c>
    </row>
    <row r="295" spans="1:9" x14ac:dyDescent="0.3">
      <c r="A295" t="s">
        <v>1804</v>
      </c>
      <c r="B295" t="s">
        <v>8223</v>
      </c>
      <c r="C295" t="s">
        <v>4230</v>
      </c>
      <c r="D295" t="str">
        <f t="shared" si="12"/>
        <v>129a đ. bình thới, phường 11, quận 11, hồ chí minh, việt nam129a đường bình thới</v>
      </c>
      <c r="E295" t="str">
        <f>SUBSTITUTE(SUBSTITUTE(SUBSTITUTE(LOWER(C295), "tphcm", "TP. Hồ Chí Minh"), "hcm", "TP. Hồ Chí Minh"), " q.", " Quận ")</f>
        <v>d6 khu phố 4, khu dân cư viet sing, thuận an, bình dương, việt namd6 khu phố 4, khu dân cư viet sing, thuận an, bình dương, việt nam</v>
      </c>
      <c r="F295" t="str">
        <f>PROPER(TRIM(RIGHT(SUBSTITUTE(D295, ",", REPT(" ", LEN(D295))), LEN(D295))))</f>
        <v>Việt Nam129A Đường Bình Thới</v>
      </c>
      <c r="G295" t="str">
        <f t="shared" si="13"/>
        <v>Việt Nam</v>
      </c>
      <c r="H295" t="str">
        <f>PROPER(TRIM(RIGHT(SUBSTITUTE(LEFT(D295, FIND("@", SUBSTITUTE(D295, ",", "@", LEN(D295)-LEN(SUBSTITUTE(D295, ",", ""))))-1), ",", REPT(" ", LEN(D295))), LEN(D295))))</f>
        <v>Hồ Chí Minh</v>
      </c>
      <c r="I295" t="str">
        <f t="shared" si="14"/>
        <v>Bình Dương</v>
      </c>
    </row>
    <row r="296" spans="1:9" x14ac:dyDescent="0.3">
      <c r="A296" t="s">
        <v>1810</v>
      </c>
      <c r="B296" t="s">
        <v>8348</v>
      </c>
      <c r="C296" t="s">
        <v>4237</v>
      </c>
      <c r="D296" t="str">
        <f t="shared" si="12"/>
        <v>nhà xưởng b1, kcn phúc long, long hiệp, bến lức, long an, việt namclimaveneta vietnam</v>
      </c>
      <c r="E296" t="str">
        <f>SUBSTITUTE(SUBSTITUTE(SUBSTITUTE(LOWER(C296), "tphcm", "TP. Hồ Chí Minh"), "hcm", "TP. Hồ Chí Minh"), " q.", " Quận ")</f>
        <v>108, 110 đ. phạm phú thứ, phường 3, quận 6, hồ chí minh 700000, việt namcông ty tnhh phương diêm thuận</v>
      </c>
      <c r="F296" t="str">
        <f>PROPER(TRIM(RIGHT(SUBSTITUTE(D296, ",", REPT(" ", LEN(D296))), LEN(D296))))</f>
        <v>Việt Namclimaveneta Vietnam</v>
      </c>
      <c r="G296" t="str">
        <f t="shared" si="13"/>
        <v>Việt Namcông Ty Tnhh Phương Diêm Thuận</v>
      </c>
      <c r="H296" t="str">
        <f>PROPER(TRIM(RIGHT(SUBSTITUTE(LEFT(D296, FIND("@", SUBSTITUTE(D296, ",", "@", LEN(D296)-LEN(SUBSTITUTE(D296, ",", ""))))-1), ",", REPT(" ", LEN(D296))), LEN(D296))))</f>
        <v>Long An</v>
      </c>
      <c r="I296" t="str">
        <f t="shared" si="14"/>
        <v>Hồ Chí Minh 700000</v>
      </c>
    </row>
    <row r="297" spans="1:9" x14ac:dyDescent="0.3">
      <c r="A297" t="s">
        <v>1818</v>
      </c>
      <c r="B297" t="s">
        <v>8437</v>
      </c>
      <c r="C297" t="s">
        <v>4256</v>
      </c>
      <c r="D297" t="str">
        <f t="shared" si="12"/>
        <v>150 ql1a, phường 2, tân an, long an, việt nam150 ql1a</v>
      </c>
      <c r="E297" t="str">
        <f>SUBSTITUTE(SUBSTITUTE(SUBSTITUTE(LOWER(C297), "tphcm", "TP. Hồ Chí Minh"), "hcm", "TP. Hồ Chí Minh"), " q.", " Quận ")</f>
        <v>102 đường tân an, tân đông hiệp, dĩ an, bình dương, việt nam102 đường tân an, tân đông hiệp, dĩ an, bình dương, việt nam</v>
      </c>
      <c r="F297" t="str">
        <f>PROPER(TRIM(RIGHT(SUBSTITUTE(D297, ",", REPT(" ", LEN(D297))), LEN(D297))))</f>
        <v>Việt Nam150 Ql1A</v>
      </c>
      <c r="G297" t="str">
        <f t="shared" si="13"/>
        <v>Việt Nam</v>
      </c>
      <c r="H297" t="str">
        <f>PROPER(TRIM(RIGHT(SUBSTITUTE(LEFT(D297, FIND("@", SUBSTITUTE(D297, ",", "@", LEN(D297)-LEN(SUBSTITUTE(D297, ",", ""))))-1), ",", REPT(" ", LEN(D297))), LEN(D297))))</f>
        <v>Long An</v>
      </c>
      <c r="I297" t="str">
        <f t="shared" si="14"/>
        <v>Bình Dương</v>
      </c>
    </row>
    <row r="298" spans="1:9" x14ac:dyDescent="0.3">
      <c r="A298" t="s">
        <v>1830</v>
      </c>
      <c r="B298" t="s">
        <v>8463</v>
      </c>
      <c r="C298" t="s">
        <v>4274</v>
      </c>
      <c r="D298" t="str">
        <f t="shared" si="12"/>
        <v>đường số 3, lợi bình nhơn, tp. tân an, tiền giang, việt namđường số 3</v>
      </c>
      <c r="E298" t="str">
        <f>SUBSTITUTE(SUBSTITUTE(SUBSTITUTE(LOWER(C298), "tphcm", "TP. Hồ Chí Minh"), "hcm", "TP. Hồ Chí Minh"), " q.", " Quận ")</f>
        <v>19 hẻm 805/2 nguyễn ái quốc, phường tân hiệp, biên hòa, đồng nai, việt nam19 hẻm 805/2 nguyễn ái quốc</v>
      </c>
      <c r="F298" t="str">
        <f>PROPER(TRIM(RIGHT(SUBSTITUTE(D298, ",", REPT(" ", LEN(D298))), LEN(D298))))</f>
        <v>Việt Namđường Số 3</v>
      </c>
      <c r="G298" t="str">
        <f t="shared" si="13"/>
        <v>Việt Nam19 Hẻm 805/2 Nguyễn Ái Quốc</v>
      </c>
      <c r="H298" t="str">
        <f>PROPER(TRIM(RIGHT(SUBSTITUTE(LEFT(D298, FIND("@", SUBSTITUTE(D298, ",", "@", LEN(D298)-LEN(SUBSTITUTE(D298, ",", ""))))-1), ",", REPT(" ", LEN(D298))), LEN(D298))))</f>
        <v>Tiền Giang</v>
      </c>
      <c r="I298" t="str">
        <f t="shared" si="14"/>
        <v>Đồng Nai</v>
      </c>
    </row>
    <row r="299" spans="1:9" x14ac:dyDescent="0.3">
      <c r="A299" t="s">
        <v>1834</v>
      </c>
      <c r="B299" t="s">
        <v>8473</v>
      </c>
      <c r="C299" t="s">
        <v>4281</v>
      </c>
      <c r="D299" t="str">
        <f t="shared" si="12"/>
        <v>xã tân hương, huyện châu thành, tiền giang, việt namgarage thanh liêm</v>
      </c>
      <c r="E299" t="str">
        <f>SUBSTITUTE(SUBSTITUTE(SUBSTITUTE(LOWER(C299), "tphcm", "TP. Hồ Chí Minh"), "hcm", "TP. Hồ Chí Minh"), " q.", " Quận ")</f>
        <v>23 đ. an dương vương, phường 16, quận 8, hồ chí minh, việt namcông ty tnhh trần tỷ</v>
      </c>
      <c r="F299" t="str">
        <f>PROPER(TRIM(RIGHT(SUBSTITUTE(D299, ",", REPT(" ", LEN(D299))), LEN(D299))))</f>
        <v>Việt Namgarage Thanh Liêm</v>
      </c>
      <c r="G299" t="str">
        <f t="shared" si="13"/>
        <v>Việt Namcông Ty Tnhh Trần Tỷ</v>
      </c>
      <c r="H299" t="str">
        <f>PROPER(TRIM(RIGHT(SUBSTITUTE(LEFT(D299, FIND("@", SUBSTITUTE(D299, ",", "@", LEN(D299)-LEN(SUBSTITUTE(D299, ",", ""))))-1), ",", REPT(" ", LEN(D299))), LEN(D299))))</f>
        <v>Tiền Giang</v>
      </c>
      <c r="I299" t="str">
        <f t="shared" si="14"/>
        <v>Hồ Chí Minh</v>
      </c>
    </row>
    <row r="300" spans="1:9" x14ac:dyDescent="0.3">
      <c r="A300" t="s">
        <v>1844</v>
      </c>
      <c r="B300" t="s">
        <v>8483</v>
      </c>
      <c r="C300" t="s">
        <v>4310</v>
      </c>
      <c r="D300" t="str">
        <f t="shared" si="12"/>
        <v>đường sô 1, lợi bình nhơn, tp. tân an, long an, việt namđường sô 1, lợi bình nhơn, tp. tân an, long an, việt nam</v>
      </c>
      <c r="E300" t="str">
        <f>SUBSTITUTE(SUBSTITUTE(SUBSTITUTE(LOWER(C300), "tphcm", "TP. Hồ Chí Minh"), "hcm", "TP. Hồ Chí Minh"), " q.", " Quận ")</f>
        <v>bia hơi quận 7 | kiên béo, đường số 9, tân hưng, hồ chí minh, việt nambia hơi quận 7 | kiên béo</v>
      </c>
      <c r="F300" t="str">
        <f>PROPER(TRIM(RIGHT(SUBSTITUTE(D300, ",", REPT(" ", LEN(D300))), LEN(D300))))</f>
        <v>Việt Nam</v>
      </c>
      <c r="G300" t="str">
        <f t="shared" si="13"/>
        <v>Việt Nambia Hơi Quận 7 | Kiên Béo</v>
      </c>
      <c r="H300" t="str">
        <f>PROPER(TRIM(RIGHT(SUBSTITUTE(LEFT(D300, FIND("@", SUBSTITUTE(D300, ",", "@", LEN(D300)-LEN(SUBSTITUTE(D300, ",", ""))))-1), ",", REPT(" ", LEN(D300))), LEN(D300))))</f>
        <v>Long An</v>
      </c>
      <c r="I300" t="str">
        <f t="shared" si="14"/>
        <v>Hồ Chí Minh</v>
      </c>
    </row>
    <row r="301" spans="1:9" x14ac:dyDescent="0.3">
      <c r="A301" t="s">
        <v>1854</v>
      </c>
      <c r="B301" t="s">
        <v>8545</v>
      </c>
      <c r="C301" t="s">
        <v>4317</v>
      </c>
      <c r="D301" t="str">
        <f t="shared" si="12"/>
        <v>đường số 1,82112nhà máy điều long an</v>
      </c>
      <c r="E301" t="str">
        <f>SUBSTITUTE(SUBSTITUTE(SUBSTITUTE(LOWER(C301), "tphcm", "TP. Hồ Chí Minh"), "hcm", "TP. Hồ Chí Minh"), " q.", " Quận ")</f>
        <v>công ty cổ phần ba thanh quận 12, lê văn khương, thới an, quận 12, thành phố hồ chí minh, việt namcông ty cổ phần ba thanh quận 12</v>
      </c>
      <c r="F301" t="str">
        <f>PROPER(TRIM(RIGHT(SUBSTITUTE(D301, ",", REPT(" ", LEN(D301))), LEN(D301))))</f>
        <v>82112Nhà Máy Điều Long An</v>
      </c>
      <c r="G301" t="str">
        <f t="shared" si="13"/>
        <v>Việt Namcông Ty Cổ Phần Ba Thanh Quận 12</v>
      </c>
      <c r="H301" t="str">
        <f>PROPER(TRIM(RIGHT(SUBSTITUTE(LEFT(D301, FIND("@", SUBSTITUTE(D301, ",", "@", LEN(D301)-LEN(SUBSTITUTE(D301, ",", ""))))-1), ",", REPT(" ", LEN(D301))), LEN(D301))))</f>
        <v>Đường Số 1</v>
      </c>
      <c r="I301" t="str">
        <f t="shared" si="14"/>
        <v>Thành Phố Hồ Chí Minh</v>
      </c>
    </row>
    <row r="302" spans="1:9" x14ac:dyDescent="0.3">
      <c r="A302" t="s">
        <v>1861</v>
      </c>
      <c r="B302" t="s">
        <v>8571</v>
      </c>
      <c r="C302" t="s">
        <v>4359</v>
      </c>
      <c r="D302" t="str">
        <f t="shared" si="12"/>
        <v>công ty tnhh thể thao giải trí goleader việt nam, tân lập 1, tân phước, tiền giang, việt namcông ty tnhh thể thao giải trí goleader việt nam</v>
      </c>
      <c r="E302" t="str">
        <f>SUBSTITUTE(SUBSTITUTE(SUBSTITUTE(LOWER(C302), "tphcm", "TP. Hồ Chí Minh"), "hcm", "TP. Hồ Chí Minh"), " q.", " Quận ")</f>
        <v>45 phạm hữu chí, phường 12, quận 5, hồ chí minh, việt namcông ty tnhh quốc hoàng</v>
      </c>
      <c r="F302" t="str">
        <f>PROPER(TRIM(RIGHT(SUBSTITUTE(D302, ",", REPT(" ", LEN(D302))), LEN(D302))))</f>
        <v>Việt Namcông Ty Tnhh Thể Thao Giải Trí Goleader Việt Nam</v>
      </c>
      <c r="G302" t="str">
        <f t="shared" si="13"/>
        <v>Việt Namcông Ty Tnhh Quốc Hoàng</v>
      </c>
      <c r="H302" t="str">
        <f>PROPER(TRIM(RIGHT(SUBSTITUTE(LEFT(D302, FIND("@", SUBSTITUTE(D302, ",", "@", LEN(D302)-LEN(SUBSTITUTE(D302, ",", ""))))-1), ",", REPT(" ", LEN(D302))), LEN(D302))))</f>
        <v>Tiền Giang</v>
      </c>
      <c r="I302" t="str">
        <f t="shared" si="14"/>
        <v>Hồ Chí Minh</v>
      </c>
    </row>
    <row r="303" spans="1:9" x14ac:dyDescent="0.3">
      <c r="A303" t="s">
        <v>1868</v>
      </c>
      <c r="B303" t="s">
        <v>8634</v>
      </c>
      <c r="C303" t="s">
        <v>4373</v>
      </c>
      <c r="D303" t="str">
        <f t="shared" si="12"/>
        <v>113 ql1, bến lức, tây ninh, việt nam113 quốc lộ 1</v>
      </c>
      <c r="E303" t="str">
        <f>SUBSTITUTE(SUBSTITUTE(SUBSTITUTE(LOWER(C303), "tphcm", "TP. Hồ Chí Minh"), "hcm", "TP. Hồ Chí Minh"), " q.", " Quận ")</f>
        <v>205 hoàng hoa thám, phường 13, tân bình, thành phố hồ chí minh, việt nam205 hoàng hoa thám</v>
      </c>
      <c r="F303" t="str">
        <f>PROPER(TRIM(RIGHT(SUBSTITUTE(D303, ",", REPT(" ", LEN(D303))), LEN(D303))))</f>
        <v>Việt Nam113 Quốc Lộ 1</v>
      </c>
      <c r="G303" t="str">
        <f t="shared" si="13"/>
        <v>Việt Nam205 Hoàng Hoa Thám</v>
      </c>
      <c r="H303" t="str">
        <f>PROPER(TRIM(RIGHT(SUBSTITUTE(LEFT(D303, FIND("@", SUBSTITUTE(D303, ",", "@", LEN(D303)-LEN(SUBSTITUTE(D303, ",", ""))))-1), ",", REPT(" ", LEN(D303))), LEN(D303))))</f>
        <v>Tây Ninh</v>
      </c>
      <c r="I303" t="str">
        <f t="shared" si="14"/>
        <v>Thành Phố Hồ Chí Minh</v>
      </c>
    </row>
    <row r="304" spans="1:9" x14ac:dyDescent="0.3">
      <c r="A304" t="s">
        <v>1875</v>
      </c>
      <c r="B304" t="s">
        <v>8643</v>
      </c>
      <c r="C304" t="s">
        <v>4382</v>
      </c>
      <c r="D304" t="str">
        <f t="shared" si="12"/>
        <v>đường sô 1, lợi bình nhơn, tân an, long an, việt namđường sô 1</v>
      </c>
      <c r="E304" t="str">
        <f>SUBSTITUTE(SUBSTITUTE(SUBSTITUTE(LOWER(C304), "tphcm", "TP. Hồ Chí Minh"), "hcm", "TP. Hồ Chí Minh"), " q.", " Quận ")</f>
        <v>xuyên mộc, bà rịa - vũng tàu, việt namxuyên mộc</v>
      </c>
      <c r="F304" t="str">
        <f>PROPER(TRIM(RIGHT(SUBSTITUTE(D304, ",", REPT(" ", LEN(D304))), LEN(D304))))</f>
        <v>Việt Namđường Sô 1</v>
      </c>
      <c r="G304" t="str">
        <f t="shared" si="13"/>
        <v>Việt Namxuyên Mộc</v>
      </c>
      <c r="H304" t="str">
        <f>PROPER(TRIM(RIGHT(SUBSTITUTE(LEFT(D304, FIND("@", SUBSTITUTE(D304, ",", "@", LEN(D304)-LEN(SUBSTITUTE(D304, ",", ""))))-1), ",", REPT(" ", LEN(D304))), LEN(D304))))</f>
        <v>Long An</v>
      </c>
      <c r="I304" t="str">
        <f t="shared" si="14"/>
        <v>Bà Rịa - Vũng Tàu</v>
      </c>
    </row>
    <row r="305" spans="1:9" x14ac:dyDescent="0.3">
      <c r="A305" t="s">
        <v>1886</v>
      </c>
      <c r="B305" t="s">
        <v>8653</v>
      </c>
      <c r="C305" t="s">
        <v>4389</v>
      </c>
      <c r="D305" t="str">
        <f t="shared" si="12"/>
        <v>đường số 2,82112nguyên thịnh-nhà máy bê tông tân an</v>
      </c>
      <c r="E305" t="str">
        <f>SUBSTITUTE(SUBSTITUTE(SUBSTITUTE(LOWER(C305), "tphcm", "TP. Hồ Chí Minh"), "hcm", "TP. Hồ Chí Minh"), " q.", " Quận ")</f>
        <v>bình phước, đồng nai, việt nambình phước</v>
      </c>
      <c r="F305" t="str">
        <f>PROPER(TRIM(RIGHT(SUBSTITUTE(D305, ",", REPT(" ", LEN(D305))), LEN(D305))))</f>
        <v>82112Nguyên Thịnh-Nhà Máy Bê Tông Tân An</v>
      </c>
      <c r="G305" t="str">
        <f t="shared" si="13"/>
        <v>Việt Nambình Phước</v>
      </c>
      <c r="H305" t="str">
        <f>PROPER(TRIM(RIGHT(SUBSTITUTE(LEFT(D305, FIND("@", SUBSTITUTE(D305, ",", "@", LEN(D305)-LEN(SUBSTITUTE(D305, ",", ""))))-1), ",", REPT(" ", LEN(D305))), LEN(D305))))</f>
        <v>Đường Số 2</v>
      </c>
      <c r="I305" t="str">
        <f t="shared" si="14"/>
        <v>Đồng Nai</v>
      </c>
    </row>
    <row r="306" spans="1:9" x14ac:dyDescent="0.3">
      <c r="A306" t="s">
        <v>1896</v>
      </c>
      <c r="B306" t="s">
        <v>8669</v>
      </c>
      <c r="C306" t="s">
        <v>4401</v>
      </c>
      <c r="D306" t="str">
        <f t="shared" si="12"/>
        <v>ql1, tt. bến lức, bến lức, long an, việt namql1</v>
      </c>
      <c r="E306" t="str">
        <f>SUBSTITUTE(SUBSTITUTE(SUBSTITUTE(LOWER(C306), "tphcm", "TP. Hồ Chí Minh"), "hcm", "TP. Hồ Chí Minh"), " q.", " Quận ")</f>
        <v>tân trụ, long an, việt namtân trụ</v>
      </c>
      <c r="F306" t="str">
        <f>PROPER(TRIM(RIGHT(SUBSTITUTE(D306, ",", REPT(" ", LEN(D306))), LEN(D306))))</f>
        <v>Việt Namql1</v>
      </c>
      <c r="G306" t="str">
        <f t="shared" si="13"/>
        <v>Việt Namtân Trụ</v>
      </c>
      <c r="H306" t="str">
        <f>PROPER(TRIM(RIGHT(SUBSTITUTE(LEFT(D306, FIND("@", SUBSTITUTE(D306, ",", "@", LEN(D306)-LEN(SUBSTITUTE(D306, ",", ""))))-1), ",", REPT(" ", LEN(D306))), LEN(D306))))</f>
        <v>Long An</v>
      </c>
      <c r="I306" t="str">
        <f t="shared" si="14"/>
        <v>Long An</v>
      </c>
    </row>
    <row r="307" spans="1:9" x14ac:dyDescent="0.3">
      <c r="A307" t="s">
        <v>1906</v>
      </c>
      <c r="B307" t="s">
        <v>8678</v>
      </c>
      <c r="C307" t="s">
        <v>4411</v>
      </c>
      <c r="D307" t="str">
        <f t="shared" si="12"/>
        <v>long hiệp, bến lức, long an 82600, việt namhoà bình ceramic</v>
      </c>
      <c r="E307" t="str">
        <f>SUBSTITUTE(SUBSTITUTE(SUBSTITUTE(LOWER(C307), "tphcm", "TP. Hồ Chí Minh"), "hcm", "TP. Hồ Chí Minh"), " q.", " Quận ")</f>
        <v>4 đường nguyễn văn nghi, phường 5, quận gò vấp, hồ chí minh, việt nam4 đường nguyễn văn nghi</v>
      </c>
      <c r="F307" t="str">
        <f>PROPER(TRIM(RIGHT(SUBSTITUTE(D307, ",", REPT(" ", LEN(D307))), LEN(D307))))</f>
        <v>Việt Namhoà Bình Ceramic</v>
      </c>
      <c r="G307" t="str">
        <f t="shared" si="13"/>
        <v>Việt Nam4 Đường Nguyễn Văn Nghi</v>
      </c>
      <c r="H307" t="str">
        <f>PROPER(TRIM(RIGHT(SUBSTITUTE(LEFT(D307, FIND("@", SUBSTITUTE(D307, ",", "@", LEN(D307)-LEN(SUBSTITUTE(D307, ",", ""))))-1), ",", REPT(" ", LEN(D307))), LEN(D307))))</f>
        <v>Long An 82600</v>
      </c>
      <c r="I307" t="str">
        <f t="shared" si="14"/>
        <v>Hồ Chí Minh</v>
      </c>
    </row>
    <row r="308" spans="1:9" x14ac:dyDescent="0.3">
      <c r="A308" t="s">
        <v>1917</v>
      </c>
      <c r="B308" t="s">
        <v>8693</v>
      </c>
      <c r="C308" t="s">
        <v>4419</v>
      </c>
      <c r="D308" t="str">
        <f t="shared" si="12"/>
        <v>synergy in motion viet nam, long cang, tây ninh, việt namsynergy in motion viet nam</v>
      </c>
      <c r="E308" t="str">
        <f>SUBSTITUTE(SUBSTITUTE(SUBSTITUTE(LOWER(C308), "tphcm", "TP. Hồ Chí Minh"), "hcm", "TP. Hồ Chí Minh"), " q.", " Quận ")</f>
        <v>23 đường ba vì, phường 4, quận tân bình, hồ chí minh, việt namcông ty cp đầu tư thiết bị việt long</v>
      </c>
      <c r="F308" t="str">
        <f>PROPER(TRIM(RIGHT(SUBSTITUTE(D308, ",", REPT(" ", LEN(D308))), LEN(D308))))</f>
        <v>Việt Namsynergy In Motion Viet Nam</v>
      </c>
      <c r="G308" t="str">
        <f t="shared" si="13"/>
        <v>Việt Namcông Ty Cp Đầu Tư Thiết Bị Việt Long</v>
      </c>
      <c r="H308" t="str">
        <f>PROPER(TRIM(RIGHT(SUBSTITUTE(LEFT(D308, FIND("@", SUBSTITUTE(D308, ",", "@", LEN(D308)-LEN(SUBSTITUTE(D308, ",", ""))))-1), ",", REPT(" ", LEN(D308))), LEN(D308))))</f>
        <v>Tây Ninh</v>
      </c>
      <c r="I308" t="str">
        <f t="shared" si="14"/>
        <v>Hồ Chí Minh</v>
      </c>
    </row>
    <row r="309" spans="1:9" x14ac:dyDescent="0.3">
      <c r="A309" t="s">
        <v>1924</v>
      </c>
      <c r="B309" t="s">
        <v>8702</v>
      </c>
      <c r="C309" t="s">
        <v>4431</v>
      </c>
      <c r="D309" t="str">
        <f t="shared" si="12"/>
        <v>công ty tnhh sản phẩm thể thao giải trí bestway, huyện tân phước, tiền giangcông ty tnhh sản phẩm thể thao giải trí bestway</v>
      </c>
      <c r="E309" t="str">
        <f>SUBSTITUTE(SUBSTITUTE(SUBSTITUTE(LOWER(C309), "tphcm", "TP. Hồ Chí Minh"), "hcm", "TP. Hồ Chí Minh"), " q.", " Quận ")</f>
        <v>8v9h+rxm, ql30, thanh hưng, đồng tháp, việt namtiền giang</v>
      </c>
      <c r="F309" t="str">
        <f>PROPER(TRIM(RIGHT(SUBSTITUTE(D309, ",", REPT(" ", LEN(D309))), LEN(D309))))</f>
        <v>Tiền Giangcông Ty Tnhh Sản Phẩm Thể Thao Giải Trí Bestway</v>
      </c>
      <c r="G309" t="str">
        <f t="shared" si="13"/>
        <v>Việt Namtiền Giang</v>
      </c>
      <c r="H309" t="str">
        <f>PROPER(TRIM(RIGHT(SUBSTITUTE(LEFT(D309, FIND("@", SUBSTITUTE(D309, ",", "@", LEN(D309)-LEN(SUBSTITUTE(D309, ",", ""))))-1), ",", REPT(" ", LEN(D309))), LEN(D309))))</f>
        <v>Huyện Tân Phước</v>
      </c>
      <c r="I309" t="str">
        <f t="shared" si="14"/>
        <v>Đồng Tháp</v>
      </c>
    </row>
    <row r="310" spans="1:9" x14ac:dyDescent="0.3">
      <c r="A310" t="s">
        <v>1931</v>
      </c>
      <c r="B310" t="s">
        <v>8746</v>
      </c>
      <c r="C310" t="s">
        <v>4451</v>
      </c>
      <c r="D310" t="str">
        <f t="shared" si="12"/>
        <v>239 châu thị kim, phường 7, tân an, long an, việt nam239,châu thị kim</v>
      </c>
      <c r="E310" t="str">
        <f>SUBSTITUTE(SUBSTITUTE(SUBSTITUTE(LOWER(C310), "tphcm", "TP. Hồ Chí Minh"), "hcm", "TP. Hồ Chí Minh"), " q.", " Quận ")</f>
        <v>đường lê văn sỹ 184, 72220 hồ chí minh, việt namhana lady</v>
      </c>
      <c r="F310" t="str">
        <f>PROPER(TRIM(RIGHT(SUBSTITUTE(D310, ",", REPT(" ", LEN(D310))), LEN(D310))))</f>
        <v>Châu Thị Kim</v>
      </c>
      <c r="G310" t="str">
        <f t="shared" si="13"/>
        <v>Việt Namhana Lady</v>
      </c>
      <c r="H310" t="str">
        <f>PROPER(TRIM(RIGHT(SUBSTITUTE(LEFT(D310, FIND("@", SUBSTITUTE(D310, ",", "@", LEN(D310)-LEN(SUBSTITUTE(D310, ",", ""))))-1), ",", REPT(" ", LEN(D310))), LEN(D310))))</f>
        <v>Việt Nam239</v>
      </c>
      <c r="I310" t="str">
        <f t="shared" si="14"/>
        <v>72220 Hồ Chí Minh</v>
      </c>
    </row>
    <row r="311" spans="1:9" x14ac:dyDescent="0.3">
      <c r="A311" t="s">
        <v>1938</v>
      </c>
      <c r="B311" t="s">
        <v>8783</v>
      </c>
      <c r="C311" t="s">
        <v>4460</v>
      </c>
      <c r="D311" t="str">
        <f t="shared" si="12"/>
        <v>ql.1a,84612camp moc thanh hung</v>
      </c>
      <c r="E311" t="str">
        <f>SUBSTITUTE(SUBSTITUTE(SUBSTITUTE(LOWER(C311), "tphcm", "TP. Hồ Chí Minh"), "hcm", "TP. Hồ Chí Minh"), " q.", " Quận ")</f>
        <v>cần giuộc, long an, việt namcần giuộc</v>
      </c>
      <c r="F311" t="str">
        <f>PROPER(TRIM(RIGHT(SUBSTITUTE(D311, ",", REPT(" ", LEN(D311))), LEN(D311))))</f>
        <v>84612Camp Moc Thanh Hung</v>
      </c>
      <c r="G311" t="str">
        <f t="shared" si="13"/>
        <v>Việt Namcần Giuộc</v>
      </c>
      <c r="H311" t="str">
        <f>PROPER(TRIM(RIGHT(SUBSTITUTE(LEFT(D311, FIND("@", SUBSTITUTE(D311, ",", "@", LEN(D311)-LEN(SUBSTITUTE(D311, ",", ""))))-1), ",", REPT(" ", LEN(D311))), LEN(D311))))</f>
        <v>Ql.1A</v>
      </c>
      <c r="I311" t="str">
        <f t="shared" si="14"/>
        <v>Long An</v>
      </c>
    </row>
    <row r="312" spans="1:9" x14ac:dyDescent="0.3">
      <c r="A312" t="s">
        <v>1944</v>
      </c>
      <c r="B312" t="s">
        <v>8850</v>
      </c>
      <c r="C312" t="s">
        <v>4467</v>
      </c>
      <c r="D312" t="str">
        <f t="shared" si="12"/>
        <v>tân hương, đồng tháp, việt namcông ty tnhh freeview industrial ( vn )</v>
      </c>
      <c r="E312" t="str">
        <f>SUBSTITUTE(SUBSTITUTE(SUBSTITUTE(LOWER(C312), "tphcm", "TP. Hồ Chí Minh"), "hcm", "TP. Hồ Chí Minh"), " q.", " Quận ")</f>
        <v>221/2h đ. phan văn khỏe, bình tây, hồ chí minh, việt namquận 6</v>
      </c>
      <c r="F312" t="str">
        <f>PROPER(TRIM(RIGHT(SUBSTITUTE(D312, ",", REPT(" ", LEN(D312))), LEN(D312))))</f>
        <v>Việt Namcông Ty Tnhh Freeview Industrial ( Vn )</v>
      </c>
      <c r="G312" t="str">
        <f t="shared" si="13"/>
        <v>Việt Namquận 6</v>
      </c>
      <c r="H312" t="str">
        <f>PROPER(TRIM(RIGHT(SUBSTITUTE(LEFT(D312, FIND("@", SUBSTITUTE(D312, ",", "@", LEN(D312)-LEN(SUBSTITUTE(D312, ",", ""))))-1), ",", REPT(" ", LEN(D312))), LEN(D312))))</f>
        <v>Đồng Tháp</v>
      </c>
      <c r="I312" t="str">
        <f t="shared" si="14"/>
        <v>Hồ Chí Minh</v>
      </c>
    </row>
    <row r="313" spans="1:9" x14ac:dyDescent="0.3">
      <c r="A313" t="s">
        <v>1954</v>
      </c>
      <c r="B313" t="s">
        <v>8865</v>
      </c>
      <c r="C313" t="s">
        <v>4500</v>
      </c>
      <c r="D313" t="str">
        <f t="shared" si="12"/>
        <v>gahealth việt nam, mỹ yên, long an, việt namgahealth việt nam</v>
      </c>
      <c r="E313" t="str">
        <f>SUBSTITUTE(SUBSTITUTE(SUBSTITUTE(LOWER(C313), "tphcm", "TP. Hồ Chí Minh"), "hcm", "TP. Hồ Chí Minh"), " q.", " Quận ")</f>
        <v>tân an, tây ninh, việt namtân an</v>
      </c>
      <c r="F313" t="str">
        <f>PROPER(TRIM(RIGHT(SUBSTITUTE(D313, ",", REPT(" ", LEN(D313))), LEN(D313))))</f>
        <v>Việt Namgahealth Việt Nam</v>
      </c>
      <c r="G313" t="str">
        <f t="shared" si="13"/>
        <v>Việt Namtân An</v>
      </c>
      <c r="H313" t="str">
        <f>PROPER(TRIM(RIGHT(SUBSTITUTE(LEFT(D313, FIND("@", SUBSTITUTE(D313, ",", "@", LEN(D313)-LEN(SUBSTITUTE(D313, ",", ""))))-1), ",", REPT(" ", LEN(D313))), LEN(D313))))</f>
        <v>Long An</v>
      </c>
      <c r="I313" t="str">
        <f t="shared" si="14"/>
        <v>Tây Ninh</v>
      </c>
    </row>
    <row r="314" spans="1:9" x14ac:dyDescent="0.3">
      <c r="A314" t="s">
        <v>1958</v>
      </c>
      <c r="B314" t="s">
        <v>8905</v>
      </c>
      <c r="C314" t="s">
        <v>4515</v>
      </c>
      <c r="D314" t="str">
        <f t="shared" si="12"/>
        <v>công ty tnhh triệu tín, 35b, ấp, phước lý, tây ninh, việt namcông ty tnhh triệu tín</v>
      </c>
      <c r="E314" t="str">
        <f>SUBSTITUTE(SUBSTITUTE(SUBSTITUTE(LOWER(C314), "tphcm", "TP. Hồ Chí Minh"), "hcm", "TP. Hồ Chí Minh"), " q.", " Quận ")</f>
        <v>dĩ an, thành phố hồ chí minh, bình dương, việt namdĩ an</v>
      </c>
      <c r="F314" t="str">
        <f>PROPER(TRIM(RIGHT(SUBSTITUTE(D314, ",", REPT(" ", LEN(D314))), LEN(D314))))</f>
        <v>Việt Namcông Ty Tnhh Triệu Tín</v>
      </c>
      <c r="G314" t="str">
        <f t="shared" si="13"/>
        <v>Việt Namdĩ An</v>
      </c>
      <c r="H314" t="str">
        <f>PROPER(TRIM(RIGHT(SUBSTITUTE(LEFT(D314, FIND("@", SUBSTITUTE(D314, ",", "@", LEN(D314)-LEN(SUBSTITUTE(D314, ",", ""))))-1), ",", REPT(" ", LEN(D314))), LEN(D314))))</f>
        <v>Tây Ninh</v>
      </c>
      <c r="I314" t="str">
        <f t="shared" si="14"/>
        <v>Bình Dương</v>
      </c>
    </row>
    <row r="315" spans="1:9" x14ac:dyDescent="0.3">
      <c r="A315" t="s">
        <v>1964</v>
      </c>
      <c r="B315" t="s">
        <v>9107</v>
      </c>
      <c r="C315" t="s">
        <v>4525</v>
      </c>
      <c r="D315" t="str">
        <f t="shared" si="12"/>
        <v>công ty tnhh yutian việt nam, phúc long, mỹ yên, tây ninh, việt namcông ty tnhh yutian việt nam</v>
      </c>
      <c r="E315" t="str">
        <f>SUBSTITUTE(SUBSTITUTE(SUBSTITUTE(LOWER(C315), "tphcm", "TP. Hồ Chí Minh"), "hcm", "TP. Hồ Chí Minh"), " q.", " Quận ")</f>
        <v>81 đường số 21, dĩ an, bình dương 75000, việt nam81 đường số 21</v>
      </c>
      <c r="F315" t="str">
        <f>PROPER(TRIM(RIGHT(SUBSTITUTE(D315, ",", REPT(" ", LEN(D315))), LEN(D315))))</f>
        <v>Việt Namcông Ty Tnhh Yutian Việt Nam</v>
      </c>
      <c r="G315" t="str">
        <f t="shared" si="13"/>
        <v>Việt Nam81 Đường Số 21</v>
      </c>
      <c r="H315" t="str">
        <f>PROPER(TRIM(RIGHT(SUBSTITUTE(LEFT(D315, FIND("@", SUBSTITUTE(D315, ",", "@", LEN(D315)-LEN(SUBSTITUTE(D315, ",", ""))))-1), ",", REPT(" ", LEN(D315))), LEN(D315))))</f>
        <v>Tây Ninh</v>
      </c>
      <c r="I315" t="str">
        <f t="shared" si="14"/>
        <v>Bình Dương 75000</v>
      </c>
    </row>
    <row r="316" spans="1:9" x14ac:dyDescent="0.3">
      <c r="A316" t="s">
        <v>1970</v>
      </c>
      <c r="C316" t="s">
        <v>4535</v>
      </c>
      <c r="E316" t="str">
        <f>SUBSTITUTE(SUBSTITUTE(SUBSTITUTE(LOWER(C316), "tphcm", "TP. Hồ Chí Minh"), "hcm", "TP. Hồ Chí Minh"), " q.", " Quận ")</f>
        <v>bánh kem rau câu trường an, đông tác, p, phường tân đông hiệp, dĩ an, bình dương, việt nambánh kem rau câu trường an</v>
      </c>
      <c r="F316" t="str">
        <f>PROPER(TRIM(RIGHT(SUBSTITUTE(D316, ",", REPT(" ", LEN(D316))), LEN(D316))))</f>
        <v/>
      </c>
      <c r="G316" t="str">
        <f t="shared" si="13"/>
        <v>Việt Nambánh Kem Rau Câu Trường An</v>
      </c>
      <c r="H316" t="e">
        <f>PROPER(TRIM(RIGHT(SUBSTITUTE(LEFT(D316, FIND("@", SUBSTITUTE(D316, ",", "@", LEN(D316)-LEN(SUBSTITUTE(D316, ",", ""))))-1), ",", REPT(" ", LEN(D316))), LEN(D316))))</f>
        <v>#VALUE!</v>
      </c>
      <c r="I316" t="str">
        <f t="shared" si="14"/>
        <v>Bình Dương</v>
      </c>
    </row>
    <row r="317" spans="1:9" x14ac:dyDescent="0.3">
      <c r="A317" t="s">
        <v>1980</v>
      </c>
      <c r="C317" t="s">
        <v>4544</v>
      </c>
      <c r="E317" t="str">
        <f>SUBSTITUTE(SUBSTITUTE(SUBSTITUTE(LOWER(C317), "tphcm", "TP. Hồ Chí Minh"), "hcm", "TP. Hồ Chí Minh"), " q.", " Quận ")</f>
        <v>120 đường a4, phường 12, tân bình, hồ chí minh, việt nam120 đường a4</v>
      </c>
      <c r="F317" t="str">
        <f>PROPER(TRIM(RIGHT(SUBSTITUTE(D317, ",", REPT(" ", LEN(D317))), LEN(D317))))</f>
        <v/>
      </c>
      <c r="G317" t="str">
        <f t="shared" si="13"/>
        <v>Việt Nam120 Đường A4</v>
      </c>
      <c r="H317" t="e">
        <f>PROPER(TRIM(RIGHT(SUBSTITUTE(LEFT(D317, FIND("@", SUBSTITUTE(D317, ",", "@", LEN(D317)-LEN(SUBSTITUTE(D317, ",", ""))))-1), ",", REPT(" ", LEN(D317))), LEN(D317))))</f>
        <v>#VALUE!</v>
      </c>
      <c r="I317" t="str">
        <f t="shared" si="14"/>
        <v>Hồ Chí Minh</v>
      </c>
    </row>
    <row r="318" spans="1:9" x14ac:dyDescent="0.3">
      <c r="A318" t="s">
        <v>1984</v>
      </c>
      <c r="C318" t="s">
        <v>4551</v>
      </c>
      <c r="E318" t="str">
        <f>SUBSTITUTE(SUBSTITUTE(SUBSTITUTE(LOWER(C318), "tphcm", "TP. Hồ Chí Minh"), "hcm", "TP. Hồ Chí Minh"), " q.", " Quận ")</f>
        <v>cty tnhh chervon việt nam - xưởng 1, de5, p, thới hòa, hồ chí minh, việt namcty tnhh chervon việt nam - xưởng 1</v>
      </c>
      <c r="F318" t="str">
        <f>PROPER(TRIM(RIGHT(SUBSTITUTE(D318, ",", REPT(" ", LEN(D318))), LEN(D318))))</f>
        <v/>
      </c>
      <c r="G318" t="str">
        <f t="shared" si="13"/>
        <v>Việt Namcty Tnhh Chervon Việt Nam - Xưởng 1</v>
      </c>
      <c r="H318" t="e">
        <f>PROPER(TRIM(RIGHT(SUBSTITUTE(LEFT(D318, FIND("@", SUBSTITUTE(D318, ",", "@", LEN(D318)-LEN(SUBSTITUTE(D318, ",", ""))))-1), ",", REPT(" ", LEN(D318))), LEN(D318))))</f>
        <v>#VALUE!</v>
      </c>
      <c r="I318" t="str">
        <f t="shared" si="14"/>
        <v>Hồ Chí Minh</v>
      </c>
    </row>
    <row r="319" spans="1:9" x14ac:dyDescent="0.3">
      <c r="A319" t="s">
        <v>1992</v>
      </c>
      <c r="C319" t="s">
        <v>4561</v>
      </c>
      <c r="E319" t="str">
        <f>SUBSTITUTE(SUBSTITUTE(SUBSTITUTE(LOWER(C319), "tphcm", "TP. Hồ Chí Minh"), "hcm", "TP. Hồ Chí Minh"), " q.", " Quận ")</f>
        <v>350 đường nguyễn an ninh, phường dĩ an, dĩ an, bình dương, việt nam350 đường nguyễn an ninh</v>
      </c>
      <c r="F319" t="str">
        <f>PROPER(TRIM(RIGHT(SUBSTITUTE(D319, ",", REPT(" ", LEN(D319))), LEN(D319))))</f>
        <v/>
      </c>
      <c r="G319" t="str">
        <f t="shared" si="13"/>
        <v>Việt Nam350 Đường Nguyễn An Ninh</v>
      </c>
      <c r="H319" t="e">
        <f>PROPER(TRIM(RIGHT(SUBSTITUTE(LEFT(D319, FIND("@", SUBSTITUTE(D319, ",", "@", LEN(D319)-LEN(SUBSTITUTE(D319, ",", ""))))-1), ",", REPT(" ", LEN(D319))), LEN(D319))))</f>
        <v>#VALUE!</v>
      </c>
      <c r="I319" t="str">
        <f t="shared" si="14"/>
        <v>Bình Dương</v>
      </c>
    </row>
    <row r="320" spans="1:9" x14ac:dyDescent="0.3">
      <c r="A320" t="s">
        <v>1998</v>
      </c>
      <c r="C320" t="s">
        <v>4571</v>
      </c>
      <c r="E320" t="str">
        <f>SUBSTITUTE(SUBSTITUTE(SUBSTITUTE(LOWER(C320), "tphcm", "TP. Hồ Chí Minh"), "hcm", "TP. Hồ Chí Minh"), " q.", " Quận ")</f>
        <v>398/tl10/24 24, khu phố 15, bình tân, hồ chí minh, việt nam24,tỉnh lộ 10</v>
      </c>
      <c r="F320" t="str">
        <f>PROPER(TRIM(RIGHT(SUBSTITUTE(D320, ",", REPT(" ", LEN(D320))), LEN(D320))))</f>
        <v/>
      </c>
      <c r="G320" t="str">
        <f t="shared" si="13"/>
        <v>Tỉnh Lộ 10</v>
      </c>
      <c r="H320" t="e">
        <f>PROPER(TRIM(RIGHT(SUBSTITUTE(LEFT(D320, FIND("@", SUBSTITUTE(D320, ",", "@", LEN(D320)-LEN(SUBSTITUTE(D320, ",", ""))))-1), ",", REPT(" ", LEN(D320))), LEN(D320))))</f>
        <v>#VALUE!</v>
      </c>
      <c r="I320" t="str">
        <f t="shared" si="14"/>
        <v>Việt Nam24</v>
      </c>
    </row>
    <row r="321" spans="1:9" x14ac:dyDescent="0.3">
      <c r="A321" t="s">
        <v>2003</v>
      </c>
      <c r="C321" t="s">
        <v>4581</v>
      </c>
      <c r="E321" t="str">
        <f>SUBSTITUTE(SUBSTITUTE(SUBSTITUTE(LOWER(C321), "tphcm", "TP. Hồ Chí Minh"), "hcm", "TP. Hồ Chí Minh"), " q.", " Quận ")</f>
        <v>đt824, hựu thạnh, đức hòa, long an, việt namnhà nghỉ yến anh</v>
      </c>
      <c r="F321" t="str">
        <f>PROPER(TRIM(RIGHT(SUBSTITUTE(D321, ",", REPT(" ", LEN(D321))), LEN(D321))))</f>
        <v/>
      </c>
      <c r="G321" t="str">
        <f t="shared" si="13"/>
        <v>Việt Namnhà Nghỉ Yến Anh</v>
      </c>
      <c r="H321" t="e">
        <f>PROPER(TRIM(RIGHT(SUBSTITUTE(LEFT(D321, FIND("@", SUBSTITUTE(D321, ",", "@", LEN(D321)-LEN(SUBSTITUTE(D321, ",", ""))))-1), ",", REPT(" ", LEN(D321))), LEN(D321))))</f>
        <v>#VALUE!</v>
      </c>
      <c r="I321" t="str">
        <f t="shared" si="14"/>
        <v>Long An</v>
      </c>
    </row>
    <row r="322" spans="1:9" x14ac:dyDescent="0.3">
      <c r="A322" t="s">
        <v>2007</v>
      </c>
      <c r="C322" t="s">
        <v>4588</v>
      </c>
      <c r="E322" t="str">
        <f>SUBSTITUTE(SUBSTITUTE(SUBSTITUTE(LOWER(C322), "tphcm", "TP. Hồ Chí Minh"), "hcm", "TP. Hồ Chí Minh"), " q.", " Quận ")</f>
        <v>công ty bảo việt bình dương, lý thường kiệt, phường, thủ dầu một, hồ chí minh, việt namcông ty bảo việt bình dương</v>
      </c>
      <c r="F322" t="str">
        <f>PROPER(TRIM(RIGHT(SUBSTITUTE(D322, ",", REPT(" ", LEN(D322))), LEN(D322))))</f>
        <v/>
      </c>
      <c r="G322" t="str">
        <f t="shared" si="13"/>
        <v>Việt Namcông Ty Bảo Việt Bình Dương</v>
      </c>
      <c r="H322" t="e">
        <f>PROPER(TRIM(RIGHT(SUBSTITUTE(LEFT(D322, FIND("@", SUBSTITUTE(D322, ",", "@", LEN(D322)-LEN(SUBSTITUTE(D322, ",", ""))))-1), ",", REPT(" ", LEN(D322))), LEN(D322))))</f>
        <v>#VALUE!</v>
      </c>
      <c r="I322" t="str">
        <f t="shared" si="14"/>
        <v>Hồ Chí Minh</v>
      </c>
    </row>
    <row r="323" spans="1:9" x14ac:dyDescent="0.3">
      <c r="A323" t="s">
        <v>2014</v>
      </c>
      <c r="C323" t="s">
        <v>4598</v>
      </c>
      <c r="E323" t="str">
        <f>SUBSTITUTE(SUBSTITUTE(SUBSTITUTE(LOWER(C323), "tphcm", "TP. Hồ Chí Minh"), "hcm", "TP. Hồ Chí Minh"), " q.", " Quận ")</f>
        <v>đường bắc hải 276, 72117 hồ chí minh, việt namnha khoa hồng ngọc nha khoa uy tín tân bình nha khoa thẩm mỹ quận 10</v>
      </c>
      <c r="F323" t="str">
        <f>PROPER(TRIM(RIGHT(SUBSTITUTE(D323, ",", REPT(" ", LEN(D323))), LEN(D323))))</f>
        <v/>
      </c>
      <c r="G323" t="str">
        <f t="shared" ref="G323:G386" si="15">PROPER(TRIM(RIGHT(SUBSTITUTE(E323, ",", REPT(" ", LEN(E323))), LEN(E323))))</f>
        <v>Việt Namnha Khoa Hồng Ngọc Nha Khoa Uy Tín Tân Bình Nha Khoa Thẩm Mỹ Quận 10</v>
      </c>
      <c r="H323" t="e">
        <f>PROPER(TRIM(RIGHT(SUBSTITUTE(LEFT(D323, FIND("@", SUBSTITUTE(D323, ",", "@", LEN(D323)-LEN(SUBSTITUTE(D323, ",", ""))))-1), ",", REPT(" ", LEN(D323))), LEN(D323))))</f>
        <v>#VALUE!</v>
      </c>
      <c r="I323" t="str">
        <f t="shared" ref="I323:I386" si="16">PROPER(TRIM(RIGHT(SUBSTITUTE(LEFT(E323, FIND("@", SUBSTITUTE(E323, ",", "@", LEN(E323)-LEN(SUBSTITUTE(E323, ",", ""))))-1), ",", REPT(" ", LEN(E323))), LEN(E323))))</f>
        <v>72117 Hồ Chí Minh</v>
      </c>
    </row>
    <row r="324" spans="1:9" x14ac:dyDescent="0.3">
      <c r="A324" t="s">
        <v>2022</v>
      </c>
      <c r="C324" t="s">
        <v>4608</v>
      </c>
      <c r="E324" t="str">
        <f>SUBSTITUTE(SUBSTITUTE(SUBSTITUTE(LOWER(C324), "tphcm", "TP. Hồ Chí Minh"), "hcm", "TP. Hồ Chí Minh"), " q.", " Quận ")</f>
        <v>wh6g+4p hóc môn, hồ chí minh, việt namwh6g+4p hóc môn, hồ chí minh, việt nam</v>
      </c>
      <c r="F324" t="str">
        <f>PROPER(TRIM(RIGHT(SUBSTITUTE(D324, ",", REPT(" ", LEN(D324))), LEN(D324))))</f>
        <v/>
      </c>
      <c r="G324" t="str">
        <f t="shared" si="15"/>
        <v>Việt Nam</v>
      </c>
      <c r="H324" t="e">
        <f>PROPER(TRIM(RIGHT(SUBSTITUTE(LEFT(D324, FIND("@", SUBSTITUTE(D324, ",", "@", LEN(D324)-LEN(SUBSTITUTE(D324, ",", ""))))-1), ",", REPT(" ", LEN(D324))), LEN(D324))))</f>
        <v>#VALUE!</v>
      </c>
      <c r="I324" t="str">
        <f t="shared" si="16"/>
        <v>Hồ Chí Minh</v>
      </c>
    </row>
    <row r="325" spans="1:9" x14ac:dyDescent="0.3">
      <c r="A325" t="s">
        <v>2026</v>
      </c>
      <c r="C325" t="s">
        <v>4615</v>
      </c>
      <c r="E325" t="str">
        <f>SUBSTITUTE(SUBSTITUTE(SUBSTITUTE(LOWER(C325), "tphcm", "TP. Hồ Chí Minh"), "hcm", "TP. Hồ Chí Minh"), " q.", " Quận ")</f>
        <v>qhvx+xw bình hưng hòa, hồ chí minh, việt namqhvx+xw bình hưng hòa, hồ chí minh, việt nam</v>
      </c>
      <c r="F325" t="str">
        <f>PROPER(TRIM(RIGHT(SUBSTITUTE(D325, ",", REPT(" ", LEN(D325))), LEN(D325))))</f>
        <v/>
      </c>
      <c r="G325" t="str">
        <f t="shared" si="15"/>
        <v>Việt Nam</v>
      </c>
      <c r="H325" t="e">
        <f>PROPER(TRIM(RIGHT(SUBSTITUTE(LEFT(D325, FIND("@", SUBSTITUTE(D325, ",", "@", LEN(D325)-LEN(SUBSTITUTE(D325, ",", ""))))-1), ",", REPT(" ", LEN(D325))), LEN(D325))))</f>
        <v>#VALUE!</v>
      </c>
      <c r="I325" t="str">
        <f t="shared" si="16"/>
        <v>Hồ Chí Minh</v>
      </c>
    </row>
    <row r="326" spans="1:9" x14ac:dyDescent="0.3">
      <c r="A326" t="s">
        <v>2030</v>
      </c>
      <c r="C326" t="s">
        <v>4627</v>
      </c>
      <c r="E326" t="str">
        <f>SUBSTITUTE(SUBSTITUTE(SUBSTITUTE(LOWER(C326), "tphcm", "TP. Hồ Chí Minh"), "hcm", "TP. Hồ Chí Minh"), " q.", " Quận ")</f>
        <v>237 đường trần quang khải, tân đông hiệp, dĩ an, bình dương, việt nam237 đường trần quang khải</v>
      </c>
      <c r="F326" t="str">
        <f>PROPER(TRIM(RIGHT(SUBSTITUTE(D326, ",", REPT(" ", LEN(D326))), LEN(D326))))</f>
        <v/>
      </c>
      <c r="G326" t="str">
        <f t="shared" si="15"/>
        <v>Việt Nam237 Đường Trần Quang Khải</v>
      </c>
      <c r="H326" t="e">
        <f>PROPER(TRIM(RIGHT(SUBSTITUTE(LEFT(D326, FIND("@", SUBSTITUTE(D326, ",", "@", LEN(D326)-LEN(SUBSTITUTE(D326, ",", ""))))-1), ",", REPT(" ", LEN(D326))), LEN(D326))))</f>
        <v>#VALUE!</v>
      </c>
      <c r="I326" t="str">
        <f t="shared" si="16"/>
        <v>Bình Dương</v>
      </c>
    </row>
    <row r="327" spans="1:9" x14ac:dyDescent="0.3">
      <c r="A327" t="s">
        <v>2034</v>
      </c>
      <c r="C327" t="s">
        <v>4634</v>
      </c>
      <c r="E327" t="str">
        <f>SUBSTITUTE(SUBSTITUTE(SUBSTITUTE(LOWER(C327), "tphcm", "TP. Hồ Chí Minh"), "hcm", "TP. Hồ Chí Minh"), " q.", " Quận ")</f>
        <v>36/1 số 1, tân bình, hồ chí minh, việt nam36/1 số 1, tân bình, hồ chí minh, việt nam</v>
      </c>
      <c r="F327" t="str">
        <f>PROPER(TRIM(RIGHT(SUBSTITUTE(D327, ",", REPT(" ", LEN(D327))), LEN(D327))))</f>
        <v/>
      </c>
      <c r="G327" t="str">
        <f t="shared" si="15"/>
        <v>Việt Nam</v>
      </c>
      <c r="H327" t="e">
        <f>PROPER(TRIM(RIGHT(SUBSTITUTE(LEFT(D327, FIND("@", SUBSTITUTE(D327, ",", "@", LEN(D327)-LEN(SUBSTITUTE(D327, ",", ""))))-1), ",", REPT(" ", LEN(D327))), LEN(D327))))</f>
        <v>#VALUE!</v>
      </c>
      <c r="I327" t="str">
        <f t="shared" si="16"/>
        <v>Hồ Chí Minh</v>
      </c>
    </row>
    <row r="328" spans="1:9" x14ac:dyDescent="0.3">
      <c r="A328" t="s">
        <v>2042</v>
      </c>
      <c r="C328" t="s">
        <v>4644</v>
      </c>
      <c r="E328" t="str">
        <f>SUBSTITUTE(SUBSTITUTE(SUBSTITUTE(LOWER(C328), "tphcm", "TP. Hồ Chí Minh"), "hcm", "TP. Hồ Chí Minh"), " q.", " Quận ")</f>
        <v>suối bà lúa, tp. biên hòa, đồng nai, việt namsuối bà lúa</v>
      </c>
      <c r="F328" t="str">
        <f>PROPER(TRIM(RIGHT(SUBSTITUTE(D328, ",", REPT(" ", LEN(D328))), LEN(D328))))</f>
        <v/>
      </c>
      <c r="G328" t="str">
        <f t="shared" si="15"/>
        <v>Việt Namsuối Bà Lúa</v>
      </c>
      <c r="H328" t="e">
        <f>PROPER(TRIM(RIGHT(SUBSTITUTE(LEFT(D328, FIND("@", SUBSTITUTE(D328, ",", "@", LEN(D328)-LEN(SUBSTITUTE(D328, ",", ""))))-1), ",", REPT(" ", LEN(D328))), LEN(D328))))</f>
        <v>#VALUE!</v>
      </c>
      <c r="I328" t="str">
        <f t="shared" si="16"/>
        <v>Đồng Nai</v>
      </c>
    </row>
    <row r="329" spans="1:9" x14ac:dyDescent="0.3">
      <c r="A329" t="s">
        <v>2052</v>
      </c>
      <c r="C329" t="s">
        <v>4651</v>
      </c>
      <c r="E329" t="str">
        <f>SUBSTITUTE(SUBSTITUTE(SUBSTITUTE(LOWER(C329), "tphcm", "TP. Hồ Chí Minh"), "hcm", "TP. Hồ Chí Minh"), " q.", " Quận ")</f>
        <v>công ty bao bì ngaimee, đường số 6, dĩ an, hồ chí minh, việt namcông ty bao bì ngaimee</v>
      </c>
      <c r="F329" t="str">
        <f>PROPER(TRIM(RIGHT(SUBSTITUTE(D329, ",", REPT(" ", LEN(D329))), LEN(D329))))</f>
        <v/>
      </c>
      <c r="G329" t="str">
        <f t="shared" si="15"/>
        <v>Việt Namcông Ty Bao Bì Ngaimee</v>
      </c>
      <c r="H329" t="e">
        <f>PROPER(TRIM(RIGHT(SUBSTITUTE(LEFT(D329, FIND("@", SUBSTITUTE(D329, ",", "@", LEN(D329)-LEN(SUBSTITUTE(D329, ",", ""))))-1), ",", REPT(" ", LEN(D329))), LEN(D329))))</f>
        <v>#VALUE!</v>
      </c>
      <c r="I329" t="str">
        <f t="shared" si="16"/>
        <v>Hồ Chí Minh</v>
      </c>
    </row>
    <row r="330" spans="1:9" x14ac:dyDescent="0.3">
      <c r="A330" t="s">
        <v>2055</v>
      </c>
      <c r="C330" t="s">
        <v>4669</v>
      </c>
      <c r="E330" t="str">
        <f>SUBSTITUTE(SUBSTITUTE(SUBSTITUTE(LOWER(C330), "tphcm", "TP. Hồ Chí Minh"), "hcm", "TP. Hồ Chí Minh"), " q.", " Quận ")</f>
        <v>chi nhánh công ty tnhh tfv industries tại long thành, đ. song hành quốc lộ 51, bình an, đồng nai, việt namchi nhánh công ty tnhh tfv industries tại long thành</v>
      </c>
      <c r="F330" t="str">
        <f>PROPER(TRIM(RIGHT(SUBSTITUTE(D330, ",", REPT(" ", LEN(D330))), LEN(D330))))</f>
        <v/>
      </c>
      <c r="G330" t="str">
        <f t="shared" si="15"/>
        <v>Việt Namchi Nhánh Công Ty Tnhh Tfv Industries Tại Long Thành</v>
      </c>
      <c r="H330" t="e">
        <f>PROPER(TRIM(RIGHT(SUBSTITUTE(LEFT(D330, FIND("@", SUBSTITUTE(D330, ",", "@", LEN(D330)-LEN(SUBSTITUTE(D330, ",", ""))))-1), ",", REPT(" ", LEN(D330))), LEN(D330))))</f>
        <v>#VALUE!</v>
      </c>
      <c r="I330" t="str">
        <f t="shared" si="16"/>
        <v>Đồng Nai</v>
      </c>
    </row>
    <row r="331" spans="1:9" x14ac:dyDescent="0.3">
      <c r="A331" t="s">
        <v>2059</v>
      </c>
      <c r="C331" t="s">
        <v>4676</v>
      </c>
      <c r="E331" t="str">
        <f>SUBSTITUTE(SUBSTITUTE(SUBSTITUTE(LOWER(C331), "tphcm", "TP. Hồ Chí Minh"), "hcm", "TP. Hồ Chí Minh"), " q.", " Quận ")</f>
        <v>công ty tnhh samil pharmaceutical, đường d15, tăng nhơn phú, hồ chí minh, việt namcông ty tnhh samil pharmaceutical</v>
      </c>
      <c r="F331" t="str">
        <f>PROPER(TRIM(RIGHT(SUBSTITUTE(D331, ",", REPT(" ", LEN(D331))), LEN(D331))))</f>
        <v/>
      </c>
      <c r="G331" t="str">
        <f t="shared" si="15"/>
        <v>Việt Namcông Ty Tnhh Samil Pharmaceutical</v>
      </c>
      <c r="H331" t="e">
        <f>PROPER(TRIM(RIGHT(SUBSTITUTE(LEFT(D331, FIND("@", SUBSTITUTE(D331, ",", "@", LEN(D331)-LEN(SUBSTITUTE(D331, ",", ""))))-1), ",", REPT(" ", LEN(D331))), LEN(D331))))</f>
        <v>#VALUE!</v>
      </c>
      <c r="I331" t="str">
        <f t="shared" si="16"/>
        <v>Hồ Chí Minh</v>
      </c>
    </row>
    <row r="332" spans="1:9" x14ac:dyDescent="0.3">
      <c r="A332" t="s">
        <v>2066</v>
      </c>
      <c r="C332" t="s">
        <v>4700</v>
      </c>
      <c r="E332" t="str">
        <f>SUBSTITUTE(SUBSTITUTE(SUBSTITUTE(LOWER(C332), "tphcm", "TP. Hồ Chí Minh"), "hcm", "TP. Hồ Chí Minh"), " q.", " Quận ")</f>
        <v>công ty chang shin vn, thạnh phú, kcn, tân triều, đồng nai, việt namcông ty chang shin vn</v>
      </c>
      <c r="F332" t="str">
        <f>PROPER(TRIM(RIGHT(SUBSTITUTE(D332, ",", REPT(" ", LEN(D332))), LEN(D332))))</f>
        <v/>
      </c>
      <c r="G332" t="str">
        <f t="shared" si="15"/>
        <v>Việt Namcông Ty Chang Shin Vn</v>
      </c>
      <c r="H332" t="e">
        <f>PROPER(TRIM(RIGHT(SUBSTITUTE(LEFT(D332, FIND("@", SUBSTITUTE(D332, ",", "@", LEN(D332)-LEN(SUBSTITUTE(D332, ",", ""))))-1), ",", REPT(" ", LEN(D332))), LEN(D332))))</f>
        <v>#VALUE!</v>
      </c>
      <c r="I332" t="str">
        <f t="shared" si="16"/>
        <v>Đồng Nai</v>
      </c>
    </row>
    <row r="333" spans="1:9" x14ac:dyDescent="0.3">
      <c r="A333" t="s">
        <v>2070</v>
      </c>
      <c r="C333" t="s">
        <v>4710</v>
      </c>
      <c r="E333" t="str">
        <f>SUBSTITUTE(SUBSTITUTE(SUBSTITUTE(LOWER(C333), "tphcm", "TP. Hồ Chí Minh"), "hcm", "TP. Hồ Chí Minh"), " q.", " Quận ")</f>
        <v>qjv2+v7 bình hưng hòa, hồ chí minh, việt namqjv2+v7 bình hưng hòa, hồ chí minh, việt nam</v>
      </c>
      <c r="F333" t="str">
        <f>PROPER(TRIM(RIGHT(SUBSTITUTE(D333, ",", REPT(" ", LEN(D333))), LEN(D333))))</f>
        <v/>
      </c>
      <c r="G333" t="str">
        <f t="shared" si="15"/>
        <v>Việt Nam</v>
      </c>
      <c r="H333" t="e">
        <f>PROPER(TRIM(RIGHT(SUBSTITUTE(LEFT(D333, FIND("@", SUBSTITUTE(D333, ",", "@", LEN(D333)-LEN(SUBSTITUTE(D333, ",", ""))))-1), ",", REPT(" ", LEN(D333))), LEN(D333))))</f>
        <v>#VALUE!</v>
      </c>
      <c r="I333" t="str">
        <f t="shared" si="16"/>
        <v>Hồ Chí Minh</v>
      </c>
    </row>
    <row r="334" spans="1:9" x14ac:dyDescent="0.3">
      <c r="A334" t="s">
        <v>2078</v>
      </c>
      <c r="C334" t="s">
        <v>4727</v>
      </c>
      <c r="E334" t="str">
        <f>SUBSTITUTE(SUBSTITUTE(SUBSTITUTE(LOWER(C334), "tphcm", "TP. Hồ Chí Minh"), "hcm", "TP. Hồ Chí Minh"), " q.", " Quận ")</f>
        <v>149 đ. lê hồng phong, phường 2, quận 5, hồ chí minh, việt nam149 lê hồng phong</v>
      </c>
      <c r="F334" t="str">
        <f>PROPER(TRIM(RIGHT(SUBSTITUTE(D334, ",", REPT(" ", LEN(D334))), LEN(D334))))</f>
        <v/>
      </c>
      <c r="G334" t="str">
        <f t="shared" si="15"/>
        <v>Việt Nam149 Lê Hồng Phong</v>
      </c>
      <c r="H334" t="e">
        <f>PROPER(TRIM(RIGHT(SUBSTITUTE(LEFT(D334, FIND("@", SUBSTITUTE(D334, ",", "@", LEN(D334)-LEN(SUBSTITUTE(D334, ",", ""))))-1), ",", REPT(" ", LEN(D334))), LEN(D334))))</f>
        <v>#VALUE!</v>
      </c>
      <c r="I334" t="str">
        <f t="shared" si="16"/>
        <v>Hồ Chí Minh</v>
      </c>
    </row>
    <row r="335" spans="1:9" x14ac:dyDescent="0.3">
      <c r="A335" t="s">
        <v>2086</v>
      </c>
      <c r="C335" t="s">
        <v>4737</v>
      </c>
      <c r="E335" t="str">
        <f>SUBSTITUTE(SUBSTITUTE(SUBSTITUTE(LOWER(C335), "tphcm", "TP. Hồ Chí Minh"), "hcm", "TP. Hồ Chí Minh"), " q.", " Quận ")</f>
        <v>27/29a trường chinh, tây thạnh, hồ chí minh, việt nam27/29a trường chinh, tây thạnh, hồ chí minh, việt nam</v>
      </c>
      <c r="F335" t="str">
        <f>PROPER(TRIM(RIGHT(SUBSTITUTE(D335, ",", REPT(" ", LEN(D335))), LEN(D335))))</f>
        <v/>
      </c>
      <c r="G335" t="str">
        <f t="shared" si="15"/>
        <v>Việt Nam</v>
      </c>
      <c r="H335" t="e">
        <f>PROPER(TRIM(RIGHT(SUBSTITUTE(LEFT(D335, FIND("@", SUBSTITUTE(D335, ",", "@", LEN(D335)-LEN(SUBSTITUTE(D335, ",", ""))))-1), ",", REPT(" ", LEN(D335))), LEN(D335))))</f>
        <v>#VALUE!</v>
      </c>
      <c r="I335" t="str">
        <f t="shared" si="16"/>
        <v>Hồ Chí Minh</v>
      </c>
    </row>
    <row r="336" spans="1:9" x14ac:dyDescent="0.3">
      <c r="A336" t="s">
        <v>2093</v>
      </c>
      <c r="C336" t="s">
        <v>4751</v>
      </c>
      <c r="E336" t="str">
        <f>SUBSTITUTE(SUBSTITUTE(SUBSTITUTE(LOWER(C336), "tphcm", "TP. Hồ Chí Minh"), "hcm", "TP. Hồ Chí Minh"), " q.", " Quận ")</f>
        <v>công ty tnhh iwater (quận 2), đường số 31d, khu đô thị an phú an khánh, bình trưng, hồ chí minh, việt namcông ty tnhh iwater (quận 2)</v>
      </c>
      <c r="F336" t="str">
        <f>PROPER(TRIM(RIGHT(SUBSTITUTE(D336, ",", REPT(" ", LEN(D336))), LEN(D336))))</f>
        <v/>
      </c>
      <c r="G336" t="str">
        <f t="shared" si="15"/>
        <v>Việt Namcông Ty Tnhh Iwater (Quận 2)</v>
      </c>
      <c r="H336" t="e">
        <f>PROPER(TRIM(RIGHT(SUBSTITUTE(LEFT(D336, FIND("@", SUBSTITUTE(D336, ",", "@", LEN(D336)-LEN(SUBSTITUTE(D336, ",", ""))))-1), ",", REPT(" ", LEN(D336))), LEN(D336))))</f>
        <v>#VALUE!</v>
      </c>
      <c r="I336" t="str">
        <f t="shared" si="16"/>
        <v>Hồ Chí Minh</v>
      </c>
    </row>
    <row r="337" spans="1:9" x14ac:dyDescent="0.3">
      <c r="A337" t="s">
        <v>2100</v>
      </c>
      <c r="C337" t="s">
        <v>4758</v>
      </c>
      <c r="E337" t="str">
        <f>SUBSTITUTE(SUBSTITUTE(SUBSTITUTE(LOWER(C337), "tphcm", "TP. Hồ Chí Minh"), "hcm", "TP. Hồ Chí Minh"), " q.", " Quận ")</f>
        <v>244/31/1, 244/31/11 đường ht 17 nối dài, tân thới hiệp, hồ chí minh 700000, việt nam244/31/1, 244/31/11 đường ht 17 nối dài, tân thới hiệp, hồ chí minh 700000, việt nam</v>
      </c>
      <c r="F337" t="str">
        <f>PROPER(TRIM(RIGHT(SUBSTITUTE(D337, ",", REPT(" ", LEN(D337))), LEN(D337))))</f>
        <v/>
      </c>
      <c r="G337" t="str">
        <f t="shared" si="15"/>
        <v>Việt Nam</v>
      </c>
      <c r="H337" t="e">
        <f>PROPER(TRIM(RIGHT(SUBSTITUTE(LEFT(D337, FIND("@", SUBSTITUTE(D337, ",", "@", LEN(D337)-LEN(SUBSTITUTE(D337, ",", ""))))-1), ",", REPT(" ", LEN(D337))), LEN(D337))))</f>
        <v>#VALUE!</v>
      </c>
      <c r="I337" t="str">
        <f t="shared" si="16"/>
        <v>Hồ Chí Minh 700000</v>
      </c>
    </row>
    <row r="338" spans="1:9" x14ac:dyDescent="0.3">
      <c r="A338" t="s">
        <v>2104</v>
      </c>
      <c r="C338" t="s">
        <v>4765</v>
      </c>
      <c r="E338" t="str">
        <f>SUBSTITUTE(SUBSTITUTE(SUBSTITUTE(LOWER(C338), "tphcm", "TP. Hồ Chí Minh"), "hcm", "TP. Hồ Chí Minh"), " q.", " Quận ")</f>
        <v>09, b.06.09 b.06.09, khu phố 2, an khánh, hồ chí minh, việt nam09, b.06.09 b.06.09, khu phố 2, an khánh, hồ chí minh, việt nam</v>
      </c>
      <c r="F338" t="str">
        <f>PROPER(TRIM(RIGHT(SUBSTITUTE(D338, ",", REPT(" ", LEN(D338))), LEN(D338))))</f>
        <v/>
      </c>
      <c r="G338" t="str">
        <f t="shared" si="15"/>
        <v>Việt Nam</v>
      </c>
      <c r="H338" t="e">
        <f>PROPER(TRIM(RIGHT(SUBSTITUTE(LEFT(D338, FIND("@", SUBSTITUTE(D338, ",", "@", LEN(D338)-LEN(SUBSTITUTE(D338, ",", ""))))-1), ",", REPT(" ", LEN(D338))), LEN(D338))))</f>
        <v>#VALUE!</v>
      </c>
      <c r="I338" t="str">
        <f t="shared" si="16"/>
        <v>Hồ Chí Minh</v>
      </c>
    </row>
    <row r="339" spans="1:9" x14ac:dyDescent="0.3">
      <c r="A339" t="s">
        <v>2108</v>
      </c>
      <c r="C339" t="s">
        <v>4772</v>
      </c>
      <c r="E339" t="str">
        <f>SUBSTITUTE(SUBSTITUTE(SUBSTITUTE(LOWER(C339), "tphcm", "TP. Hồ Chí Minh"), "hcm", "TP. Hồ Chí Minh"), " q.", " Quận ")</f>
        <v>35/3a đường huỳnh thị mài, hóc môn, hồ chí minh, việt nam35/3a đường huỳnh thị mài, hóc môn, hồ chí minh, việt nam</v>
      </c>
      <c r="F339" t="str">
        <f>PROPER(TRIM(RIGHT(SUBSTITUTE(D339, ",", REPT(" ", LEN(D339))), LEN(D339))))</f>
        <v/>
      </c>
      <c r="G339" t="str">
        <f t="shared" si="15"/>
        <v>Việt Nam</v>
      </c>
      <c r="H339" t="e">
        <f>PROPER(TRIM(RIGHT(SUBSTITUTE(LEFT(D339, FIND("@", SUBSTITUTE(D339, ",", "@", LEN(D339)-LEN(SUBSTITUTE(D339, ",", ""))))-1), ",", REPT(" ", LEN(D339))), LEN(D339))))</f>
        <v>#VALUE!</v>
      </c>
      <c r="I339" t="str">
        <f t="shared" si="16"/>
        <v>Hồ Chí Minh</v>
      </c>
    </row>
    <row r="340" spans="1:9" x14ac:dyDescent="0.3">
      <c r="A340" t="s">
        <v>2115</v>
      </c>
      <c r="C340" t="s">
        <v>4782</v>
      </c>
      <c r="E340" t="str">
        <f>SUBSTITUTE(SUBSTITUTE(SUBSTITUTE(LOWER(C340), "tphcm", "TP. Hồ Chí Minh"), "hcm", "TP. Hồ Chí Minh"), " q.", " Quận ")</f>
        <v>affina việt nam, nguyễn hoàng, an phú, thủ đức, thành phố hồ chí minh, việt namaffina việt nam</v>
      </c>
      <c r="F340" t="str">
        <f>PROPER(TRIM(RIGHT(SUBSTITUTE(D340, ",", REPT(" ", LEN(D340))), LEN(D340))))</f>
        <v/>
      </c>
      <c r="G340" t="str">
        <f t="shared" si="15"/>
        <v>Việt Namaffina Việt Nam</v>
      </c>
      <c r="H340" t="e">
        <f>PROPER(TRIM(RIGHT(SUBSTITUTE(LEFT(D340, FIND("@", SUBSTITUTE(D340, ",", "@", LEN(D340)-LEN(SUBSTITUTE(D340, ",", ""))))-1), ",", REPT(" ", LEN(D340))), LEN(D340))))</f>
        <v>#VALUE!</v>
      </c>
      <c r="I340" t="str">
        <f t="shared" si="16"/>
        <v>Thành Phố Hồ Chí Minh</v>
      </c>
    </row>
    <row r="341" spans="1:9" x14ac:dyDescent="0.3">
      <c r="A341" t="s">
        <v>2120</v>
      </c>
      <c r="C341" t="s">
        <v>4789</v>
      </c>
      <c r="E341" t="str">
        <f>SUBSTITUTE(SUBSTITUTE(SUBSTITUTE(LOWER(C341), "tphcm", "TP. Hồ Chí Minh"), "hcm", "TP. Hồ Chí Minh"), " q.", " Quận ")</f>
        <v>13/22/19 đ. 12, khu phố 2, thủ đức, hồ chí minh, việt nam13/22/19 đ. 12, khu phố 2, thủ đức, hồ chí minh, việt nam</v>
      </c>
      <c r="F341" t="str">
        <f>PROPER(TRIM(RIGHT(SUBSTITUTE(D341, ",", REPT(" ", LEN(D341))), LEN(D341))))</f>
        <v/>
      </c>
      <c r="G341" t="str">
        <f t="shared" si="15"/>
        <v>Việt Nam</v>
      </c>
      <c r="H341" t="e">
        <f>PROPER(TRIM(RIGHT(SUBSTITUTE(LEFT(D341, FIND("@", SUBSTITUTE(D341, ",", "@", LEN(D341)-LEN(SUBSTITUTE(D341, ",", ""))))-1), ",", REPT(" ", LEN(D341))), LEN(D341))))</f>
        <v>#VALUE!</v>
      </c>
      <c r="I341" t="str">
        <f t="shared" si="16"/>
        <v>Hồ Chí Minh</v>
      </c>
    </row>
    <row r="342" spans="1:9" x14ac:dyDescent="0.3">
      <c r="A342" t="s">
        <v>2124</v>
      </c>
      <c r="C342" t="s">
        <v>4801</v>
      </c>
      <c r="E342" t="str">
        <f>SUBSTITUTE(SUBSTITUTE(SUBSTITUTE(LOWER(C342), "tphcm", "TP. Hồ Chí Minh"), "hcm", "TP. Hồ Chí Minh"), " q.", " Quận ")</f>
        <v>6/2e đường huỳnh thị mài, hóc môn, hồ chí minh, việt nam6/2e đường huỳnh thị mài, hóc môn, hồ chí minh, việt nam</v>
      </c>
      <c r="F342" t="str">
        <f>PROPER(TRIM(RIGHT(SUBSTITUTE(D342, ",", REPT(" ", LEN(D342))), LEN(D342))))</f>
        <v/>
      </c>
      <c r="G342" t="str">
        <f t="shared" si="15"/>
        <v>Việt Nam</v>
      </c>
      <c r="H342" t="e">
        <f>PROPER(TRIM(RIGHT(SUBSTITUTE(LEFT(D342, FIND("@", SUBSTITUTE(D342, ",", "@", LEN(D342)-LEN(SUBSTITUTE(D342, ",", ""))))-1), ",", REPT(" ", LEN(D342))), LEN(D342))))</f>
        <v>#VALUE!</v>
      </c>
      <c r="I342" t="str">
        <f t="shared" si="16"/>
        <v>Hồ Chí Minh</v>
      </c>
    </row>
    <row r="343" spans="1:9" x14ac:dyDescent="0.3">
      <c r="A343" t="s">
        <v>2129</v>
      </c>
      <c r="C343" t="s">
        <v>4808</v>
      </c>
      <c r="E343" t="str">
        <f>SUBSTITUTE(SUBSTITUTE(SUBSTITUTE(LOWER(C343), "tphcm", "TP. Hồ Chí Minh"), "hcm", "TP. Hồ Chí Minh"), " q.", " Quận ")</f>
        <v>chương dương/6b hẻm 56, khu phố 1, thủ đức, hồ chí minh, việt namchương dương/6b hẻm 56, khu phố 1, thủ đức, hồ chí minh, việt nam</v>
      </c>
      <c r="F343" t="str">
        <f>PROPER(TRIM(RIGHT(SUBSTITUTE(D343, ",", REPT(" ", LEN(D343))), LEN(D343))))</f>
        <v/>
      </c>
      <c r="G343" t="str">
        <f t="shared" si="15"/>
        <v>Việt Nam</v>
      </c>
      <c r="H343" t="e">
        <f>PROPER(TRIM(RIGHT(SUBSTITUTE(LEFT(D343, FIND("@", SUBSTITUTE(D343, ",", "@", LEN(D343)-LEN(SUBSTITUTE(D343, ",", ""))))-1), ",", REPT(" ", LEN(D343))), LEN(D343))))</f>
        <v>#VALUE!</v>
      </c>
      <c r="I343" t="str">
        <f t="shared" si="16"/>
        <v>Hồ Chí Minh</v>
      </c>
    </row>
    <row r="344" spans="1:9" x14ac:dyDescent="0.3">
      <c r="A344" t="s">
        <v>2135</v>
      </c>
      <c r="C344" t="s">
        <v>4822</v>
      </c>
      <c r="E344" t="str">
        <f>SUBSTITUTE(SUBSTITUTE(SUBSTITUTE(LOWER(C344), "tphcm", "TP. Hồ Chí Minh"), "hcm", "TP. Hồ Chí Minh"), " q.", " Quận ")</f>
        <v>92-94 nguyễn quý đức, khu đô thị an phú an khánh, bình trưng, hồ chí minh, việt nam92-94 nguyễn quý đức, khu đô thị an phú an khánh, bình trưng, hồ chí minh, việt nam</v>
      </c>
      <c r="F344" t="str">
        <f>PROPER(TRIM(RIGHT(SUBSTITUTE(D344, ",", REPT(" ", LEN(D344))), LEN(D344))))</f>
        <v/>
      </c>
      <c r="G344" t="str">
        <f t="shared" si="15"/>
        <v>Việt Nam</v>
      </c>
      <c r="H344" t="e">
        <f>PROPER(TRIM(RIGHT(SUBSTITUTE(LEFT(D344, FIND("@", SUBSTITUTE(D344, ",", "@", LEN(D344)-LEN(SUBSTITUTE(D344, ",", ""))))-1), ",", REPT(" ", LEN(D344))), LEN(D344))))</f>
        <v>#VALUE!</v>
      </c>
      <c r="I344" t="str">
        <f t="shared" si="16"/>
        <v>Hồ Chí Minh</v>
      </c>
    </row>
    <row r="345" spans="1:9" x14ac:dyDescent="0.3">
      <c r="A345" t="s">
        <v>2139</v>
      </c>
      <c r="C345" t="s">
        <v>4829</v>
      </c>
      <c r="E345" t="str">
        <f>SUBSTITUTE(SUBSTITUTE(SUBSTITUTE(LOWER(C345), "tphcm", "TP. Hồ Chí Minh"), "hcm", "TP. Hồ Chí Minh"), " q.", " Quận ")</f>
        <v>577 đ. lê đức thọ, an hội đông, hồ chí minh 700000, việt nam577 đ. lê đức thọ, an hội đông, hồ chí minh 700000, việt nam</v>
      </c>
      <c r="F345" t="str">
        <f>PROPER(TRIM(RIGHT(SUBSTITUTE(D345, ",", REPT(" ", LEN(D345))), LEN(D345))))</f>
        <v/>
      </c>
      <c r="G345" t="str">
        <f t="shared" si="15"/>
        <v>Việt Nam</v>
      </c>
      <c r="H345" t="e">
        <f>PROPER(TRIM(RIGHT(SUBSTITUTE(LEFT(D345, FIND("@", SUBSTITUTE(D345, ",", "@", LEN(D345)-LEN(SUBSTITUTE(D345, ",", ""))))-1), ",", REPT(" ", LEN(D345))), LEN(D345))))</f>
        <v>#VALUE!</v>
      </c>
      <c r="I345" t="str">
        <f t="shared" si="16"/>
        <v>Hồ Chí Minh 700000</v>
      </c>
    </row>
    <row r="346" spans="1:9" x14ac:dyDescent="0.3">
      <c r="A346" t="s">
        <v>2144</v>
      </c>
      <c r="C346" t="s">
        <v>4863</v>
      </c>
      <c r="E346" t="str">
        <f>SUBSTITUTE(SUBSTITUTE(SUBSTITUTE(LOWER(C346), "tphcm", "TP. Hồ Chí Minh"), "hcm", "TP. Hồ Chí Minh"), " q.", " Quận ")</f>
        <v>28/02 trường chinh, tây thạnh, hồ chí minh, việt nam28/02 trường chinh, tây thạnh, hồ chí minh, việt nam</v>
      </c>
      <c r="F346" t="str">
        <f>PROPER(TRIM(RIGHT(SUBSTITUTE(D346, ",", REPT(" ", LEN(D346))), LEN(D346))))</f>
        <v/>
      </c>
      <c r="G346" t="str">
        <f t="shared" si="15"/>
        <v>Việt Nam</v>
      </c>
      <c r="H346" t="e">
        <f>PROPER(TRIM(RIGHT(SUBSTITUTE(LEFT(D346, FIND("@", SUBSTITUTE(D346, ",", "@", LEN(D346)-LEN(SUBSTITUTE(D346, ",", ""))))-1), ",", REPT(" ", LEN(D346))), LEN(D346))))</f>
        <v>#VALUE!</v>
      </c>
      <c r="I346" t="str">
        <f t="shared" si="16"/>
        <v>Hồ Chí Minh</v>
      </c>
    </row>
    <row r="347" spans="1:9" x14ac:dyDescent="0.3">
      <c r="A347" t="s">
        <v>2148</v>
      </c>
      <c r="C347" t="s">
        <v>4919</v>
      </c>
      <c r="E347" t="str">
        <f>SUBSTITUTE(SUBSTITUTE(SUBSTITUTE(LOWER(C347), "tphcm", "TP. Hồ Chí Minh"), "hcm", "TP. Hồ Chí Minh"), " q.", " Quận ")</f>
        <v>p&amp;c garment co.,ltd, yersin, thị xã, thủ dầu một, hồ chí minh, việt namp&amp;c garment co.,ltd</v>
      </c>
      <c r="F347" t="str">
        <f>PROPER(TRIM(RIGHT(SUBSTITUTE(D347, ",", REPT(" ", LEN(D347))), LEN(D347))))</f>
        <v/>
      </c>
      <c r="G347" t="str">
        <f t="shared" si="15"/>
        <v>Ltd</v>
      </c>
      <c r="H347" t="e">
        <f>PROPER(TRIM(RIGHT(SUBSTITUTE(LEFT(D347, FIND("@", SUBSTITUTE(D347, ",", "@", LEN(D347)-LEN(SUBSTITUTE(D347, ",", ""))))-1), ",", REPT(" ", LEN(D347))), LEN(D347))))</f>
        <v>#VALUE!</v>
      </c>
      <c r="I347" t="str">
        <f t="shared" si="16"/>
        <v>Việt Namp&amp;C Garment Co.</v>
      </c>
    </row>
    <row r="348" spans="1:9" x14ac:dyDescent="0.3">
      <c r="A348" t="s">
        <v>2152</v>
      </c>
      <c r="C348" t="s">
        <v>4931</v>
      </c>
      <c r="E348" t="str">
        <f>SUBSTITUTE(SUBSTITUTE(SUBSTITUTE(LOWER(C348), "tphcm", "TP. Hồ Chí Minh"), "hcm", "TP. Hồ Chí Minh"), " q.", " Quận ")</f>
        <v>công ty tnhh tm - dv mpc logistics, thuận an hòa, khu phố bình thuận 2, thuận giao, hồ chí minh, việt namcông ty tnhh tm - dv mpc logistics</v>
      </c>
      <c r="F348" t="str">
        <f>PROPER(TRIM(RIGHT(SUBSTITUTE(D348, ",", REPT(" ", LEN(D348))), LEN(D348))))</f>
        <v/>
      </c>
      <c r="G348" t="str">
        <f t="shared" si="15"/>
        <v>Việt Namcông Ty Tnhh Tm - Dv Mpc Logistics</v>
      </c>
      <c r="H348" t="e">
        <f>PROPER(TRIM(RIGHT(SUBSTITUTE(LEFT(D348, FIND("@", SUBSTITUTE(D348, ",", "@", LEN(D348)-LEN(SUBSTITUTE(D348, ",", ""))))-1), ",", REPT(" ", LEN(D348))), LEN(D348))))</f>
        <v>#VALUE!</v>
      </c>
      <c r="I348" t="str">
        <f t="shared" si="16"/>
        <v>Hồ Chí Minh</v>
      </c>
    </row>
    <row r="349" spans="1:9" x14ac:dyDescent="0.3">
      <c r="A349" t="s">
        <v>2162</v>
      </c>
      <c r="C349" t="s">
        <v>4939</v>
      </c>
      <c r="E349" t="str">
        <f>SUBSTITUTE(SUBSTITUTE(SUBSTITUTE(LOWER(C349), "tphcm", "TP. Hồ Chí Minh"), "hcm", "TP. Hồ Chí Minh"), " q.", " Quận ")</f>
        <v>công ty tnhh mj apparel, kp3, phường, trảng dài, đồng nai, việt namcông ty tnhh mj apparel</v>
      </c>
      <c r="F349" t="str">
        <f>PROPER(TRIM(RIGHT(SUBSTITUTE(D349, ",", REPT(" ", LEN(D349))), LEN(D349))))</f>
        <v/>
      </c>
      <c r="G349" t="str">
        <f t="shared" si="15"/>
        <v>Việt Namcông Ty Tnhh Mj Apparel</v>
      </c>
      <c r="H349" t="e">
        <f>PROPER(TRIM(RIGHT(SUBSTITUTE(LEFT(D349, FIND("@", SUBSTITUTE(D349, ",", "@", LEN(D349)-LEN(SUBSTITUTE(D349, ",", ""))))-1), ",", REPT(" ", LEN(D349))), LEN(D349))))</f>
        <v>#VALUE!</v>
      </c>
      <c r="I349" t="str">
        <f t="shared" si="16"/>
        <v>Đồng Nai</v>
      </c>
    </row>
    <row r="350" spans="1:9" x14ac:dyDescent="0.3">
      <c r="A350" t="s">
        <v>2172</v>
      </c>
      <c r="C350" t="s">
        <v>4950</v>
      </c>
      <c r="E350" t="str">
        <f>SUBSTITUTE(SUBSTITUTE(SUBSTITUTE(LOWER(C350), "tphcm", "TP. Hồ Chí Minh"), "hcm", "TP. Hồ Chí Minh"), " q.", " Quận ")</f>
        <v>công ty tnhh okura, đường số 2, khu công nghiệp, hố nai, đồng nai, việt namcông ty tnhh okura</v>
      </c>
      <c r="F350" t="str">
        <f>PROPER(TRIM(RIGHT(SUBSTITUTE(D350, ",", REPT(" ", LEN(D350))), LEN(D350))))</f>
        <v/>
      </c>
      <c r="G350" t="str">
        <f t="shared" si="15"/>
        <v>Việt Namcông Ty Tnhh Okura</v>
      </c>
      <c r="H350" t="e">
        <f>PROPER(TRIM(RIGHT(SUBSTITUTE(LEFT(D350, FIND("@", SUBSTITUTE(D350, ",", "@", LEN(D350)-LEN(SUBSTITUTE(D350, ",", ""))))-1), ",", REPT(" ", LEN(D350))), LEN(D350))))</f>
        <v>#VALUE!</v>
      </c>
      <c r="I350" t="str">
        <f t="shared" si="16"/>
        <v>Đồng Nai</v>
      </c>
    </row>
    <row r="351" spans="1:9" x14ac:dyDescent="0.3">
      <c r="A351" t="s">
        <v>2182</v>
      </c>
      <c r="C351" t="s">
        <v>4960</v>
      </c>
      <c r="E351" t="str">
        <f>SUBSTITUTE(SUBSTITUTE(SUBSTITUTE(LOWER(C351), "tphcm", "TP. Hồ Chí Minh"), "hcm", "TP. Hồ Chí Minh"), " q.", " Quận ")</f>
        <v>81 nguyễn thị búp, trung mỹ tây, hồ chí minh, việt nam81 nguyễn thị búp, trung mỹ tây, hồ chí minh, việt nam</v>
      </c>
      <c r="F351" t="str">
        <f>PROPER(TRIM(RIGHT(SUBSTITUTE(D351, ",", REPT(" ", LEN(D351))), LEN(D351))))</f>
        <v/>
      </c>
      <c r="G351" t="str">
        <f t="shared" si="15"/>
        <v>Việt Nam</v>
      </c>
      <c r="H351" t="e">
        <f>PROPER(TRIM(RIGHT(SUBSTITUTE(LEFT(D351, FIND("@", SUBSTITUTE(D351, ",", "@", LEN(D351)-LEN(SUBSTITUTE(D351, ",", ""))))-1), ",", REPT(" ", LEN(D351))), LEN(D351))))</f>
        <v>#VALUE!</v>
      </c>
      <c r="I351" t="str">
        <f t="shared" si="16"/>
        <v>Hồ Chí Minh</v>
      </c>
    </row>
    <row r="352" spans="1:9" x14ac:dyDescent="0.3">
      <c r="A352" t="s">
        <v>2191</v>
      </c>
      <c r="C352" t="s">
        <v>4970</v>
      </c>
      <c r="E352" t="str">
        <f>SUBSTITUTE(SUBSTITUTE(SUBSTITUTE(LOWER(C352), "tphcm", "TP. Hồ Chí Minh"), "hcm", "TP. Hồ Chí Minh"), " q.", " Quận ")</f>
        <v>công ty tnhh jm (jmgroup), đường nguyễn văn bá, thủ đức, hồ chí minh, việt namcông ty tnhh jm (jmgroup)</v>
      </c>
      <c r="F352" t="str">
        <f>PROPER(TRIM(RIGHT(SUBSTITUTE(D352, ",", REPT(" ", LEN(D352))), LEN(D352))))</f>
        <v/>
      </c>
      <c r="G352" t="str">
        <f t="shared" si="15"/>
        <v>Việt Namcông Ty Tnhh Jm (Jmgroup)</v>
      </c>
      <c r="H352" t="e">
        <f>PROPER(TRIM(RIGHT(SUBSTITUTE(LEFT(D352, FIND("@", SUBSTITUTE(D352, ",", "@", LEN(D352)-LEN(SUBSTITUTE(D352, ",", ""))))-1), ",", REPT(" ", LEN(D352))), LEN(D352))))</f>
        <v>#VALUE!</v>
      </c>
      <c r="I352" t="str">
        <f t="shared" si="16"/>
        <v>Hồ Chí Minh</v>
      </c>
    </row>
    <row r="353" spans="1:9" x14ac:dyDescent="0.3">
      <c r="A353" t="s">
        <v>2201</v>
      </c>
      <c r="C353" t="s">
        <v>4976</v>
      </c>
      <c r="E353" t="str">
        <f>SUBSTITUTE(SUBSTITUTE(SUBSTITUTE(LOWER(C353), "tphcm", "TP. Hồ Chí Minh"), "hcm", "TP. Hồ Chí Minh"), " q.", " Quận ")</f>
        <v>44 bà triệu, hóc môn, hồ chí minh, việt nam44 bà triệu, hóc môn, hồ chí minh, việt nam</v>
      </c>
      <c r="F353" t="str">
        <f>PROPER(TRIM(RIGHT(SUBSTITUTE(D353, ",", REPT(" ", LEN(D353))), LEN(D353))))</f>
        <v/>
      </c>
      <c r="G353" t="str">
        <f t="shared" si="15"/>
        <v>Việt Nam</v>
      </c>
      <c r="H353" t="e">
        <f>PROPER(TRIM(RIGHT(SUBSTITUTE(LEFT(D353, FIND("@", SUBSTITUTE(D353, ",", "@", LEN(D353)-LEN(SUBSTITUTE(D353, ",", ""))))-1), ",", REPT(" ", LEN(D353))), LEN(D353))))</f>
        <v>#VALUE!</v>
      </c>
      <c r="I353" t="str">
        <f t="shared" si="16"/>
        <v>Hồ Chí Minh</v>
      </c>
    </row>
    <row r="354" spans="1:9" x14ac:dyDescent="0.3">
      <c r="A354" t="s">
        <v>2211</v>
      </c>
      <c r="C354" t="s">
        <v>4986</v>
      </c>
      <c r="E354" t="str">
        <f>SUBSTITUTE(SUBSTITUTE(SUBSTITUTE(LOWER(C354), "tphcm", "TP. Hồ Chí Minh"), "hcm", "TP. Hồ Chí Minh"), " q.", " Quận ")</f>
        <v>10a trần thị bảy, tân thới hiệp, hồ chí minh, việt nam10a trần thị bảy, tân thới hiệp, hồ chí minh, việt nam</v>
      </c>
      <c r="F354" t="str">
        <f>PROPER(TRIM(RIGHT(SUBSTITUTE(D354, ",", REPT(" ", LEN(D354))), LEN(D354))))</f>
        <v/>
      </c>
      <c r="G354" t="str">
        <f t="shared" si="15"/>
        <v>Việt Nam</v>
      </c>
      <c r="H354" t="e">
        <f>PROPER(TRIM(RIGHT(SUBSTITUTE(LEFT(D354, FIND("@", SUBSTITUTE(D354, ",", "@", LEN(D354)-LEN(SUBSTITUTE(D354, ",", ""))))-1), ",", REPT(" ", LEN(D354))), LEN(D354))))</f>
        <v>#VALUE!</v>
      </c>
      <c r="I354" t="str">
        <f t="shared" si="16"/>
        <v>Hồ Chí Minh</v>
      </c>
    </row>
    <row r="355" spans="1:9" x14ac:dyDescent="0.3">
      <c r="A355" t="s">
        <v>2222</v>
      </c>
      <c r="C355" t="s">
        <v>4996</v>
      </c>
      <c r="E355" t="str">
        <f>SUBSTITUTE(SUBSTITUTE(SUBSTITUTE(LOWER(C355), "tphcm", "TP. Hồ Chí Minh"), "hcm", "TP. Hồ Chí Minh"), " q.", " Quận ")</f>
        <v>118/22/11 đường số 6, bình tân, hồ chí minh, việt nam118/22/11 đường số 6, bình tân, hồ chí minh, việt nam</v>
      </c>
      <c r="F355" t="str">
        <f>PROPER(TRIM(RIGHT(SUBSTITUTE(D355, ",", REPT(" ", LEN(D355))), LEN(D355))))</f>
        <v/>
      </c>
      <c r="G355" t="str">
        <f t="shared" si="15"/>
        <v>Việt Nam</v>
      </c>
      <c r="H355" t="e">
        <f>PROPER(TRIM(RIGHT(SUBSTITUTE(LEFT(D355, FIND("@", SUBSTITUTE(D355, ",", "@", LEN(D355)-LEN(SUBSTITUTE(D355, ",", ""))))-1), ",", REPT(" ", LEN(D355))), LEN(D355))))</f>
        <v>#VALUE!</v>
      </c>
      <c r="I355" t="str">
        <f t="shared" si="16"/>
        <v>Hồ Chí Minh</v>
      </c>
    </row>
    <row r="356" spans="1:9" x14ac:dyDescent="0.3">
      <c r="A356" t="s">
        <v>2232</v>
      </c>
      <c r="C356" t="s">
        <v>5003</v>
      </c>
      <c r="E356" t="str">
        <f>SUBSTITUTE(SUBSTITUTE(SUBSTITUTE(LOWER(C356), "tphcm", "TP. Hồ Chí Minh"), "hcm", "TP. Hồ Chí Minh"), " q.", " Quận ")</f>
        <v>32/2 đ. số 8, khu phố 4, an khánh, hồ chí minh 700000, việt nam32/2 đ. số 8, khu phố 4, an khánh, hồ chí minh 700000, việt nam</v>
      </c>
      <c r="F356" t="str">
        <f>PROPER(TRIM(RIGHT(SUBSTITUTE(D356, ",", REPT(" ", LEN(D356))), LEN(D356))))</f>
        <v/>
      </c>
      <c r="G356" t="str">
        <f t="shared" si="15"/>
        <v>Việt Nam</v>
      </c>
      <c r="H356" t="e">
        <f>PROPER(TRIM(RIGHT(SUBSTITUTE(LEFT(D356, FIND("@", SUBSTITUTE(D356, ",", "@", LEN(D356)-LEN(SUBSTITUTE(D356, ",", ""))))-1), ",", REPT(" ", LEN(D356))), LEN(D356))))</f>
        <v>#VALUE!</v>
      </c>
      <c r="I356" t="str">
        <f t="shared" si="16"/>
        <v>Hồ Chí Minh 700000</v>
      </c>
    </row>
    <row r="357" spans="1:9" x14ac:dyDescent="0.3">
      <c r="A357" t="s">
        <v>2242</v>
      </c>
      <c r="C357" t="s">
        <v>5015</v>
      </c>
      <c r="E357" t="str">
        <f>SUBSTITUTE(SUBSTITUTE(SUBSTITUTE(LOWER(C357), "tphcm", "TP. Hồ Chí Minh"), "hcm", "TP. Hồ Chí Minh"), " q.", " Quận ")</f>
        <v>du miên garden - 7 phan văn trị, gò vấp, thành phố hồ chí minh, hồ chí minh, việt namdu miên garden - 7 phan văn trị, gò vấp, thành phố hồ chí minh, hồ chí minh, việt nam</v>
      </c>
      <c r="F357" t="str">
        <f>PROPER(TRIM(RIGHT(SUBSTITUTE(D357, ",", REPT(" ", LEN(D357))), LEN(D357))))</f>
        <v/>
      </c>
      <c r="G357" t="str">
        <f t="shared" si="15"/>
        <v>Việt Nam</v>
      </c>
      <c r="H357" t="e">
        <f>PROPER(TRIM(RIGHT(SUBSTITUTE(LEFT(D357, FIND("@", SUBSTITUTE(D357, ",", "@", LEN(D357)-LEN(SUBSTITUTE(D357, ",", ""))))-1), ",", REPT(" ", LEN(D357))), LEN(D357))))</f>
        <v>#VALUE!</v>
      </c>
      <c r="I357" t="str">
        <f t="shared" si="16"/>
        <v>Hồ Chí Minh</v>
      </c>
    </row>
    <row r="358" spans="1:9" x14ac:dyDescent="0.3">
      <c r="A358" t="s">
        <v>2252</v>
      </c>
      <c r="C358" t="s">
        <v>5022</v>
      </c>
      <c r="E358" t="str">
        <f>SUBSTITUTE(SUBSTITUTE(SUBSTITUTE(LOWER(C358), "tphcm", "TP. Hồ Chí Minh"), "hcm", "TP. Hồ Chí Minh"), " q.", " Quận ")</f>
        <v>56 đường số 10, bình tân, hồ chí minh, việt nam56 đường số 10, bình tân, hồ chí minh, việt nam</v>
      </c>
      <c r="F358" t="str">
        <f>PROPER(TRIM(RIGHT(SUBSTITUTE(D358, ",", REPT(" ", LEN(D358))), LEN(D358))))</f>
        <v/>
      </c>
      <c r="G358" t="str">
        <f t="shared" si="15"/>
        <v>Việt Nam</v>
      </c>
      <c r="H358" t="e">
        <f>PROPER(TRIM(RIGHT(SUBSTITUTE(LEFT(D358, FIND("@", SUBSTITUTE(D358, ",", "@", LEN(D358)-LEN(SUBSTITUTE(D358, ",", ""))))-1), ",", REPT(" ", LEN(D358))), LEN(D358))))</f>
        <v>#VALUE!</v>
      </c>
      <c r="I358" t="str">
        <f t="shared" si="16"/>
        <v>Hồ Chí Minh</v>
      </c>
    </row>
    <row r="359" spans="1:9" x14ac:dyDescent="0.3">
      <c r="A359" t="s">
        <v>2262</v>
      </c>
      <c r="C359" t="s">
        <v>5029</v>
      </c>
      <c r="E359" t="str">
        <f>SUBSTITUTE(SUBSTITUTE(SUBSTITUTE(LOWER(C359), "tphcm", "TP. Hồ Chí Minh"), "hcm", "TP. Hồ Chí Minh"), " q.", " Quận ")</f>
        <v>kawajun vietnam industry co., ltd, road n 4, loc an industrial park, long thành, đồng nai, việt namkawajun vietnam industry co., ltd</v>
      </c>
      <c r="F359" t="str">
        <f>PROPER(TRIM(RIGHT(SUBSTITUTE(D359, ",", REPT(" ", LEN(D359))), LEN(D359))))</f>
        <v/>
      </c>
      <c r="G359" t="str">
        <f t="shared" si="15"/>
        <v>Ltd</v>
      </c>
      <c r="H359" t="e">
        <f>PROPER(TRIM(RIGHT(SUBSTITUTE(LEFT(D359, FIND("@", SUBSTITUTE(D359, ",", "@", LEN(D359)-LEN(SUBSTITUTE(D359, ",", ""))))-1), ",", REPT(" ", LEN(D359))), LEN(D359))))</f>
        <v>#VALUE!</v>
      </c>
      <c r="I359" t="str">
        <f t="shared" si="16"/>
        <v>Việt Namkawajun Vietnam Industry Co.</v>
      </c>
    </row>
    <row r="360" spans="1:9" x14ac:dyDescent="0.3">
      <c r="A360" t="s">
        <v>2272</v>
      </c>
      <c r="C360" t="s">
        <v>5037</v>
      </c>
      <c r="E360" t="str">
        <f>SUBSTITUTE(SUBSTITUTE(SUBSTITUTE(LOWER(C360), "tphcm", "TP. Hồ Chí Minh"), "hcm", "TP. Hồ Chí Minh"), " q.", " Quận ")</f>
        <v>1p lê thước, an khánh, hồ chí minh, việt nam1p lê thước, an khánh, hồ chí minh, việt nam</v>
      </c>
      <c r="F360" t="str">
        <f>PROPER(TRIM(RIGHT(SUBSTITUTE(D360, ",", REPT(" ", LEN(D360))), LEN(D360))))</f>
        <v/>
      </c>
      <c r="G360" t="str">
        <f t="shared" si="15"/>
        <v>Việt Nam</v>
      </c>
      <c r="H360" t="e">
        <f>PROPER(TRIM(RIGHT(SUBSTITUTE(LEFT(D360, FIND("@", SUBSTITUTE(D360, ",", "@", LEN(D360)-LEN(SUBSTITUTE(D360, ",", ""))))-1), ",", REPT(" ", LEN(D360))), LEN(D360))))</f>
        <v>#VALUE!</v>
      </c>
      <c r="I360" t="str">
        <f t="shared" si="16"/>
        <v>Hồ Chí Minh</v>
      </c>
    </row>
    <row r="361" spans="1:9" x14ac:dyDescent="0.3">
      <c r="A361" t="s">
        <v>2282</v>
      </c>
      <c r="C361" t="s">
        <v>5043</v>
      </c>
      <c r="E361" t="str">
        <f>SUBSTITUTE(SUBSTITUTE(SUBSTITUTE(LOWER(C361), "tphcm", "TP. Hồ Chí Minh"), "hcm", "TP. Hồ Chí Minh"), " q.", " Quận ")</f>
        <v>cty pou phong vietnam co.,ltd, kcn bàu xéo, an viễn, đồng nai, việt namcty pou phong vietnam co.,ltd</v>
      </c>
      <c r="F361" t="str">
        <f>PROPER(TRIM(RIGHT(SUBSTITUTE(D361, ",", REPT(" ", LEN(D361))), LEN(D361))))</f>
        <v/>
      </c>
      <c r="G361" t="str">
        <f t="shared" si="15"/>
        <v>Ltd</v>
      </c>
      <c r="H361" t="e">
        <f>PROPER(TRIM(RIGHT(SUBSTITUTE(LEFT(D361, FIND("@", SUBSTITUTE(D361, ",", "@", LEN(D361)-LEN(SUBSTITUTE(D361, ",", ""))))-1), ",", REPT(" ", LEN(D361))), LEN(D361))))</f>
        <v>#VALUE!</v>
      </c>
      <c r="I361" t="str">
        <f t="shared" si="16"/>
        <v>Việt Namcty Pou Phong Vietnam Co.</v>
      </c>
    </row>
    <row r="362" spans="1:9" x14ac:dyDescent="0.3">
      <c r="A362" t="s">
        <v>2293</v>
      </c>
      <c r="C362" t="s">
        <v>5053</v>
      </c>
      <c r="E362" t="str">
        <f>SUBSTITUTE(SUBSTITUTE(SUBSTITUTE(LOWER(C362), "tphcm", "TP. Hồ Chí Minh"), "hcm", "TP. Hồ Chí Minh"), " q.", " Quận ")</f>
        <v>88 đ. số 24, bình trưng, hồ chí minh 70000, việt nam88 đ. số 24, bình trưng, hồ chí minh 70000, việt nam</v>
      </c>
      <c r="F362" t="str">
        <f>PROPER(TRIM(RIGHT(SUBSTITUTE(D362, ",", REPT(" ", LEN(D362))), LEN(D362))))</f>
        <v/>
      </c>
      <c r="G362" t="str">
        <f t="shared" si="15"/>
        <v>Việt Nam</v>
      </c>
      <c r="H362" t="e">
        <f>PROPER(TRIM(RIGHT(SUBSTITUTE(LEFT(D362, FIND("@", SUBSTITUTE(D362, ",", "@", LEN(D362)-LEN(SUBSTITUTE(D362, ",", ""))))-1), ",", REPT(" ", LEN(D362))), LEN(D362))))</f>
        <v>#VALUE!</v>
      </c>
      <c r="I362" t="str">
        <f t="shared" si="16"/>
        <v>Hồ Chí Minh 70000</v>
      </c>
    </row>
    <row r="363" spans="1:9" x14ac:dyDescent="0.3">
      <c r="A363" t="s">
        <v>2300</v>
      </c>
      <c r="C363" t="s">
        <v>5060</v>
      </c>
      <c r="E363" t="str">
        <f>SUBSTITUTE(SUBSTITUTE(SUBSTITUTE(LOWER(C363), "tphcm", "TP. Hồ Chí Minh"), "hcm", "TP. Hồ Chí Minh"), " q.", " Quận ")</f>
        <v>201/14 đ. nguyễn xí, bình thạnh, hồ chí minh, việt nam201/14 đ. nguyễn xí, bình thạnh, hồ chí minh, việt nam</v>
      </c>
      <c r="F363" t="str">
        <f>PROPER(TRIM(RIGHT(SUBSTITUTE(D363, ",", REPT(" ", LEN(D363))), LEN(D363))))</f>
        <v/>
      </c>
      <c r="G363" t="str">
        <f t="shared" si="15"/>
        <v>Việt Nam</v>
      </c>
      <c r="H363" t="e">
        <f>PROPER(TRIM(RIGHT(SUBSTITUTE(LEFT(D363, FIND("@", SUBSTITUTE(D363, ",", "@", LEN(D363)-LEN(SUBSTITUTE(D363, ",", ""))))-1), ",", REPT(" ", LEN(D363))), LEN(D363))))</f>
        <v>#VALUE!</v>
      </c>
      <c r="I363" t="str">
        <f t="shared" si="16"/>
        <v>Hồ Chí Minh</v>
      </c>
    </row>
    <row r="364" spans="1:9" x14ac:dyDescent="0.3">
      <c r="A364" t="s">
        <v>2307</v>
      </c>
      <c r="C364" t="s">
        <v>5092</v>
      </c>
      <c r="E364" t="str">
        <f>SUBSTITUTE(SUBSTITUTE(SUBSTITUTE(LOWER(C364), "tphcm", "TP. Hồ Chí Minh"), "hcm", "TP. Hồ Chí Minh"), " q.", " Quận ")</f>
        <v>325 quang trung, gò vấp, hồ chí minh 727010, việt nam325 quang trung, gò vấp, hồ chí minh 727010, việt nam</v>
      </c>
      <c r="F364" t="str">
        <f>PROPER(TRIM(RIGHT(SUBSTITUTE(D364, ",", REPT(" ", LEN(D364))), LEN(D364))))</f>
        <v/>
      </c>
      <c r="G364" t="str">
        <f t="shared" si="15"/>
        <v>Việt Nam</v>
      </c>
      <c r="H364" t="e">
        <f>PROPER(TRIM(RIGHT(SUBSTITUTE(LEFT(D364, FIND("@", SUBSTITUTE(D364, ",", "@", LEN(D364)-LEN(SUBSTITUTE(D364, ",", ""))))-1), ",", REPT(" ", LEN(D364))), LEN(D364))))</f>
        <v>#VALUE!</v>
      </c>
      <c r="I364" t="str">
        <f t="shared" si="16"/>
        <v>Hồ Chí Minh 727010</v>
      </c>
    </row>
    <row r="365" spans="1:9" x14ac:dyDescent="0.3">
      <c r="A365" t="s">
        <v>2317</v>
      </c>
      <c r="C365" t="s">
        <v>5107</v>
      </c>
      <c r="E365" t="str">
        <f>SUBSTITUTE(SUBSTITUTE(SUBSTITUTE(LOWER(C365), "tphcm", "TP. Hồ Chí Minh"), "hcm", "TP. Hồ Chí Minh"), " q.", " Quận ")</f>
        <v>214/21 đ. số 7, gò vấp, hồ chí minh, việt nam214/21 đ. số 7, gò vấp, hồ chí minh, việt nam</v>
      </c>
      <c r="F365" t="str">
        <f>PROPER(TRIM(RIGHT(SUBSTITUTE(D365, ",", REPT(" ", LEN(D365))), LEN(D365))))</f>
        <v/>
      </c>
      <c r="G365" t="str">
        <f t="shared" si="15"/>
        <v>Việt Nam</v>
      </c>
      <c r="H365" t="e">
        <f>PROPER(TRIM(RIGHT(SUBSTITUTE(LEFT(D365, FIND("@", SUBSTITUTE(D365, ",", "@", LEN(D365)-LEN(SUBSTITUTE(D365, ",", ""))))-1), ",", REPT(" ", LEN(D365))), LEN(D365))))</f>
        <v>#VALUE!</v>
      </c>
      <c r="I365" t="str">
        <f t="shared" si="16"/>
        <v>Hồ Chí Minh</v>
      </c>
    </row>
    <row r="366" spans="1:9" x14ac:dyDescent="0.3">
      <c r="A366" t="s">
        <v>2325</v>
      </c>
      <c r="C366" t="s">
        <v>5118</v>
      </c>
      <c r="E366" t="str">
        <f>SUBSTITUTE(SUBSTITUTE(SUBSTITUTE(LOWER(C366), "tphcm", "TP. Hồ Chí Minh"), "hcm", "TP. Hồ Chí Minh"), " q.", " Quận ")</f>
        <v>427 nơ trang long, bình lợi trung, hồ chí minh, việt nam427 nơ trang long, bình lợi trung, hồ chí minh, việt nam</v>
      </c>
      <c r="F366" t="str">
        <f>PROPER(TRIM(RIGHT(SUBSTITUTE(D366, ",", REPT(" ", LEN(D366))), LEN(D366))))</f>
        <v/>
      </c>
      <c r="G366" t="str">
        <f t="shared" si="15"/>
        <v>Việt Nam</v>
      </c>
      <c r="H366" t="e">
        <f>PROPER(TRIM(RIGHT(SUBSTITUTE(LEFT(D366, FIND("@", SUBSTITUTE(D366, ",", "@", LEN(D366)-LEN(SUBSTITUTE(D366, ",", ""))))-1), ",", REPT(" ", LEN(D366))), LEN(D366))))</f>
        <v>#VALUE!</v>
      </c>
      <c r="I366" t="str">
        <f t="shared" si="16"/>
        <v>Hồ Chí Minh</v>
      </c>
    </row>
    <row r="367" spans="1:9" x14ac:dyDescent="0.3">
      <c r="A367" t="s">
        <v>2335</v>
      </c>
      <c r="C367" t="s">
        <v>5130</v>
      </c>
      <c r="E367" t="str">
        <f>SUBSTITUTE(SUBSTITUTE(SUBSTITUTE(LOWER(C367), "tphcm", "TP. Hồ Chí Minh"), "hcm", "TP. Hồ Chí Minh"), " q.", " Quận ")</f>
        <v>công ty tnhh mtv daeyoung electronics vina, đường d2, tăng nhơn phú, hồ chí minh, việt namcông ty tnhh mtv daeyoung electronics vina</v>
      </c>
      <c r="F367" t="str">
        <f>PROPER(TRIM(RIGHT(SUBSTITUTE(D367, ",", REPT(" ", LEN(D367))), LEN(D367))))</f>
        <v/>
      </c>
      <c r="G367" t="str">
        <f t="shared" si="15"/>
        <v>Việt Namcông Ty Tnhh Mtv Daeyoung Electronics Vina</v>
      </c>
      <c r="H367" t="e">
        <f>PROPER(TRIM(RIGHT(SUBSTITUTE(LEFT(D367, FIND("@", SUBSTITUTE(D367, ",", "@", LEN(D367)-LEN(SUBSTITUTE(D367, ",", ""))))-1), ",", REPT(" ", LEN(D367))), LEN(D367))))</f>
        <v>#VALUE!</v>
      </c>
      <c r="I367" t="str">
        <f t="shared" si="16"/>
        <v>Hồ Chí Minh</v>
      </c>
    </row>
    <row r="368" spans="1:9" x14ac:dyDescent="0.3">
      <c r="A368" t="s">
        <v>2342</v>
      </c>
      <c r="C368" t="s">
        <v>5148</v>
      </c>
      <c r="E368" t="str">
        <f>SUBSTITUTE(SUBSTITUTE(SUBSTITUTE(LOWER(C368), "tphcm", "TP. Hồ Chí Minh"), "hcm", "TP. Hồ Chí Minh"), " q.", " Quận ")</f>
        <v>2 quách văn tuấn, bảy hiền, hồ chí minh, việt nam2 quách văn tuấn, bảy hiền, hồ chí minh, việt nam</v>
      </c>
      <c r="F368" t="str">
        <f>PROPER(TRIM(RIGHT(SUBSTITUTE(D368, ",", REPT(" ", LEN(D368))), LEN(D368))))</f>
        <v/>
      </c>
      <c r="G368" t="str">
        <f t="shared" si="15"/>
        <v>Việt Nam</v>
      </c>
      <c r="H368" t="e">
        <f>PROPER(TRIM(RIGHT(SUBSTITUTE(LEFT(D368, FIND("@", SUBSTITUTE(D368, ",", "@", LEN(D368)-LEN(SUBSTITUTE(D368, ",", ""))))-1), ",", REPT(" ", LEN(D368))), LEN(D368))))</f>
        <v>#VALUE!</v>
      </c>
      <c r="I368" t="str">
        <f t="shared" si="16"/>
        <v>Hồ Chí Minh</v>
      </c>
    </row>
    <row r="369" spans="1:9" x14ac:dyDescent="0.3">
      <c r="A369" t="s">
        <v>2349</v>
      </c>
      <c r="C369" t="s">
        <v>5198</v>
      </c>
      <c r="E369" t="str">
        <f>SUBSTITUTE(SUBSTITUTE(SUBSTITUTE(LOWER(C369), "tphcm", "TP. Hồ Chí Minh"), "hcm", "TP. Hồ Chí Minh"), " q.", " Quận ")</f>
        <v>vhpw+m63, hóc môn, hồ chí minh, việt namvhpw+m63, hóc môn, hồ chí minh, việt nam</v>
      </c>
      <c r="F369" t="str">
        <f>PROPER(TRIM(RIGHT(SUBSTITUTE(D369, ",", REPT(" ", LEN(D369))), LEN(D369))))</f>
        <v/>
      </c>
      <c r="G369" t="str">
        <f t="shared" si="15"/>
        <v>Việt Nam</v>
      </c>
      <c r="H369" t="e">
        <f>PROPER(TRIM(RIGHT(SUBSTITUTE(LEFT(D369, FIND("@", SUBSTITUTE(D369, ",", "@", LEN(D369)-LEN(SUBSTITUTE(D369, ",", ""))))-1), ",", REPT(" ", LEN(D369))), LEN(D369))))</f>
        <v>#VALUE!</v>
      </c>
      <c r="I369" t="str">
        <f t="shared" si="16"/>
        <v>Hồ Chí Minh</v>
      </c>
    </row>
    <row r="370" spans="1:9" x14ac:dyDescent="0.3">
      <c r="A370" t="s">
        <v>2360</v>
      </c>
      <c r="C370" t="s">
        <v>5242</v>
      </c>
      <c r="E370" t="str">
        <f>SUBSTITUTE(SUBSTITUTE(SUBSTITUTE(LOWER(C370), "tphcm", "TP. Hồ Chí Minh"), "hcm", "TP. Hồ Chí Minh"), " q.", " Quận ")</f>
        <v>02 đ. số 7, gò vấp, hồ chí minh, việt nam02 đ. số 7, gò vấp, hồ chí minh, việt nam</v>
      </c>
      <c r="F370" t="str">
        <f>PROPER(TRIM(RIGHT(SUBSTITUTE(D370, ",", REPT(" ", LEN(D370))), LEN(D370))))</f>
        <v/>
      </c>
      <c r="G370" t="str">
        <f t="shared" si="15"/>
        <v>Việt Nam</v>
      </c>
      <c r="H370" t="e">
        <f>PROPER(TRIM(RIGHT(SUBSTITUTE(LEFT(D370, FIND("@", SUBSTITUTE(D370, ",", "@", LEN(D370)-LEN(SUBSTITUTE(D370, ",", ""))))-1), ",", REPT(" ", LEN(D370))), LEN(D370))))</f>
        <v>#VALUE!</v>
      </c>
      <c r="I370" t="str">
        <f t="shared" si="16"/>
        <v>Hồ Chí Minh</v>
      </c>
    </row>
    <row r="371" spans="1:9" x14ac:dyDescent="0.3">
      <c r="A371" t="s">
        <v>2364</v>
      </c>
      <c r="C371" t="s">
        <v>5304</v>
      </c>
      <c r="E371" t="str">
        <f>SUBSTITUTE(SUBSTITUTE(SUBSTITUTE(LOWER(C371), "tphcm", "TP. Hồ Chí Minh"), "hcm", "TP. Hồ Chí Minh"), " q.", " Quận ")</f>
        <v>đ. 9/15 hẻm 41, khu phố 4, an khánh, hồ chí minh, việt namđ. 9/15 hẻm 41, khu phố 4, an khánh, hồ chí minh, việt nam</v>
      </c>
      <c r="F371" t="str">
        <f>PROPER(TRIM(RIGHT(SUBSTITUTE(D371, ",", REPT(" ", LEN(D371))), LEN(D371))))</f>
        <v/>
      </c>
      <c r="G371" t="str">
        <f t="shared" si="15"/>
        <v>Việt Nam</v>
      </c>
      <c r="H371" t="e">
        <f>PROPER(TRIM(RIGHT(SUBSTITUTE(LEFT(D371, FIND("@", SUBSTITUTE(D371, ",", "@", LEN(D371)-LEN(SUBSTITUTE(D371, ",", ""))))-1), ",", REPT(" ", LEN(D371))), LEN(D371))))</f>
        <v>#VALUE!</v>
      </c>
      <c r="I371" t="str">
        <f t="shared" si="16"/>
        <v>Hồ Chí Minh</v>
      </c>
    </row>
    <row r="372" spans="1:9" x14ac:dyDescent="0.3">
      <c r="A372" t="s">
        <v>2374</v>
      </c>
      <c r="C372" t="s">
        <v>5357</v>
      </c>
      <c r="E372" t="str">
        <f>SUBSTITUTE(SUBSTITUTE(SUBSTITUTE(LOWER(C372), "tphcm", "TP. Hồ Chí Minh"), "hcm", "TP. Hồ Chí Minh"), " q.", " Quận ")</f>
        <v>thu dau mot university, trần văn ơn, phú lợi, hồ chí minh, việt namthu dau mot university</v>
      </c>
      <c r="F372" t="str">
        <f>PROPER(TRIM(RIGHT(SUBSTITUTE(D372, ",", REPT(" ", LEN(D372))), LEN(D372))))</f>
        <v/>
      </c>
      <c r="G372" t="str">
        <f t="shared" si="15"/>
        <v>Việt Namthu Dau Mot University</v>
      </c>
      <c r="H372" t="e">
        <f>PROPER(TRIM(RIGHT(SUBSTITUTE(LEFT(D372, FIND("@", SUBSTITUTE(D372, ",", "@", LEN(D372)-LEN(SUBSTITUTE(D372, ",", ""))))-1), ",", REPT(" ", LEN(D372))), LEN(D372))))</f>
        <v>#VALUE!</v>
      </c>
      <c r="I372" t="str">
        <f t="shared" si="16"/>
        <v>Hồ Chí Minh</v>
      </c>
    </row>
    <row r="373" spans="1:9" x14ac:dyDescent="0.3">
      <c r="A373" t="s">
        <v>2381</v>
      </c>
      <c r="C373" t="s">
        <v>5364</v>
      </c>
      <c r="E373" t="str">
        <f>SUBSTITUTE(SUBSTITUTE(SUBSTITUTE(LOWER(C373), "tphcm", "TP. Hồ Chí Minh"), "hcm", "TP. Hồ Chí Minh"), " q.", " Quận ")</f>
        <v>119 c12, tân sơn, hồ chí minh, việt nam119 c12, tân sơn, hồ chí minh, việt nam</v>
      </c>
      <c r="F373" t="str">
        <f>PROPER(TRIM(RIGHT(SUBSTITUTE(D373, ",", REPT(" ", LEN(D373))), LEN(D373))))</f>
        <v/>
      </c>
      <c r="G373" t="str">
        <f t="shared" si="15"/>
        <v>Việt Nam</v>
      </c>
      <c r="H373" t="e">
        <f>PROPER(TRIM(RIGHT(SUBSTITUTE(LEFT(D373, FIND("@", SUBSTITUTE(D373, ",", "@", LEN(D373)-LEN(SUBSTITUTE(D373, ",", ""))))-1), ",", REPT(" ", LEN(D373))), LEN(D373))))</f>
        <v>#VALUE!</v>
      </c>
      <c r="I373" t="str">
        <f t="shared" si="16"/>
        <v>Hồ Chí Minh</v>
      </c>
    </row>
    <row r="374" spans="1:9" x14ac:dyDescent="0.3">
      <c r="A374" t="s">
        <v>2388</v>
      </c>
      <c r="C374" t="s">
        <v>5372</v>
      </c>
      <c r="E374" t="str">
        <f>SUBSTITUTE(SUBSTITUTE(SUBSTITUTE(LOWER(C374), "tphcm", "TP. Hồ Chí Minh"), "hcm", "TP. Hồ Chí Minh"), " q.", " Quận ")</f>
        <v>công ty tnhh một thành viên long thành tuấn, quốc lộ 51, ấp 2, long hưng, đồng nai, việt namcông ty tnhh một thành viên long thành tuấn</v>
      </c>
      <c r="F374" t="str">
        <f>PROPER(TRIM(RIGHT(SUBSTITUTE(D374, ",", REPT(" ", LEN(D374))), LEN(D374))))</f>
        <v/>
      </c>
      <c r="G374" t="str">
        <f t="shared" si="15"/>
        <v>Việt Namcông Ty Tnhh Một Thành Viên Long Thành Tuấn</v>
      </c>
      <c r="H374" t="e">
        <f>PROPER(TRIM(RIGHT(SUBSTITUTE(LEFT(D374, FIND("@", SUBSTITUTE(D374, ",", "@", LEN(D374)-LEN(SUBSTITUTE(D374, ",", ""))))-1), ",", REPT(" ", LEN(D374))), LEN(D374))))</f>
        <v>#VALUE!</v>
      </c>
      <c r="I374" t="str">
        <f t="shared" si="16"/>
        <v>Đồng Nai</v>
      </c>
    </row>
    <row r="375" spans="1:9" x14ac:dyDescent="0.3">
      <c r="A375" t="s">
        <v>2395</v>
      </c>
      <c r="C375" t="s">
        <v>5383</v>
      </c>
      <c r="E375" t="str">
        <f>SUBSTITUTE(SUBSTITUTE(SUBSTITUTE(LOWER(C375), "tphcm", "TP. Hồ Chí Minh"), "hcm", "TP. Hồ Chí Minh"), " q.", " Quận ")</f>
        <v>trung tâm văn hoá quận 12, quốc lộ 22, trung mỹ tây, hồ chí minh, việt namtrung tâm văn hoá quận 12</v>
      </c>
      <c r="F375" t="str">
        <f>PROPER(TRIM(RIGHT(SUBSTITUTE(D375, ",", REPT(" ", LEN(D375))), LEN(D375))))</f>
        <v/>
      </c>
      <c r="G375" t="str">
        <f t="shared" si="15"/>
        <v>Việt Namtrung Tâm Văn Hoá Quận 12</v>
      </c>
      <c r="H375" t="e">
        <f>PROPER(TRIM(RIGHT(SUBSTITUTE(LEFT(D375, FIND("@", SUBSTITUTE(D375, ",", "@", LEN(D375)-LEN(SUBSTITUTE(D375, ",", ""))))-1), ",", REPT(" ", LEN(D375))), LEN(D375))))</f>
        <v>#VALUE!</v>
      </c>
      <c r="I375" t="str">
        <f t="shared" si="16"/>
        <v>Hồ Chí Minh</v>
      </c>
    </row>
    <row r="376" spans="1:9" x14ac:dyDescent="0.3">
      <c r="A376" t="s">
        <v>2405</v>
      </c>
      <c r="C376" t="s">
        <v>5390</v>
      </c>
      <c r="E376" t="str">
        <f>SUBSTITUTE(SUBSTITUTE(SUBSTITUTE(LOWER(C376), "tphcm", "TP. Hồ Chí Minh"), "hcm", "TP. Hồ Chí Minh"), " q.", " Quận ")</f>
        <v>the gangs central, nguyễn huệ, sài gòn, quận 1, hồ chí minh, việt namthe gangs central</v>
      </c>
      <c r="F376" t="str">
        <f>PROPER(TRIM(RIGHT(SUBSTITUTE(D376, ",", REPT(" ", LEN(D376))), LEN(D376))))</f>
        <v/>
      </c>
      <c r="G376" t="str">
        <f t="shared" si="15"/>
        <v>Việt Namthe Gangs Central</v>
      </c>
      <c r="H376" t="e">
        <f>PROPER(TRIM(RIGHT(SUBSTITUTE(LEFT(D376, FIND("@", SUBSTITUTE(D376, ",", "@", LEN(D376)-LEN(SUBSTITUTE(D376, ",", ""))))-1), ",", REPT(" ", LEN(D376))), LEN(D376))))</f>
        <v>#VALUE!</v>
      </c>
      <c r="I376" t="str">
        <f t="shared" si="16"/>
        <v>Hồ Chí Minh</v>
      </c>
    </row>
    <row r="377" spans="1:9" x14ac:dyDescent="0.3">
      <c r="A377" t="s">
        <v>2412</v>
      </c>
      <c r="C377" t="s">
        <v>5397</v>
      </c>
      <c r="E377" t="str">
        <f>SUBSTITUTE(SUBSTITUTE(SUBSTITUTE(LOWER(C377), "tphcm", "TP. Hồ Chí Minh"), "hcm", "TP. Hồ Chí Minh"), " q.", " Quận ")</f>
        <v>quận 8, bình đông, hồ chí minh, việt namquận 8</v>
      </c>
      <c r="F377" t="str">
        <f>PROPER(TRIM(RIGHT(SUBSTITUTE(D377, ",", REPT(" ", LEN(D377))), LEN(D377))))</f>
        <v/>
      </c>
      <c r="G377" t="str">
        <f t="shared" si="15"/>
        <v>Việt Namquận 8</v>
      </c>
      <c r="H377" t="e">
        <f>PROPER(TRIM(RIGHT(SUBSTITUTE(LEFT(D377, FIND("@", SUBSTITUTE(D377, ",", "@", LEN(D377)-LEN(SUBSTITUTE(D377, ",", ""))))-1), ",", REPT(" ", LEN(D377))), LEN(D377))))</f>
        <v>#VALUE!</v>
      </c>
      <c r="I377" t="str">
        <f t="shared" si="16"/>
        <v>Hồ Chí Minh</v>
      </c>
    </row>
    <row r="378" spans="1:9" x14ac:dyDescent="0.3">
      <c r="A378" t="s">
        <v>2419</v>
      </c>
      <c r="C378" t="s">
        <v>5516</v>
      </c>
      <c r="E378" t="str">
        <f>SUBSTITUTE(SUBSTITUTE(SUBSTITUTE(LOWER(C378), "tphcm", "TP. Hồ Chí Minh"), "hcm", "TP. Hồ Chí Minh"), " q.", " Quận ")</f>
        <v>chợ hưng long, đoàn nguyễn tuấn, hưng long, hồ chí minh, việt namchợ hưng long</v>
      </c>
      <c r="F378" t="str">
        <f>PROPER(TRIM(RIGHT(SUBSTITUTE(D378, ",", REPT(" ", LEN(D378))), LEN(D378))))</f>
        <v/>
      </c>
      <c r="G378" t="str">
        <f t="shared" si="15"/>
        <v>Việt Namchợ Hưng Long</v>
      </c>
      <c r="H378" t="e">
        <f>PROPER(TRIM(RIGHT(SUBSTITUTE(LEFT(D378, FIND("@", SUBSTITUTE(D378, ",", "@", LEN(D378)-LEN(SUBSTITUTE(D378, ",", ""))))-1), ",", REPT(" ", LEN(D378))), LEN(D378))))</f>
        <v>#VALUE!</v>
      </c>
      <c r="I378" t="str">
        <f t="shared" si="16"/>
        <v>Hồ Chí Minh</v>
      </c>
    </row>
    <row r="379" spans="1:9" x14ac:dyDescent="0.3">
      <c r="A379" t="s">
        <v>2430</v>
      </c>
      <c r="C379" t="s">
        <v>5523</v>
      </c>
      <c r="E379" t="str">
        <f>SUBSTITUTE(SUBSTITUTE(SUBSTITUTE(LOWER(C379), "tphcm", "TP. Hồ Chí Minh"), "hcm", "TP. Hồ Chí Minh"), " q.", " Quận ")</f>
        <v>813 đt743b, dĩ an, hồ chí minh, việt nam813 đt743b, dĩ an, hồ chí minh, việt nam</v>
      </c>
      <c r="F379" t="str">
        <f>PROPER(TRIM(RIGHT(SUBSTITUTE(D379, ",", REPT(" ", LEN(D379))), LEN(D379))))</f>
        <v/>
      </c>
      <c r="G379" t="str">
        <f t="shared" si="15"/>
        <v>Việt Nam</v>
      </c>
      <c r="H379" t="e">
        <f>PROPER(TRIM(RIGHT(SUBSTITUTE(LEFT(D379, FIND("@", SUBSTITUTE(D379, ",", "@", LEN(D379)-LEN(SUBSTITUTE(D379, ",", ""))))-1), ",", REPT(" ", LEN(D379))), LEN(D379))))</f>
        <v>#VALUE!</v>
      </c>
      <c r="I379" t="str">
        <f t="shared" si="16"/>
        <v>Hồ Chí Minh</v>
      </c>
    </row>
    <row r="380" spans="1:9" x14ac:dyDescent="0.3">
      <c r="A380" t="s">
        <v>2437</v>
      </c>
      <c r="C380" t="s">
        <v>5534</v>
      </c>
      <c r="E380" t="str">
        <f>SUBSTITUTE(SUBSTITUTE(SUBSTITUTE(LOWER(C380), "tphcm", "TP. Hồ Chí Minh"), "hcm", "TP. Hồ Chí Minh"), " q.", " Quận ")</f>
        <v>61/7/43 đường số 8, bình tân, hồ chí minh, việt nam61/7/43 đường số 8, bình tân, hồ chí minh, việt nam</v>
      </c>
      <c r="F380" t="str">
        <f>PROPER(TRIM(RIGHT(SUBSTITUTE(D380, ",", REPT(" ", LEN(D380))), LEN(D380))))</f>
        <v/>
      </c>
      <c r="G380" t="str">
        <f t="shared" si="15"/>
        <v>Việt Nam</v>
      </c>
      <c r="H380" t="e">
        <f>PROPER(TRIM(RIGHT(SUBSTITUTE(LEFT(D380, FIND("@", SUBSTITUTE(D380, ",", "@", LEN(D380)-LEN(SUBSTITUTE(D380, ",", ""))))-1), ",", REPT(" ", LEN(D380))), LEN(D380))))</f>
        <v>#VALUE!</v>
      </c>
      <c r="I380" t="str">
        <f t="shared" si="16"/>
        <v>Hồ Chí Minh</v>
      </c>
    </row>
    <row r="381" spans="1:9" x14ac:dyDescent="0.3">
      <c r="A381" t="s">
        <v>2447</v>
      </c>
      <c r="C381" t="s">
        <v>5568</v>
      </c>
      <c r="E381" t="str">
        <f>SUBSTITUTE(SUBSTITUTE(SUBSTITUTE(LOWER(C381), "tphcm", "TP. Hồ Chí Minh"), "hcm", "TP. Hồ Chí Minh"), " q.", " Quận ")</f>
        <v>10, 10 đ. số 10, bình thạnh, hồ chí minh, việt nam10, 10 đ. số 10, bình thạnh, hồ chí minh, việt nam</v>
      </c>
      <c r="F381" t="str">
        <f>PROPER(TRIM(RIGHT(SUBSTITUTE(D381, ",", REPT(" ", LEN(D381))), LEN(D381))))</f>
        <v/>
      </c>
      <c r="G381" t="str">
        <f t="shared" si="15"/>
        <v>Việt Nam</v>
      </c>
      <c r="H381" t="e">
        <f>PROPER(TRIM(RIGHT(SUBSTITUTE(LEFT(D381, FIND("@", SUBSTITUTE(D381, ",", "@", LEN(D381)-LEN(SUBSTITUTE(D381, ",", ""))))-1), ",", REPT(" ", LEN(D381))), LEN(D381))))</f>
        <v>#VALUE!</v>
      </c>
      <c r="I381" t="str">
        <f t="shared" si="16"/>
        <v>Hồ Chí Minh</v>
      </c>
    </row>
    <row r="382" spans="1:9" x14ac:dyDescent="0.3">
      <c r="A382" t="s">
        <v>2454</v>
      </c>
      <c r="C382" t="s">
        <v>5639</v>
      </c>
      <c r="E382" t="str">
        <f>SUBSTITUTE(SUBSTITUTE(SUBSTITUTE(LOWER(C382), "tphcm", "TP. Hồ Chí Minh"), "hcm", "TP. Hồ Chí Minh"), " q.", " Quận ")</f>
        <v>178 thới tam thôn 17, đông thạnh, hồ chí minh, việt nam178 thới tam thôn 17, đông thạnh, hồ chí minh, việt nam</v>
      </c>
      <c r="F382" t="str">
        <f>PROPER(TRIM(RIGHT(SUBSTITUTE(D382, ",", REPT(" ", LEN(D382))), LEN(D382))))</f>
        <v/>
      </c>
      <c r="G382" t="str">
        <f t="shared" si="15"/>
        <v>Việt Nam</v>
      </c>
      <c r="H382" t="e">
        <f>PROPER(TRIM(RIGHT(SUBSTITUTE(LEFT(D382, FIND("@", SUBSTITUTE(D382, ",", "@", LEN(D382)-LEN(SUBSTITUTE(D382, ",", ""))))-1), ",", REPT(" ", LEN(D382))), LEN(D382))))</f>
        <v>#VALUE!</v>
      </c>
      <c r="I382" t="str">
        <f t="shared" si="16"/>
        <v>Hồ Chí Minh</v>
      </c>
    </row>
    <row r="383" spans="1:9" x14ac:dyDescent="0.3">
      <c r="A383" t="s">
        <v>2458</v>
      </c>
      <c r="C383" t="s">
        <v>5742</v>
      </c>
      <c r="E383" t="str">
        <f>SUBSTITUTE(SUBSTITUTE(SUBSTITUTE(LOWER(C383), "tphcm", "TP. Hồ Chí Minh"), "hcm", "TP. Hồ Chí Minh"), " q.", " Quận ")</f>
        <v>3rg4+v8g, tân uyên, hồ chí minh, việt nam3rg4+v8g, tân uyên, hồ chí minh, việt nam</v>
      </c>
      <c r="F383" t="str">
        <f>PROPER(TRIM(RIGHT(SUBSTITUTE(D383, ",", REPT(" ", LEN(D383))), LEN(D383))))</f>
        <v/>
      </c>
      <c r="G383" t="str">
        <f t="shared" si="15"/>
        <v>Việt Nam</v>
      </c>
      <c r="H383" t="e">
        <f>PROPER(TRIM(RIGHT(SUBSTITUTE(LEFT(D383, FIND("@", SUBSTITUTE(D383, ",", "@", LEN(D383)-LEN(SUBSTITUTE(D383, ",", ""))))-1), ",", REPT(" ", LEN(D383))), LEN(D383))))</f>
        <v>#VALUE!</v>
      </c>
      <c r="I383" t="str">
        <f t="shared" si="16"/>
        <v>Hồ Chí Minh</v>
      </c>
    </row>
    <row r="384" spans="1:9" x14ac:dyDescent="0.3">
      <c r="A384" t="s">
        <v>2465</v>
      </c>
      <c r="C384" t="s">
        <v>5809</v>
      </c>
      <c r="E384" t="str">
        <f>SUBSTITUTE(SUBSTITUTE(SUBSTITUTE(LOWER(C384), "tphcm", "TP. Hồ Chí Minh"), "hcm", "TP. Hồ Chí Minh"), " q.", " Quận ")</f>
        <v>97/6 trần não, bình khánh, an khánh, hồ chí minh, việt nam97/6 trần não, bình khánh, an khánh, hồ chí minh, việt nam</v>
      </c>
      <c r="F384" t="str">
        <f>PROPER(TRIM(RIGHT(SUBSTITUTE(D384, ",", REPT(" ", LEN(D384))), LEN(D384))))</f>
        <v/>
      </c>
      <c r="G384" t="str">
        <f t="shared" si="15"/>
        <v>Việt Nam</v>
      </c>
      <c r="H384" t="e">
        <f>PROPER(TRIM(RIGHT(SUBSTITUTE(LEFT(D384, FIND("@", SUBSTITUTE(D384, ",", "@", LEN(D384)-LEN(SUBSTITUTE(D384, ",", ""))))-1), ",", REPT(" ", LEN(D384))), LEN(D384))))</f>
        <v>#VALUE!</v>
      </c>
      <c r="I384" t="str">
        <f t="shared" si="16"/>
        <v>Hồ Chí Minh</v>
      </c>
    </row>
    <row r="385" spans="1:9" x14ac:dyDescent="0.3">
      <c r="A385" t="s">
        <v>2469</v>
      </c>
      <c r="C385" t="s">
        <v>5829</v>
      </c>
      <c r="E385" t="str">
        <f>SUBSTITUTE(SUBSTITUTE(SUBSTITUTE(LOWER(C385), "tphcm", "TP. Hồ Chí Minh"), "hcm", "TP. Hồ Chí Minh"), " q.", " Quận ")</f>
        <v>31/19g đồng xoài, tân bình, hồ chí minh, việt nam31/19g đồng xoài, tân bình, hồ chí minh, việt nam</v>
      </c>
      <c r="F385" t="str">
        <f>PROPER(TRIM(RIGHT(SUBSTITUTE(D385, ",", REPT(" ", LEN(D385))), LEN(D385))))</f>
        <v/>
      </c>
      <c r="G385" t="str">
        <f t="shared" si="15"/>
        <v>Việt Nam</v>
      </c>
      <c r="H385" t="e">
        <f>PROPER(TRIM(RIGHT(SUBSTITUTE(LEFT(D385, FIND("@", SUBSTITUTE(D385, ",", "@", LEN(D385)-LEN(SUBSTITUTE(D385, ",", ""))))-1), ",", REPT(" ", LEN(D385))), LEN(D385))))</f>
        <v>#VALUE!</v>
      </c>
      <c r="I385" t="str">
        <f t="shared" si="16"/>
        <v>Hồ Chí Minh</v>
      </c>
    </row>
    <row r="386" spans="1:9" x14ac:dyDescent="0.3">
      <c r="A386" t="s">
        <v>2473</v>
      </c>
      <c r="C386" t="s">
        <v>5837</v>
      </c>
      <c r="E386" t="str">
        <f>SUBSTITUTE(SUBSTITUTE(SUBSTITUTE(LOWER(C386), "tphcm", "TP. Hồ Chí Minh"), "hcm", "TP. Hồ Chí Minh"), " q.", " Quận ")</f>
        <v>5a 61, tổ 12, hóc môn, hồ chí minh, việt nam5a 61, tổ 12, hóc môn, hồ chí minh, việt nam</v>
      </c>
      <c r="F386" t="str">
        <f>PROPER(TRIM(RIGHT(SUBSTITUTE(D386, ",", REPT(" ", LEN(D386))), LEN(D386))))</f>
        <v/>
      </c>
      <c r="G386" t="str">
        <f t="shared" si="15"/>
        <v>Việt Nam</v>
      </c>
      <c r="H386" t="e">
        <f>PROPER(TRIM(RIGHT(SUBSTITUTE(LEFT(D386, FIND("@", SUBSTITUTE(D386, ",", "@", LEN(D386)-LEN(SUBSTITUTE(D386, ",", ""))))-1), ",", REPT(" ", LEN(D386))), LEN(D386))))</f>
        <v>#VALUE!</v>
      </c>
      <c r="I386" t="str">
        <f t="shared" si="16"/>
        <v>Hồ Chí Minh</v>
      </c>
    </row>
    <row r="387" spans="1:9" x14ac:dyDescent="0.3">
      <c r="A387" t="s">
        <v>2484</v>
      </c>
      <c r="C387" t="s">
        <v>5866</v>
      </c>
      <c r="E387" t="str">
        <f>SUBSTITUTE(SUBSTITUTE(SUBSTITUTE(LOWER(C387), "tphcm", "TP. Hồ Chí Minh"), "hcm", "TP. Hồ Chí Minh"), " q.", " Quận ")</f>
        <v>79/h52b đ. nguyễn xí, bình thạnh, hồ chí minh 70000, việt nam79/h52b đ. nguyễn xí, bình thạnh, hồ chí minh 70000, việt nam</v>
      </c>
      <c r="F387" t="str">
        <f>PROPER(TRIM(RIGHT(SUBSTITUTE(D387, ",", REPT(" ", LEN(D387))), LEN(D387))))</f>
        <v/>
      </c>
      <c r="G387" t="str">
        <f t="shared" ref="G387:G450" si="17">PROPER(TRIM(RIGHT(SUBSTITUTE(E387, ",", REPT(" ", LEN(E387))), LEN(E387))))</f>
        <v>Việt Nam</v>
      </c>
      <c r="H387" t="e">
        <f>PROPER(TRIM(RIGHT(SUBSTITUTE(LEFT(D387, FIND("@", SUBSTITUTE(D387, ",", "@", LEN(D387)-LEN(SUBSTITUTE(D387, ",", ""))))-1), ",", REPT(" ", LEN(D387))), LEN(D387))))</f>
        <v>#VALUE!</v>
      </c>
      <c r="I387" t="str">
        <f t="shared" ref="I387:I450" si="18">PROPER(TRIM(RIGHT(SUBSTITUTE(LEFT(E387, FIND("@", SUBSTITUTE(E387, ",", "@", LEN(E387)-LEN(SUBSTITUTE(E387, ",", ""))))-1), ",", REPT(" ", LEN(E387))), LEN(E387))))</f>
        <v>Hồ Chí Minh 70000</v>
      </c>
    </row>
    <row r="388" spans="1:9" x14ac:dyDescent="0.3">
      <c r="A388" t="s">
        <v>2488</v>
      </c>
      <c r="C388" t="s">
        <v>5877</v>
      </c>
      <c r="E388" t="str">
        <f>SUBSTITUTE(SUBSTITUTE(SUBSTITUTE(LOWER(C388), "tphcm", "TP. Hồ Chí Minh"), "hcm", "TP. Hồ Chí Minh"), " q.", " Quận ")</f>
        <v>85/3 đ lê lợi, hóc môn, hồ chí minh, việt nam85/3 đ lê lợi, hóc môn, hồ chí minh, việt nam</v>
      </c>
      <c r="F388" t="str">
        <f>PROPER(TRIM(RIGHT(SUBSTITUTE(D388, ",", REPT(" ", LEN(D388))), LEN(D388))))</f>
        <v/>
      </c>
      <c r="G388" t="str">
        <f t="shared" si="17"/>
        <v>Việt Nam</v>
      </c>
      <c r="H388" t="e">
        <f>PROPER(TRIM(RIGHT(SUBSTITUTE(LEFT(D388, FIND("@", SUBSTITUTE(D388, ",", "@", LEN(D388)-LEN(SUBSTITUTE(D388, ",", ""))))-1), ",", REPT(" ", LEN(D388))), LEN(D388))))</f>
        <v>#VALUE!</v>
      </c>
      <c r="I388" t="str">
        <f t="shared" si="18"/>
        <v>Hồ Chí Minh</v>
      </c>
    </row>
    <row r="389" spans="1:9" x14ac:dyDescent="0.3">
      <c r="A389" t="s">
        <v>2495</v>
      </c>
      <c r="C389" t="s">
        <v>5882</v>
      </c>
      <c r="E389" t="str">
        <f>SUBSTITUTE(SUBSTITUTE(SUBSTITUTE(LOWER(C389), "tphcm", "TP. Hồ Chí Minh"), "hcm", "TP. Hồ Chí Minh"), " q.", " Quận ")</f>
        <v>6 đ. quang trung, hóc môn, hồ chí minh, việt nam6 đ. quang trung, hóc môn, hồ chí minh, việt nam</v>
      </c>
      <c r="F389" t="str">
        <f>PROPER(TRIM(RIGHT(SUBSTITUTE(D389, ",", REPT(" ", LEN(D389))), LEN(D389))))</f>
        <v/>
      </c>
      <c r="G389" t="str">
        <f t="shared" si="17"/>
        <v>Việt Nam</v>
      </c>
      <c r="H389" t="e">
        <f>PROPER(TRIM(RIGHT(SUBSTITUTE(LEFT(D389, FIND("@", SUBSTITUTE(D389, ",", "@", LEN(D389)-LEN(SUBSTITUTE(D389, ",", ""))))-1), ",", REPT(" ", LEN(D389))), LEN(D389))))</f>
        <v>#VALUE!</v>
      </c>
      <c r="I389" t="str">
        <f t="shared" si="18"/>
        <v>Hồ Chí Minh</v>
      </c>
    </row>
    <row r="390" spans="1:9" x14ac:dyDescent="0.3">
      <c r="A390" t="s">
        <v>2502</v>
      </c>
      <c r="C390" t="s">
        <v>5893</v>
      </c>
      <c r="E390" t="str">
        <f>SUBSTITUTE(SUBSTITUTE(SUBSTITUTE(LOWER(C390), "tphcm", "TP. Hồ Chí Minh"), "hcm", "TP. Hồ Chí Minh"), " q.", " Quận ")</f>
        <v>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v>
      </c>
      <c r="F390" t="str">
        <f>PROPER(TRIM(RIGHT(SUBSTITUTE(D390, ",", REPT(" ", LEN(D390))), LEN(D390))))</f>
        <v/>
      </c>
      <c r="G390" t="str">
        <f t="shared" si="17"/>
        <v>Việt Nam</v>
      </c>
      <c r="H390" t="e">
        <f>PROPER(TRIM(RIGHT(SUBSTITUTE(LEFT(D390, FIND("@", SUBSTITUTE(D390, ",", "@", LEN(D390)-LEN(SUBSTITUTE(D390, ",", ""))))-1), ",", REPT(" ", LEN(D390))), LEN(D390))))</f>
        <v>#VALUE!</v>
      </c>
      <c r="I390" t="str">
        <f t="shared" si="18"/>
        <v>Hồ Chí Minh</v>
      </c>
    </row>
    <row r="391" spans="1:9" x14ac:dyDescent="0.3">
      <c r="A391" t="s">
        <v>2509</v>
      </c>
      <c r="C391" t="s">
        <v>5910</v>
      </c>
      <c r="E391" t="str">
        <f>SUBSTITUTE(SUBSTITUTE(SUBSTITUTE(LOWER(C391), "tphcm", "TP. Hồ Chí Minh"), "hcm", "TP. Hồ Chí Minh"), " q.", " Quận ")</f>
        <v>hoc mon agricultural products wholesale market, nguyễn thị sóc, xuân thới sơn, hồ chí minh, việt namhoc mon agricultural products wholesale market</v>
      </c>
      <c r="F391" t="str">
        <f>PROPER(TRIM(RIGHT(SUBSTITUTE(D391, ",", REPT(" ", LEN(D391))), LEN(D391))))</f>
        <v/>
      </c>
      <c r="G391" t="str">
        <f t="shared" si="17"/>
        <v>Việt Namhoc Mon Agricultural Products Wholesale Market</v>
      </c>
      <c r="H391" t="e">
        <f>PROPER(TRIM(RIGHT(SUBSTITUTE(LEFT(D391, FIND("@", SUBSTITUTE(D391, ",", "@", LEN(D391)-LEN(SUBSTITUTE(D391, ",", ""))))-1), ",", REPT(" ", LEN(D391))), LEN(D391))))</f>
        <v>#VALUE!</v>
      </c>
      <c r="I391" t="str">
        <f t="shared" si="18"/>
        <v>Hồ Chí Minh</v>
      </c>
    </row>
    <row r="392" spans="1:9" x14ac:dyDescent="0.3">
      <c r="A392" t="s">
        <v>2513</v>
      </c>
      <c r="C392" t="s">
        <v>5952</v>
      </c>
      <c r="E392" t="str">
        <f>SUBSTITUTE(SUBSTITUTE(SUBSTITUTE(LOWER(C392), "tphcm", "TP. Hồ Chí Minh"), "hcm", "TP. Hồ Chí Minh"), " q.", " Quận ")</f>
        <v>1b 46, trung chánh, bà điểm, hồ chí minh, việt nam1b 46, trung chánh, bà điểm, hồ chí minh, việt nam</v>
      </c>
      <c r="F392" t="str">
        <f>PROPER(TRIM(RIGHT(SUBSTITUTE(D392, ",", REPT(" ", LEN(D392))), LEN(D392))))</f>
        <v/>
      </c>
      <c r="G392" t="str">
        <f t="shared" si="17"/>
        <v>Việt Nam</v>
      </c>
      <c r="H392" t="e">
        <f>PROPER(TRIM(RIGHT(SUBSTITUTE(LEFT(D392, FIND("@", SUBSTITUTE(D392, ",", "@", LEN(D392)-LEN(SUBSTITUTE(D392, ",", ""))))-1), ",", REPT(" ", LEN(D392))), LEN(D392))))</f>
        <v>#VALUE!</v>
      </c>
      <c r="I392" t="str">
        <f t="shared" si="18"/>
        <v>Hồ Chí Minh</v>
      </c>
    </row>
    <row r="393" spans="1:9" x14ac:dyDescent="0.3">
      <c r="A393" t="s">
        <v>2517</v>
      </c>
      <c r="C393" t="s">
        <v>6003</v>
      </c>
      <c r="E393" t="str">
        <f>SUBSTITUTE(SUBSTITUTE(SUBSTITUTE(LOWER(C393), "tphcm", "TP. Hồ Chí Minh"), "hcm", "TP. Hồ Chí Minh"), " q.", " Quận ")</f>
        <v>bắc tân uyên, hồ chí minh, việt nambắc tân uyên</v>
      </c>
      <c r="F393" t="str">
        <f>PROPER(TRIM(RIGHT(SUBSTITUTE(D393, ",", REPT(" ", LEN(D393))), LEN(D393))))</f>
        <v/>
      </c>
      <c r="G393" t="str">
        <f t="shared" si="17"/>
        <v>Việt Nambắc Tân Uyên</v>
      </c>
      <c r="H393" t="e">
        <f>PROPER(TRIM(RIGHT(SUBSTITUTE(LEFT(D393, FIND("@", SUBSTITUTE(D393, ",", "@", LEN(D393)-LEN(SUBSTITUTE(D393, ",", ""))))-1), ",", REPT(" ", LEN(D393))), LEN(D393))))</f>
        <v>#VALUE!</v>
      </c>
      <c r="I393" t="str">
        <f t="shared" si="18"/>
        <v>Hồ Chí Minh</v>
      </c>
    </row>
    <row r="394" spans="1:9" x14ac:dyDescent="0.3">
      <c r="A394" t="s">
        <v>2521</v>
      </c>
      <c r="C394" t="s">
        <v>6196</v>
      </c>
      <c r="E394" t="str">
        <f>SUBSTITUTE(SUBSTITUTE(SUBSTITUTE(LOWER(C394), "tphcm", "TP. Hồ Chí Minh"), "hcm", "TP. Hồ Chí Minh"), " q.", " Quận ")</f>
        <v>tân phú, hồ chí minh, việt namtân phú</v>
      </c>
      <c r="F394" t="str">
        <f>PROPER(TRIM(RIGHT(SUBSTITUTE(D394, ",", REPT(" ", LEN(D394))), LEN(D394))))</f>
        <v/>
      </c>
      <c r="G394" t="str">
        <f t="shared" si="17"/>
        <v>Việt Namtân Phú</v>
      </c>
      <c r="H394" t="e">
        <f>PROPER(TRIM(RIGHT(SUBSTITUTE(LEFT(D394, FIND("@", SUBSTITUTE(D394, ",", "@", LEN(D394)-LEN(SUBSTITUTE(D394, ",", ""))))-1), ",", REPT(" ", LEN(D394))), LEN(D394))))</f>
        <v>#VALUE!</v>
      </c>
      <c r="I394" t="str">
        <f t="shared" si="18"/>
        <v>Hồ Chí Minh</v>
      </c>
    </row>
    <row r="395" spans="1:9" x14ac:dyDescent="0.3">
      <c r="A395" t="s">
        <v>2525</v>
      </c>
      <c r="C395" t="s">
        <v>6227</v>
      </c>
      <c r="E395" t="str">
        <f>SUBSTITUTE(SUBSTITUTE(SUBSTITUTE(LOWER(C395), "tphcm", "TP. Hồ Chí Minh"), "hcm", "TP. Hồ Chí Minh"), " q.", " Quận ")</f>
        <v>44 đ. nguyễn phúc chu, trảng dài, đồng nai, việt nam44 đ. nguyễn phúc chu, trảng dài, đồng nai, việt nam</v>
      </c>
      <c r="F395" t="str">
        <f>PROPER(TRIM(RIGHT(SUBSTITUTE(D395, ",", REPT(" ", LEN(D395))), LEN(D395))))</f>
        <v/>
      </c>
      <c r="G395" t="str">
        <f t="shared" si="17"/>
        <v>Việt Nam</v>
      </c>
      <c r="H395" t="e">
        <f>PROPER(TRIM(RIGHT(SUBSTITUTE(LEFT(D395, FIND("@", SUBSTITUTE(D395, ",", "@", LEN(D395)-LEN(SUBSTITUTE(D395, ",", ""))))-1), ",", REPT(" ", LEN(D395))), LEN(D395))))</f>
        <v>#VALUE!</v>
      </c>
      <c r="I395" t="str">
        <f t="shared" si="18"/>
        <v>Đồng Nai</v>
      </c>
    </row>
    <row r="396" spans="1:9" x14ac:dyDescent="0.3">
      <c r="A396" t="s">
        <v>2533</v>
      </c>
      <c r="C396" t="s">
        <v>6237</v>
      </c>
      <c r="E396" t="str">
        <f>SUBSTITUTE(SUBSTITUTE(SUBSTITUTE(LOWER(C396), "tphcm", "TP. Hồ Chí Minh"), "hcm", "TP. Hồ Chí Minh"), " q.", " Quận ")</f>
        <v>chi nhánh công ty tnhh tfv industries tại long thành, đường song hành quốc lộ 51, bình an, đồng nai, việt namchi nhánh công ty tnhh tfv industries tại long thành</v>
      </c>
      <c r="F396" t="str">
        <f>PROPER(TRIM(RIGHT(SUBSTITUTE(D396, ",", REPT(" ", LEN(D396))), LEN(D396))))</f>
        <v/>
      </c>
      <c r="G396" t="str">
        <f t="shared" si="17"/>
        <v>Việt Namchi Nhánh Công Ty Tnhh Tfv Industries Tại Long Thành</v>
      </c>
      <c r="H396" t="e">
        <f>PROPER(TRIM(RIGHT(SUBSTITUTE(LEFT(D396, FIND("@", SUBSTITUTE(D396, ",", "@", LEN(D396)-LEN(SUBSTITUTE(D396, ",", ""))))-1), ",", REPT(" ", LEN(D396))), LEN(D396))))</f>
        <v>#VALUE!</v>
      </c>
      <c r="I396" t="str">
        <f t="shared" si="18"/>
        <v>Đồng Nai</v>
      </c>
    </row>
    <row r="397" spans="1:9" x14ac:dyDescent="0.3">
      <c r="A397" t="s">
        <v>2536</v>
      </c>
      <c r="C397" t="s">
        <v>6252</v>
      </c>
      <c r="E397" t="str">
        <f>SUBSTITUTE(SUBSTITUTE(SUBSTITUTE(LOWER(C397), "tphcm", "TP. Hồ Chí Minh"), "hcm", "TP. Hồ Chí Minh"), " q.", " Quận ")</f>
        <v>tân bình, ho chi minh city, vietnamsân bay tân sơn nhất nhà ga t3</v>
      </c>
      <c r="F397" t="str">
        <f>PROPER(TRIM(RIGHT(SUBSTITUTE(D397, ",", REPT(" ", LEN(D397))), LEN(D397))))</f>
        <v/>
      </c>
      <c r="G397" t="str">
        <f t="shared" si="17"/>
        <v>Vietnamsân Bay Tân Sơn Nhất Nhà Ga T3</v>
      </c>
      <c r="H397" t="e">
        <f>PROPER(TRIM(RIGHT(SUBSTITUTE(LEFT(D397, FIND("@", SUBSTITUTE(D397, ",", "@", LEN(D397)-LEN(SUBSTITUTE(D397, ",", ""))))-1), ",", REPT(" ", LEN(D397))), LEN(D397))))</f>
        <v>#VALUE!</v>
      </c>
      <c r="I397" t="str">
        <f t="shared" si="18"/>
        <v>Ho Chi Minh City</v>
      </c>
    </row>
    <row r="398" spans="1:9" x14ac:dyDescent="0.3">
      <c r="A398" t="s">
        <v>2545</v>
      </c>
      <c r="C398" t="s">
        <v>6258</v>
      </c>
      <c r="E398" t="str">
        <f>SUBSTITUTE(SUBSTITUTE(SUBSTITUTE(LOWER(C398), "tphcm", "TP. Hồ Chí Minh"), "hcm", "TP. Hồ Chí Minh"), " q.", " Quận ")</f>
        <v>rx48+cf bình an, đồng nai, việt namrx48+cf bình an, đồng nai, việt nam</v>
      </c>
      <c r="F398" t="str">
        <f>PROPER(TRIM(RIGHT(SUBSTITUTE(D398, ",", REPT(" ", LEN(D398))), LEN(D398))))</f>
        <v/>
      </c>
      <c r="G398" t="str">
        <f t="shared" si="17"/>
        <v>Việt Nam</v>
      </c>
      <c r="H398" t="e">
        <f>PROPER(TRIM(RIGHT(SUBSTITUTE(LEFT(D398, FIND("@", SUBSTITUTE(D398, ",", "@", LEN(D398)-LEN(SUBSTITUTE(D398, ",", ""))))-1), ",", REPT(" ", LEN(D398))), LEN(D398))))</f>
        <v>#VALUE!</v>
      </c>
      <c r="I398" t="str">
        <f t="shared" si="18"/>
        <v>Đồng Nai</v>
      </c>
    </row>
    <row r="399" spans="1:9" x14ac:dyDescent="0.3">
      <c r="A399" t="s">
        <v>2555</v>
      </c>
      <c r="C399" t="s">
        <v>6268</v>
      </c>
      <c r="E399" t="str">
        <f>SUBSTITUTE(SUBSTITUTE(SUBSTITUTE(LOWER(C399), "tphcm", "TP. Hồ Chí Minh"), "hcm", "TP. Hồ Chí Minh"), " q.", " Quận ")</f>
        <v>tổ 1, 1/4c2 ấp đình, hóc môn, hồ chí minh, việt namtổ 1, 1/4c2 ấp đình, hóc môn, hồ chí minh, việt nam</v>
      </c>
      <c r="F399" t="str">
        <f>PROPER(TRIM(RIGHT(SUBSTITUTE(D399, ",", REPT(" ", LEN(D399))), LEN(D399))))</f>
        <v/>
      </c>
      <c r="G399" t="str">
        <f t="shared" si="17"/>
        <v>Việt Nam</v>
      </c>
      <c r="H399" t="e">
        <f>PROPER(TRIM(RIGHT(SUBSTITUTE(LEFT(D399, FIND("@", SUBSTITUTE(D399, ",", "@", LEN(D399)-LEN(SUBSTITUTE(D399, ",", ""))))-1), ",", REPT(" ", LEN(D399))), LEN(D399))))</f>
        <v>#VALUE!</v>
      </c>
      <c r="I399" t="str">
        <f t="shared" si="18"/>
        <v>Hồ Chí Minh</v>
      </c>
    </row>
    <row r="400" spans="1:9" x14ac:dyDescent="0.3">
      <c r="A400" t="s">
        <v>2562</v>
      </c>
      <c r="C400" t="s">
        <v>6281</v>
      </c>
      <c r="E400" t="str">
        <f>SUBSTITUTE(SUBSTITUTE(SUBSTITUTE(LOWER(C400), "tphcm", "TP. Hồ Chí Minh"), "hcm", "TP. Hồ Chí Minh"), " q.", " Quận ")</f>
        <v>công ty tnhh mtv dịch vụ công ích quận gò vấp, dương quảng hàm, an nhơn, hồ chí minh, việt namcông ty tnhh mtv dịch vụ công ích quận gò vấp</v>
      </c>
      <c r="F400" t="str">
        <f>PROPER(TRIM(RIGHT(SUBSTITUTE(D400, ",", REPT(" ", LEN(D400))), LEN(D400))))</f>
        <v/>
      </c>
      <c r="G400" t="str">
        <f t="shared" si="17"/>
        <v>Việt Namcông Ty Tnhh Mtv Dịch Vụ Công Ích Quận Gò Vấp</v>
      </c>
      <c r="H400" t="e">
        <f>PROPER(TRIM(RIGHT(SUBSTITUTE(LEFT(D400, FIND("@", SUBSTITUTE(D400, ",", "@", LEN(D400)-LEN(SUBSTITUTE(D400, ",", ""))))-1), ",", REPT(" ", LEN(D400))), LEN(D400))))</f>
        <v>#VALUE!</v>
      </c>
      <c r="I400" t="str">
        <f t="shared" si="18"/>
        <v>Hồ Chí Minh</v>
      </c>
    </row>
    <row r="401" spans="1:9" x14ac:dyDescent="0.3">
      <c r="A401" t="s">
        <v>2572</v>
      </c>
      <c r="C401" t="s">
        <v>6295</v>
      </c>
      <c r="E401" t="str">
        <f>SUBSTITUTE(SUBSTITUTE(SUBSTITUTE(LOWER(C401), "tphcm", "TP. Hồ Chí Minh"), "hcm", "TP. Hồ Chí Minh"), " q.", " Quận ")</f>
        <v>công ty tnhh bao bì tân thành, tây thạnh, hồ chí minh, việt namcông ty tnhh bao bì tân thành</v>
      </c>
      <c r="F401" t="str">
        <f>PROPER(TRIM(RIGHT(SUBSTITUTE(D401, ",", REPT(" ", LEN(D401))), LEN(D401))))</f>
        <v/>
      </c>
      <c r="G401" t="str">
        <f t="shared" si="17"/>
        <v>Việt Namcông Ty Tnhh Bao Bì Tân Thành</v>
      </c>
      <c r="H401" t="e">
        <f>PROPER(TRIM(RIGHT(SUBSTITUTE(LEFT(D401, FIND("@", SUBSTITUTE(D401, ",", "@", LEN(D401)-LEN(SUBSTITUTE(D401, ",", ""))))-1), ",", REPT(" ", LEN(D401))), LEN(D401))))</f>
        <v>#VALUE!</v>
      </c>
      <c r="I401" t="str">
        <f t="shared" si="18"/>
        <v>Hồ Chí Minh</v>
      </c>
    </row>
    <row r="402" spans="1:9" x14ac:dyDescent="0.3">
      <c r="A402" t="s">
        <v>2581</v>
      </c>
      <c r="C402" t="s">
        <v>6315</v>
      </c>
      <c r="E402" t="str">
        <f>SUBSTITUTE(SUBSTITUTE(SUBSTITUTE(LOWER(C402), "tphcm", "TP. Hồ Chí Minh"), "hcm", "TP. Hồ Chí Minh"), " q.", " Quận ")</f>
        <v>công ty sàn gỗ gia hoàng - gò vấp, đường số 17, thông tây hội, hồ chí minh, việt namcông ty sàn gỗ gia hoàng - gò vấp</v>
      </c>
      <c r="F402" t="str">
        <f>PROPER(TRIM(RIGHT(SUBSTITUTE(D402, ",", REPT(" ", LEN(D402))), LEN(D402))))</f>
        <v/>
      </c>
      <c r="G402" t="str">
        <f t="shared" si="17"/>
        <v>Việt Namcông Ty Sàn Gỗ Gia Hoàng - Gò Vấp</v>
      </c>
      <c r="H402" t="e">
        <f>PROPER(TRIM(RIGHT(SUBSTITUTE(LEFT(D402, FIND("@", SUBSTITUTE(D402, ",", "@", LEN(D402)-LEN(SUBSTITUTE(D402, ",", ""))))-1), ",", REPT(" ", LEN(D402))), LEN(D402))))</f>
        <v>#VALUE!</v>
      </c>
      <c r="I402" t="str">
        <f t="shared" si="18"/>
        <v>Hồ Chí Minh</v>
      </c>
    </row>
    <row r="403" spans="1:9" x14ac:dyDescent="0.3">
      <c r="A403" t="s">
        <v>2586</v>
      </c>
      <c r="C403" t="s">
        <v>6327</v>
      </c>
      <c r="E403" t="str">
        <f>SUBSTITUTE(SUBSTITUTE(SUBSTITUTE(LOWER(C403), "tphcm", "TP. Hồ Chí Minh"), "hcm", "TP. Hồ Chí Minh"), " q.", " Quận ")</f>
        <v>407/91/50, 51/5/9g đường số 7, gò vấp, hồ chí minh, việt nam407/91/50, 51/5/9g đường số 7, gò vấp, hồ chí minh, việt nam</v>
      </c>
      <c r="F403" t="str">
        <f>PROPER(TRIM(RIGHT(SUBSTITUTE(D403, ",", REPT(" ", LEN(D403))), LEN(D403))))</f>
        <v/>
      </c>
      <c r="G403" t="str">
        <f t="shared" si="17"/>
        <v>Việt Nam</v>
      </c>
      <c r="H403" t="e">
        <f>PROPER(TRIM(RIGHT(SUBSTITUTE(LEFT(D403, FIND("@", SUBSTITUTE(D403, ",", "@", LEN(D403)-LEN(SUBSTITUTE(D403, ",", ""))))-1), ",", REPT(" ", LEN(D403))), LEN(D403))))</f>
        <v>#VALUE!</v>
      </c>
      <c r="I403" t="str">
        <f t="shared" si="18"/>
        <v>Hồ Chí Minh</v>
      </c>
    </row>
    <row r="404" spans="1:9" x14ac:dyDescent="0.3">
      <c r="A404" t="s">
        <v>2596</v>
      </c>
      <c r="C404" t="s">
        <v>6338</v>
      </c>
      <c r="E404" t="str">
        <f>SUBSTITUTE(SUBSTITUTE(SUBSTITUTE(LOWER(C404), "tphcm", "TP. Hồ Chí Minh"), "hcm", "TP. Hồ Chí Minh"), " q.", " Quận ")</f>
        <v>đ. trương văn thành/hẻm 50 phòng 10, khu phố 4, tăng nhơn phú, hồ chí minh, việt namđ. trương văn thành/hẻm 50 phòng 10, khu phố 4, tăng nhơn phú, hồ chí minh, việt nam</v>
      </c>
      <c r="F404" t="str">
        <f>PROPER(TRIM(RIGHT(SUBSTITUTE(D404, ",", REPT(" ", LEN(D404))), LEN(D404))))</f>
        <v/>
      </c>
      <c r="G404" t="str">
        <f t="shared" si="17"/>
        <v>Việt Nam</v>
      </c>
      <c r="H404" t="e">
        <f>PROPER(TRIM(RIGHT(SUBSTITUTE(LEFT(D404, FIND("@", SUBSTITUTE(D404, ",", "@", LEN(D404)-LEN(SUBSTITUTE(D404, ",", ""))))-1), ",", REPT(" ", LEN(D404))), LEN(D404))))</f>
        <v>#VALUE!</v>
      </c>
      <c r="I404" t="str">
        <f t="shared" si="18"/>
        <v>Hồ Chí Minh</v>
      </c>
    </row>
    <row r="405" spans="1:9" x14ac:dyDescent="0.3">
      <c r="A405" t="s">
        <v>2607</v>
      </c>
      <c r="C405" t="s">
        <v>6365</v>
      </c>
      <c r="E405" t="str">
        <f>SUBSTITUTE(SUBSTITUTE(SUBSTITUTE(LOWER(C405), "tphcm", "TP. Hồ Chí Minh"), "hcm", "TP. Hồ Chí Minh"), " q.", " Quận ")</f>
        <v>282/10bis nơ trang long, bình thạnh, hồ chí minh, việt nam282/10bis nơ trang long, bình thạnh, hồ chí minh, việt nam</v>
      </c>
      <c r="F405" t="str">
        <f>PROPER(TRIM(RIGHT(SUBSTITUTE(D405, ",", REPT(" ", LEN(D405))), LEN(D405))))</f>
        <v/>
      </c>
      <c r="G405" t="str">
        <f t="shared" si="17"/>
        <v>Việt Nam</v>
      </c>
      <c r="H405" t="e">
        <f>PROPER(TRIM(RIGHT(SUBSTITUTE(LEFT(D405, FIND("@", SUBSTITUTE(D405, ",", "@", LEN(D405)-LEN(SUBSTITUTE(D405, ",", ""))))-1), ",", REPT(" ", LEN(D405))), LEN(D405))))</f>
        <v>#VALUE!</v>
      </c>
      <c r="I405" t="str">
        <f t="shared" si="18"/>
        <v>Hồ Chí Minh</v>
      </c>
    </row>
    <row r="406" spans="1:9" x14ac:dyDescent="0.3">
      <c r="A406" t="s">
        <v>2614</v>
      </c>
      <c r="C406" t="s">
        <v>6376</v>
      </c>
      <c r="E406" t="str">
        <f>SUBSTITUTE(SUBSTITUTE(SUBSTITUTE(LOWER(C406), "tphcm", "TP. Hồ Chí Minh"), "hcm", "TP. Hồ Chí Minh"), " q.", " Quận ")</f>
        <v>201 đ. nguyễn xí, bình thạnh, hồ chí minh, việt nam201 đ. nguyễn xí, bình thạnh, hồ chí minh, việt nam</v>
      </c>
      <c r="F406" t="str">
        <f>PROPER(TRIM(RIGHT(SUBSTITUTE(D406, ",", REPT(" ", LEN(D406))), LEN(D406))))</f>
        <v/>
      </c>
      <c r="G406" t="str">
        <f t="shared" si="17"/>
        <v>Việt Nam</v>
      </c>
      <c r="H406" t="e">
        <f>PROPER(TRIM(RIGHT(SUBSTITUTE(LEFT(D406, FIND("@", SUBSTITUTE(D406, ",", "@", LEN(D406)-LEN(SUBSTITUTE(D406, ",", ""))))-1), ",", REPT(" ", LEN(D406))), LEN(D406))))</f>
        <v>#VALUE!</v>
      </c>
      <c r="I406" t="str">
        <f t="shared" si="18"/>
        <v>Hồ Chí Minh</v>
      </c>
    </row>
    <row r="407" spans="1:9" x14ac:dyDescent="0.3">
      <c r="A407" t="s">
        <v>2624</v>
      </c>
      <c r="C407" t="s">
        <v>6383</v>
      </c>
      <c r="E407" t="str">
        <f>SUBSTITUTE(SUBSTITUTE(SUBSTITUTE(LOWER(C407), "tphcm", "TP. Hồ Chí Minh"), "hcm", "TP. Hồ Chí Minh"), " q.", " Quận ")</f>
        <v>107/4b kha vạn cân, linh xuân, hồ chí minh, việt nam107/4b kha vạn cân, linh xuân, hồ chí minh, việt nam</v>
      </c>
      <c r="F407" t="str">
        <f>PROPER(TRIM(RIGHT(SUBSTITUTE(D407, ",", REPT(" ", LEN(D407))), LEN(D407))))</f>
        <v/>
      </c>
      <c r="G407" t="str">
        <f t="shared" si="17"/>
        <v>Việt Nam</v>
      </c>
      <c r="H407" t="e">
        <f>PROPER(TRIM(RIGHT(SUBSTITUTE(LEFT(D407, FIND("@", SUBSTITUTE(D407, ",", "@", LEN(D407)-LEN(SUBSTITUTE(D407, ",", ""))))-1), ",", REPT(" ", LEN(D407))), LEN(D407))))</f>
        <v>#VALUE!</v>
      </c>
      <c r="I407" t="str">
        <f t="shared" si="18"/>
        <v>Hồ Chí Minh</v>
      </c>
    </row>
    <row r="408" spans="1:9" x14ac:dyDescent="0.3">
      <c r="A408" t="s">
        <v>2631</v>
      </c>
      <c r="C408" t="s">
        <v>6404</v>
      </c>
      <c r="E408" t="str">
        <f>SUBSTITUTE(SUBSTITUTE(SUBSTITUTE(LOWER(C408), "tphcm", "TP. Hồ Chí Minh"), "hcm", "TP. Hồ Chí Minh"), " q.", " Quận ")</f>
        <v>b185 đ. lê văn việt, tăng nhơn phú, hồ chí minh, việt namb185 đ. lê văn việt, tăng nhơn phú, hồ chí minh, việt nam</v>
      </c>
      <c r="F408" t="str">
        <f>PROPER(TRIM(RIGHT(SUBSTITUTE(D408, ",", REPT(" ", LEN(D408))), LEN(D408))))</f>
        <v/>
      </c>
      <c r="G408" t="str">
        <f t="shared" si="17"/>
        <v>Việt Nam</v>
      </c>
      <c r="H408" t="e">
        <f>PROPER(TRIM(RIGHT(SUBSTITUTE(LEFT(D408, FIND("@", SUBSTITUTE(D408, ",", "@", LEN(D408)-LEN(SUBSTITUTE(D408, ",", ""))))-1), ",", REPT(" ", LEN(D408))), LEN(D408))))</f>
        <v>#VALUE!</v>
      </c>
      <c r="I408" t="str">
        <f t="shared" si="18"/>
        <v>Hồ Chí Minh</v>
      </c>
    </row>
    <row r="409" spans="1:9" x14ac:dyDescent="0.3">
      <c r="A409" t="s">
        <v>2635</v>
      </c>
      <c r="C409" t="s">
        <v>6419</v>
      </c>
      <c r="E409" t="str">
        <f>SUBSTITUTE(SUBSTITUTE(SUBSTITUTE(LOWER(C409), "tphcm", "TP. Hồ Chí Minh"), "hcm", "TP. Hồ Chí Minh"), " q.", " Quận ")</f>
        <v>48 trần nguyên hãn, dĩ an, hồ chí minh 82000, việt nam48 trần nguyên hãn, dĩ an, hồ chí minh 82000, việt nam</v>
      </c>
      <c r="F409" t="str">
        <f>PROPER(TRIM(RIGHT(SUBSTITUTE(D409, ",", REPT(" ", LEN(D409))), LEN(D409))))</f>
        <v/>
      </c>
      <c r="G409" t="str">
        <f t="shared" si="17"/>
        <v>Việt Nam</v>
      </c>
      <c r="H409" t="e">
        <f>PROPER(TRIM(RIGHT(SUBSTITUTE(LEFT(D409, FIND("@", SUBSTITUTE(D409, ",", "@", LEN(D409)-LEN(SUBSTITUTE(D409, ",", ""))))-1), ",", REPT(" ", LEN(D409))), LEN(D409))))</f>
        <v>#VALUE!</v>
      </c>
      <c r="I409" t="str">
        <f t="shared" si="18"/>
        <v>Hồ Chí Minh 82000</v>
      </c>
    </row>
    <row r="410" spans="1:9" x14ac:dyDescent="0.3">
      <c r="A410" t="s">
        <v>2642</v>
      </c>
      <c r="C410" t="s">
        <v>6444</v>
      </c>
      <c r="E410" t="str">
        <f>SUBSTITUTE(SUBSTITUTE(SUBSTITUTE(LOWER(C410), "tphcm", "TP. Hồ Chí Minh"), "hcm", "TP. Hồ Chí Minh"), " q.", " Quận ")</f>
        <v>thủ đức, đường phạm văn đồng, linh xuân, hồ chí minh, việt namthủ đức</v>
      </c>
      <c r="F410" t="str">
        <f>PROPER(TRIM(RIGHT(SUBSTITUTE(D410, ",", REPT(" ", LEN(D410))), LEN(D410))))</f>
        <v/>
      </c>
      <c r="G410" t="str">
        <f t="shared" si="17"/>
        <v>Việt Namthủ Đức</v>
      </c>
      <c r="H410" t="e">
        <f>PROPER(TRIM(RIGHT(SUBSTITUTE(LEFT(D410, FIND("@", SUBSTITUTE(D410, ",", "@", LEN(D410)-LEN(SUBSTITUTE(D410, ",", ""))))-1), ",", REPT(" ", LEN(D410))), LEN(D410))))</f>
        <v>#VALUE!</v>
      </c>
      <c r="I410" t="str">
        <f t="shared" si="18"/>
        <v>Hồ Chí Minh</v>
      </c>
    </row>
    <row r="411" spans="1:9" x14ac:dyDescent="0.3">
      <c r="A411" t="s">
        <v>2649</v>
      </c>
      <c r="C411" t="s">
        <v>6451</v>
      </c>
      <c r="E411" t="str">
        <f>SUBSTITUTE(SUBSTITUTE(SUBSTITUTE(LOWER(C411), "tphcm", "TP. Hồ Chí Minh"), "hcm", "TP. Hồ Chí Minh"), " q.", " Quận ")</f>
        <v>8jr6+v6h, trừ văn thố, hồ chí minh, việt nam8jr6+v6h, trừ văn thố, hồ chí minh, việt nam</v>
      </c>
      <c r="F411" t="str">
        <f>PROPER(TRIM(RIGHT(SUBSTITUTE(D411, ",", REPT(" ", LEN(D411))), LEN(D411))))</f>
        <v/>
      </c>
      <c r="G411" t="str">
        <f t="shared" si="17"/>
        <v>Việt Nam</v>
      </c>
      <c r="H411" t="e">
        <f>PROPER(TRIM(RIGHT(SUBSTITUTE(LEFT(D411, FIND("@", SUBSTITUTE(D411, ",", "@", LEN(D411)-LEN(SUBSTITUTE(D411, ",", ""))))-1), ",", REPT(" ", LEN(D411))), LEN(D411))))</f>
        <v>#VALUE!</v>
      </c>
      <c r="I411" t="str">
        <f t="shared" si="18"/>
        <v>Hồ Chí Minh</v>
      </c>
    </row>
    <row r="412" spans="1:9" x14ac:dyDescent="0.3">
      <c r="A412" t="s">
        <v>2658</v>
      </c>
      <c r="C412" t="s">
        <v>6467</v>
      </c>
      <c r="E412" t="str">
        <f>SUBSTITUTE(SUBSTITUTE(SUBSTITUTE(LOWER(C412), "tphcm", "TP. Hồ Chí Minh"), "hcm", "TP. Hồ Chí Minh"), " q.", " Quận ")</f>
        <v>3rrj+g2h, đh411, bắc tân uyên, hồ chí minh, việt nam3rrj+g2h, đh411, bắc tân uyên, hồ chí minh, việt nam</v>
      </c>
      <c r="F412" t="str">
        <f>PROPER(TRIM(RIGHT(SUBSTITUTE(D412, ",", REPT(" ", LEN(D412))), LEN(D412))))</f>
        <v/>
      </c>
      <c r="G412" t="str">
        <f t="shared" si="17"/>
        <v>Việt Nam</v>
      </c>
      <c r="H412" t="e">
        <f>PROPER(TRIM(RIGHT(SUBSTITUTE(LEFT(D412, FIND("@", SUBSTITUTE(D412, ",", "@", LEN(D412)-LEN(SUBSTITUTE(D412, ",", ""))))-1), ",", REPT(" ", LEN(D412))), LEN(D412))))</f>
        <v>#VALUE!</v>
      </c>
      <c r="I412" t="str">
        <f t="shared" si="18"/>
        <v>Hồ Chí Minh</v>
      </c>
    </row>
    <row r="413" spans="1:9" x14ac:dyDescent="0.3">
      <c r="A413" t="s">
        <v>2668</v>
      </c>
      <c r="C413" t="s">
        <v>6491</v>
      </c>
      <c r="E413" t="str">
        <f>SUBSTITUTE(SUBSTITUTE(SUBSTITUTE(LOWER(C413), "tphcm", "TP. Hồ Chí Minh"), "hcm", "TP. Hồ Chí Minh"), " q.", " Quận ")</f>
        <v>nhà anh tuy, 9/3 đ. núi thành, tân bình, hồ chí minh, việt namnhà anh tuy, 9/3 đ. núi thành, tân bình, hồ chí minh, việt nam</v>
      </c>
      <c r="F413" t="str">
        <f>PROPER(TRIM(RIGHT(SUBSTITUTE(D413, ",", REPT(" ", LEN(D413))), LEN(D413))))</f>
        <v/>
      </c>
      <c r="G413" t="str">
        <f t="shared" si="17"/>
        <v>Việt Nam</v>
      </c>
      <c r="H413" t="e">
        <f>PROPER(TRIM(RIGHT(SUBSTITUTE(LEFT(D413, FIND("@", SUBSTITUTE(D413, ",", "@", LEN(D413)-LEN(SUBSTITUTE(D413, ",", ""))))-1), ",", REPT(" ", LEN(D413))), LEN(D413))))</f>
        <v>#VALUE!</v>
      </c>
      <c r="I413" t="str">
        <f t="shared" si="18"/>
        <v>Hồ Chí Minh</v>
      </c>
    </row>
    <row r="414" spans="1:9" x14ac:dyDescent="0.3">
      <c r="A414" t="s">
        <v>2672</v>
      </c>
      <c r="C414" t="s">
        <v>6502</v>
      </c>
      <c r="E414" t="str">
        <f>SUBSTITUTE(SUBSTITUTE(SUBSTITUTE(LOWER(C414), "tphcm", "TP. Hồ Chí Minh"), "hcm", "TP. Hồ Chí Minh"), " q.", " Quận ")</f>
        <v>55 long bình, đồng nai, việt nam55 long bình, đồng nai, việt nam</v>
      </c>
      <c r="F414" t="str">
        <f>PROPER(TRIM(RIGHT(SUBSTITUTE(D414, ",", REPT(" ", LEN(D414))), LEN(D414))))</f>
        <v/>
      </c>
      <c r="G414" t="str">
        <f t="shared" si="17"/>
        <v>Việt Nam</v>
      </c>
      <c r="H414" t="e">
        <f>PROPER(TRIM(RIGHT(SUBSTITUTE(LEFT(D414, FIND("@", SUBSTITUTE(D414, ",", "@", LEN(D414)-LEN(SUBSTITUTE(D414, ",", ""))))-1), ",", REPT(" ", LEN(D414))), LEN(D414))))</f>
        <v>#VALUE!</v>
      </c>
      <c r="I414" t="str">
        <f t="shared" si="18"/>
        <v>Đồng Nai</v>
      </c>
    </row>
    <row r="415" spans="1:9" x14ac:dyDescent="0.3">
      <c r="A415" t="s">
        <v>2676</v>
      </c>
      <c r="C415" t="s">
        <v>6509</v>
      </c>
      <c r="E415" t="str">
        <f>SUBSTITUTE(SUBSTITUTE(SUBSTITUTE(LOWER(C415), "tphcm", "TP. Hồ Chí Minh"), "hcm", "TP. Hồ Chí Minh"), " q.", " Quận ")</f>
        <v>25 đường số 30, khu phố 1, an khánh, hồ chí minh, việt nam25 đường số 30, khu phố 1, an khánh, hồ chí minh, việt nam</v>
      </c>
      <c r="F415" t="str">
        <f>PROPER(TRIM(RIGHT(SUBSTITUTE(D415, ",", REPT(" ", LEN(D415))), LEN(D415))))</f>
        <v/>
      </c>
      <c r="G415" t="str">
        <f t="shared" si="17"/>
        <v>Việt Nam</v>
      </c>
      <c r="H415" t="e">
        <f>PROPER(TRIM(RIGHT(SUBSTITUTE(LEFT(D415, FIND("@", SUBSTITUTE(D415, ",", "@", LEN(D415)-LEN(SUBSTITUTE(D415, ",", ""))))-1), ",", REPT(" ", LEN(D415))), LEN(D415))))</f>
        <v>#VALUE!</v>
      </c>
      <c r="I415" t="str">
        <f t="shared" si="18"/>
        <v>Hồ Chí Minh</v>
      </c>
    </row>
    <row r="416" spans="1:9" x14ac:dyDescent="0.3">
      <c r="A416" t="s">
        <v>2683</v>
      </c>
      <c r="C416" t="s">
        <v>6516</v>
      </c>
      <c r="E416" t="str">
        <f>SUBSTITUTE(SUBSTITUTE(SUBSTITUTE(LOWER(C416), "tphcm", "TP. Hồ Chí Minh"), "hcm", "TP. Hồ Chí Minh"), " q.", " Quận ")</f>
        <v>gò vấp, dương quảng hàm, an nhơn, hồ chí minh, việt namgò vấp</v>
      </c>
      <c r="F416" t="str">
        <f>PROPER(TRIM(RIGHT(SUBSTITUTE(D416, ",", REPT(" ", LEN(D416))), LEN(D416))))</f>
        <v/>
      </c>
      <c r="G416" t="str">
        <f t="shared" si="17"/>
        <v>Việt Namgò Vấp</v>
      </c>
      <c r="H416" t="e">
        <f>PROPER(TRIM(RIGHT(SUBSTITUTE(LEFT(D416, FIND("@", SUBSTITUTE(D416, ",", "@", LEN(D416)-LEN(SUBSTITUTE(D416, ",", ""))))-1), ",", REPT(" ", LEN(D416))), LEN(D416))))</f>
        <v>#VALUE!</v>
      </c>
      <c r="I416" t="str">
        <f t="shared" si="18"/>
        <v>Hồ Chí Minh</v>
      </c>
    </row>
    <row r="417" spans="1:9" x14ac:dyDescent="0.3">
      <c r="A417" t="s">
        <v>2690</v>
      </c>
      <c r="C417" t="s">
        <v>6541</v>
      </c>
      <c r="E417" t="str">
        <f>SUBSTITUTE(SUBSTITUTE(SUBSTITUTE(LOWER(C417), "tphcm", "TP. Hồ Chí Minh"), "hcm", "TP. Hồ Chí Minh"), " q.", " Quận ")</f>
        <v>304/21 cách mạng tháng tám, tân bình, hồ chí minh, việt nam304/21 cách mạng tháng tám, tân bình, hồ chí minh, việt nam</v>
      </c>
      <c r="F417" t="str">
        <f>PROPER(TRIM(RIGHT(SUBSTITUTE(D417, ",", REPT(" ", LEN(D417))), LEN(D417))))</f>
        <v/>
      </c>
      <c r="G417" t="str">
        <f t="shared" si="17"/>
        <v>Việt Nam</v>
      </c>
      <c r="H417" t="e">
        <f>PROPER(TRIM(RIGHT(SUBSTITUTE(LEFT(D417, FIND("@", SUBSTITUTE(D417, ",", "@", LEN(D417)-LEN(SUBSTITUTE(D417, ",", ""))))-1), ",", REPT(" ", LEN(D417))), LEN(D417))))</f>
        <v>#VALUE!</v>
      </c>
      <c r="I417" t="str">
        <f t="shared" si="18"/>
        <v>Hồ Chí Minh</v>
      </c>
    </row>
    <row r="418" spans="1:9" x14ac:dyDescent="0.3">
      <c r="A418" t="s">
        <v>2696</v>
      </c>
      <c r="C418" t="s">
        <v>6548</v>
      </c>
      <c r="E418" t="str">
        <f>SUBSTITUTE(SUBSTITUTE(SUBSTITUTE(LOWER(C418), "tphcm", "TP. Hồ Chí Minh"), "hcm", "TP. Hồ Chí Minh"), " q.", " Quận ")</f>
        <v>tây ninh, việt namtây ninh</v>
      </c>
      <c r="F418" t="str">
        <f>PROPER(TRIM(RIGHT(SUBSTITUTE(D418, ",", REPT(" ", LEN(D418))), LEN(D418))))</f>
        <v/>
      </c>
      <c r="G418" t="str">
        <f t="shared" si="17"/>
        <v>Việt Namtây Ninh</v>
      </c>
      <c r="H418" t="e">
        <f>PROPER(TRIM(RIGHT(SUBSTITUTE(LEFT(D418, FIND("@", SUBSTITUTE(D418, ",", "@", LEN(D418)-LEN(SUBSTITUTE(D418, ",", ""))))-1), ",", REPT(" ", LEN(D418))), LEN(D418))))</f>
        <v>#VALUE!</v>
      </c>
      <c r="I418" t="str">
        <f t="shared" si="18"/>
        <v>Tây Ninh</v>
      </c>
    </row>
    <row r="419" spans="1:9" x14ac:dyDescent="0.3">
      <c r="A419" t="s">
        <v>2700</v>
      </c>
      <c r="C419" t="s">
        <v>6575</v>
      </c>
      <c r="E419" t="str">
        <f>SUBSTITUTE(SUBSTITUTE(SUBSTITUTE(LOWER(C419), "tphcm", "TP. Hồ Chí Minh"), "hcm", "TP. Hồ Chí Minh"), " q.", " Quận ")</f>
        <v>công ty honda, đường huyện 411, tân uyên, hồ chí minh, việt namcông ty honda</v>
      </c>
      <c r="F419" t="str">
        <f>PROPER(TRIM(RIGHT(SUBSTITUTE(D419, ",", REPT(" ", LEN(D419))), LEN(D419))))</f>
        <v/>
      </c>
      <c r="G419" t="str">
        <f t="shared" si="17"/>
        <v>Việt Namcông Ty Honda</v>
      </c>
      <c r="H419" t="e">
        <f>PROPER(TRIM(RIGHT(SUBSTITUTE(LEFT(D419, FIND("@", SUBSTITUTE(D419, ",", "@", LEN(D419)-LEN(SUBSTITUTE(D419, ",", ""))))-1), ",", REPT(" ", LEN(D419))), LEN(D419))))</f>
        <v>#VALUE!</v>
      </c>
      <c r="I419" t="str">
        <f t="shared" si="18"/>
        <v>Hồ Chí Minh</v>
      </c>
    </row>
    <row r="420" spans="1:9" x14ac:dyDescent="0.3">
      <c r="A420" t="s">
        <v>2707</v>
      </c>
      <c r="C420" t="s">
        <v>6585</v>
      </c>
      <c r="E420" t="str">
        <f>SUBSTITUTE(SUBSTITUTE(SUBSTITUTE(LOWER(C420), "tphcm", "TP. Hồ Chí Minh"), "hcm", "TP. Hồ Chí Minh"), " q.", " Quận ")</f>
        <v>khu, 1 đường số 4, bình hòa, hồ chí minh, việt namkhu, 1 đường số 4, bình hòa, hồ chí minh, việt nam</v>
      </c>
      <c r="F420" t="str">
        <f>PROPER(TRIM(RIGHT(SUBSTITUTE(D420, ",", REPT(" ", LEN(D420))), LEN(D420))))</f>
        <v/>
      </c>
      <c r="G420" t="str">
        <f t="shared" si="17"/>
        <v>Việt Nam</v>
      </c>
      <c r="H420" t="e">
        <f>PROPER(TRIM(RIGHT(SUBSTITUTE(LEFT(D420, FIND("@", SUBSTITUTE(D420, ",", "@", LEN(D420)-LEN(SUBSTITUTE(D420, ",", ""))))-1), ",", REPT(" ", LEN(D420))), LEN(D420))))</f>
        <v>#VALUE!</v>
      </c>
      <c r="I420" t="str">
        <f t="shared" si="18"/>
        <v>Hồ Chí Minh</v>
      </c>
    </row>
    <row r="421" spans="1:9" x14ac:dyDescent="0.3">
      <c r="A421" t="s">
        <v>2714</v>
      </c>
      <c r="C421" t="s">
        <v>6611</v>
      </c>
      <c r="E421" t="str">
        <f>SUBSTITUTE(SUBSTITUTE(SUBSTITUTE(LOWER(C421), "tphcm", "TP. Hồ Chí Minh"), "hcm", "TP. Hồ Chí Minh"), " q.", " Quận ")</f>
        <v>17 đ. phan văn trị, gò vấp, hồ chí minh, việt nam17 đ. phan văn trị, gò vấp, hồ chí minh, việt nam</v>
      </c>
      <c r="F421" t="str">
        <f>PROPER(TRIM(RIGHT(SUBSTITUTE(D421, ",", REPT(" ", LEN(D421))), LEN(D421))))</f>
        <v/>
      </c>
      <c r="G421" t="str">
        <f t="shared" si="17"/>
        <v>Việt Nam</v>
      </c>
      <c r="H421" t="e">
        <f>PROPER(TRIM(RIGHT(SUBSTITUTE(LEFT(D421, FIND("@", SUBSTITUTE(D421, ",", "@", LEN(D421)-LEN(SUBSTITUTE(D421, ",", ""))))-1), ",", REPT(" ", LEN(D421))), LEN(D421))))</f>
        <v>#VALUE!</v>
      </c>
      <c r="I421" t="str">
        <f t="shared" si="18"/>
        <v>Hồ Chí Minh</v>
      </c>
    </row>
    <row r="422" spans="1:9" x14ac:dyDescent="0.3">
      <c r="A422" t="s">
        <v>2721</v>
      </c>
      <c r="C422" t="s">
        <v>6617</v>
      </c>
      <c r="E422" t="str">
        <f>SUBSTITUTE(SUBSTITUTE(SUBSTITUTE(LOWER(C422), "tphcm", "TP. Hồ Chí Minh"), "hcm", "TP. Hồ Chí Minh"), " q.", " Quận ")</f>
        <v>12 trường chinh, tân bình, hồ chí minh 700000, việt nam12 trường chinh, tân bình, hồ chí minh 700000, việt nam</v>
      </c>
      <c r="F422" t="str">
        <f>PROPER(TRIM(RIGHT(SUBSTITUTE(D422, ",", REPT(" ", LEN(D422))), LEN(D422))))</f>
        <v/>
      </c>
      <c r="G422" t="str">
        <f t="shared" si="17"/>
        <v>Việt Nam</v>
      </c>
      <c r="H422" t="e">
        <f>PROPER(TRIM(RIGHT(SUBSTITUTE(LEFT(D422, FIND("@", SUBSTITUTE(D422, ",", "@", LEN(D422)-LEN(SUBSTITUTE(D422, ",", ""))))-1), ",", REPT(" ", LEN(D422))), LEN(D422))))</f>
        <v>#VALUE!</v>
      </c>
      <c r="I422" t="str">
        <f t="shared" si="18"/>
        <v>Hồ Chí Minh 700000</v>
      </c>
    </row>
    <row r="423" spans="1:9" x14ac:dyDescent="0.3">
      <c r="A423" t="s">
        <v>2727</v>
      </c>
      <c r="C423" t="s">
        <v>6624</v>
      </c>
      <c r="E423" t="str">
        <f>SUBSTITUTE(SUBSTITUTE(SUBSTITUTE(LOWER(C423), "tphcm", "TP. Hồ Chí Minh"), "hcm", "TP. Hồ Chí Minh"), " q.", " Quận ")</f>
        <v>kcn sóng thần, dĩ an, hồ chí minh, việt namkcn sóng thần</v>
      </c>
      <c r="F423" t="str">
        <f>PROPER(TRIM(RIGHT(SUBSTITUTE(D423, ",", REPT(" ", LEN(D423))), LEN(D423))))</f>
        <v/>
      </c>
      <c r="G423" t="str">
        <f t="shared" si="17"/>
        <v>Việt Namkcn Sóng Thần</v>
      </c>
      <c r="H423" t="e">
        <f>PROPER(TRIM(RIGHT(SUBSTITUTE(LEFT(D423, FIND("@", SUBSTITUTE(D423, ",", "@", LEN(D423)-LEN(SUBSTITUTE(D423, ",", ""))))-1), ",", REPT(" ", LEN(D423))), LEN(D423))))</f>
        <v>#VALUE!</v>
      </c>
      <c r="I423" t="str">
        <f t="shared" si="18"/>
        <v>Hồ Chí Minh</v>
      </c>
    </row>
    <row r="424" spans="1:9" x14ac:dyDescent="0.3">
      <c r="A424" t="s">
        <v>2731</v>
      </c>
      <c r="C424" t="s">
        <v>6631</v>
      </c>
      <c r="E424" t="str">
        <f>SUBSTITUTE(SUBSTITUTE(SUBSTITUTE(LOWER(C424), "tphcm", "TP. Hồ Chí Minh"), "hcm", "TP. Hồ Chí Minh"), " q.", " Quận ")</f>
        <v>visa5s bình dương, đường trần đại nghĩa, phường bình thắng, dĩ an, bình dương, việt namvisa5s bình dương</v>
      </c>
      <c r="F424" t="str">
        <f>PROPER(TRIM(RIGHT(SUBSTITUTE(D424, ",", REPT(" ", LEN(D424))), LEN(D424))))</f>
        <v/>
      </c>
      <c r="G424" t="str">
        <f t="shared" si="17"/>
        <v>Việt Namvisa5S Bình Dương</v>
      </c>
      <c r="H424" t="e">
        <f>PROPER(TRIM(RIGHT(SUBSTITUTE(LEFT(D424, FIND("@", SUBSTITUTE(D424, ",", "@", LEN(D424)-LEN(SUBSTITUTE(D424, ",", ""))))-1), ",", REPT(" ", LEN(D424))), LEN(D424))))</f>
        <v>#VALUE!</v>
      </c>
      <c r="I424" t="str">
        <f t="shared" si="18"/>
        <v>Bình Dương</v>
      </c>
    </row>
    <row r="425" spans="1:9" x14ac:dyDescent="0.3">
      <c r="A425" t="s">
        <v>2735</v>
      </c>
      <c r="C425" t="s">
        <v>6644</v>
      </c>
      <c r="E425" t="str">
        <f>SUBSTITUTE(SUBSTITUTE(SUBSTITUTE(LOWER(C425), "tphcm", "TP. Hồ Chí Minh"), "hcm", "TP. Hồ Chí Minh"), " q.", " Quận ")</f>
        <v>48 a4, khu đô thị mới đông tăng long, long phước, hồ chí minh, việt nam48 a4, khu đô thị mới đông tăng long, long phước, hồ chí minh, việt nam</v>
      </c>
      <c r="F425" t="str">
        <f>PROPER(TRIM(RIGHT(SUBSTITUTE(D425, ",", REPT(" ", LEN(D425))), LEN(D425))))</f>
        <v/>
      </c>
      <c r="G425" t="str">
        <f t="shared" si="17"/>
        <v>Việt Nam</v>
      </c>
      <c r="H425" t="e">
        <f>PROPER(TRIM(RIGHT(SUBSTITUTE(LEFT(D425, FIND("@", SUBSTITUTE(D425, ",", "@", LEN(D425)-LEN(SUBSTITUTE(D425, ",", ""))))-1), ",", REPT(" ", LEN(D425))), LEN(D425))))</f>
        <v>#VALUE!</v>
      </c>
      <c r="I425" t="str">
        <f t="shared" si="18"/>
        <v>Hồ Chí Minh</v>
      </c>
    </row>
    <row r="426" spans="1:9" x14ac:dyDescent="0.3">
      <c r="A426" t="s">
        <v>2739</v>
      </c>
      <c r="C426" t="s">
        <v>6650</v>
      </c>
      <c r="E426" t="str">
        <f>SUBSTITUTE(SUBSTITUTE(SUBSTITUTE(LOWER(C426), "tphcm", "TP. Hồ Chí Minh"), "hcm", "TP. Hồ Chí Minh"), " q.", " Quận ")</f>
        <v>vhqv+47p, lý thường kiệt, hóc môn, hồ chí minh, việt namvhqv+47p, lý thường kiệt, hóc môn, hồ chí minh, việt nam</v>
      </c>
      <c r="F426" t="str">
        <f>PROPER(TRIM(RIGHT(SUBSTITUTE(D426, ",", REPT(" ", LEN(D426))), LEN(D426))))</f>
        <v/>
      </c>
      <c r="G426" t="str">
        <f t="shared" si="17"/>
        <v>Việt Nam</v>
      </c>
      <c r="H426" t="e">
        <f>PROPER(TRIM(RIGHT(SUBSTITUTE(LEFT(D426, FIND("@", SUBSTITUTE(D426, ",", "@", LEN(D426)-LEN(SUBSTITUTE(D426, ",", ""))))-1), ",", REPT(" ", LEN(D426))), LEN(D426))))</f>
        <v>#VALUE!</v>
      </c>
      <c r="I426" t="str">
        <f t="shared" si="18"/>
        <v>Hồ Chí Minh</v>
      </c>
    </row>
    <row r="427" spans="1:9" x14ac:dyDescent="0.3">
      <c r="A427" t="s">
        <v>2746</v>
      </c>
      <c r="C427" t="s">
        <v>6661</v>
      </c>
      <c r="E427" t="str">
        <f>SUBSTITUTE(SUBSTITUTE(SUBSTITUTE(LOWER(C427), "tphcm", "TP. Hồ Chí Minh"), "hcm", "TP. Hồ Chí Minh"), " q.", " Quận ")</f>
        <v>công ty, đường số 29, dĩ an, hồ chí minh, việt namcông ty</v>
      </c>
      <c r="F427" t="str">
        <f>PROPER(TRIM(RIGHT(SUBSTITUTE(D427, ",", REPT(" ", LEN(D427))), LEN(D427))))</f>
        <v/>
      </c>
      <c r="G427" t="str">
        <f t="shared" si="17"/>
        <v>Việt Namcông Ty</v>
      </c>
      <c r="H427" t="e">
        <f>PROPER(TRIM(RIGHT(SUBSTITUTE(LEFT(D427, FIND("@", SUBSTITUTE(D427, ",", "@", LEN(D427)-LEN(SUBSTITUTE(D427, ",", ""))))-1), ",", REPT(" ", LEN(D427))), LEN(D427))))</f>
        <v>#VALUE!</v>
      </c>
      <c r="I427" t="str">
        <f t="shared" si="18"/>
        <v>Hồ Chí Minh</v>
      </c>
    </row>
    <row r="428" spans="1:9" x14ac:dyDescent="0.3">
      <c r="A428" t="s">
        <v>2750</v>
      </c>
      <c r="C428" t="s">
        <v>6684</v>
      </c>
      <c r="E428" t="str">
        <f>SUBSTITUTE(SUBSTITUTE(SUBSTITUTE(LOWER(C428), "tphcm", "TP. Hồ Chí Minh"), "hcm", "TP. Hồ Chí Minh"), " q.", " Quận ")</f>
        <v>1 trần khắc chân, hóc môn, hồ chí minh, việt nam1 trần khắc chân, hóc môn, hồ chí minh, việt nam</v>
      </c>
      <c r="F428" t="str">
        <f>PROPER(TRIM(RIGHT(SUBSTITUTE(D428, ",", REPT(" ", LEN(D428))), LEN(D428))))</f>
        <v/>
      </c>
      <c r="G428" t="str">
        <f t="shared" si="17"/>
        <v>Việt Nam</v>
      </c>
      <c r="H428" t="e">
        <f>PROPER(TRIM(RIGHT(SUBSTITUTE(LEFT(D428, FIND("@", SUBSTITUTE(D428, ",", "@", LEN(D428)-LEN(SUBSTITUTE(D428, ",", ""))))-1), ",", REPT(" ", LEN(D428))), LEN(D428))))</f>
        <v>#VALUE!</v>
      </c>
      <c r="I428" t="str">
        <f t="shared" si="18"/>
        <v>Hồ Chí Minh</v>
      </c>
    </row>
    <row r="429" spans="1:9" x14ac:dyDescent="0.3">
      <c r="A429" t="s">
        <v>2754</v>
      </c>
      <c r="C429" t="s">
        <v>6690</v>
      </c>
      <c r="E429" t="str">
        <f>SUBSTITUTE(SUBSTITUTE(SUBSTITUTE(LOWER(C429), "tphcm", "TP. Hồ Chí Minh"), "hcm", "TP. Hồ Chí Minh"), " q.", " Quận ")</f>
        <v>212 nguyễn oanh, gò vấp, hồ chí minh, việt nam212 nguyễn oanh, gò vấp, hồ chí minh, việt nam</v>
      </c>
      <c r="F429" t="str">
        <f>PROPER(TRIM(RIGHT(SUBSTITUTE(D429, ",", REPT(" ", LEN(D429))), LEN(D429))))</f>
        <v/>
      </c>
      <c r="G429" t="str">
        <f t="shared" si="17"/>
        <v>Việt Nam</v>
      </c>
      <c r="H429" t="e">
        <f>PROPER(TRIM(RIGHT(SUBSTITUTE(LEFT(D429, FIND("@", SUBSTITUTE(D429, ",", "@", LEN(D429)-LEN(SUBSTITUTE(D429, ",", ""))))-1), ",", REPT(" ", LEN(D429))), LEN(D429))))</f>
        <v>#VALUE!</v>
      </c>
      <c r="I429" t="str">
        <f t="shared" si="18"/>
        <v>Hồ Chí Minh</v>
      </c>
    </row>
    <row r="430" spans="1:9" x14ac:dyDescent="0.3">
      <c r="A430" t="s">
        <v>2764</v>
      </c>
      <c r="C430" t="s">
        <v>6711</v>
      </c>
      <c r="E430" t="str">
        <f>SUBSTITUTE(SUBSTITUTE(SUBSTITUTE(LOWER(C430), "tphcm", "TP. Hồ Chí Minh"), "hcm", "TP. Hồ Chí Minh"), " q.", " Quận ")</f>
        <v>rqwp+v8r, tăng nhơn phú, hồ chí minh, việt namrqwp+v8r, tăng nhơn phú, hồ chí minh, việt nam</v>
      </c>
      <c r="F430" t="str">
        <f>PROPER(TRIM(RIGHT(SUBSTITUTE(D430, ",", REPT(" ", LEN(D430))), LEN(D430))))</f>
        <v/>
      </c>
      <c r="G430" t="str">
        <f t="shared" si="17"/>
        <v>Việt Nam</v>
      </c>
      <c r="H430" t="e">
        <f>PROPER(TRIM(RIGHT(SUBSTITUTE(LEFT(D430, FIND("@", SUBSTITUTE(D430, ",", "@", LEN(D430)-LEN(SUBSTITUTE(D430, ",", ""))))-1), ",", REPT(" ", LEN(D430))), LEN(D430))))</f>
        <v>#VALUE!</v>
      </c>
      <c r="I430" t="str">
        <f t="shared" si="18"/>
        <v>Hồ Chí Minh</v>
      </c>
    </row>
    <row r="431" spans="1:9" x14ac:dyDescent="0.3">
      <c r="A431" t="s">
        <v>2775</v>
      </c>
      <c r="C431" t="s">
        <v>6730</v>
      </c>
      <c r="E431" t="str">
        <f>SUBSTITUTE(SUBSTITUTE(SUBSTITUTE(LOWER(C431), "tphcm", "TP. Hồ Chí Minh"), "hcm", "TP. Hồ Chí Minh"), " q.", " Quận ")</f>
        <v>đ. số 93/110 lê thị giót, củ chi, hồ chí minh, việt namđ. số 93/110 lê thị giót, củ chi, hồ chí minh, việt nam</v>
      </c>
      <c r="F431" t="str">
        <f>PROPER(TRIM(RIGHT(SUBSTITUTE(D431, ",", REPT(" ", LEN(D431))), LEN(D431))))</f>
        <v/>
      </c>
      <c r="G431" t="str">
        <f t="shared" si="17"/>
        <v>Việt Nam</v>
      </c>
      <c r="H431" t="e">
        <f>PROPER(TRIM(RIGHT(SUBSTITUTE(LEFT(D431, FIND("@", SUBSTITUTE(D431, ",", "@", LEN(D431)-LEN(SUBSTITUTE(D431, ",", ""))))-1), ",", REPT(" ", LEN(D431))), LEN(D431))))</f>
        <v>#VALUE!</v>
      </c>
      <c r="I431" t="str">
        <f t="shared" si="18"/>
        <v>Hồ Chí Minh</v>
      </c>
    </row>
    <row r="432" spans="1:9" x14ac:dyDescent="0.3">
      <c r="A432" t="s">
        <v>2786</v>
      </c>
      <c r="C432" t="s">
        <v>6744</v>
      </c>
      <c r="E432" t="str">
        <f>SUBSTITUTE(SUBSTITUTE(SUBSTITUTE(LOWER(C432), "tphcm", "TP. Hồ Chí Minh"), "hcm", "TP. Hồ Chí Minh"), " q.", " Quận ")</f>
        <v>5 đường số 1, trấn biên, đồng nai, việt nam5 đường số 1, trấn biên, đồng nai, việt nam</v>
      </c>
      <c r="F432" t="str">
        <f>PROPER(TRIM(RIGHT(SUBSTITUTE(D432, ",", REPT(" ", LEN(D432))), LEN(D432))))</f>
        <v/>
      </c>
      <c r="G432" t="str">
        <f t="shared" si="17"/>
        <v>Việt Nam</v>
      </c>
      <c r="H432" t="e">
        <f>PROPER(TRIM(RIGHT(SUBSTITUTE(LEFT(D432, FIND("@", SUBSTITUTE(D432, ",", "@", LEN(D432)-LEN(SUBSTITUTE(D432, ",", ""))))-1), ",", REPT(" ", LEN(D432))), LEN(D432))))</f>
        <v>#VALUE!</v>
      </c>
      <c r="I432" t="str">
        <f t="shared" si="18"/>
        <v>Đồng Nai</v>
      </c>
    </row>
    <row r="433" spans="1:9" x14ac:dyDescent="0.3">
      <c r="A433" t="s">
        <v>2790</v>
      </c>
      <c r="C433" t="s">
        <v>6751</v>
      </c>
      <c r="E433" t="str">
        <f>SUBSTITUTE(SUBSTITUTE(SUBSTITUTE(LOWER(C433), "tphcm", "TP. Hồ Chí Minh"), "hcm", "TP. Hồ Chí Minh"), " q.", " Quận ")</f>
        <v>vq3r+7m6 công viên đoàn kết, man thiện, tăng nhơn phú, hồ chí minh, việt namvq3r+7m6 công viên đoàn kết, man thiện, tăng nhơn phú, hồ chí minh, việt nam</v>
      </c>
      <c r="F433" t="str">
        <f>PROPER(TRIM(RIGHT(SUBSTITUTE(D433, ",", REPT(" ", LEN(D433))), LEN(D433))))</f>
        <v/>
      </c>
      <c r="G433" t="str">
        <f t="shared" si="17"/>
        <v>Việt Nam</v>
      </c>
      <c r="H433" t="e">
        <f>PROPER(TRIM(RIGHT(SUBSTITUTE(LEFT(D433, FIND("@", SUBSTITUTE(D433, ",", "@", LEN(D433)-LEN(SUBSTITUTE(D433, ",", ""))))-1), ",", REPT(" ", LEN(D433))), LEN(D433))))</f>
        <v>#VALUE!</v>
      </c>
      <c r="I433" t="str">
        <f t="shared" si="18"/>
        <v>Hồ Chí Minh</v>
      </c>
    </row>
    <row r="434" spans="1:9" x14ac:dyDescent="0.3">
      <c r="A434" t="s">
        <v>2797</v>
      </c>
      <c r="C434" t="s">
        <v>6769</v>
      </c>
      <c r="E434" t="str">
        <f>SUBSTITUTE(SUBSTITUTE(SUBSTITUTE(LOWER(C434), "tphcm", "TP. Hồ Chí Minh"), "hcm", "TP. Hồ Chí Minh"), " q.", " Quận ")</f>
        <v>72/3 nguyễn trãi, dĩ an, hồ chí minh, việt nam72/3 nguyễn trãi, dĩ an, hồ chí minh, việt nam</v>
      </c>
      <c r="F434" t="str">
        <f>PROPER(TRIM(RIGHT(SUBSTITUTE(D434, ",", REPT(" ", LEN(D434))), LEN(D434))))</f>
        <v/>
      </c>
      <c r="G434" t="str">
        <f t="shared" si="17"/>
        <v>Việt Nam</v>
      </c>
      <c r="H434" t="e">
        <f>PROPER(TRIM(RIGHT(SUBSTITUTE(LEFT(D434, FIND("@", SUBSTITUTE(D434, ",", "@", LEN(D434)-LEN(SUBSTITUTE(D434, ",", ""))))-1), ",", REPT(" ", LEN(D434))), LEN(D434))))</f>
        <v>#VALUE!</v>
      </c>
      <c r="I434" t="str">
        <f t="shared" si="18"/>
        <v>Hồ Chí Minh</v>
      </c>
    </row>
    <row r="435" spans="1:9" x14ac:dyDescent="0.3">
      <c r="A435" t="s">
        <v>2807</v>
      </c>
      <c r="C435" t="s">
        <v>6781</v>
      </c>
      <c r="E435" t="str">
        <f>SUBSTITUTE(SUBSTITUTE(SUBSTITUTE(LOWER(C435), "tphcm", "TP. Hồ Chí Minh"), "hcm", "TP. Hồ Chí Minh"), " q.", " Quận ")</f>
        <v>rp73+c44, bình thạnh, hồ chí minh, việt namrp73+c44, bình thạnh, hồ chí minh, việt nam</v>
      </c>
      <c r="F435" t="str">
        <f>PROPER(TRIM(RIGHT(SUBSTITUTE(D435, ",", REPT(" ", LEN(D435))), LEN(D435))))</f>
        <v/>
      </c>
      <c r="G435" t="str">
        <f t="shared" si="17"/>
        <v>Việt Nam</v>
      </c>
      <c r="H435" t="e">
        <f>PROPER(TRIM(RIGHT(SUBSTITUTE(LEFT(D435, FIND("@", SUBSTITUTE(D435, ",", "@", LEN(D435)-LEN(SUBSTITUTE(D435, ",", ""))))-1), ",", REPT(" ", LEN(D435))), LEN(D435))))</f>
        <v>#VALUE!</v>
      </c>
      <c r="I435" t="str">
        <f t="shared" si="18"/>
        <v>Hồ Chí Minh</v>
      </c>
    </row>
    <row r="436" spans="1:9" x14ac:dyDescent="0.3">
      <c r="A436" t="s">
        <v>2815</v>
      </c>
      <c r="C436" t="s">
        <v>6797</v>
      </c>
      <c r="E436" t="str">
        <f>SUBSTITUTE(SUBSTITUTE(SUBSTITUTE(LOWER(C436), "tphcm", "TP. Hồ Chí Minh"), "hcm", "TP. Hồ Chí Minh"), " q.", " Quận ")</f>
        <v>69 đ. tân chánh hiệp 07, trung mỹ tây, hồ chí minh, việt nam69 đ. tân chánh hiệp 07, trung mỹ tây, hồ chí minh, việt nam</v>
      </c>
      <c r="F436" t="str">
        <f>PROPER(TRIM(RIGHT(SUBSTITUTE(D436, ",", REPT(" ", LEN(D436))), LEN(D436))))</f>
        <v/>
      </c>
      <c r="G436" t="str">
        <f t="shared" si="17"/>
        <v>Việt Nam</v>
      </c>
      <c r="H436" t="e">
        <f>PROPER(TRIM(RIGHT(SUBSTITUTE(LEFT(D436, FIND("@", SUBSTITUTE(D436, ",", "@", LEN(D436)-LEN(SUBSTITUTE(D436, ",", ""))))-1), ",", REPT(" ", LEN(D436))), LEN(D436))))</f>
        <v>#VALUE!</v>
      </c>
      <c r="I436" t="str">
        <f t="shared" si="18"/>
        <v>Hồ Chí Minh</v>
      </c>
    </row>
    <row r="437" spans="1:9" x14ac:dyDescent="0.3">
      <c r="A437" t="s">
        <v>2819</v>
      </c>
      <c r="C437" t="s">
        <v>6820</v>
      </c>
      <c r="E437" t="str">
        <f>SUBSTITUTE(SUBSTITUTE(SUBSTITUTE(LOWER(C437), "tphcm", "TP. Hồ Chí Minh"), "hcm", "TP. Hồ Chí Minh"), " q.", " Quận ")</f>
        <v>bien hoa airport, tân triều, đồng nai, việt nambien hoa airport</v>
      </c>
      <c r="F437" t="str">
        <f>PROPER(TRIM(RIGHT(SUBSTITUTE(D437, ",", REPT(" ", LEN(D437))), LEN(D437))))</f>
        <v/>
      </c>
      <c r="G437" t="str">
        <f t="shared" si="17"/>
        <v>Việt Nambien Hoa Airport</v>
      </c>
      <c r="H437" t="e">
        <f>PROPER(TRIM(RIGHT(SUBSTITUTE(LEFT(D437, FIND("@", SUBSTITUTE(D437, ",", "@", LEN(D437)-LEN(SUBSTITUTE(D437, ",", ""))))-1), ",", REPT(" ", LEN(D437))), LEN(D437))))</f>
        <v>#VALUE!</v>
      </c>
      <c r="I437" t="str">
        <f t="shared" si="18"/>
        <v>Đồng Nai</v>
      </c>
    </row>
    <row r="438" spans="1:9" x14ac:dyDescent="0.3">
      <c r="A438" t="s">
        <v>2827</v>
      </c>
      <c r="C438" t="s">
        <v>6828</v>
      </c>
      <c r="E438" t="str">
        <f>SUBSTITUTE(SUBSTITUTE(SUBSTITUTE(LOWER(C438), "tphcm", "TP. Hồ Chí Minh"), "hcm", "TP. Hồ Chí Minh"), " q.", " Quận ")</f>
        <v>cty tnhh sơn băng biên hòa, xa lộ hà nội, long bình, đồng nai, việt namcty tnhh sơn băng biên hòa</v>
      </c>
      <c r="F438" t="str">
        <f>PROPER(TRIM(RIGHT(SUBSTITUTE(D438, ",", REPT(" ", LEN(D438))), LEN(D438))))</f>
        <v/>
      </c>
      <c r="G438" t="str">
        <f t="shared" si="17"/>
        <v>Việt Namcty Tnhh Sơn Băng Biên Hòa</v>
      </c>
      <c r="H438" t="e">
        <f>PROPER(TRIM(RIGHT(SUBSTITUTE(LEFT(D438, FIND("@", SUBSTITUTE(D438, ",", "@", LEN(D438)-LEN(SUBSTITUTE(D438, ",", ""))))-1), ",", REPT(" ", LEN(D438))), LEN(D438))))</f>
        <v>#VALUE!</v>
      </c>
      <c r="I438" t="str">
        <f t="shared" si="18"/>
        <v>Đồng Nai</v>
      </c>
    </row>
    <row r="439" spans="1:9" x14ac:dyDescent="0.3">
      <c r="A439" t="s">
        <v>2837</v>
      </c>
      <c r="C439" t="s">
        <v>6845</v>
      </c>
      <c r="E439" t="str">
        <f>SUBSTITUTE(SUBSTITUTE(SUBSTITUTE(LOWER(C439), "tphcm", "TP. Hồ Chí Minh"), "hcm", "TP. Hồ Chí Minh"), " q.", " Quận ")</f>
        <v>6 thân nhân trung, tân bình, hồ chí minh, việt nam6 thân nhân trung, tân bình, hồ chí minh, việt nam</v>
      </c>
      <c r="F439" t="str">
        <f>PROPER(TRIM(RIGHT(SUBSTITUTE(D439, ",", REPT(" ", LEN(D439))), LEN(D439))))</f>
        <v/>
      </c>
      <c r="G439" t="str">
        <f t="shared" si="17"/>
        <v>Việt Nam</v>
      </c>
      <c r="H439" t="e">
        <f>PROPER(TRIM(RIGHT(SUBSTITUTE(LEFT(D439, FIND("@", SUBSTITUTE(D439, ",", "@", LEN(D439)-LEN(SUBSTITUTE(D439, ",", ""))))-1), ",", REPT(" ", LEN(D439))), LEN(D439))))</f>
        <v>#VALUE!</v>
      </c>
      <c r="I439" t="str">
        <f t="shared" si="18"/>
        <v>Hồ Chí Minh</v>
      </c>
    </row>
    <row r="440" spans="1:9" x14ac:dyDescent="0.3">
      <c r="A440" t="s">
        <v>2844</v>
      </c>
      <c r="C440" t="s">
        <v>6856</v>
      </c>
      <c r="E440" t="str">
        <f>SUBSTITUTE(SUBSTITUTE(SUBSTITUTE(LOWER(C440), "tphcm", "TP. Hồ Chí Minh"), "hcm", "TP. Hồ Chí Minh"), " q.", " Quận ")</f>
        <v>36/23 bình giã, tân bình, hồ chí minh, việt nam36/23 bình giã, tân bình, hồ chí minh, việt nam</v>
      </c>
      <c r="F440" t="str">
        <f>PROPER(TRIM(RIGHT(SUBSTITUTE(D440, ",", REPT(" ", LEN(D440))), LEN(D440))))</f>
        <v/>
      </c>
      <c r="G440" t="str">
        <f t="shared" si="17"/>
        <v>Việt Nam</v>
      </c>
      <c r="H440" t="e">
        <f>PROPER(TRIM(RIGHT(SUBSTITUTE(LEFT(D440, FIND("@", SUBSTITUTE(D440, ",", "@", LEN(D440)-LEN(SUBSTITUTE(D440, ",", ""))))-1), ",", REPT(" ", LEN(D440))), LEN(D440))))</f>
        <v>#VALUE!</v>
      </c>
      <c r="I440" t="str">
        <f t="shared" si="18"/>
        <v>Hồ Chí Minh</v>
      </c>
    </row>
    <row r="441" spans="1:9" x14ac:dyDescent="0.3">
      <c r="A441" t="s">
        <v>2848</v>
      </c>
      <c r="C441" t="s">
        <v>6871</v>
      </c>
      <c r="E441" t="str">
        <f>SUBSTITUTE(SUBSTITUTE(SUBSTITUTE(LOWER(C441), "tphcm", "TP. Hồ Chí Minh"), "hcm", "TP. Hồ Chí Minh"), " q.", " Quận ")</f>
        <v>qxvp+f5 long thành, đồng nai, việt namqxvp+f5 long thành, đồng nai, việt nam</v>
      </c>
      <c r="F441" t="str">
        <f>PROPER(TRIM(RIGHT(SUBSTITUTE(D441, ",", REPT(" ", LEN(D441))), LEN(D441))))</f>
        <v/>
      </c>
      <c r="G441" t="str">
        <f t="shared" si="17"/>
        <v>Việt Nam</v>
      </c>
      <c r="H441" t="e">
        <f>PROPER(TRIM(RIGHT(SUBSTITUTE(LEFT(D441, FIND("@", SUBSTITUTE(D441, ",", "@", LEN(D441)-LEN(SUBSTITUTE(D441, ",", ""))))-1), ",", REPT(" ", LEN(D441))), LEN(D441))))</f>
        <v>#VALUE!</v>
      </c>
      <c r="I441" t="str">
        <f t="shared" si="18"/>
        <v>Đồng Nai</v>
      </c>
    </row>
    <row r="442" spans="1:9" x14ac:dyDescent="0.3">
      <c r="A442" t="s">
        <v>2852</v>
      </c>
      <c r="C442" t="s">
        <v>6883</v>
      </c>
      <c r="E442" t="str">
        <f>SUBSTITUTE(SUBSTITUTE(SUBSTITUTE(LOWER(C442), "tphcm", "TP. Hồ Chí Minh"), "hcm", "TP. Hồ Chí Minh"), " q.", " Quận ")</f>
        <v>kho vina smart song than, dĩ an, bình dươngkho vina smart song than</v>
      </c>
      <c r="F442" t="str">
        <f>PROPER(TRIM(RIGHT(SUBSTITUTE(D442, ",", REPT(" ", LEN(D442))), LEN(D442))))</f>
        <v/>
      </c>
      <c r="G442" t="str">
        <f t="shared" si="17"/>
        <v>Bình Dươngkho Vina Smart Song Than</v>
      </c>
      <c r="H442" t="e">
        <f>PROPER(TRIM(RIGHT(SUBSTITUTE(LEFT(D442, FIND("@", SUBSTITUTE(D442, ",", "@", LEN(D442)-LEN(SUBSTITUTE(D442, ",", ""))))-1), ",", REPT(" ", LEN(D442))), LEN(D442))))</f>
        <v>#VALUE!</v>
      </c>
      <c r="I442" t="str">
        <f t="shared" si="18"/>
        <v>Dĩ An</v>
      </c>
    </row>
    <row r="443" spans="1:9" x14ac:dyDescent="0.3">
      <c r="A443" t="s">
        <v>2859</v>
      </c>
      <c r="C443" t="s">
        <v>6898</v>
      </c>
      <c r="E443" t="str">
        <f>SUBSTITUTE(SUBSTITUTE(SUBSTITUTE(LOWER(C443), "tphcm", "TP. Hồ Chí Minh"), "hcm", "TP. Hồ Chí Minh"), " q.", " Quận ")</f>
        <v>2 hẻm 24 tổ 14 ấp 3, xã xuân thới sơn, huyện hóc môn, hồ chí minh, việt nam2 hẻm 24 tổ 14 ấp 3</v>
      </c>
      <c r="F443" t="str">
        <f>PROPER(TRIM(RIGHT(SUBSTITUTE(D443, ",", REPT(" ", LEN(D443))), LEN(D443))))</f>
        <v/>
      </c>
      <c r="G443" t="str">
        <f t="shared" si="17"/>
        <v>Việt Nam2 Hẻm 24 Tổ 14 Ấp 3</v>
      </c>
      <c r="H443" t="e">
        <f>PROPER(TRIM(RIGHT(SUBSTITUTE(LEFT(D443, FIND("@", SUBSTITUTE(D443, ",", "@", LEN(D443)-LEN(SUBSTITUTE(D443, ",", ""))))-1), ",", REPT(" ", LEN(D443))), LEN(D443))))</f>
        <v>#VALUE!</v>
      </c>
      <c r="I443" t="str">
        <f t="shared" si="18"/>
        <v>Hồ Chí Minh</v>
      </c>
    </row>
    <row r="444" spans="1:9" x14ac:dyDescent="0.3">
      <c r="A444" t="s">
        <v>2866</v>
      </c>
      <c r="C444" t="s">
        <v>6909</v>
      </c>
      <c r="E444" t="str">
        <f>SUBSTITUTE(SUBSTITUTE(SUBSTITUTE(LOWER(C444), "tphcm", "TP. Hồ Chí Minh"), "hcm", "TP. Hồ Chí Minh"), " q.", " Quận ")</f>
        <v>67 đại lộ bình dương, binh nhâm, thuận an, bình dương, việt nam67 đại lộ bình dương</v>
      </c>
      <c r="F444" t="str">
        <f>PROPER(TRIM(RIGHT(SUBSTITUTE(D444, ",", REPT(" ", LEN(D444))), LEN(D444))))</f>
        <v/>
      </c>
      <c r="G444" t="str">
        <f t="shared" si="17"/>
        <v>Việt Nam67 Đại Lộ Bình Dương</v>
      </c>
      <c r="H444" t="e">
        <f>PROPER(TRIM(RIGHT(SUBSTITUTE(LEFT(D444, FIND("@", SUBSTITUTE(D444, ",", "@", LEN(D444)-LEN(SUBSTITUTE(D444, ",", ""))))-1), ",", REPT(" ", LEN(D444))), LEN(D444))))</f>
        <v>#VALUE!</v>
      </c>
      <c r="I444" t="str">
        <f t="shared" si="18"/>
        <v>Bình Dương</v>
      </c>
    </row>
    <row r="445" spans="1:9" x14ac:dyDescent="0.3">
      <c r="A445" t="s">
        <v>2873</v>
      </c>
      <c r="C445" t="s">
        <v>6919</v>
      </c>
      <c r="E445" t="str">
        <f>SUBSTITUTE(SUBSTITUTE(SUBSTITUTE(LOWER(C445), "tphcm", "TP. Hồ Chí Minh"), "hcm", "TP. Hồ Chí Minh"), " q.", " Quận ")</f>
        <v>làng chuyên gia oasis, thuận an, bình dương, việt namcông ty danh nguyễn</v>
      </c>
      <c r="F445" t="str">
        <f>PROPER(TRIM(RIGHT(SUBSTITUTE(D445, ",", REPT(" ", LEN(D445))), LEN(D445))))</f>
        <v/>
      </c>
      <c r="G445" t="str">
        <f t="shared" si="17"/>
        <v>Việt Namcông Ty Danh Nguyễn</v>
      </c>
      <c r="H445" t="e">
        <f>PROPER(TRIM(RIGHT(SUBSTITUTE(LEFT(D445, FIND("@", SUBSTITUTE(D445, ",", "@", LEN(D445)-LEN(SUBSTITUTE(D445, ",", ""))))-1), ",", REPT(" ", LEN(D445))), LEN(D445))))</f>
        <v>#VALUE!</v>
      </c>
      <c r="I445" t="str">
        <f t="shared" si="18"/>
        <v>Bình Dương</v>
      </c>
    </row>
    <row r="446" spans="1:9" x14ac:dyDescent="0.3">
      <c r="A446" t="s">
        <v>2880</v>
      </c>
      <c r="C446" t="s">
        <v>6929</v>
      </c>
      <c r="E446" t="str">
        <f>SUBSTITUTE(SUBSTITUTE(SUBSTITUTE(LOWER(C446), "tphcm", "TP. Hồ Chí Minh"), "hcm", "TP. Hồ Chí Minh"), " q.", " Quận ")</f>
        <v>hựu thạnh, đức hòa, long an, việt namhonestar</v>
      </c>
      <c r="F446" t="str">
        <f>PROPER(TRIM(RIGHT(SUBSTITUTE(D446, ",", REPT(" ", LEN(D446))), LEN(D446))))</f>
        <v/>
      </c>
      <c r="G446" t="str">
        <f t="shared" si="17"/>
        <v>Việt Namhonestar</v>
      </c>
      <c r="H446" t="e">
        <f>PROPER(TRIM(RIGHT(SUBSTITUTE(LEFT(D446, FIND("@", SUBSTITUTE(D446, ",", "@", LEN(D446)-LEN(SUBSTITUTE(D446, ",", ""))))-1), ",", REPT(" ", LEN(D446))), LEN(D446))))</f>
        <v>#VALUE!</v>
      </c>
      <c r="I446" t="str">
        <f t="shared" si="18"/>
        <v>Long An</v>
      </c>
    </row>
    <row r="447" spans="1:9" x14ac:dyDescent="0.3">
      <c r="A447" t="s">
        <v>2887</v>
      </c>
      <c r="C447" t="s">
        <v>6935</v>
      </c>
      <c r="E447" t="str">
        <f>SUBSTITUTE(SUBSTITUTE(SUBSTITUTE(LOWER(C447), "tphcm", "TP. Hồ Chí Minh"), "hcm", "TP. Hồ Chí Minh"), " q.", " Quận ")</f>
        <v>29 hẻm 139 đô lương, phường 12, vũng tàu, bà rịa-vũng tàu, việt nam29 hẻm 139 đô lương</v>
      </c>
      <c r="F447" t="str">
        <f>PROPER(TRIM(RIGHT(SUBSTITUTE(D447, ",", REPT(" ", LEN(D447))), LEN(D447))))</f>
        <v/>
      </c>
      <c r="G447" t="str">
        <f t="shared" si="17"/>
        <v>Việt Nam29 Hẻm 139 Đô Lương</v>
      </c>
      <c r="H447" t="e">
        <f>PROPER(TRIM(RIGHT(SUBSTITUTE(LEFT(D447, FIND("@", SUBSTITUTE(D447, ",", "@", LEN(D447)-LEN(SUBSTITUTE(D447, ",", ""))))-1), ",", REPT(" ", LEN(D447))), LEN(D447))))</f>
        <v>#VALUE!</v>
      </c>
      <c r="I447" t="str">
        <f t="shared" si="18"/>
        <v>Bà Rịa-Vũng Tàu</v>
      </c>
    </row>
    <row r="448" spans="1:9" x14ac:dyDescent="0.3">
      <c r="A448" t="s">
        <v>2891</v>
      </c>
      <c r="C448" t="s">
        <v>6943</v>
      </c>
      <c r="E448" t="str">
        <f>SUBSTITUTE(SUBSTITUTE(SUBSTITUTE(LOWER(C448), "tphcm", "TP. Hồ Chí Minh"), "hcm", "TP. Hồ Chí Minh"), " q.", " Quận ")</f>
        <v>công viên valley of dream, unnamed road, khu đô thị ecolakes, bến cát, bình dương, việt namcông viên valley of dream</v>
      </c>
      <c r="F448" t="str">
        <f>PROPER(TRIM(RIGHT(SUBSTITUTE(D448, ",", REPT(" ", LEN(D448))), LEN(D448))))</f>
        <v/>
      </c>
      <c r="G448" t="str">
        <f t="shared" si="17"/>
        <v>Việt Namcông Viên Valley Of Dream</v>
      </c>
      <c r="H448" t="e">
        <f>PROPER(TRIM(RIGHT(SUBSTITUTE(LEFT(D448, FIND("@", SUBSTITUTE(D448, ",", "@", LEN(D448)-LEN(SUBSTITUTE(D448, ",", ""))))-1), ",", REPT(" ", LEN(D448))), LEN(D448))))</f>
        <v>#VALUE!</v>
      </c>
      <c r="I448" t="str">
        <f t="shared" si="18"/>
        <v>Bình Dương</v>
      </c>
    </row>
    <row r="449" spans="1:9" x14ac:dyDescent="0.3">
      <c r="A449" t="s">
        <v>2898</v>
      </c>
      <c r="C449" t="s">
        <v>6954</v>
      </c>
      <c r="E449" t="str">
        <f>SUBSTITUTE(SUBSTITUTE(SUBSTITUTE(LOWER(C449), "tphcm", "TP. Hồ Chí Minh"), "hcm", "TP. Hồ Chí Minh"), " q.", " Quận ")</f>
        <v>417 ql22, ấp thượng, củ chi, hồ chí minh, việt nam417 quốc lộ 22</v>
      </c>
      <c r="F449" t="str">
        <f>PROPER(TRIM(RIGHT(SUBSTITUTE(D449, ",", REPT(" ", LEN(D449))), LEN(D449))))</f>
        <v/>
      </c>
      <c r="G449" t="str">
        <f t="shared" si="17"/>
        <v>Việt Nam417 Quốc Lộ 22</v>
      </c>
      <c r="H449" t="e">
        <f>PROPER(TRIM(RIGHT(SUBSTITUTE(LEFT(D449, FIND("@", SUBSTITUTE(D449, ",", "@", LEN(D449)-LEN(SUBSTITUTE(D449, ",", ""))))-1), ",", REPT(" ", LEN(D449))), LEN(D449))))</f>
        <v>#VALUE!</v>
      </c>
      <c r="I449" t="str">
        <f t="shared" si="18"/>
        <v>Hồ Chí Minh</v>
      </c>
    </row>
    <row r="450" spans="1:9" x14ac:dyDescent="0.3">
      <c r="A450" t="s">
        <v>2905</v>
      </c>
      <c r="C450" t="s">
        <v>6963</v>
      </c>
      <c r="E450" t="str">
        <f>SUBSTITUTE(SUBSTITUTE(SUBSTITUTE(LOWER(C450), "tphcm", "TP. Hồ Chí Minh"), "hcm", "TP. Hồ Chí Minh"), " q.", " Quận ")</f>
        <v>cần đước, long an, việt namcần đước, long an, việt nam</v>
      </c>
      <c r="F450" t="str">
        <f>PROPER(TRIM(RIGHT(SUBSTITUTE(D450, ",", REPT(" ", LEN(D450))), LEN(D450))))</f>
        <v/>
      </c>
      <c r="G450" t="str">
        <f t="shared" si="17"/>
        <v>Việt Nam</v>
      </c>
      <c r="H450" t="e">
        <f>PROPER(TRIM(RIGHT(SUBSTITUTE(LEFT(D450, FIND("@", SUBSTITUTE(D450, ",", "@", LEN(D450)-LEN(SUBSTITUTE(D450, ",", ""))))-1), ",", REPT(" ", LEN(D450))), LEN(D450))))</f>
        <v>#VALUE!</v>
      </c>
      <c r="I450" t="str">
        <f t="shared" si="18"/>
        <v>Long An</v>
      </c>
    </row>
    <row r="451" spans="1:9" x14ac:dyDescent="0.3">
      <c r="A451" t="s">
        <v>2909</v>
      </c>
      <c r="C451" t="s">
        <v>6994</v>
      </c>
      <c r="E451" t="str">
        <f>SUBSTITUTE(SUBSTITUTE(SUBSTITUTE(LOWER(C451), "tphcm", "TP. Hồ Chí Minh"), "hcm", "TP. Hồ Chí Minh"), " q.", " Quận ")</f>
        <v>tỉnh lộ 825,82718quach phuc transportation service</v>
      </c>
      <c r="F451" t="str">
        <f>PROPER(TRIM(RIGHT(SUBSTITUTE(D451, ",", REPT(" ", LEN(D451))), LEN(D451))))</f>
        <v/>
      </c>
      <c r="G451" t="str">
        <f t="shared" ref="G451:G514" si="19">PROPER(TRIM(RIGHT(SUBSTITUTE(E451, ",", REPT(" ", LEN(E451))), LEN(E451))))</f>
        <v>82718Quach Phuc Transportation Service</v>
      </c>
      <c r="H451" t="e">
        <f>PROPER(TRIM(RIGHT(SUBSTITUTE(LEFT(D451, FIND("@", SUBSTITUTE(D451, ",", "@", LEN(D451)-LEN(SUBSTITUTE(D451, ",", ""))))-1), ",", REPT(" ", LEN(D451))), LEN(D451))))</f>
        <v>#VALUE!</v>
      </c>
      <c r="I451" t="str">
        <f t="shared" ref="I451:I514" si="20">PROPER(TRIM(RIGHT(SUBSTITUTE(LEFT(E451, FIND("@", SUBSTITUTE(E451, ",", "@", LEN(E451)-LEN(SUBSTITUTE(E451, ",", ""))))-1), ",", REPT(" ", LEN(E451))), LEN(E451))))</f>
        <v>Tỉnh Lộ 825</v>
      </c>
    </row>
    <row r="452" spans="1:9" x14ac:dyDescent="0.3">
      <c r="A452" t="s">
        <v>2913</v>
      </c>
      <c r="C452" t="s">
        <v>7004</v>
      </c>
      <c r="E452" t="str">
        <f>SUBSTITUTE(SUBSTITUTE(SUBSTITUTE(LOWER(C452), "tphcm", "TP. Hồ Chí Minh"), "hcm", "TP. Hồ Chí Minh"), " q.", " Quận ")</f>
        <v>tt. nhà bè, nhà bè, thành phố hồ chí minh, việt namtt. nhà bè, nhà bè, thành phố hồ chí minh, việt nam</v>
      </c>
      <c r="F452" t="str">
        <f>PROPER(TRIM(RIGHT(SUBSTITUTE(D452, ",", REPT(" ", LEN(D452))), LEN(D452))))</f>
        <v/>
      </c>
      <c r="G452" t="str">
        <f t="shared" si="19"/>
        <v>Việt Nam</v>
      </c>
      <c r="H452" t="e">
        <f>PROPER(TRIM(RIGHT(SUBSTITUTE(LEFT(D452, FIND("@", SUBSTITUTE(D452, ",", "@", LEN(D452)-LEN(SUBSTITUTE(D452, ",", ""))))-1), ",", REPT(" ", LEN(D452))), LEN(D452))))</f>
        <v>#VALUE!</v>
      </c>
      <c r="I452" t="str">
        <f t="shared" si="20"/>
        <v>Thành Phố Hồ Chí Minh</v>
      </c>
    </row>
    <row r="453" spans="1:9" x14ac:dyDescent="0.3">
      <c r="A453" t="s">
        <v>2917</v>
      </c>
      <c r="C453" t="s">
        <v>7014</v>
      </c>
      <c r="E453" t="str">
        <f>SUBSTITUTE(SUBSTITUTE(SUBSTITUTE(LOWER(C453), "tphcm", "TP. Hồ Chí Minh"), "hcm", "TP. Hồ Chí Minh"), " q.", " Quận ")</f>
        <v>bến cát bình dương, quốc lộ 13, thới hòa, bến cát, bình dương, việt nambến cát bình dương</v>
      </c>
      <c r="F453" t="str">
        <f>PROPER(TRIM(RIGHT(SUBSTITUTE(D453, ",", REPT(" ", LEN(D453))), LEN(D453))))</f>
        <v/>
      </c>
      <c r="G453" t="str">
        <f t="shared" si="19"/>
        <v>Việt Nambến Cát Bình Dương</v>
      </c>
      <c r="H453" t="e">
        <f>PROPER(TRIM(RIGHT(SUBSTITUTE(LEFT(D453, FIND("@", SUBSTITUTE(D453, ",", "@", LEN(D453)-LEN(SUBSTITUTE(D453, ",", ""))))-1), ",", REPT(" ", LEN(D453))), LEN(D453))))</f>
        <v>#VALUE!</v>
      </c>
      <c r="I453" t="str">
        <f t="shared" si="20"/>
        <v>Bình Dương</v>
      </c>
    </row>
    <row r="454" spans="1:9" x14ac:dyDescent="0.3">
      <c r="A454" t="s">
        <v>2924</v>
      </c>
      <c r="C454" t="s">
        <v>7174</v>
      </c>
      <c r="E454" t="str">
        <f>SUBSTITUTE(SUBSTITUTE(SUBSTITUTE(LOWER(C454), "tphcm", "TP. Hồ Chí Minh"), "hcm", "TP. Hồ Chí Minh"), " q.", " Quận ")</f>
        <v>phường 6, cà mau, việt namcà mau</v>
      </c>
      <c r="F454" t="str">
        <f>PROPER(TRIM(RIGHT(SUBSTITUTE(D454, ",", REPT(" ", LEN(D454))), LEN(D454))))</f>
        <v/>
      </c>
      <c r="G454" t="str">
        <f t="shared" si="19"/>
        <v>Việt Namcà Mau</v>
      </c>
      <c r="H454" t="e">
        <f>PROPER(TRIM(RIGHT(SUBSTITUTE(LEFT(D454, FIND("@", SUBSTITUTE(D454, ",", "@", LEN(D454)-LEN(SUBSTITUTE(D454, ",", ""))))-1), ",", REPT(" ", LEN(D454))), LEN(D454))))</f>
        <v>#VALUE!</v>
      </c>
      <c r="I454" t="str">
        <f t="shared" si="20"/>
        <v>Cà Mau</v>
      </c>
    </row>
    <row r="455" spans="1:9" x14ac:dyDescent="0.3">
      <c r="A455" t="s">
        <v>2928</v>
      </c>
      <c r="C455" t="s">
        <v>7201</v>
      </c>
      <c r="E455" t="str">
        <f>SUBSTITUTE(SUBSTITUTE(SUBSTITUTE(LOWER(C455), "tphcm", "TP. Hồ Chí Minh"), "hcm", "TP. Hồ Chí Minh"), " q.", " Quận ")</f>
        <v>nhà thờ đức bà , 1 công xã paris, số 01 tp.TP. Hồ Chí Minh, công trường công xã paris, quận 1, hồ chí minh, việt namnhà thờ đức bà , 1 công xã paris, số 01 tp.TP. Hồ Chí Minh, công trường công xã paris, quận 1, hồ chí minh, việt nam</v>
      </c>
      <c r="F455" t="str">
        <f>PROPER(TRIM(RIGHT(SUBSTITUTE(D455, ",", REPT(" ", LEN(D455))), LEN(D455))))</f>
        <v/>
      </c>
      <c r="G455" t="str">
        <f t="shared" si="19"/>
        <v>Việt Nam</v>
      </c>
      <c r="H455" t="e">
        <f>PROPER(TRIM(RIGHT(SUBSTITUTE(LEFT(D455, FIND("@", SUBSTITUTE(D455, ",", "@", LEN(D455)-LEN(SUBSTITUTE(D455, ",", ""))))-1), ",", REPT(" ", LEN(D455))), LEN(D455))))</f>
        <v>#VALUE!</v>
      </c>
      <c r="I455" t="str">
        <f t="shared" si="20"/>
        <v>Hồ Chí Minh</v>
      </c>
    </row>
    <row r="456" spans="1:9" x14ac:dyDescent="0.3">
      <c r="A456" t="s">
        <v>2935</v>
      </c>
      <c r="C456" t="s">
        <v>7237</v>
      </c>
      <c r="E456" t="str">
        <f>SUBSTITUTE(SUBSTITUTE(SUBSTITUTE(LOWER(C456), "tphcm", "TP. Hồ Chí Minh"), "hcm", "TP. Hồ Chí Minh"), " q.", " Quận ")</f>
        <v>219 đường thạnh lộc 15, thạnh lộc, quận 12, hồ chí minh, việt nam219 đường thạnh lộc 15</v>
      </c>
      <c r="F456" t="str">
        <f>PROPER(TRIM(RIGHT(SUBSTITUTE(D456, ",", REPT(" ", LEN(D456))), LEN(D456))))</f>
        <v/>
      </c>
      <c r="G456" t="str">
        <f t="shared" si="19"/>
        <v>Việt Nam219 Đường Thạnh Lộc 15</v>
      </c>
      <c r="H456" t="e">
        <f>PROPER(TRIM(RIGHT(SUBSTITUTE(LEFT(D456, FIND("@", SUBSTITUTE(D456, ",", "@", LEN(D456)-LEN(SUBSTITUTE(D456, ",", ""))))-1), ",", REPT(" ", LEN(D456))), LEN(D456))))</f>
        <v>#VALUE!</v>
      </c>
      <c r="I456" t="str">
        <f t="shared" si="20"/>
        <v>Hồ Chí Minh</v>
      </c>
    </row>
    <row r="457" spans="1:9" x14ac:dyDescent="0.3">
      <c r="A457" t="s">
        <v>2939</v>
      </c>
      <c r="C457" t="s">
        <v>7247</v>
      </c>
      <c r="E457" t="str">
        <f>SUBSTITUTE(SUBSTITUTE(SUBSTITUTE(LOWER(C457), "tphcm", "TP. Hồ Chí Minh"), "hcm", "TP. Hồ Chí Minh"), " q.", " Quận ")</f>
        <v>khánh hòa, việt namkhánh hòa</v>
      </c>
      <c r="F457" t="str">
        <f>PROPER(TRIM(RIGHT(SUBSTITUTE(D457, ",", REPT(" ", LEN(D457))), LEN(D457))))</f>
        <v/>
      </c>
      <c r="G457" t="str">
        <f t="shared" si="19"/>
        <v>Việt Namkhánh Hòa</v>
      </c>
      <c r="H457" t="e">
        <f>PROPER(TRIM(RIGHT(SUBSTITUTE(LEFT(D457, FIND("@", SUBSTITUTE(D457, ",", "@", LEN(D457)-LEN(SUBSTITUTE(D457, ",", ""))))-1), ",", REPT(" ", LEN(D457))), LEN(D457))))</f>
        <v>#VALUE!</v>
      </c>
      <c r="I457" t="str">
        <f t="shared" si="20"/>
        <v>Khánh Hòa</v>
      </c>
    </row>
    <row r="458" spans="1:9" x14ac:dyDescent="0.3">
      <c r="A458" t="s">
        <v>2946</v>
      </c>
      <c r="C458" t="s">
        <v>7462</v>
      </c>
      <c r="E458" t="str">
        <f>SUBSTITUTE(SUBSTITUTE(SUBSTITUTE(LOWER(C458), "tphcm", "TP. Hồ Chí Minh"), "hcm", "TP. Hồ Chí Minh"), " q.", " Quận ")</f>
        <v>vung tau airport, tam thắng, hồ chí minh, việt namvung tau airport</v>
      </c>
      <c r="F458" t="str">
        <f>PROPER(TRIM(RIGHT(SUBSTITUTE(D458, ",", REPT(" ", LEN(D458))), LEN(D458))))</f>
        <v/>
      </c>
      <c r="G458" t="str">
        <f t="shared" si="19"/>
        <v>Việt Namvung Tau Airport</v>
      </c>
      <c r="H458" t="e">
        <f>PROPER(TRIM(RIGHT(SUBSTITUTE(LEFT(D458, FIND("@", SUBSTITUTE(D458, ",", "@", LEN(D458)-LEN(SUBSTITUTE(D458, ",", ""))))-1), ",", REPT(" ", LEN(D458))), LEN(D458))))</f>
        <v>#VALUE!</v>
      </c>
      <c r="I458" t="str">
        <f t="shared" si="20"/>
        <v>Hồ Chí Minh</v>
      </c>
    </row>
    <row r="459" spans="1:9" x14ac:dyDescent="0.3">
      <c r="A459" t="s">
        <v>2953</v>
      </c>
      <c r="C459" t="s">
        <v>7481</v>
      </c>
      <c r="E459" t="str">
        <f>SUBSTITUTE(SUBSTITUTE(SUBSTITUTE(LOWER(C459), "tphcm", "TP. Hồ Chí Minh"), "hcm", "TP. Hồ Chí Minh"), " q.", " Quận ")</f>
        <v>trà vinh, vĩnh long, việt namtrà vinh</v>
      </c>
      <c r="F459" t="str">
        <f>PROPER(TRIM(RIGHT(SUBSTITUTE(D459, ",", REPT(" ", LEN(D459))), LEN(D459))))</f>
        <v/>
      </c>
      <c r="G459" t="str">
        <f t="shared" si="19"/>
        <v>Việt Namtrà Vinh</v>
      </c>
      <c r="H459" t="e">
        <f>PROPER(TRIM(RIGHT(SUBSTITUTE(LEFT(D459, FIND("@", SUBSTITUTE(D459, ",", "@", LEN(D459)-LEN(SUBSTITUTE(D459, ",", ""))))-1), ",", REPT(" ", LEN(D459))), LEN(D459))))</f>
        <v>#VALUE!</v>
      </c>
      <c r="I459" t="str">
        <f t="shared" si="20"/>
        <v>Vĩnh Long</v>
      </c>
    </row>
    <row r="460" spans="1:9" x14ac:dyDescent="0.3">
      <c r="A460" t="s">
        <v>2957</v>
      </c>
      <c r="C460" t="s">
        <v>7488</v>
      </c>
      <c r="E460" t="str">
        <f>SUBSTITUTE(SUBSTITUTE(SUBSTITUTE(LOWER(C460), "tphcm", "TP. Hồ Chí Minh"), "hcm", "TP. Hồ Chí Minh"), " q.", " Quận ")</f>
        <v>kon tum, quảng ngãi, việt namkon tum</v>
      </c>
      <c r="F460" t="str">
        <f>PROPER(TRIM(RIGHT(SUBSTITUTE(D460, ",", REPT(" ", LEN(D460))), LEN(D460))))</f>
        <v/>
      </c>
      <c r="G460" t="str">
        <f t="shared" si="19"/>
        <v>Việt Namkon Tum</v>
      </c>
      <c r="H460" t="e">
        <f>PROPER(TRIM(RIGHT(SUBSTITUTE(LEFT(D460, FIND("@", SUBSTITUTE(D460, ",", "@", LEN(D460)-LEN(SUBSTITUTE(D460, ",", ""))))-1), ",", REPT(" ", LEN(D460))), LEN(D460))))</f>
        <v>#VALUE!</v>
      </c>
      <c r="I460" t="str">
        <f t="shared" si="20"/>
        <v>Quảng Ngãi</v>
      </c>
    </row>
    <row r="461" spans="1:9" x14ac:dyDescent="0.3">
      <c r="A461" t="s">
        <v>2961</v>
      </c>
      <c r="C461" t="s">
        <v>7504</v>
      </c>
      <c r="E461" t="str">
        <f>SUBSTITUTE(SUBSTITUTE(SUBSTITUTE(LOWER(C461), "tphcm", "TP. Hồ Chí Minh"), "hcm", "TP. Hồ Chí Minh"), " q.", " Quận ")</f>
        <v>kiên giang, ngọc chúc, an giang, việt namkiên giang</v>
      </c>
      <c r="F461" t="str">
        <f>PROPER(TRIM(RIGHT(SUBSTITUTE(D461, ",", REPT(" ", LEN(D461))), LEN(D461))))</f>
        <v/>
      </c>
      <c r="G461" t="str">
        <f t="shared" si="19"/>
        <v>Việt Namkiên Giang</v>
      </c>
      <c r="H461" t="e">
        <f>PROPER(TRIM(RIGHT(SUBSTITUTE(LEFT(D461, FIND("@", SUBSTITUTE(D461, ",", "@", LEN(D461)-LEN(SUBSTITUTE(D461, ",", ""))))-1), ",", REPT(" ", LEN(D461))), LEN(D461))))</f>
        <v>#VALUE!</v>
      </c>
      <c r="I461" t="str">
        <f t="shared" si="20"/>
        <v>An Giang</v>
      </c>
    </row>
    <row r="462" spans="1:9" x14ac:dyDescent="0.3">
      <c r="A462" t="s">
        <v>2968</v>
      </c>
      <c r="C462" t="s">
        <v>7522</v>
      </c>
      <c r="E462" t="str">
        <f>SUBSTITUTE(SUBSTITUTE(SUBSTITUTE(LOWER(C462), "tphcm", "TP. Hồ Chí Minh"), "hcm", "TP. Hồ Chí Minh"), " q.", " Quận ")</f>
        <v>hà nội, việt namhà nội</v>
      </c>
      <c r="F462" t="str">
        <f>PROPER(TRIM(RIGHT(SUBSTITUTE(D462, ",", REPT(" ", LEN(D462))), LEN(D462))))</f>
        <v/>
      </c>
      <c r="G462" t="str">
        <f t="shared" si="19"/>
        <v>Việt Namhà Nội</v>
      </c>
      <c r="H462" t="e">
        <f>PROPER(TRIM(RIGHT(SUBSTITUTE(LEFT(D462, FIND("@", SUBSTITUTE(D462, ",", "@", LEN(D462)-LEN(SUBSTITUTE(D462, ",", ""))))-1), ",", REPT(" ", LEN(D462))), LEN(D462))))</f>
        <v>#VALUE!</v>
      </c>
      <c r="I462" t="str">
        <f t="shared" si="20"/>
        <v>Hà Nội</v>
      </c>
    </row>
    <row r="463" spans="1:9" x14ac:dyDescent="0.3">
      <c r="A463" t="s">
        <v>2972</v>
      </c>
      <c r="C463" t="s">
        <v>7613</v>
      </c>
      <c r="E463" t="str">
        <f>SUBSTITUTE(SUBSTITUTE(SUBSTITUTE(LOWER(C463), "tphcm", "TP. Hồ Chí Minh"), "hcm", "TP. Hồ Chí Minh"), " q.", " Quận ")</f>
        <v>hẻm 279/36 đồng khởi, phường tam hiệp, biên hòa, đồng nai, việt namhẻm 279/36 đồng khởi, phường tam hiệp, biên hòa, đồng nai, việt nam</v>
      </c>
      <c r="F463" t="str">
        <f>PROPER(TRIM(RIGHT(SUBSTITUTE(D463, ",", REPT(" ", LEN(D463))), LEN(D463))))</f>
        <v/>
      </c>
      <c r="G463" t="str">
        <f t="shared" si="19"/>
        <v>Việt Nam</v>
      </c>
      <c r="H463" t="e">
        <f>PROPER(TRIM(RIGHT(SUBSTITUTE(LEFT(D463, FIND("@", SUBSTITUTE(D463, ",", "@", LEN(D463)-LEN(SUBSTITUTE(D463, ",", ""))))-1), ",", REPT(" ", LEN(D463))), LEN(D463))))</f>
        <v>#VALUE!</v>
      </c>
      <c r="I463" t="str">
        <f t="shared" si="20"/>
        <v>Đồng Nai</v>
      </c>
    </row>
    <row r="464" spans="1:9" x14ac:dyDescent="0.3">
      <c r="A464" t="s">
        <v>2976</v>
      </c>
      <c r="C464" t="s">
        <v>7623</v>
      </c>
      <c r="E464" t="str">
        <f>SUBSTITUTE(SUBSTITUTE(SUBSTITUTE(LOWER(C464), "tphcm", "TP. Hồ Chí Minh"), "hcm", "TP. Hồ Chí Minh"), " q.", " Quận ")</f>
        <v>đường mai chí thọ, phường thủ thiêm, thủ đức, hồ chí minh, việt namđường mai chí thọ, phường thủ thiêm, thủ đức, hồ chí minh, việt nam</v>
      </c>
      <c r="F464" t="str">
        <f>PROPER(TRIM(RIGHT(SUBSTITUTE(D464, ",", REPT(" ", LEN(D464))), LEN(D464))))</f>
        <v/>
      </c>
      <c r="G464" t="str">
        <f t="shared" si="19"/>
        <v>Việt Nam</v>
      </c>
      <c r="H464" t="e">
        <f>PROPER(TRIM(RIGHT(SUBSTITUTE(LEFT(D464, FIND("@", SUBSTITUTE(D464, ",", "@", LEN(D464)-LEN(SUBSTITUTE(D464, ",", ""))))-1), ",", REPT(" ", LEN(D464))), LEN(D464))))</f>
        <v>#VALUE!</v>
      </c>
      <c r="I464" t="str">
        <f t="shared" si="20"/>
        <v>Hồ Chí Minh</v>
      </c>
    </row>
    <row r="465" spans="1:9" x14ac:dyDescent="0.3">
      <c r="A465" t="s">
        <v>2980</v>
      </c>
      <c r="C465" t="s">
        <v>7654</v>
      </c>
      <c r="E465" t="str">
        <f>SUBSTITUTE(SUBSTITUTE(SUBSTITUTE(LOWER(C465), "tphcm", "TP. Hồ Chí Minh"), "hcm", "TP. Hồ Chí Minh"), " q.", " Quận ")</f>
        <v>9 hẻm 17 đường số 23, phường an khánh, thủ đức, hồ chí minh, việt nam9 hẻm 17 đường số 23, phường an khánh, thủ đức, hồ chí minh, việt nam</v>
      </c>
      <c r="F465" t="str">
        <f>PROPER(TRIM(RIGHT(SUBSTITUTE(D465, ",", REPT(" ", LEN(D465))), LEN(D465))))</f>
        <v/>
      </c>
      <c r="G465" t="str">
        <f t="shared" si="19"/>
        <v>Việt Nam</v>
      </c>
      <c r="H465" t="e">
        <f>PROPER(TRIM(RIGHT(SUBSTITUTE(LEFT(D465, FIND("@", SUBSTITUTE(D465, ",", "@", LEN(D465)-LEN(SUBSTITUTE(D465, ",", ""))))-1), ",", REPT(" ", LEN(D465))), LEN(D465))))</f>
        <v>#VALUE!</v>
      </c>
      <c r="I465" t="str">
        <f t="shared" si="20"/>
        <v>Hồ Chí Minh</v>
      </c>
    </row>
    <row r="466" spans="1:9" x14ac:dyDescent="0.3">
      <c r="A466" t="s">
        <v>2984</v>
      </c>
      <c r="C466" t="s">
        <v>7671</v>
      </c>
      <c r="E466" t="str">
        <f>SUBSTITUTE(SUBSTITUTE(SUBSTITUTE(LOWER(C466), "tphcm", "TP. Hồ Chí Minh"), "hcm", "TP. Hồ Chí Minh"), " q.", " Quận ")</f>
        <v>6 hẻm 97, xã tân phú trung, huyện củ chi, hồ chí minh, việt nam6 hẻm 97, xã tân phú trung, huyện củ chi, hồ chí minh, việt nam</v>
      </c>
      <c r="F466" t="str">
        <f>PROPER(TRIM(RIGHT(SUBSTITUTE(D466, ",", REPT(" ", LEN(D466))), LEN(D466))))</f>
        <v/>
      </c>
      <c r="G466" t="str">
        <f t="shared" si="19"/>
        <v>Việt Nam</v>
      </c>
      <c r="H466" t="e">
        <f>PROPER(TRIM(RIGHT(SUBSTITUTE(LEFT(D466, FIND("@", SUBSTITUTE(D466, ",", "@", LEN(D466)-LEN(SUBSTITUTE(D466, ",", ""))))-1), ",", REPT(" ", LEN(D466))), LEN(D466))))</f>
        <v>#VALUE!</v>
      </c>
      <c r="I466" t="str">
        <f t="shared" si="20"/>
        <v>Hồ Chí Minh</v>
      </c>
    </row>
    <row r="467" spans="1:9" x14ac:dyDescent="0.3">
      <c r="A467" t="s">
        <v>2988</v>
      </c>
      <c r="C467" t="s">
        <v>7681</v>
      </c>
      <c r="E467" t="str">
        <f>SUBSTITUTE(SUBSTITUTE(SUBSTITUTE(LOWER(C467), "tphcm", "TP. Hồ Chí Minh"), "hcm", "TP. Hồ Chí Minh"), " q.", " Quận ")</f>
        <v>đường n15, phường tân đông hiệp, dĩ an, bình dương, việt namđường n15, phường tân đông hiệp, dĩ an, bình dương, việt nam</v>
      </c>
      <c r="F467" t="str">
        <f>PROPER(TRIM(RIGHT(SUBSTITUTE(D467, ",", REPT(" ", LEN(D467))), LEN(D467))))</f>
        <v/>
      </c>
      <c r="G467" t="str">
        <f t="shared" si="19"/>
        <v>Việt Nam</v>
      </c>
      <c r="H467" t="e">
        <f>PROPER(TRIM(RIGHT(SUBSTITUTE(LEFT(D467, FIND("@", SUBSTITUTE(D467, ",", "@", LEN(D467)-LEN(SUBSTITUTE(D467, ",", ""))))-1), ",", REPT(" ", LEN(D467))), LEN(D467))))</f>
        <v>#VALUE!</v>
      </c>
      <c r="I467" t="str">
        <f t="shared" si="20"/>
        <v>Bình Dương</v>
      </c>
    </row>
    <row r="468" spans="1:9" x14ac:dyDescent="0.3">
      <c r="A468" t="s">
        <v>2995</v>
      </c>
      <c r="C468" t="s">
        <v>7691</v>
      </c>
      <c r="E468" t="str">
        <f>SUBSTITUTE(SUBSTITUTE(SUBSTITUTE(LOWER(C468), "tphcm", "TP. Hồ Chí Minh"), "hcm", "TP. Hồ Chí Minh"), " q.", " Quận ")</f>
        <v>ql.n2, xã đức lập hạ, huyện đức hòa, long an, việt namql.n2, xã đức lập hạ, huyện đức hòa, long an, việt nam</v>
      </c>
      <c r="F468" t="str">
        <f>PROPER(TRIM(RIGHT(SUBSTITUTE(D468, ",", REPT(" ", LEN(D468))), LEN(D468))))</f>
        <v/>
      </c>
      <c r="G468" t="str">
        <f t="shared" si="19"/>
        <v>Việt Nam</v>
      </c>
      <c r="H468" t="e">
        <f>PROPER(TRIM(RIGHT(SUBSTITUTE(LEFT(D468, FIND("@", SUBSTITUTE(D468, ",", "@", LEN(D468)-LEN(SUBSTITUTE(D468, ",", ""))))-1), ",", REPT(" ", LEN(D468))), LEN(D468))))</f>
        <v>#VALUE!</v>
      </c>
      <c r="I468" t="str">
        <f t="shared" si="20"/>
        <v>Long An</v>
      </c>
    </row>
    <row r="469" spans="1:9" x14ac:dyDescent="0.3">
      <c r="A469" t="s">
        <v>3005</v>
      </c>
      <c r="C469" t="s">
        <v>7701</v>
      </c>
      <c r="E469" t="str">
        <f>SUBSTITUTE(SUBSTITUTE(SUBSTITUTE(LOWER(C469), "tphcm", "TP. Hồ Chí Minh"), "hcm", "TP. Hồ Chí Minh"), " q.", " Quận ")</f>
        <v>5e hẻm 34 đường số 3, phường 9, quận gò vấp, hồ chí minh, việt nam5e hẻm 34 đường số 3, phường 9, quận gò vấp, hồ chí minh, việt nam</v>
      </c>
      <c r="F469" t="str">
        <f>PROPER(TRIM(RIGHT(SUBSTITUTE(D469, ",", REPT(" ", LEN(D469))), LEN(D469))))</f>
        <v/>
      </c>
      <c r="G469" t="str">
        <f t="shared" si="19"/>
        <v>Việt Nam</v>
      </c>
      <c r="H469" t="e">
        <f>PROPER(TRIM(RIGHT(SUBSTITUTE(LEFT(D469, FIND("@", SUBSTITUTE(D469, ",", "@", LEN(D469)-LEN(SUBSTITUTE(D469, ",", ""))))-1), ",", REPT(" ", LEN(D469))), LEN(D469))))</f>
        <v>#VALUE!</v>
      </c>
      <c r="I469" t="str">
        <f t="shared" si="20"/>
        <v>Hồ Chí Minh</v>
      </c>
    </row>
    <row r="470" spans="1:9" x14ac:dyDescent="0.3">
      <c r="A470" t="s">
        <v>3009</v>
      </c>
      <c r="C470" t="s">
        <v>7716</v>
      </c>
      <c r="E470" t="str">
        <f>SUBSTITUTE(SUBSTITUTE(SUBSTITUTE(LOWER(C470), "tphcm", "TP. Hồ Chí Minh"), "hcm", "TP. Hồ Chí Minh"), " q.", " Quận ")</f>
        <v>đường tân lập, phường uyên hưng, thị xã tân uyên, bình dương, việt namđường tân lập, phường uyên hưng, thị xã tân uyên, bình dương, việt nam</v>
      </c>
      <c r="F470" t="str">
        <f>PROPER(TRIM(RIGHT(SUBSTITUTE(D470, ",", REPT(" ", LEN(D470))), LEN(D470))))</f>
        <v/>
      </c>
      <c r="G470" t="str">
        <f t="shared" si="19"/>
        <v>Việt Nam</v>
      </c>
      <c r="H470" t="e">
        <f>PROPER(TRIM(RIGHT(SUBSTITUTE(LEFT(D470, FIND("@", SUBSTITUTE(D470, ",", "@", LEN(D470)-LEN(SUBSTITUTE(D470, ",", ""))))-1), ",", REPT(" ", LEN(D470))), LEN(D470))))</f>
        <v>#VALUE!</v>
      </c>
      <c r="I470" t="str">
        <f t="shared" si="20"/>
        <v>Bình Dương</v>
      </c>
    </row>
    <row r="471" spans="1:9" x14ac:dyDescent="0.3">
      <c r="A471" t="s">
        <v>3013</v>
      </c>
      <c r="C471" t="s">
        <v>7725</v>
      </c>
      <c r="E471" t="str">
        <f>SUBSTITUTE(SUBSTITUTE(SUBSTITUTE(LOWER(C471), "tphcm", "TP. Hồ Chí Minh"), "hcm", "TP. Hồ Chí Minh"), " q.", " Quận ")</f>
        <v>44g6+98, trung hiệp, vĩnh long, việt namvũng liem</v>
      </c>
      <c r="F471" t="str">
        <f>PROPER(TRIM(RIGHT(SUBSTITUTE(D471, ",", REPT(" ", LEN(D471))), LEN(D471))))</f>
        <v/>
      </c>
      <c r="G471" t="str">
        <f t="shared" si="19"/>
        <v>Việt Namvũng Liem</v>
      </c>
      <c r="H471" t="e">
        <f>PROPER(TRIM(RIGHT(SUBSTITUTE(LEFT(D471, FIND("@", SUBSTITUTE(D471, ",", "@", LEN(D471)-LEN(SUBSTITUTE(D471, ",", ""))))-1), ",", REPT(" ", LEN(D471))), LEN(D471))))</f>
        <v>#VALUE!</v>
      </c>
      <c r="I471" t="str">
        <f t="shared" si="20"/>
        <v>Vĩnh Long</v>
      </c>
    </row>
    <row r="472" spans="1:9" x14ac:dyDescent="0.3">
      <c r="A472" t="s">
        <v>3020</v>
      </c>
      <c r="C472" t="s">
        <v>7746</v>
      </c>
      <c r="E472" t="str">
        <f>SUBSTITUTE(SUBSTITUTE(SUBSTITUTE(LOWER(C472), "tphcm", "TP. Hồ Chí Minh"), "hcm", "TP. Hồ Chí Minh"), " q.", " Quận ")</f>
        <v>hẻm b5 trần đại nghĩa, xã tân kiên, huyện bình chánh, hồ chí minh, việt namhẻm b5 trần đại nghĩa, xã tân kiên, huyện bình chánh, hồ chí minh, việt nam</v>
      </c>
      <c r="F472" t="str">
        <f>PROPER(TRIM(RIGHT(SUBSTITUTE(D472, ",", REPT(" ", LEN(D472))), LEN(D472))))</f>
        <v/>
      </c>
      <c r="G472" t="str">
        <f t="shared" si="19"/>
        <v>Việt Nam</v>
      </c>
      <c r="H472" t="e">
        <f>PROPER(TRIM(RIGHT(SUBSTITUTE(LEFT(D472, FIND("@", SUBSTITUTE(D472, ",", "@", LEN(D472)-LEN(SUBSTITUTE(D472, ",", ""))))-1), ",", REPT(" ", LEN(D472))), LEN(D472))))</f>
        <v>#VALUE!</v>
      </c>
      <c r="I472" t="str">
        <f t="shared" si="20"/>
        <v>Hồ Chí Minh</v>
      </c>
    </row>
    <row r="473" spans="1:9" x14ac:dyDescent="0.3">
      <c r="A473" t="s">
        <v>3024</v>
      </c>
      <c r="C473" t="s">
        <v>7753</v>
      </c>
      <c r="E473" t="str">
        <f>SUBSTITUTE(SUBSTITUTE(SUBSTITUTE(LOWER(C473), "tphcm", "TP. Hồ Chí Minh"), "hcm", "TP. Hồ Chí Minh"), " q.", " Quận ")</f>
        <v>tân kiên middle school, xã tân kiên, huyện bình chánh, hồ chí minh, việt namtân kiên middle school</v>
      </c>
      <c r="F473" t="str">
        <f>PROPER(TRIM(RIGHT(SUBSTITUTE(D473, ",", REPT(" ", LEN(D473))), LEN(D473))))</f>
        <v/>
      </c>
      <c r="G473" t="str">
        <f t="shared" si="19"/>
        <v>Việt Namtân Kiên Middle School</v>
      </c>
      <c r="H473" t="e">
        <f>PROPER(TRIM(RIGHT(SUBSTITUTE(LEFT(D473, FIND("@", SUBSTITUTE(D473, ",", "@", LEN(D473)-LEN(SUBSTITUTE(D473, ",", ""))))-1), ",", REPT(" ", LEN(D473))), LEN(D473))))</f>
        <v>#VALUE!</v>
      </c>
      <c r="I473" t="str">
        <f t="shared" si="20"/>
        <v>Hồ Chí Minh</v>
      </c>
    </row>
    <row r="474" spans="1:9" x14ac:dyDescent="0.3">
      <c r="A474" t="s">
        <v>3028</v>
      </c>
      <c r="C474" t="s">
        <v>7761</v>
      </c>
      <c r="E474" t="str">
        <f>SUBSTITUTE(SUBSTITUTE(SUBSTITUTE(LOWER(C474), "tphcm", "TP. Hồ Chí Minh"), "hcm", "TP. Hồ Chí Minh"), " q.", " Quận ")</f>
        <v>26e ql.1a, xã an phú tây, huyện bình chánh, hồ chí minh, việt nam26e ql.1a, xã an phú tây, huyện bình chánh, hồ chí minh, việt nam</v>
      </c>
      <c r="F474" t="str">
        <f>PROPER(TRIM(RIGHT(SUBSTITUTE(D474, ",", REPT(" ", LEN(D474))), LEN(D474))))</f>
        <v/>
      </c>
      <c r="G474" t="str">
        <f t="shared" si="19"/>
        <v>Việt Nam</v>
      </c>
      <c r="H474" t="e">
        <f>PROPER(TRIM(RIGHT(SUBSTITUTE(LEFT(D474, FIND("@", SUBSTITUTE(D474, ",", "@", LEN(D474)-LEN(SUBSTITUTE(D474, ",", ""))))-1), ",", REPT(" ", LEN(D474))), LEN(D474))))</f>
        <v>#VALUE!</v>
      </c>
      <c r="I474" t="str">
        <f t="shared" si="20"/>
        <v>Hồ Chí Minh</v>
      </c>
    </row>
    <row r="475" spans="1:9" x14ac:dyDescent="0.3">
      <c r="A475" t="s">
        <v>3035</v>
      </c>
      <c r="C475" t="s">
        <v>7768</v>
      </c>
      <c r="E475" t="str">
        <f>SUBSTITUTE(SUBSTITUTE(SUBSTITUTE(LOWER(C475), "tphcm", "TP. Hồ Chí Minh"), "hcm", "TP. Hồ Chí Minh"), " q.", " Quận ")</f>
        <v>268a/1/1 hẻm 576 đường an phú tây hưng long, xã an phú tây, huyện bình chánh, hồ chí minh, việt nam268a/1/1 hẻm 576 đường an phú tây hưng long, xã an phú tây, huyện bình chánh, hồ chí minh, việt nam</v>
      </c>
      <c r="F475" t="str">
        <f>PROPER(TRIM(RIGHT(SUBSTITUTE(D475, ",", REPT(" ", LEN(D475))), LEN(D475))))</f>
        <v/>
      </c>
      <c r="G475" t="str">
        <f t="shared" si="19"/>
        <v>Việt Nam</v>
      </c>
      <c r="H475" t="e">
        <f>PROPER(TRIM(RIGHT(SUBSTITUTE(LEFT(D475, FIND("@", SUBSTITUTE(D475, ",", "@", LEN(D475)-LEN(SUBSTITUTE(D475, ",", ""))))-1), ",", REPT(" ", LEN(D475))), LEN(D475))))</f>
        <v>#VALUE!</v>
      </c>
      <c r="I475" t="str">
        <f t="shared" si="20"/>
        <v>Hồ Chí Minh</v>
      </c>
    </row>
    <row r="476" spans="1:9" x14ac:dyDescent="0.3">
      <c r="A476" t="s">
        <v>3042</v>
      </c>
      <c r="C476" t="s">
        <v>7778</v>
      </c>
      <c r="E476" t="str">
        <f>SUBSTITUTE(SUBSTITUTE(SUBSTITUTE(LOWER(C476), "tphcm", "TP. Hồ Chí Minh"), "hcm", "TP. Hồ Chí Minh"), " q.", " Quận ")</f>
        <v>quốc lộ 22, xã tân thới nhì, huyện hóc môn, hồ chí minh, việt namquốc lộ 22, xã tân thới nhì, huyện hóc môn, hồ chí minh, việt nam</v>
      </c>
      <c r="F476" t="str">
        <f>PROPER(TRIM(RIGHT(SUBSTITUTE(D476, ",", REPT(" ", LEN(D476))), LEN(D476))))</f>
        <v/>
      </c>
      <c r="G476" t="str">
        <f t="shared" si="19"/>
        <v>Việt Nam</v>
      </c>
      <c r="H476" t="e">
        <f>PROPER(TRIM(RIGHT(SUBSTITUTE(LEFT(D476, FIND("@", SUBSTITUTE(D476, ",", "@", LEN(D476)-LEN(SUBSTITUTE(D476, ",", ""))))-1), ",", REPT(" ", LEN(D476))), LEN(D476))))</f>
        <v>#VALUE!</v>
      </c>
      <c r="I476" t="str">
        <f t="shared" si="20"/>
        <v>Hồ Chí Minh</v>
      </c>
    </row>
    <row r="477" spans="1:9" x14ac:dyDescent="0.3">
      <c r="A477" t="s">
        <v>3049</v>
      </c>
      <c r="C477" t="s">
        <v>7788</v>
      </c>
      <c r="E477" t="str">
        <f>SUBSTITUTE(SUBSTITUTE(SUBSTITUTE(LOWER(C477), "tphcm", "TP. Hồ Chí Minh"), "hcm", "TP. Hồ Chí Minh"), " q.", " Quận ")</f>
        <v>293/4 hẻm 293 kinh dương vương, phường an lạc, quận bình tân, hồ chí minh, việt nam293/4 hẻm 293 kinh dương vương, phường an lạc, quận bình tân, hồ chí minh, việt nam</v>
      </c>
      <c r="F477" t="str">
        <f>PROPER(TRIM(RIGHT(SUBSTITUTE(D477, ",", REPT(" ", LEN(D477))), LEN(D477))))</f>
        <v/>
      </c>
      <c r="G477" t="str">
        <f t="shared" si="19"/>
        <v>Việt Nam</v>
      </c>
      <c r="H477" t="e">
        <f>PROPER(TRIM(RIGHT(SUBSTITUTE(LEFT(D477, FIND("@", SUBSTITUTE(D477, ",", "@", LEN(D477)-LEN(SUBSTITUTE(D477, ",", ""))))-1), ",", REPT(" ", LEN(D477))), LEN(D477))))</f>
        <v>#VALUE!</v>
      </c>
      <c r="I477" t="str">
        <f t="shared" si="20"/>
        <v>Hồ Chí Minh</v>
      </c>
    </row>
    <row r="478" spans="1:9" x14ac:dyDescent="0.3">
      <c r="A478" t="s">
        <v>3055</v>
      </c>
      <c r="C478" t="s">
        <v>7799</v>
      </c>
      <c r="E478" t="str">
        <f>SUBSTITUTE(SUBSTITUTE(SUBSTITUTE(LOWER(C478), "tphcm", "TP. Hồ Chí Minh"), "hcm", "TP. Hồ Chí Minh"), " q.", " Quận ")</f>
        <v>a6/4a đường vĩnh lộc, xã vĩnh lộc a, huyện bình chánh, hồ chí minh, việt nama6/4a đường vĩnh lộc, xã vĩnh lộc a, huyện bình chánh, hồ chí minh, việt nam</v>
      </c>
      <c r="F478" t="str">
        <f>PROPER(TRIM(RIGHT(SUBSTITUTE(D478, ",", REPT(" ", LEN(D478))), LEN(D478))))</f>
        <v/>
      </c>
      <c r="G478" t="str">
        <f t="shared" si="19"/>
        <v>Việt Nam</v>
      </c>
      <c r="H478" t="e">
        <f>PROPER(TRIM(RIGHT(SUBSTITUTE(LEFT(D478, FIND("@", SUBSTITUTE(D478, ",", "@", LEN(D478)-LEN(SUBSTITUTE(D478, ",", ""))))-1), ",", REPT(" ", LEN(D478))), LEN(D478))))</f>
        <v>#VALUE!</v>
      </c>
      <c r="I478" t="str">
        <f t="shared" si="20"/>
        <v>Hồ Chí Minh</v>
      </c>
    </row>
    <row r="479" spans="1:9" x14ac:dyDescent="0.3">
      <c r="A479" t="s">
        <v>3064</v>
      </c>
      <c r="C479" t="s">
        <v>7809</v>
      </c>
      <c r="E479" t="str">
        <f>SUBSTITUTE(SUBSTITUTE(SUBSTITUTE(LOWER(C479), "tphcm", "TP. Hồ Chí Minh"), "hcm", "TP. Hồ Chí Minh"), " q.", " Quận ")</f>
        <v>đường nguyễn trọng hợp, xã long chánh, thị xã gò công, tiền giang, việt namđường nguyễn trọng hợp, xã long chánh, thị xã gò công, tiền giang, việt nam</v>
      </c>
      <c r="F479" t="str">
        <f>PROPER(TRIM(RIGHT(SUBSTITUTE(D479, ",", REPT(" ", LEN(D479))), LEN(D479))))</f>
        <v/>
      </c>
      <c r="G479" t="str">
        <f t="shared" si="19"/>
        <v>Việt Nam</v>
      </c>
      <c r="H479" t="e">
        <f>PROPER(TRIM(RIGHT(SUBSTITUTE(LEFT(D479, FIND("@", SUBSTITUTE(D479, ",", "@", LEN(D479)-LEN(SUBSTITUTE(D479, ",", ""))))-1), ",", REPT(" ", LEN(D479))), LEN(D479))))</f>
        <v>#VALUE!</v>
      </c>
      <c r="I479" t="str">
        <f t="shared" si="20"/>
        <v>Tiền Giang</v>
      </c>
    </row>
    <row r="480" spans="1:9" x14ac:dyDescent="0.3">
      <c r="A480" t="s">
        <v>3074</v>
      </c>
      <c r="C480" t="s">
        <v>7836</v>
      </c>
      <c r="E480" t="str">
        <f>SUBSTITUTE(SUBSTITUTE(SUBSTITUTE(LOWER(C480), "tphcm", "TP. Hồ Chí Minh"), "hcm", "TP. Hồ Chí Minh"), " q.", " Quận ")</f>
        <v>100 đường số 10, phường dĩ an, dĩ an, bình dương, việt nam100 đường số 10, phường dĩ an, dĩ an, bình dương, việt nam</v>
      </c>
      <c r="F480" t="str">
        <f>PROPER(TRIM(RIGHT(SUBSTITUTE(D480, ",", REPT(" ", LEN(D480))), LEN(D480))))</f>
        <v/>
      </c>
      <c r="G480" t="str">
        <f t="shared" si="19"/>
        <v>Việt Nam</v>
      </c>
      <c r="H480" t="e">
        <f>PROPER(TRIM(RIGHT(SUBSTITUTE(LEFT(D480, FIND("@", SUBSTITUTE(D480, ",", "@", LEN(D480)-LEN(SUBSTITUTE(D480, ",", ""))))-1), ",", REPT(" ", LEN(D480))), LEN(D480))))</f>
        <v>#VALUE!</v>
      </c>
      <c r="I480" t="str">
        <f t="shared" si="20"/>
        <v>Bình Dương</v>
      </c>
    </row>
    <row r="481" spans="1:9" x14ac:dyDescent="0.3">
      <c r="A481" t="s">
        <v>3078</v>
      </c>
      <c r="C481" t="s">
        <v>7843</v>
      </c>
      <c r="E481" t="str">
        <f>SUBSTITUTE(SUBSTITUTE(SUBSTITUTE(LOWER(C481), "tphcm", "TP. Hồ Chí Minh"), "hcm", "TP. Hồ Chí Minh"), " q.", " Quận ")</f>
        <v>đường số 5, phường dĩ an, dĩ an, bình dương, việt namđường số 5, phường dĩ an, dĩ an, bình dương, việt nam</v>
      </c>
      <c r="F481" t="str">
        <f>PROPER(TRIM(RIGHT(SUBSTITUTE(D481, ",", REPT(" ", LEN(D481))), LEN(D481))))</f>
        <v/>
      </c>
      <c r="G481" t="str">
        <f t="shared" si="19"/>
        <v>Việt Nam</v>
      </c>
      <c r="H481" t="e">
        <f>PROPER(TRIM(RIGHT(SUBSTITUTE(LEFT(D481, FIND("@", SUBSTITUTE(D481, ",", "@", LEN(D481)-LEN(SUBSTITUTE(D481, ",", ""))))-1), ",", REPT(" ", LEN(D481))), LEN(D481))))</f>
        <v>#VALUE!</v>
      </c>
      <c r="I481" t="str">
        <f t="shared" si="20"/>
        <v>Bình Dương</v>
      </c>
    </row>
    <row r="482" spans="1:9" x14ac:dyDescent="0.3">
      <c r="A482" t="s">
        <v>3083</v>
      </c>
      <c r="C482" t="s">
        <v>7851</v>
      </c>
      <c r="E482" t="str">
        <f>SUBSTITUTE(SUBSTITUTE(SUBSTITUTE(LOWER(C482), "tphcm", "TP. Hồ Chí Minh"), "hcm", "TP. Hồ Chí Minh"), " q.", " Quận ")</f>
        <v>đường lê lợi, phường hòa phú, thủ dầu một, bình dương, việt namđường lê lợi, phường hòa phú, thủ dầu một, bình dương, việt nam</v>
      </c>
      <c r="F482" t="str">
        <f>PROPER(TRIM(RIGHT(SUBSTITUTE(D482, ",", REPT(" ", LEN(D482))), LEN(D482))))</f>
        <v/>
      </c>
      <c r="G482" t="str">
        <f t="shared" si="19"/>
        <v>Việt Nam</v>
      </c>
      <c r="H482" t="e">
        <f>PROPER(TRIM(RIGHT(SUBSTITUTE(LEFT(D482, FIND("@", SUBSTITUTE(D482, ",", "@", LEN(D482)-LEN(SUBSTITUTE(D482, ",", ""))))-1), ",", REPT(" ", LEN(D482))), LEN(D482))))</f>
        <v>#VALUE!</v>
      </c>
      <c r="I482" t="str">
        <f t="shared" si="20"/>
        <v>Bình Dương</v>
      </c>
    </row>
    <row r="483" spans="1:9" x14ac:dyDescent="0.3">
      <c r="A483" t="s">
        <v>3088</v>
      </c>
      <c r="C483" t="s">
        <v>7858</v>
      </c>
      <c r="E483" t="str">
        <f>SUBSTITUTE(SUBSTITUTE(SUBSTITUTE(LOWER(C483), "tphcm", "TP. Hồ Chí Minh"), "hcm", "TP. Hồ Chí Minh"), " q.", " Quận ")</f>
        <v>đường hậu giang, phường 4, quận tân bình, hồ chí minh, việt namđường hậu giang, phường 4, quận tân bình, hồ chí minh, việt nam</v>
      </c>
      <c r="F483" t="str">
        <f>PROPER(TRIM(RIGHT(SUBSTITUTE(D483, ",", REPT(" ", LEN(D483))), LEN(D483))))</f>
        <v/>
      </c>
      <c r="G483" t="str">
        <f t="shared" si="19"/>
        <v>Việt Nam</v>
      </c>
      <c r="H483" t="e">
        <f>PROPER(TRIM(RIGHT(SUBSTITUTE(LEFT(D483, FIND("@", SUBSTITUTE(D483, ",", "@", LEN(D483)-LEN(SUBSTITUTE(D483, ",", ""))))-1), ",", REPT(" ", LEN(D483))), LEN(D483))))</f>
        <v>#VALUE!</v>
      </c>
      <c r="I483" t="str">
        <f t="shared" si="20"/>
        <v>Hồ Chí Minh</v>
      </c>
    </row>
    <row r="484" spans="1:9" x14ac:dyDescent="0.3">
      <c r="A484" t="s">
        <v>3096</v>
      </c>
      <c r="C484" t="s">
        <v>7868</v>
      </c>
      <c r="E484" t="str">
        <f>SUBSTITUTE(SUBSTITUTE(SUBSTITUTE(LOWER(C484), "tphcm", "TP. Hồ Chí Minh"), "hcm", "TP. Hồ Chí Minh"), " q.", " Quận ")</f>
        <v>cộng hòa, phường 4, quận tân bình, hồ chí minh, việt namcộng hòa, phường 4, quận tân bình, hồ chí minh, việt nam</v>
      </c>
      <c r="F484" t="str">
        <f>PROPER(TRIM(RIGHT(SUBSTITUTE(D484, ",", REPT(" ", LEN(D484))), LEN(D484))))</f>
        <v/>
      </c>
      <c r="G484" t="str">
        <f t="shared" si="19"/>
        <v>Việt Nam</v>
      </c>
      <c r="H484" t="e">
        <f>PROPER(TRIM(RIGHT(SUBSTITUTE(LEFT(D484, FIND("@", SUBSTITUTE(D484, ",", "@", LEN(D484)-LEN(SUBSTITUTE(D484, ",", ""))))-1), ",", REPT(" ", LEN(D484))), LEN(D484))))</f>
        <v>#VALUE!</v>
      </c>
      <c r="I484" t="str">
        <f t="shared" si="20"/>
        <v>Hồ Chí Minh</v>
      </c>
    </row>
    <row r="485" spans="1:9" x14ac:dyDescent="0.3">
      <c r="A485" t="s">
        <v>3105</v>
      </c>
      <c r="C485" t="s">
        <v>7882</v>
      </c>
      <c r="E485" t="str">
        <f>SUBSTITUTE(SUBSTITUTE(SUBSTITUTE(LOWER(C485), "tphcm", "TP. Hồ Chí Minh"), "hcm", "TP. Hồ Chí Minh"), " q.", " Quận ")</f>
        <v>phường bình hòa, thuận an, bình dương, việt namgarbage truck cleans the environment</v>
      </c>
      <c r="F485" t="str">
        <f>PROPER(TRIM(RIGHT(SUBSTITUTE(D485, ",", REPT(" ", LEN(D485))), LEN(D485))))</f>
        <v/>
      </c>
      <c r="G485" t="str">
        <f t="shared" si="19"/>
        <v>Việt Namgarbage Truck Cleans The Environment</v>
      </c>
      <c r="H485" t="e">
        <f>PROPER(TRIM(RIGHT(SUBSTITUTE(LEFT(D485, FIND("@", SUBSTITUTE(D485, ",", "@", LEN(D485)-LEN(SUBSTITUTE(D485, ",", ""))))-1), ",", REPT(" ", LEN(D485))), LEN(D485))))</f>
        <v>#VALUE!</v>
      </c>
      <c r="I485" t="str">
        <f t="shared" si="20"/>
        <v>Bình Dương</v>
      </c>
    </row>
    <row r="486" spans="1:9" x14ac:dyDescent="0.3">
      <c r="A486" t="s">
        <v>3109</v>
      </c>
      <c r="C486" t="s">
        <v>7903</v>
      </c>
      <c r="E486" t="str">
        <f>SUBSTITUTE(SUBSTITUTE(SUBSTITUTE(LOWER(C486), "tphcm", "TP. Hồ Chí Minh"), "hcm", "TP. Hồ Chí Minh"), " q.", " Quận ")</f>
        <v>21 lê văn khuyên, phường 5, tân an, long an, việt nam21 lê văn khuyên</v>
      </c>
      <c r="F486" t="str">
        <f>PROPER(TRIM(RIGHT(SUBSTITUTE(D486, ",", REPT(" ", LEN(D486))), LEN(D486))))</f>
        <v/>
      </c>
      <c r="G486" t="str">
        <f t="shared" si="19"/>
        <v>Việt Nam21 Lê Văn Khuyên</v>
      </c>
      <c r="H486" t="e">
        <f>PROPER(TRIM(RIGHT(SUBSTITUTE(LEFT(D486, FIND("@", SUBSTITUTE(D486, ",", "@", LEN(D486)-LEN(SUBSTITUTE(D486, ",", ""))))-1), ",", REPT(" ", LEN(D486))), LEN(D486))))</f>
        <v>#VALUE!</v>
      </c>
      <c r="I486" t="str">
        <f t="shared" si="20"/>
        <v>Long An</v>
      </c>
    </row>
    <row r="487" spans="1:9" x14ac:dyDescent="0.3">
      <c r="A487" t="s">
        <v>3113</v>
      </c>
      <c r="C487" t="s">
        <v>8072</v>
      </c>
      <c r="E487" t="str">
        <f>SUBSTITUTE(SUBSTITUTE(SUBSTITUTE(LOWER(C487), "tphcm", "TP. Hồ Chí Minh"), "hcm", "TP. Hồ Chí Minh"), " q.", " Quận ")</f>
        <v>quận 1, hồ chí minh, việt namquận 1</v>
      </c>
      <c r="F487" t="str">
        <f>PROPER(TRIM(RIGHT(SUBSTITUTE(D487, ",", REPT(" ", LEN(D487))), LEN(D487))))</f>
        <v/>
      </c>
      <c r="G487" t="str">
        <f t="shared" si="19"/>
        <v>Việt Namquận 1</v>
      </c>
      <c r="H487" t="e">
        <f>PROPER(TRIM(RIGHT(SUBSTITUTE(LEFT(D487, FIND("@", SUBSTITUTE(D487, ",", "@", LEN(D487)-LEN(SUBSTITUTE(D487, ",", ""))))-1), ",", REPT(" ", LEN(D487))), LEN(D487))))</f>
        <v>#VALUE!</v>
      </c>
      <c r="I487" t="str">
        <f t="shared" si="20"/>
        <v>Hồ Chí Minh</v>
      </c>
    </row>
    <row r="488" spans="1:9" x14ac:dyDescent="0.3">
      <c r="A488" t="s">
        <v>3118</v>
      </c>
      <c r="C488" t="s">
        <v>8079</v>
      </c>
      <c r="E488" t="str">
        <f>SUBSTITUTE(SUBSTITUTE(SUBSTITUTE(LOWER(C488), "tphcm", "TP. Hồ Chí Minh"), "hcm", "TP. Hồ Chí Minh"), " q.", " Quận ")</f>
        <v>quận 10 tp TP. Hồ Chí Minh, đường lê hồng phong, phường 12 (quận 10), hòa hưng, hồ chí minh, việt namquận 10 tp TP. Hồ Chí Minh</v>
      </c>
      <c r="F488" t="str">
        <f>PROPER(TRIM(RIGHT(SUBSTITUTE(D488, ",", REPT(" ", LEN(D488))), LEN(D488))))</f>
        <v/>
      </c>
      <c r="G488" t="str">
        <f t="shared" si="19"/>
        <v>Việt Namquận 10 Tp Tp. Hồ Chí Minh</v>
      </c>
      <c r="H488" t="e">
        <f>PROPER(TRIM(RIGHT(SUBSTITUTE(LEFT(D488, FIND("@", SUBSTITUTE(D488, ",", "@", LEN(D488)-LEN(SUBSTITUTE(D488, ",", ""))))-1), ",", REPT(" ", LEN(D488))), LEN(D488))))</f>
        <v>#VALUE!</v>
      </c>
      <c r="I488" t="str">
        <f t="shared" si="20"/>
        <v>Hồ Chí Minh</v>
      </c>
    </row>
    <row r="489" spans="1:9" x14ac:dyDescent="0.3">
      <c r="A489" t="s">
        <v>3125</v>
      </c>
      <c r="C489" t="s">
        <v>8198</v>
      </c>
      <c r="E489" t="str">
        <f>SUBSTITUTE(SUBSTITUTE(SUBSTITUTE(LOWER(C489), "tphcm", "TP. Hồ Chí Minh"), "hcm", "TP. Hồ Chí Minh"), " q.", " Quận ")</f>
        <v>tân uyên, hồ chí minh, việt namtân uyen bình dương</v>
      </c>
      <c r="F489" t="str">
        <f>PROPER(TRIM(RIGHT(SUBSTITUTE(D489, ",", REPT(" ", LEN(D489))), LEN(D489))))</f>
        <v/>
      </c>
      <c r="G489" t="str">
        <f t="shared" si="19"/>
        <v>Việt Namtân Uyen Bình Dương</v>
      </c>
      <c r="H489" t="e">
        <f>PROPER(TRIM(RIGHT(SUBSTITUTE(LEFT(D489, FIND("@", SUBSTITUTE(D489, ",", "@", LEN(D489)-LEN(SUBSTITUTE(D489, ",", ""))))-1), ",", REPT(" ", LEN(D489))), LEN(D489))))</f>
        <v>#VALUE!</v>
      </c>
      <c r="I489" t="str">
        <f t="shared" si="20"/>
        <v>Hồ Chí Minh</v>
      </c>
    </row>
    <row r="490" spans="1:9" x14ac:dyDescent="0.3">
      <c r="A490" t="s">
        <v>3129</v>
      </c>
      <c r="C490" t="s">
        <v>8224</v>
      </c>
      <c r="E490" t="str">
        <f>SUBSTITUTE(SUBSTITUTE(SUBSTITUTE(LOWER(C490), "tphcm", "TP. Hồ Chí Minh"), "hcm", "TP. Hồ Chí Minh"), " q.", " Quận ")</f>
        <v>192 27, khu phố 4, dĩ an, bình dương, việt namshop đồ chơi xe máy vinh lc</v>
      </c>
      <c r="F490" t="str">
        <f>PROPER(TRIM(RIGHT(SUBSTITUTE(D490, ",", REPT(" ", LEN(D490))), LEN(D490))))</f>
        <v/>
      </c>
      <c r="G490" t="str">
        <f t="shared" si="19"/>
        <v>Việt Namshop Đồ Chơi Xe Máy Vinh Lc</v>
      </c>
      <c r="H490" t="e">
        <f>PROPER(TRIM(RIGHT(SUBSTITUTE(LEFT(D490, FIND("@", SUBSTITUTE(D490, ",", "@", LEN(D490)-LEN(SUBSTITUTE(D490, ",", ""))))-1), ",", REPT(" ", LEN(D490))), LEN(D490))))</f>
        <v>#VALUE!</v>
      </c>
      <c r="I490" t="str">
        <f t="shared" si="20"/>
        <v>Bình Dương</v>
      </c>
    </row>
    <row r="491" spans="1:9" x14ac:dyDescent="0.3">
      <c r="A491" t="s">
        <v>3133</v>
      </c>
      <c r="C491" t="s">
        <v>8231</v>
      </c>
      <c r="E491" t="str">
        <f>SUBSTITUTE(SUBSTITUTE(SUBSTITUTE(LOWER(C491), "tphcm", "TP. Hồ Chí Minh"), "hcm", "TP. Hồ Chí Minh"), " q.", " Quận ")</f>
        <v>công ty tnhh active international việt nam, dĩ an, hồ chí minh, việt namcông ty tnhh active international việt nam</v>
      </c>
      <c r="F491" t="str">
        <f>PROPER(TRIM(RIGHT(SUBSTITUTE(D491, ",", REPT(" ", LEN(D491))), LEN(D491))))</f>
        <v/>
      </c>
      <c r="G491" t="str">
        <f t="shared" si="19"/>
        <v>Việt Namcông Ty Tnhh Active International Việt Nam</v>
      </c>
      <c r="H491" t="e">
        <f>PROPER(TRIM(RIGHT(SUBSTITUTE(LEFT(D491, FIND("@", SUBSTITUTE(D491, ",", "@", LEN(D491)-LEN(SUBSTITUTE(D491, ",", ""))))-1), ",", REPT(" ", LEN(D491))), LEN(D491))))</f>
        <v>#VALUE!</v>
      </c>
      <c r="I491" t="str">
        <f t="shared" si="20"/>
        <v>Hồ Chí Minh</v>
      </c>
    </row>
    <row r="492" spans="1:9" x14ac:dyDescent="0.3">
      <c r="A492" t="s">
        <v>3140</v>
      </c>
      <c r="C492" t="s">
        <v>8330</v>
      </c>
      <c r="E492" t="str">
        <f>SUBSTITUTE(SUBSTITUTE(SUBSTITUTE(LOWER(C492), "tphcm", "TP. Hồ Chí Minh"), "hcm", "TP. Hồ Chí Minh"), " q.", " Quận ")</f>
        <v>9/34b lê thánh tôn nối dài, vinhomes tân cảng, thạnh mỹ tây, hồ chí minh, việt nam9/34b lê thánh tôn nối dài, vinhomes tân cảng, thạnh mỹ tây, hồ chí minh, việt nam</v>
      </c>
      <c r="F492" t="str">
        <f>PROPER(TRIM(RIGHT(SUBSTITUTE(D492, ",", REPT(" ", LEN(D492))), LEN(D492))))</f>
        <v/>
      </c>
      <c r="G492" t="str">
        <f t="shared" si="19"/>
        <v>Việt Nam</v>
      </c>
      <c r="H492" t="e">
        <f>PROPER(TRIM(RIGHT(SUBSTITUTE(LEFT(D492, FIND("@", SUBSTITUTE(D492, ",", "@", LEN(D492)-LEN(SUBSTITUTE(D492, ",", ""))))-1), ",", REPT(" ", LEN(D492))), LEN(D492))))</f>
        <v>#VALUE!</v>
      </c>
      <c r="I492" t="str">
        <f t="shared" si="20"/>
        <v>Hồ Chí Minh</v>
      </c>
    </row>
    <row r="493" spans="1:9" x14ac:dyDescent="0.3">
      <c r="A493" t="s">
        <v>3147</v>
      </c>
      <c r="C493" t="s">
        <v>8359</v>
      </c>
      <c r="E493" t="str">
        <f>SUBSTITUTE(SUBSTITUTE(SUBSTITUTE(LOWER(C493), "tphcm", "TP. Hồ Chí Minh"), "hcm", "TP. Hồ Chí Minh"), " q.", " Quận ")</f>
        <v>qpw8+gxc, 135/17 nguyen huu canh, thạnh mỹ tây, hồ chí minh, việt namqpw8+gxc, 135/17 nguyen huu canh, thạnh mỹ tây, hồ chí minh, việt nam</v>
      </c>
      <c r="F493" t="str">
        <f>PROPER(TRIM(RIGHT(SUBSTITUTE(D493, ",", REPT(" ", LEN(D493))), LEN(D493))))</f>
        <v/>
      </c>
      <c r="G493" t="str">
        <f t="shared" si="19"/>
        <v>Việt Nam</v>
      </c>
      <c r="H493" t="e">
        <f>PROPER(TRIM(RIGHT(SUBSTITUTE(LEFT(D493, FIND("@", SUBSTITUTE(D493, ",", "@", LEN(D493)-LEN(SUBSTITUTE(D493, ",", ""))))-1), ",", REPT(" ", LEN(D493))), LEN(D493))))</f>
        <v>#VALUE!</v>
      </c>
      <c r="I493" t="str">
        <f t="shared" si="20"/>
        <v>Hồ Chí Minh</v>
      </c>
    </row>
    <row r="494" spans="1:9" x14ac:dyDescent="0.3">
      <c r="A494" t="s">
        <v>3151</v>
      </c>
      <c r="C494" t="s">
        <v>8438</v>
      </c>
      <c r="E494" t="str">
        <f>SUBSTITUTE(SUBSTITUTE(SUBSTITUTE(LOWER(C494), "tphcm", "TP. Hồ Chí Minh"), "hcm", "TP. Hồ Chí Minh"), " q.", " Quận ")</f>
        <v>104a đ. số 2, hiệp bình phước, thủ đức, thành phố hồ chí minh, việt nam104a đường số 2</v>
      </c>
      <c r="F494" t="str">
        <f>PROPER(TRIM(RIGHT(SUBSTITUTE(D494, ",", REPT(" ", LEN(D494))), LEN(D494))))</f>
        <v/>
      </c>
      <c r="G494" t="str">
        <f t="shared" si="19"/>
        <v>Việt Nam104A Đường Số 2</v>
      </c>
      <c r="H494" t="e">
        <f>PROPER(TRIM(RIGHT(SUBSTITUTE(LEFT(D494, FIND("@", SUBSTITUTE(D494, ",", "@", LEN(D494)-LEN(SUBSTITUTE(D494, ",", ""))))-1), ",", REPT(" ", LEN(D494))), LEN(D494))))</f>
        <v>#VALUE!</v>
      </c>
      <c r="I494" t="str">
        <f t="shared" si="20"/>
        <v>Thành Phố Hồ Chí Minh</v>
      </c>
    </row>
    <row r="495" spans="1:9" x14ac:dyDescent="0.3">
      <c r="A495" t="s">
        <v>3155</v>
      </c>
      <c r="C495" t="s">
        <v>8464</v>
      </c>
      <c r="E495" t="str">
        <f>SUBSTITUTE(SUBSTITUTE(SUBSTITUTE(LOWER(C495), "tphcm", "TP. Hồ Chí Minh"), "hcm", "TP. Hồ Chí Minh"), " q.", " Quận ")</f>
        <v>21c hẻm e6, vĩnh lộc a, bình chánh, thành phố hồ chí minh, việt nam21c,hẻm e6</v>
      </c>
      <c r="F495" t="str">
        <f>PROPER(TRIM(RIGHT(SUBSTITUTE(D495, ",", REPT(" ", LEN(D495))), LEN(D495))))</f>
        <v/>
      </c>
      <c r="G495" t="str">
        <f t="shared" si="19"/>
        <v>Hẻm E6</v>
      </c>
      <c r="H495" t="e">
        <f>PROPER(TRIM(RIGHT(SUBSTITUTE(LEFT(D495, FIND("@", SUBSTITUTE(D495, ",", "@", LEN(D495)-LEN(SUBSTITUTE(D495, ",", ""))))-1), ",", REPT(" ", LEN(D495))), LEN(D495))))</f>
        <v>#VALUE!</v>
      </c>
      <c r="I495" t="str">
        <f t="shared" si="20"/>
        <v>Việt Nam21C</v>
      </c>
    </row>
    <row r="496" spans="1:9" x14ac:dyDescent="0.3">
      <c r="A496" t="s">
        <v>3162</v>
      </c>
      <c r="C496" t="s">
        <v>8474</v>
      </c>
      <c r="E496" t="str">
        <f>SUBSTITUTE(SUBSTITUTE(SUBSTITUTE(LOWER(C496), "tphcm", "TP. Hồ Chí Minh"), "hcm", "TP. Hồ Chí Minh"), " q.", " Quận ")</f>
        <v>đ. chiêu liêu, tân đông hiệp, dĩ an, bình dương, việt namcong ty tnhh veneer ngọc á châu.</v>
      </c>
      <c r="F496" t="str">
        <f>PROPER(TRIM(RIGHT(SUBSTITUTE(D496, ",", REPT(" ", LEN(D496))), LEN(D496))))</f>
        <v/>
      </c>
      <c r="G496" t="str">
        <f t="shared" si="19"/>
        <v>Việt Namcong Ty Tnhh Veneer Ngọc Á Châu.</v>
      </c>
      <c r="H496" t="e">
        <f>PROPER(TRIM(RIGHT(SUBSTITUTE(LEFT(D496, FIND("@", SUBSTITUTE(D496, ",", "@", LEN(D496)-LEN(SUBSTITUTE(D496, ",", ""))))-1), ",", REPT(" ", LEN(D496))), LEN(D496))))</f>
        <v>#VALUE!</v>
      </c>
      <c r="I496" t="str">
        <f t="shared" si="20"/>
        <v>Bình Dương</v>
      </c>
    </row>
    <row r="497" spans="1:9" x14ac:dyDescent="0.3">
      <c r="A497" t="s">
        <v>3166</v>
      </c>
      <c r="C497" t="s">
        <v>8484</v>
      </c>
      <c r="E497" t="str">
        <f>SUBSTITUTE(SUBSTITUTE(SUBSTITUTE(LOWER(C497), "tphcm", "TP. Hồ Chí Minh"), "hcm", "TP. Hồ Chí Minh"), " q.", " Quận ")</f>
        <v>đường p11, vĩnh lộc a, bình chánh, hồ chí minh, việt namđường p11, vĩnh lộc a, bình chánh, hồ chí minh, việt nam</v>
      </c>
      <c r="F497" t="str">
        <f>PROPER(TRIM(RIGHT(SUBSTITUTE(D497, ",", REPT(" ", LEN(D497))), LEN(D497))))</f>
        <v/>
      </c>
      <c r="G497" t="str">
        <f t="shared" si="19"/>
        <v>Việt Nam</v>
      </c>
      <c r="H497" t="e">
        <f>PROPER(TRIM(RIGHT(SUBSTITUTE(LEFT(D497, FIND("@", SUBSTITUTE(D497, ",", "@", LEN(D497)-LEN(SUBSTITUTE(D497, ",", ""))))-1), ",", REPT(" ", LEN(D497))), LEN(D497))))</f>
        <v>#VALUE!</v>
      </c>
      <c r="I497" t="str">
        <f t="shared" si="20"/>
        <v>Hồ Chí Minh</v>
      </c>
    </row>
    <row r="498" spans="1:9" x14ac:dyDescent="0.3">
      <c r="A498" t="s">
        <v>3172</v>
      </c>
      <c r="C498" t="s">
        <v>8491</v>
      </c>
      <c r="E498" t="str">
        <f>SUBSTITUTE(SUBSTITUTE(SUBSTITUTE(LOWER(C498), "tphcm", "TP. Hồ Chí Minh"), "hcm", "TP. Hồ Chí Minh"), " q.", " Quận ")</f>
        <v>công ty, đường số 10, cát lái, quận 2, hồ chí minh, việt namcông ty</v>
      </c>
      <c r="F498" t="str">
        <f>PROPER(TRIM(RIGHT(SUBSTITUTE(D498, ",", REPT(" ", LEN(D498))), LEN(D498))))</f>
        <v/>
      </c>
      <c r="G498" t="str">
        <f t="shared" si="19"/>
        <v>Việt Namcông Ty</v>
      </c>
      <c r="H498" t="e">
        <f>PROPER(TRIM(RIGHT(SUBSTITUTE(LEFT(D498, FIND("@", SUBSTITUTE(D498, ",", "@", LEN(D498)-LEN(SUBSTITUTE(D498, ",", ""))))-1), ",", REPT(" ", LEN(D498))), LEN(D498))))</f>
        <v>#VALUE!</v>
      </c>
      <c r="I498" t="str">
        <f t="shared" si="20"/>
        <v>Hồ Chí Minh</v>
      </c>
    </row>
    <row r="499" spans="1:9" x14ac:dyDescent="0.3">
      <c r="A499" t="s">
        <v>3179</v>
      </c>
      <c r="C499" t="s">
        <v>8508</v>
      </c>
      <c r="E499" t="str">
        <f>SUBSTITUTE(SUBSTITUTE(SUBSTITUTE(LOWER(C499), "tphcm", "TP. Hồ Chí Minh"), "hcm", "TP. Hồ Chí Minh"), " q.", " Quận ")</f>
        <v>đ. đồng khởi, thanh phú, vĩnh cửu, đồng nai, việt namđường đồng khởi</v>
      </c>
      <c r="F499" t="str">
        <f>PROPER(TRIM(RIGHT(SUBSTITUTE(D499, ",", REPT(" ", LEN(D499))), LEN(D499))))</f>
        <v/>
      </c>
      <c r="G499" t="str">
        <f t="shared" si="19"/>
        <v>Việt Namđường Đồng Khởi</v>
      </c>
      <c r="H499" t="e">
        <f>PROPER(TRIM(RIGHT(SUBSTITUTE(LEFT(D499, FIND("@", SUBSTITUTE(D499, ",", "@", LEN(D499)-LEN(SUBSTITUTE(D499, ",", ""))))-1), ",", REPT(" ", LEN(D499))), LEN(D499))))</f>
        <v>#VALUE!</v>
      </c>
      <c r="I499" t="str">
        <f t="shared" si="20"/>
        <v>Đồng Nai</v>
      </c>
    </row>
    <row r="500" spans="1:9" x14ac:dyDescent="0.3">
      <c r="A500" t="s">
        <v>3186</v>
      </c>
      <c r="C500" t="s">
        <v>8546</v>
      </c>
      <c r="E500" t="str">
        <f>SUBSTITUTE(SUBSTITUTE(SUBSTITUTE(LOWER(C500), "tphcm", "TP. Hồ Chí Minh"), "hcm", "TP. Hồ Chí Minh"), " q.", " Quận ")</f>
        <v>hẻm e6 đường thới hòa,71821thẩm mỹ viện hạnh nguyễn</v>
      </c>
      <c r="F500" t="str">
        <f>PROPER(TRIM(RIGHT(SUBSTITUTE(D500, ",", REPT(" ", LEN(D500))), LEN(D500))))</f>
        <v/>
      </c>
      <c r="G500" t="str">
        <f t="shared" si="19"/>
        <v>71821Thẩm Mỹ Viện Hạnh Nguyễn</v>
      </c>
      <c r="H500" t="e">
        <f>PROPER(TRIM(RIGHT(SUBSTITUTE(LEFT(D500, FIND("@", SUBSTITUTE(D500, ",", "@", LEN(D500)-LEN(SUBSTITUTE(D500, ",", ""))))-1), ",", REPT(" ", LEN(D500))), LEN(D500))))</f>
        <v>#VALUE!</v>
      </c>
      <c r="I500" t="str">
        <f t="shared" si="20"/>
        <v>Hẻm E6 Đường Thới Hòa</v>
      </c>
    </row>
    <row r="501" spans="1:9" x14ac:dyDescent="0.3">
      <c r="A501" t="s">
        <v>3190</v>
      </c>
      <c r="C501" t="s">
        <v>8572</v>
      </c>
      <c r="E501" t="str">
        <f>SUBSTITUTE(SUBSTITUTE(SUBSTITUTE(LOWER(C501), "tphcm", "TP. Hồ Chí Minh"), "hcm", "TP. Hồ Chí Minh"), " q.", " Quận ")</f>
        <v>424 đường cộng hòa, phường 13, quận tân bình, hồ chí minh, việt namcouple tx 424 cong hoa</v>
      </c>
      <c r="F501" t="str">
        <f>PROPER(TRIM(RIGHT(SUBSTITUTE(D501, ",", REPT(" ", LEN(D501))), LEN(D501))))</f>
        <v/>
      </c>
      <c r="G501" t="str">
        <f t="shared" si="19"/>
        <v>Việt Namcouple Tx 424 Cong Hoa</v>
      </c>
      <c r="H501" t="e">
        <f>PROPER(TRIM(RIGHT(SUBSTITUTE(LEFT(D501, FIND("@", SUBSTITUTE(D501, ",", "@", LEN(D501)-LEN(SUBSTITUTE(D501, ",", ""))))-1), ",", REPT(" ", LEN(D501))), LEN(D501))))</f>
        <v>#VALUE!</v>
      </c>
      <c r="I501" t="str">
        <f t="shared" si="20"/>
        <v>Hồ Chí Minh</v>
      </c>
    </row>
    <row r="502" spans="1:9" x14ac:dyDescent="0.3">
      <c r="A502" t="s">
        <v>3194</v>
      </c>
      <c r="C502" t="s">
        <v>8580</v>
      </c>
      <c r="E502" t="str">
        <f>SUBSTITUTE(SUBSTITUTE(SUBSTITUTE(LOWER(C502), "tphcm", "TP. Hồ Chí Minh"), "hcm", "TP. Hồ Chí Minh"), " q.", " Quận ")</f>
        <v>định quán, đồng nai, việt namđịnh quán</v>
      </c>
      <c r="F502" t="str">
        <f>PROPER(TRIM(RIGHT(SUBSTITUTE(D502, ",", REPT(" ", LEN(D502))), LEN(D502))))</f>
        <v/>
      </c>
      <c r="G502" t="str">
        <f t="shared" si="19"/>
        <v>Việt Namđịnh Quán</v>
      </c>
      <c r="H502" t="e">
        <f>PROPER(TRIM(RIGHT(SUBSTITUTE(LEFT(D502, FIND("@", SUBSTITUTE(D502, ",", "@", LEN(D502)-LEN(SUBSTITUTE(D502, ",", ""))))-1), ",", REPT(" ", LEN(D502))), LEN(D502))))</f>
        <v>#VALUE!</v>
      </c>
      <c r="I502" t="str">
        <f t="shared" si="20"/>
        <v>Đồng Nai</v>
      </c>
    </row>
    <row r="503" spans="1:9" x14ac:dyDescent="0.3">
      <c r="A503" t="s">
        <v>3201</v>
      </c>
      <c r="C503" t="s">
        <v>8586</v>
      </c>
      <c r="E503" t="str">
        <f>SUBSTITUTE(SUBSTITUTE(SUBSTITUTE(LOWER(C503), "tphcm", "TP. Hồ Chí Minh"), "hcm", "TP. Hồ Chí Minh"), " q.", " Quận ")</f>
        <v>51 đường ba vì, phường 4, quận tân bình, hồ chí minh, việt nam51 đường ba vì</v>
      </c>
      <c r="F503" t="str">
        <f>PROPER(TRIM(RIGHT(SUBSTITUTE(D503, ",", REPT(" ", LEN(D503))), LEN(D503))))</f>
        <v/>
      </c>
      <c r="G503" t="str">
        <f t="shared" si="19"/>
        <v>Việt Nam51 Đường Ba Vì</v>
      </c>
      <c r="H503" t="e">
        <f>PROPER(TRIM(RIGHT(SUBSTITUTE(LEFT(D503, FIND("@", SUBSTITUTE(D503, ",", "@", LEN(D503)-LEN(SUBSTITUTE(D503, ",", ""))))-1), ",", REPT(" ", LEN(D503))), LEN(D503))))</f>
        <v>#VALUE!</v>
      </c>
      <c r="I503" t="str">
        <f t="shared" si="20"/>
        <v>Hồ Chí Minh</v>
      </c>
    </row>
    <row r="504" spans="1:9" x14ac:dyDescent="0.3">
      <c r="A504" t="s">
        <v>3205</v>
      </c>
      <c r="C504" t="s">
        <v>8594</v>
      </c>
      <c r="E504" t="str">
        <f>SUBSTITUTE(SUBSTITUTE(SUBSTITUTE(LOWER(C504), "tphcm", "TP. Hồ Chí Minh"), "hcm", "TP. Hồ Chí Minh"), " q.", " Quận ")</f>
        <v>vũng tàu, hồ chí minh, việt namvũng tàu</v>
      </c>
      <c r="F504" t="str">
        <f>PROPER(TRIM(RIGHT(SUBSTITUTE(D504, ",", REPT(" ", LEN(D504))), LEN(D504))))</f>
        <v/>
      </c>
      <c r="G504" t="str">
        <f t="shared" si="19"/>
        <v>Việt Namvũng Tàu</v>
      </c>
      <c r="H504" t="e">
        <f>PROPER(TRIM(RIGHT(SUBSTITUTE(LEFT(D504, FIND("@", SUBSTITUTE(D504, ",", "@", LEN(D504)-LEN(SUBSTITUTE(D504, ",", ""))))-1), ",", REPT(" ", LEN(D504))), LEN(D504))))</f>
        <v>#VALUE!</v>
      </c>
      <c r="I504" t="str">
        <f t="shared" si="20"/>
        <v>Hồ Chí Minh</v>
      </c>
    </row>
    <row r="505" spans="1:9" x14ac:dyDescent="0.3">
      <c r="A505" t="s">
        <v>3209</v>
      </c>
      <c r="C505" t="s">
        <v>8602</v>
      </c>
      <c r="E505" t="str">
        <f>SUBSTITUTE(SUBSTITUTE(SUBSTITUTE(LOWER(C505), "tphcm", "TP. Hồ Chí Minh"), "hcm", "TP. Hồ Chí Minh"), " q.", " Quận ")</f>
        <v>cẩm mỹ, đồng nai, việt namcẩm mỹ</v>
      </c>
      <c r="F505" t="str">
        <f>PROPER(TRIM(RIGHT(SUBSTITUTE(D505, ",", REPT(" ", LEN(D505))), LEN(D505))))</f>
        <v/>
      </c>
      <c r="G505" t="str">
        <f t="shared" si="19"/>
        <v>Việt Namcẩm Mỹ</v>
      </c>
      <c r="H505" t="e">
        <f>PROPER(TRIM(RIGHT(SUBSTITUTE(LEFT(D505, FIND("@", SUBSTITUTE(D505, ",", "@", LEN(D505)-LEN(SUBSTITUTE(D505, ",", ""))))-1), ",", REPT(" ", LEN(D505))), LEN(D505))))</f>
        <v>#VALUE!</v>
      </c>
      <c r="I505" t="str">
        <f t="shared" si="20"/>
        <v>Đồng Nai</v>
      </c>
    </row>
    <row r="506" spans="1:9" x14ac:dyDescent="0.3">
      <c r="A506" t="s">
        <v>3213</v>
      </c>
      <c r="C506" t="s">
        <v>8610</v>
      </c>
      <c r="E506" t="str">
        <f>SUBSTITUTE(SUBSTITUTE(SUBSTITUTE(LOWER(C506), "tphcm", "TP. Hồ Chí Minh"), "hcm", "TP. Hồ Chí Minh"), " q.", " Quận ")</f>
        <v>bến tre, vĩnh long, việt nambến tre</v>
      </c>
      <c r="F506" t="str">
        <f>PROPER(TRIM(RIGHT(SUBSTITUTE(D506, ",", REPT(" ", LEN(D506))), LEN(D506))))</f>
        <v/>
      </c>
      <c r="G506" t="str">
        <f t="shared" si="19"/>
        <v>Việt Nambến Tre</v>
      </c>
      <c r="H506" t="e">
        <f>PROPER(TRIM(RIGHT(SUBSTITUTE(LEFT(D506, FIND("@", SUBSTITUTE(D506, ",", "@", LEN(D506)-LEN(SUBSTITUTE(D506, ",", ""))))-1), ",", REPT(" ", LEN(D506))), LEN(D506))))</f>
        <v>#VALUE!</v>
      </c>
      <c r="I506" t="str">
        <f t="shared" si="20"/>
        <v>Vĩnh Long</v>
      </c>
    </row>
    <row r="507" spans="1:9" x14ac:dyDescent="0.3">
      <c r="A507" t="s">
        <v>3217</v>
      </c>
      <c r="C507" t="s">
        <v>8621</v>
      </c>
      <c r="E507" t="str">
        <f>SUBSTITUTE(SUBSTITUTE(SUBSTITUTE(LOWER(C507), "tphcm", "TP. Hồ Chí Minh"), "hcm", "TP. Hồ Chí Minh"), " q.", " Quận ")</f>
        <v>pph5+r3m, hưng phước 4, khu đô thị phú mỹ hưng, tân hưng, hồ chí minh, việt namquận 7</v>
      </c>
      <c r="F507" t="str">
        <f>PROPER(TRIM(RIGHT(SUBSTITUTE(D507, ",", REPT(" ", LEN(D507))), LEN(D507))))</f>
        <v/>
      </c>
      <c r="G507" t="str">
        <f t="shared" si="19"/>
        <v>Việt Namquận 7</v>
      </c>
      <c r="H507" t="e">
        <f>PROPER(TRIM(RIGHT(SUBSTITUTE(LEFT(D507, FIND("@", SUBSTITUTE(D507, ",", "@", LEN(D507)-LEN(SUBSTITUTE(D507, ",", ""))))-1), ",", REPT(" ", LEN(D507))), LEN(D507))))</f>
        <v>#VALUE!</v>
      </c>
      <c r="I507" t="str">
        <f t="shared" si="20"/>
        <v>Hồ Chí Minh</v>
      </c>
    </row>
    <row r="508" spans="1:9" x14ac:dyDescent="0.3">
      <c r="A508" t="s">
        <v>3224</v>
      </c>
      <c r="C508" t="s">
        <v>8627</v>
      </c>
      <c r="E508" t="str">
        <f>SUBSTITUTE(SUBSTITUTE(SUBSTITUTE(LOWER(C508), "tphcm", "TP. Hồ Chí Minh"), "hcm", "TP. Hồ Chí Minh"), " q.", " Quận ")</f>
        <v>239, 8 ql13, thới hòa, hồ chí minh, việt nambến cát bình dương</v>
      </c>
      <c r="F508" t="str">
        <f>PROPER(TRIM(RIGHT(SUBSTITUTE(D508, ",", REPT(" ", LEN(D508))), LEN(D508))))</f>
        <v/>
      </c>
      <c r="G508" t="str">
        <f t="shared" si="19"/>
        <v>Việt Nambến Cát Bình Dương</v>
      </c>
      <c r="H508" t="e">
        <f>PROPER(TRIM(RIGHT(SUBSTITUTE(LEFT(D508, FIND("@", SUBSTITUTE(D508, ",", "@", LEN(D508)-LEN(SUBSTITUTE(D508, ",", ""))))-1), ",", REPT(" ", LEN(D508))), LEN(D508))))</f>
        <v>#VALUE!</v>
      </c>
      <c r="I508" t="str">
        <f t="shared" si="20"/>
        <v>Hồ Chí Minh</v>
      </c>
    </row>
    <row r="509" spans="1:9" x14ac:dyDescent="0.3">
      <c r="A509" t="s">
        <v>3228</v>
      </c>
      <c r="C509" t="s">
        <v>8644</v>
      </c>
      <c r="E509" t="str">
        <f>SUBSTITUTE(SUBSTITUTE(SUBSTITUTE(LOWER(C509), "tphcm", "TP. Hồ Chí Minh"), "hcm", "TP. Hồ Chí Minh"), " q.", " Quận ")</f>
        <v>49 đường 10a, p. bình an, quận 2, thành phố hồ chí minh, việt nam49 đường 10a</v>
      </c>
      <c r="F509" t="str">
        <f>PROPER(TRIM(RIGHT(SUBSTITUTE(D509, ",", REPT(" ", LEN(D509))), LEN(D509))))</f>
        <v/>
      </c>
      <c r="G509" t="str">
        <f t="shared" si="19"/>
        <v>Việt Nam49 Đường 10A</v>
      </c>
      <c r="H509" t="e">
        <f>PROPER(TRIM(RIGHT(SUBSTITUTE(LEFT(D509, FIND("@", SUBSTITUTE(D509, ",", "@", LEN(D509)-LEN(SUBSTITUTE(D509, ",", ""))))-1), ",", REPT(" ", LEN(D509))), LEN(D509))))</f>
        <v>#VALUE!</v>
      </c>
      <c r="I509" t="str">
        <f t="shared" si="20"/>
        <v>Thành Phố Hồ Chí Minh</v>
      </c>
    </row>
    <row r="510" spans="1:9" x14ac:dyDescent="0.3">
      <c r="A510" t="s">
        <v>3239</v>
      </c>
      <c r="C510" t="s">
        <v>8654</v>
      </c>
      <c r="E510" t="str">
        <f>SUBSTITUTE(SUBSTITUTE(SUBSTITUTE(LOWER(C510), "tphcm", "TP. Hồ Chí Minh"), "hcm", "TP. Hồ Chí Minh"), " q.", " Quận ")</f>
        <v>đt746, tân mỹ, tân uyên, hồ chí minh, việt namđt746, tân mỹ, tân uyên, hồ chí minh, việt nam</v>
      </c>
      <c r="F510" t="str">
        <f>PROPER(TRIM(RIGHT(SUBSTITUTE(D510, ",", REPT(" ", LEN(D510))), LEN(D510))))</f>
        <v/>
      </c>
      <c r="G510" t="str">
        <f t="shared" si="19"/>
        <v>Việt Nam</v>
      </c>
      <c r="H510" t="e">
        <f>PROPER(TRIM(RIGHT(SUBSTITUTE(LEFT(D510, FIND("@", SUBSTITUTE(D510, ",", "@", LEN(D510)-LEN(SUBSTITUTE(D510, ",", ""))))-1), ",", REPT(" ", LEN(D510))), LEN(D510))))</f>
        <v>#VALUE!</v>
      </c>
      <c r="I510" t="str">
        <f t="shared" si="20"/>
        <v>Hồ Chí Minh</v>
      </c>
    </row>
    <row r="511" spans="1:9" x14ac:dyDescent="0.3">
      <c r="A511" t="s">
        <v>3250</v>
      </c>
      <c r="C511" t="s">
        <v>8661</v>
      </c>
      <c r="E511" t="str">
        <f>SUBSTITUTE(SUBSTITUTE(SUBSTITUTE(LOWER(C511), "tphcm", "TP. Hồ Chí Minh"), "hcm", "TP. Hồ Chí Minh"), " q.", " Quận ")</f>
        <v>342 nguyễn an ninh, dĩ an, bình dương, việt nam342 nguyễn an ninh</v>
      </c>
      <c r="F511" t="str">
        <f>PROPER(TRIM(RIGHT(SUBSTITUTE(D511, ",", REPT(" ", LEN(D511))), LEN(D511))))</f>
        <v/>
      </c>
      <c r="G511" t="str">
        <f t="shared" si="19"/>
        <v>Việt Nam342 Nguyễn An Ninh</v>
      </c>
      <c r="H511" t="e">
        <f>PROPER(TRIM(RIGHT(SUBSTITUTE(LEFT(D511, FIND("@", SUBSTITUTE(D511, ",", "@", LEN(D511)-LEN(SUBSTITUTE(D511, ",", ""))))-1), ",", REPT(" ", LEN(D511))), LEN(D511))))</f>
        <v>#VALUE!</v>
      </c>
      <c r="I511" t="str">
        <f t="shared" si="20"/>
        <v>Bình Dương</v>
      </c>
    </row>
    <row r="512" spans="1:9" x14ac:dyDescent="0.3">
      <c r="A512" t="s">
        <v>3260</v>
      </c>
      <c r="C512" t="s">
        <v>8679</v>
      </c>
      <c r="E512" t="str">
        <f>SUBSTITUTE(SUBSTITUTE(SUBSTITUTE(LOWER(C512), "tphcm", "TP. Hồ Chí Minh"), "hcm", "TP. Hồ Chí Minh"), " q.", " Quận ")</f>
        <v>147/21 thạch lam, phú thạnh, tân phú, thành phố hồ chí minh, việt nam147/21 thạch lam</v>
      </c>
      <c r="F512" t="str">
        <f>PROPER(TRIM(RIGHT(SUBSTITUTE(D512, ",", REPT(" ", LEN(D512))), LEN(D512))))</f>
        <v/>
      </c>
      <c r="G512" t="str">
        <f t="shared" si="19"/>
        <v>Việt Nam147/21 Thạch Lam</v>
      </c>
      <c r="H512" t="e">
        <f>PROPER(TRIM(RIGHT(SUBSTITUTE(LEFT(D512, FIND("@", SUBSTITUTE(D512, ",", "@", LEN(D512)-LEN(SUBSTITUTE(D512, ",", ""))))-1), ",", REPT(" ", LEN(D512))), LEN(D512))))</f>
        <v>#VALUE!</v>
      </c>
      <c r="I512" t="str">
        <f t="shared" si="20"/>
        <v>Thành Phố Hồ Chí Minh</v>
      </c>
    </row>
    <row r="513" spans="1:9" x14ac:dyDescent="0.3">
      <c r="A513" t="s">
        <v>3267</v>
      </c>
      <c r="C513" t="s">
        <v>8686</v>
      </c>
      <c r="E513" t="str">
        <f>SUBSTITUTE(SUBSTITUTE(SUBSTITUTE(LOWER(C513), "tphcm", "TP. Hồ Chí Minh"), "hcm", "TP. Hồ Chí Minh"), " q.", " Quận ")</f>
        <v>công ty tnhh arc works, cụm công nghiệp đường số 1, tân uyên, hồ chí minh, việt namcông ty tnhh arc works</v>
      </c>
      <c r="F513" t="str">
        <f>PROPER(TRIM(RIGHT(SUBSTITUTE(D513, ",", REPT(" ", LEN(D513))), LEN(D513))))</f>
        <v/>
      </c>
      <c r="G513" t="str">
        <f t="shared" si="19"/>
        <v>Việt Namcông Ty Tnhh Arc Works</v>
      </c>
      <c r="H513" t="e">
        <f>PROPER(TRIM(RIGHT(SUBSTITUTE(LEFT(D513, FIND("@", SUBSTITUTE(D513, ",", "@", LEN(D513)-LEN(SUBSTITUTE(D513, ",", ""))))-1), ",", REPT(" ", LEN(D513))), LEN(D513))))</f>
        <v>#VALUE!</v>
      </c>
      <c r="I513" t="str">
        <f t="shared" si="20"/>
        <v>Hồ Chí Minh</v>
      </c>
    </row>
    <row r="514" spans="1:9" x14ac:dyDescent="0.3">
      <c r="A514" t="s">
        <v>3276</v>
      </c>
      <c r="C514" t="s">
        <v>8703</v>
      </c>
      <c r="E514" t="str">
        <f>SUBSTITUTE(SUBSTITUTE(SUBSTITUTE(LOWER(C514), "tphcm", "TP. Hồ Chí Minh"), "hcm", "TP. Hồ Chí Minh"), " q.", " Quận ")</f>
        <v>121b đường cộng hòa, phường 12, quận tân bình, hồ chí minh, việt nam121b đường cộng hòa</v>
      </c>
      <c r="F514" t="str">
        <f>PROPER(TRIM(RIGHT(SUBSTITUTE(D514, ",", REPT(" ", LEN(D514))), LEN(D514))))</f>
        <v/>
      </c>
      <c r="G514" t="str">
        <f t="shared" si="19"/>
        <v>Việt Nam121B Đường Cộng Hòa</v>
      </c>
      <c r="H514" t="e">
        <f>PROPER(TRIM(RIGHT(SUBSTITUTE(LEFT(D514, FIND("@", SUBSTITUTE(D514, ",", "@", LEN(D514)-LEN(SUBSTITUTE(D514, ",", ""))))-1), ",", REPT(" ", LEN(D514))), LEN(D514))))</f>
        <v>#VALUE!</v>
      </c>
      <c r="I514" t="str">
        <f t="shared" si="20"/>
        <v>Hồ Chí Minh</v>
      </c>
    </row>
    <row r="515" spans="1:9" x14ac:dyDescent="0.3">
      <c r="A515" t="s">
        <v>3285</v>
      </c>
      <c r="C515" t="s">
        <v>8714</v>
      </c>
      <c r="E515" t="str">
        <f>SUBSTITUTE(SUBSTITUTE(SUBSTITUTE(LOWER(C515), "tphcm", "TP. Hồ Chí Minh"), "hcm", "TP. Hồ Chí Minh"), " q.", " Quận ")</f>
        <v>74/807c2 hẻm 110 đ. 30, an nhơn, hồ chí minh, việt nam74/807c2 hẻm 110 đ. 30, an nhơn, hồ chí minh, việt nam</v>
      </c>
      <c r="F515" t="str">
        <f>PROPER(TRIM(RIGHT(SUBSTITUTE(D515, ",", REPT(" ", LEN(D515))), LEN(D515))))</f>
        <v/>
      </c>
      <c r="G515" t="str">
        <f t="shared" ref="G515:G540" si="21">PROPER(TRIM(RIGHT(SUBSTITUTE(E515, ",", REPT(" ", LEN(E515))), LEN(E515))))</f>
        <v>Việt Nam</v>
      </c>
      <c r="H515" t="e">
        <f>PROPER(TRIM(RIGHT(SUBSTITUTE(LEFT(D515, FIND("@", SUBSTITUTE(D515, ",", "@", LEN(D515)-LEN(SUBSTITUTE(D515, ",", ""))))-1), ",", REPT(" ", LEN(D515))), LEN(D515))))</f>
        <v>#VALUE!</v>
      </c>
      <c r="I515" t="str">
        <f t="shared" ref="I515:I540" si="22">PROPER(TRIM(RIGHT(SUBSTITUTE(LEFT(E515, FIND("@", SUBSTITUTE(E515, ",", "@", LEN(E515)-LEN(SUBSTITUTE(E515, ",", ""))))-1), ",", REPT(" ", LEN(E515))), LEN(E515))))</f>
        <v>Hồ Chí Minh</v>
      </c>
    </row>
    <row r="516" spans="1:9" x14ac:dyDescent="0.3">
      <c r="A516" t="s">
        <v>3292</v>
      </c>
      <c r="C516" t="s">
        <v>8724</v>
      </c>
      <c r="E516" t="str">
        <f>SUBSTITUTE(SUBSTITUTE(SUBSTITUTE(LOWER(C516), "tphcm", "TP. Hồ Chí Minh"), "hcm", "TP. Hồ Chí Minh"), " q.", " Quận ")</f>
        <v>86, 17 bùi đình tuý, phường 14, bình thạnh, hồ chí minh, việt nam247/6 bùi đình túy</v>
      </c>
      <c r="F516" t="str">
        <f>PROPER(TRIM(RIGHT(SUBSTITUTE(D516, ",", REPT(" ", LEN(D516))), LEN(D516))))</f>
        <v/>
      </c>
      <c r="G516" t="str">
        <f t="shared" si="21"/>
        <v>Việt Nam247/6 Bùi Đình Túy</v>
      </c>
      <c r="H516" t="e">
        <f>PROPER(TRIM(RIGHT(SUBSTITUTE(LEFT(D516, FIND("@", SUBSTITUTE(D516, ",", "@", LEN(D516)-LEN(SUBSTITUTE(D516, ",", ""))))-1), ",", REPT(" ", LEN(D516))), LEN(D516))))</f>
        <v>#VALUE!</v>
      </c>
      <c r="I516" t="str">
        <f t="shared" si="22"/>
        <v>Hồ Chí Minh</v>
      </c>
    </row>
    <row r="517" spans="1:9" x14ac:dyDescent="0.3">
      <c r="A517" t="s">
        <v>3304</v>
      </c>
      <c r="C517" t="s">
        <v>8730</v>
      </c>
      <c r="E517" t="str">
        <f>SUBSTITUTE(SUBSTITUTE(SUBSTITUTE(LOWER(C517), "tphcm", "TP. Hồ Chí Minh"), "hcm", "TP. Hồ Chí Minh"), " q.", " Quận ")</f>
        <v>tp, 34/1a đ. số 8, khu phố 4, an khánh, hồ chí minh, việt namtp, 34/1a đ. số 8, khu phố 4, an khánh, hồ chí minh, việt nam</v>
      </c>
      <c r="F517" t="str">
        <f>PROPER(TRIM(RIGHT(SUBSTITUTE(D517, ",", REPT(" ", LEN(D517))), LEN(D517))))</f>
        <v/>
      </c>
      <c r="G517" t="str">
        <f t="shared" si="21"/>
        <v>Việt Nam</v>
      </c>
      <c r="H517" t="e">
        <f>PROPER(TRIM(RIGHT(SUBSTITUTE(LEFT(D517, FIND("@", SUBSTITUTE(D517, ",", "@", LEN(D517)-LEN(SUBSTITUTE(D517, ",", ""))))-1), ",", REPT(" ", LEN(D517))), LEN(D517))))</f>
        <v>#VALUE!</v>
      </c>
      <c r="I517" t="str">
        <f t="shared" si="22"/>
        <v>Hồ Chí Minh</v>
      </c>
    </row>
    <row r="518" spans="1:9" x14ac:dyDescent="0.3">
      <c r="A518" t="s">
        <v>3315</v>
      </c>
      <c r="C518" t="s">
        <v>8737</v>
      </c>
      <c r="E518" t="str">
        <f>SUBSTITUTE(SUBSTITUTE(SUBSTITUTE(LOWER(C518), "tphcm", "TP. Hồ Chí Minh"), "hcm", "TP. Hồ Chí Minh"), " q.", " Quận ")</f>
        <v>công ty tnhh korea express-packsimex, duong so 4, kcn biên hòa 1, trấn biên, đồng nai, việt namcông ty tnhh korea express-packsimex</v>
      </c>
      <c r="F518" t="str">
        <f>PROPER(TRIM(RIGHT(SUBSTITUTE(D518, ",", REPT(" ", LEN(D518))), LEN(D518))))</f>
        <v/>
      </c>
      <c r="G518" t="str">
        <f t="shared" si="21"/>
        <v>Việt Namcông Ty Tnhh Korea Express-Packsimex</v>
      </c>
      <c r="H518" t="e">
        <f>PROPER(TRIM(RIGHT(SUBSTITUTE(LEFT(D518, FIND("@", SUBSTITUTE(D518, ",", "@", LEN(D518)-LEN(SUBSTITUTE(D518, ",", ""))))-1), ",", REPT(" ", LEN(D518))), LEN(D518))))</f>
        <v>#VALUE!</v>
      </c>
      <c r="I518" t="str">
        <f t="shared" si="22"/>
        <v>Đồng Nai</v>
      </c>
    </row>
    <row r="519" spans="1:9" x14ac:dyDescent="0.3">
      <c r="A519" t="s">
        <v>3319</v>
      </c>
      <c r="C519" t="s">
        <v>8747</v>
      </c>
      <c r="E519" t="str">
        <f>SUBSTITUTE(SUBSTITUTE(SUBSTITUTE(LOWER(C519), "tphcm", "TP. Hồ Chí Minh"), "hcm", "TP. Hồ Chí Minh"), " q.", " Quận ")</f>
        <v>17b đường lương ngọc quyến, phường 13, quận bình thạnh, hồ chí minh, việt nam17b đường lương ngọc quyến</v>
      </c>
      <c r="F519" t="str">
        <f>PROPER(TRIM(RIGHT(SUBSTITUTE(D519, ",", REPT(" ", LEN(D519))), LEN(D519))))</f>
        <v/>
      </c>
      <c r="G519" t="str">
        <f t="shared" si="21"/>
        <v>Việt Nam17B Đường Lương Ngọc Quyến</v>
      </c>
      <c r="H519" t="e">
        <f>PROPER(TRIM(RIGHT(SUBSTITUTE(LEFT(D519, FIND("@", SUBSTITUTE(D519, ",", "@", LEN(D519)-LEN(SUBSTITUTE(D519, ",", ""))))-1), ",", REPT(" ", LEN(D519))), LEN(D519))))</f>
        <v>#VALUE!</v>
      </c>
      <c r="I519" t="str">
        <f t="shared" si="22"/>
        <v>Hồ Chí Minh</v>
      </c>
    </row>
    <row r="520" spans="1:9" x14ac:dyDescent="0.3">
      <c r="A520" t="s">
        <v>3326</v>
      </c>
      <c r="C520" t="s">
        <v>8754</v>
      </c>
      <c r="E520" t="str">
        <f>SUBSTITUTE(SUBSTITUTE(SUBSTITUTE(LOWER(C520), "tphcm", "TP. Hồ Chí Minh"), "hcm", "TP. Hồ Chí Minh"), " q.", " Quận ")</f>
        <v>929-931 tổ 1 kp1, thới an, hồ chí minh, việt nam929-931 tổ 1 kp1, thới an, hồ chí minh, việt nam</v>
      </c>
      <c r="F520" t="str">
        <f>PROPER(TRIM(RIGHT(SUBSTITUTE(D520, ",", REPT(" ", LEN(D520))), LEN(D520))))</f>
        <v/>
      </c>
      <c r="G520" t="str">
        <f t="shared" si="21"/>
        <v>Việt Nam</v>
      </c>
      <c r="H520" t="e">
        <f>PROPER(TRIM(RIGHT(SUBSTITUTE(LEFT(D520, FIND("@", SUBSTITUTE(D520, ",", "@", LEN(D520)-LEN(SUBSTITUTE(D520, ",", ""))))-1), ",", REPT(" ", LEN(D520))), LEN(D520))))</f>
        <v>#VALUE!</v>
      </c>
      <c r="I520" t="str">
        <f t="shared" si="22"/>
        <v>Hồ Chí Minh</v>
      </c>
    </row>
    <row r="521" spans="1:9" x14ac:dyDescent="0.3">
      <c r="A521" t="s">
        <v>3334</v>
      </c>
      <c r="C521" t="s">
        <v>8784</v>
      </c>
      <c r="E521" t="str">
        <f>SUBSTITUTE(SUBSTITUTE(SUBSTITUTE(LOWER(C521), "tphcm", "TP. Hồ Chí Minh"), "hcm", "TP. Hồ Chí Minh"), " q.", " Quận ")</f>
        <v>1119 đt.826c, xã phước lại, huyện cần giuộc, long an, việt nam1119 đt.826c</v>
      </c>
      <c r="F521" t="str">
        <f>PROPER(TRIM(RIGHT(SUBSTITUTE(D521, ",", REPT(" ", LEN(D521))), LEN(D521))))</f>
        <v/>
      </c>
      <c r="G521" t="str">
        <f t="shared" si="21"/>
        <v>Việt Nam1119 Đt.826C</v>
      </c>
      <c r="H521" t="e">
        <f>PROPER(TRIM(RIGHT(SUBSTITUTE(LEFT(D521, FIND("@", SUBSTITUTE(D521, ",", "@", LEN(D521)-LEN(SUBSTITUTE(D521, ",", ""))))-1), ",", REPT(" ", LEN(D521))), LEN(D521))))</f>
        <v>#VALUE!</v>
      </c>
      <c r="I521" t="str">
        <f t="shared" si="22"/>
        <v>Long An</v>
      </c>
    </row>
    <row r="522" spans="1:9" x14ac:dyDescent="0.3">
      <c r="A522" t="s">
        <v>3345</v>
      </c>
      <c r="C522" t="s">
        <v>8816</v>
      </c>
      <c r="E522" t="str">
        <f>SUBSTITUTE(SUBSTITUTE(SUBSTITUTE(LOWER(C522), "tphcm", "TP. Hồ Chí Minh"), "hcm", "TP. Hồ Chí Minh"), " q.", " Quận ")</f>
        <v>189 nguyễn oanh, gò vấp, hồ chí minh, việt nam189 nguyễn oanh, gò vấp, hồ chí minh, việt nam</v>
      </c>
      <c r="F522" t="str">
        <f>PROPER(TRIM(RIGHT(SUBSTITUTE(D522, ",", REPT(" ", LEN(D522))), LEN(D522))))</f>
        <v/>
      </c>
      <c r="G522" t="str">
        <f t="shared" si="21"/>
        <v>Việt Nam</v>
      </c>
      <c r="H522" t="e">
        <f>PROPER(TRIM(RIGHT(SUBSTITUTE(LEFT(D522, FIND("@", SUBSTITUTE(D522, ",", "@", LEN(D522)-LEN(SUBSTITUTE(D522, ",", ""))))-1), ",", REPT(" ", LEN(D522))), LEN(D522))))</f>
        <v>#VALUE!</v>
      </c>
      <c r="I522" t="str">
        <f t="shared" si="22"/>
        <v>Hồ Chí Minh</v>
      </c>
    </row>
    <row r="523" spans="1:9" x14ac:dyDescent="0.3">
      <c r="A523" t="s">
        <v>3352</v>
      </c>
      <c r="C523" t="s">
        <v>8823</v>
      </c>
      <c r="E523" t="str">
        <f>SUBSTITUTE(SUBSTITUTE(SUBSTITUTE(LOWER(C523), "tphcm", "TP. Hồ Chí Minh"), "hcm", "TP. Hồ Chí Minh"), " q.", " Quận ")</f>
        <v>13/72a quang trung, thông tây hội, hồ chí minh, việt nam13/72a quang trung, thông tây hội, hồ chí minh, việt nam</v>
      </c>
      <c r="F523" t="str">
        <f>PROPER(TRIM(RIGHT(SUBSTITUTE(D523, ",", REPT(" ", LEN(D523))), LEN(D523))))</f>
        <v/>
      </c>
      <c r="G523" t="str">
        <f t="shared" si="21"/>
        <v>Việt Nam</v>
      </c>
      <c r="H523" t="e">
        <f>PROPER(TRIM(RIGHT(SUBSTITUTE(LEFT(D523, FIND("@", SUBSTITUTE(D523, ",", "@", LEN(D523)-LEN(SUBSTITUTE(D523, ",", ""))))-1), ",", REPT(" ", LEN(D523))), LEN(D523))))</f>
        <v>#VALUE!</v>
      </c>
      <c r="I523" t="str">
        <f t="shared" si="22"/>
        <v>Hồ Chí Minh</v>
      </c>
    </row>
    <row r="524" spans="1:9" x14ac:dyDescent="0.3">
      <c r="A524" t="s">
        <v>3362</v>
      </c>
      <c r="C524" t="s">
        <v>8834</v>
      </c>
      <c r="E524" t="str">
        <f>SUBSTITUTE(SUBSTITUTE(SUBSTITUTE(LOWER(C524), "tphcm", "TP. Hồ Chí Minh"), "hcm", "TP. Hồ Chí Minh"), " q.", " Quận ")</f>
        <v>52 đường số 10, bình tân, hồ chí minh, việt nam52 đường số 10, bình tân, hồ chí minh, việt nam</v>
      </c>
      <c r="F524" t="str">
        <f>PROPER(TRIM(RIGHT(SUBSTITUTE(D524, ",", REPT(" ", LEN(D524))), LEN(D524))))</f>
        <v/>
      </c>
      <c r="G524" t="str">
        <f t="shared" si="21"/>
        <v>Việt Nam</v>
      </c>
      <c r="H524" t="e">
        <f>PROPER(TRIM(RIGHT(SUBSTITUTE(LEFT(D524, FIND("@", SUBSTITUTE(D524, ",", "@", LEN(D524)-LEN(SUBSTITUTE(D524, ",", ""))))-1), ",", REPT(" ", LEN(D524))), LEN(D524))))</f>
        <v>#VALUE!</v>
      </c>
      <c r="I524" t="str">
        <f t="shared" si="22"/>
        <v>Hồ Chí Minh</v>
      </c>
    </row>
    <row r="525" spans="1:9" x14ac:dyDescent="0.3">
      <c r="A525" t="s">
        <v>3373</v>
      </c>
      <c r="C525" t="s">
        <v>8841</v>
      </c>
      <c r="E525" t="str">
        <f>SUBSTITUTE(SUBSTITUTE(SUBSTITUTE(LOWER(C525), "tphcm", "TP. Hồ Chí Minh"), "hcm", "TP. Hồ Chí Minh"), " q.", " Quận ")</f>
        <v>35/2 tổ 57 kp5, tân thới hiệp, hồ chí minh, việt nam35/2 tổ 57 kp5, tân thới hiệp, hồ chí minh, việt nam</v>
      </c>
      <c r="F525" t="str">
        <f>PROPER(TRIM(RIGHT(SUBSTITUTE(D525, ",", REPT(" ", LEN(D525))), LEN(D525))))</f>
        <v/>
      </c>
      <c r="G525" t="str">
        <f t="shared" si="21"/>
        <v>Việt Nam</v>
      </c>
      <c r="H525" t="e">
        <f>PROPER(TRIM(RIGHT(SUBSTITUTE(LEFT(D525, FIND("@", SUBSTITUTE(D525, ",", "@", LEN(D525)-LEN(SUBSTITUTE(D525, ",", ""))))-1), ",", REPT(" ", LEN(D525))), LEN(D525))))</f>
        <v>#VALUE!</v>
      </c>
      <c r="I525" t="str">
        <f t="shared" si="22"/>
        <v>Hồ Chí Minh</v>
      </c>
    </row>
    <row r="526" spans="1:9" x14ac:dyDescent="0.3">
      <c r="A526" t="s">
        <v>3383</v>
      </c>
      <c r="C526" t="s">
        <v>8851</v>
      </c>
      <c r="E526" t="str">
        <f>SUBSTITUTE(SUBSTITUTE(SUBSTITUTE(LOWER(C526), "tphcm", "TP. Hồ Chí Minh"), "hcm", "TP. Hồ Chí Minh"), " q.", " Quận ")</f>
        <v>hẻm 359 trần bình trọng,72520trực tay ga</v>
      </c>
      <c r="F526" t="str">
        <f>PROPER(TRIM(RIGHT(SUBSTITUTE(D526, ",", REPT(" ", LEN(D526))), LEN(D526))))</f>
        <v/>
      </c>
      <c r="G526" t="str">
        <f t="shared" si="21"/>
        <v>72520Trực Tay Ga</v>
      </c>
      <c r="H526" t="e">
        <f>PROPER(TRIM(RIGHT(SUBSTITUTE(LEFT(D526, FIND("@", SUBSTITUTE(D526, ",", "@", LEN(D526)-LEN(SUBSTITUTE(D526, ",", ""))))-1), ",", REPT(" ", LEN(D526))), LEN(D526))))</f>
        <v>#VALUE!</v>
      </c>
      <c r="I526" t="str">
        <f t="shared" si="22"/>
        <v>Hẻm 359 Trần Bình Trọng</v>
      </c>
    </row>
    <row r="527" spans="1:9" x14ac:dyDescent="0.3">
      <c r="A527" t="s">
        <v>3393</v>
      </c>
      <c r="C527" t="s">
        <v>8858</v>
      </c>
      <c r="E527" t="str">
        <f>SUBSTITUTE(SUBSTITUTE(SUBSTITUTE(LOWER(C527), "tphcm", "TP. Hồ Chí Minh"), "hcm", "TP. Hồ Chí Minh"), " q.", " Quận ")</f>
        <v>453/20/3b lê văn khương, tân thới hiệp, hồ chí minh, việt nam453/20/3b lê văn khương, tân thới hiệp, hồ chí minh, việt nam</v>
      </c>
      <c r="F527" t="str">
        <f>PROPER(TRIM(RIGHT(SUBSTITUTE(D527, ",", REPT(" ", LEN(D527))), LEN(D527))))</f>
        <v/>
      </c>
      <c r="G527" t="str">
        <f t="shared" si="21"/>
        <v>Việt Nam</v>
      </c>
      <c r="H527" t="e">
        <f>PROPER(TRIM(RIGHT(SUBSTITUTE(LEFT(D527, FIND("@", SUBSTITUTE(D527, ",", "@", LEN(D527)-LEN(SUBSTITUTE(D527, ",", ""))))-1), ",", REPT(" ", LEN(D527))), LEN(D527))))</f>
        <v>#VALUE!</v>
      </c>
      <c r="I527" t="str">
        <f t="shared" si="22"/>
        <v>Hồ Chí Minh</v>
      </c>
    </row>
    <row r="528" spans="1:9" x14ac:dyDescent="0.3">
      <c r="A528" t="s">
        <v>3404</v>
      </c>
      <c r="C528" t="s">
        <v>8876</v>
      </c>
      <c r="E528" t="str">
        <f>SUBSTITUTE(SUBSTITUTE(SUBSTITUTE(LOWER(C528), "tphcm", "TP. Hồ Chí Minh"), "hcm", "TP. Hồ Chí Minh"), " q.", " Quận ")</f>
        <v>71 chế lan viên, tây thạnh, hồ chí minh, việt nam71 chế lan viên, tây thạnh, hồ chí minh, việt nam</v>
      </c>
      <c r="F528" t="str">
        <f>PROPER(TRIM(RIGHT(SUBSTITUTE(D528, ",", REPT(" ", LEN(D528))), LEN(D528))))</f>
        <v/>
      </c>
      <c r="G528" t="str">
        <f t="shared" si="21"/>
        <v>Việt Nam</v>
      </c>
      <c r="H528" t="e">
        <f>PROPER(TRIM(RIGHT(SUBSTITUTE(LEFT(D528, FIND("@", SUBSTITUTE(D528, ",", "@", LEN(D528)-LEN(SUBSTITUTE(D528, ",", ""))))-1), ",", REPT(" ", LEN(D528))), LEN(D528))))</f>
        <v>#VALUE!</v>
      </c>
      <c r="I528" t="str">
        <f t="shared" si="22"/>
        <v>Hồ Chí Minh</v>
      </c>
    </row>
    <row r="529" spans="1:9" x14ac:dyDescent="0.3">
      <c r="A529" t="s">
        <v>3415</v>
      </c>
      <c r="C529" t="s">
        <v>9003</v>
      </c>
      <c r="E529" t="str">
        <f>SUBSTITUTE(SUBSTITUTE(SUBSTITUTE(LOWER(C529), "tphcm", "TP. Hồ Chí Minh"), "hcm", "TP. Hồ Chí Minh"), " q.", " Quận ")</f>
        <v>poong in vina co., ltd., khu phố 8, tân uyên, hồ chí minh, việt nampoong in vina co., ltd.</v>
      </c>
      <c r="F529" t="str">
        <f>PROPER(TRIM(RIGHT(SUBSTITUTE(D529, ",", REPT(" ", LEN(D529))), LEN(D529))))</f>
        <v/>
      </c>
      <c r="G529" t="str">
        <f t="shared" si="21"/>
        <v>Ltd.</v>
      </c>
      <c r="H529" t="e">
        <f>PROPER(TRIM(RIGHT(SUBSTITUTE(LEFT(D529, FIND("@", SUBSTITUTE(D529, ",", "@", LEN(D529)-LEN(SUBSTITUTE(D529, ",", ""))))-1), ",", REPT(" ", LEN(D529))), LEN(D529))))</f>
        <v>#VALUE!</v>
      </c>
      <c r="I529" t="str">
        <f t="shared" si="22"/>
        <v>Việt Nampoong In Vina Co.</v>
      </c>
    </row>
    <row r="530" spans="1:9" x14ac:dyDescent="0.3">
      <c r="A530" t="s">
        <v>3424</v>
      </c>
      <c r="C530" t="s">
        <v>9037</v>
      </c>
      <c r="E530" t="str">
        <f>SUBSTITUTE(SUBSTITUTE(SUBSTITUTE(LOWER(C530), "tphcm", "TP. Hồ Chí Minh"), "hcm", "TP. Hồ Chí Minh"), " q.", " Quận ")</f>
        <v>250 nguyễn oanh, gò vấp, hồ chí minh, việt nam250 nguyễn oanh, gò vấp, hồ chí minh, việt nam</v>
      </c>
      <c r="F530" t="str">
        <f>PROPER(TRIM(RIGHT(SUBSTITUTE(D530, ",", REPT(" ", LEN(D530))), LEN(D530))))</f>
        <v/>
      </c>
      <c r="G530" t="str">
        <f t="shared" si="21"/>
        <v>Việt Nam</v>
      </c>
      <c r="H530" t="e">
        <f>PROPER(TRIM(RIGHT(SUBSTITUTE(LEFT(D530, FIND("@", SUBSTITUTE(D530, ",", "@", LEN(D530)-LEN(SUBSTITUTE(D530, ",", ""))))-1), ",", REPT(" ", LEN(D530))), LEN(D530))))</f>
        <v>#VALUE!</v>
      </c>
      <c r="I530" t="str">
        <f t="shared" si="22"/>
        <v>Hồ Chí Minh</v>
      </c>
    </row>
    <row r="531" spans="1:9" x14ac:dyDescent="0.3">
      <c r="A531" t="s">
        <v>3431</v>
      </c>
      <c r="C531" t="s">
        <v>9061</v>
      </c>
      <c r="E531" t="str">
        <f>SUBSTITUTE(SUBSTITUTE(SUBSTITUTE(LOWER(C531), "tphcm", "TP. Hồ Chí Minh"), "hcm", "TP. Hồ Chí Minh"), " q.", " Quận ")</f>
        <v>27/26 đồng xoài, tân bình, hồ chí minh, việt nam27/26 đồng xoài, tân bình, hồ chí minh, việt nam</v>
      </c>
      <c r="F531" t="str">
        <f>PROPER(TRIM(RIGHT(SUBSTITUTE(D531, ",", REPT(" ", LEN(D531))), LEN(D531))))</f>
        <v/>
      </c>
      <c r="G531" t="str">
        <f t="shared" si="21"/>
        <v>Việt Nam</v>
      </c>
      <c r="H531" t="e">
        <f>PROPER(TRIM(RIGHT(SUBSTITUTE(LEFT(D531, FIND("@", SUBSTITUTE(D531, ",", "@", LEN(D531)-LEN(SUBSTITUTE(D531, ",", ""))))-1), ",", REPT(" ", LEN(D531))), LEN(D531))))</f>
        <v>#VALUE!</v>
      </c>
      <c r="I531" t="str">
        <f t="shared" si="22"/>
        <v>Hồ Chí Minh</v>
      </c>
    </row>
    <row r="532" spans="1:9" x14ac:dyDescent="0.3">
      <c r="A532" t="s">
        <v>3441</v>
      </c>
      <c r="C532" t="s">
        <v>9078</v>
      </c>
      <c r="E532" t="str">
        <f>SUBSTITUTE(SUBSTITUTE(SUBSTITUTE(LOWER(C532), "tphcm", "TP. Hồ Chí Minh"), "hcm", "TP. Hồ Chí Minh"), " q.", " Quận ")</f>
        <v>132/6f-6g lê trung nghĩa, bảy hiền, hồ chí minh, việt nam132/6f-6g lê trung nghĩa, bảy hiền, hồ chí minh, việt nam</v>
      </c>
      <c r="F532" t="str">
        <f>PROPER(TRIM(RIGHT(SUBSTITUTE(D532, ",", REPT(" ", LEN(D532))), LEN(D532))))</f>
        <v/>
      </c>
      <c r="G532" t="str">
        <f t="shared" si="21"/>
        <v>Việt Nam</v>
      </c>
      <c r="H532" t="e">
        <f>PROPER(TRIM(RIGHT(SUBSTITUTE(LEFT(D532, FIND("@", SUBSTITUTE(D532, ",", "@", LEN(D532)-LEN(SUBSTITUTE(D532, ",", ""))))-1), ",", REPT(" ", LEN(D532))), LEN(D532))))</f>
        <v>#VALUE!</v>
      </c>
      <c r="I532" t="str">
        <f t="shared" si="22"/>
        <v>Hồ Chí Minh</v>
      </c>
    </row>
    <row r="533" spans="1:9" x14ac:dyDescent="0.3">
      <c r="A533" t="s">
        <v>3451</v>
      </c>
      <c r="C533" t="s">
        <v>9089</v>
      </c>
      <c r="E533" t="str">
        <f>SUBSTITUTE(SUBSTITUTE(SUBSTITUTE(LOWER(C533), "tphcm", "TP. Hồ Chí Minh"), "hcm", "TP. Hồ Chí Minh"), " q.", " Quận ")</f>
        <v>15 tổ 19 kp3, khu phố 3a, tân thới hiệp, hồ chí minh, việt nam15 tổ 19 kp3, khu phố 3a, tân thới hiệp, hồ chí minh, việt nam</v>
      </c>
      <c r="F533" t="str">
        <f>PROPER(TRIM(RIGHT(SUBSTITUTE(D533, ",", REPT(" ", LEN(D533))), LEN(D533))))</f>
        <v/>
      </c>
      <c r="G533" t="str">
        <f t="shared" si="21"/>
        <v>Việt Nam</v>
      </c>
      <c r="H533" t="e">
        <f>PROPER(TRIM(RIGHT(SUBSTITUTE(LEFT(D533, FIND("@", SUBSTITUTE(D533, ",", "@", LEN(D533)-LEN(SUBSTITUTE(D533, ",", ""))))-1), ",", REPT(" ", LEN(D533))), LEN(D533))))</f>
        <v>#VALUE!</v>
      </c>
      <c r="I533" t="str">
        <f t="shared" si="22"/>
        <v>Hồ Chí Minh</v>
      </c>
    </row>
    <row r="534" spans="1:9" x14ac:dyDescent="0.3">
      <c r="A534" t="s">
        <v>3462</v>
      </c>
      <c r="C534" t="s">
        <v>9108</v>
      </c>
      <c r="E534" t="str">
        <f>SUBSTITUTE(SUBSTITUTE(SUBSTITUTE(LOWER(C534), "tphcm", "TP. Hồ Chí Minh"), "hcm", "TP. Hồ Chí Minh"), " q.", " Quận ")</f>
        <v>tổ 65, 1/6 tổ 64 khu phố 7, khu phố 6, hóc môn, hồ chí minh, việt namtổ 65, 1/6 tổ 64 khu phố 7, khu phố 6, hóc môn, hồ chí minh, việt nam</v>
      </c>
      <c r="F534" t="str">
        <f>PROPER(TRIM(RIGHT(SUBSTITUTE(D534, ",", REPT(" ", LEN(D534))), LEN(D534))))</f>
        <v/>
      </c>
      <c r="G534" t="str">
        <f t="shared" si="21"/>
        <v>Việt Nam</v>
      </c>
      <c r="H534" t="e">
        <f>PROPER(TRIM(RIGHT(SUBSTITUTE(LEFT(D534, FIND("@", SUBSTITUTE(D534, ",", "@", LEN(D534)-LEN(SUBSTITUTE(D534, ",", ""))))-1), ",", REPT(" ", LEN(D534))), LEN(D534))))</f>
        <v>#VALUE!</v>
      </c>
      <c r="I534" t="str">
        <f t="shared" si="22"/>
        <v>Hồ Chí Minh</v>
      </c>
    </row>
    <row r="535" spans="1:9" x14ac:dyDescent="0.3">
      <c r="A535" t="s">
        <v>3472</v>
      </c>
      <c r="C535" t="s">
        <v>9115</v>
      </c>
      <c r="E535" t="str">
        <f>SUBSTITUTE(SUBSTITUTE(SUBSTITUTE(LOWER(C535), "tphcm", "TP. Hồ Chí Minh"), "hcm", "TP. Hồ Chí Minh"), " q.", " Quận ")</f>
        <v>107 liên khu 4-5, bình tân, hồ chí minh, việt nam107 liên khu 4-5, bình tân, hồ chí minh, việt nam</v>
      </c>
      <c r="F535" t="str">
        <f>PROPER(TRIM(RIGHT(SUBSTITUTE(D535, ",", REPT(" ", LEN(D535))), LEN(D535))))</f>
        <v/>
      </c>
      <c r="G535" t="str">
        <f t="shared" si="21"/>
        <v>Việt Nam</v>
      </c>
      <c r="H535" t="e">
        <f>PROPER(TRIM(RIGHT(SUBSTITUTE(LEFT(D535, FIND("@", SUBSTITUTE(D535, ",", "@", LEN(D535)-LEN(SUBSTITUTE(D535, ",", ""))))-1), ",", REPT(" ", LEN(D535))), LEN(D535))))</f>
        <v>#VALUE!</v>
      </c>
      <c r="I535" t="str">
        <f t="shared" si="22"/>
        <v>Hồ Chí Minh</v>
      </c>
    </row>
    <row r="536" spans="1:9" x14ac:dyDescent="0.3">
      <c r="A536" t="s">
        <v>3481</v>
      </c>
      <c r="C536" t="s">
        <v>9122</v>
      </c>
      <c r="E536" t="str">
        <f>SUBSTITUTE(SUBSTITUTE(SUBSTITUTE(LOWER(C536), "tphcm", "TP. Hồ Chí Minh"), "hcm", "TP. Hồ Chí Minh"), " q.", " Quận ")</f>
        <v>e28 hoàng hoa thám, tân bình, hồ chí minh, việt name28 hoàng hoa thám, tân bình, hồ chí minh, việt nam</v>
      </c>
      <c r="F536" t="str">
        <f>PROPER(TRIM(RIGHT(SUBSTITUTE(D536, ",", REPT(" ", LEN(D536))), LEN(D536))))</f>
        <v/>
      </c>
      <c r="G536" t="str">
        <f t="shared" si="21"/>
        <v>Việt Nam</v>
      </c>
      <c r="H536" t="e">
        <f>PROPER(TRIM(RIGHT(SUBSTITUTE(LEFT(D536, FIND("@", SUBSTITUTE(D536, ",", "@", LEN(D536)-LEN(SUBSTITUTE(D536, ",", ""))))-1), ",", REPT(" ", LEN(D536))), LEN(D536))))</f>
        <v>#VALUE!</v>
      </c>
      <c r="I536" t="str">
        <f t="shared" si="22"/>
        <v>Hồ Chí Minh</v>
      </c>
    </row>
    <row r="537" spans="1:9" x14ac:dyDescent="0.3">
      <c r="A537" t="s">
        <v>3486</v>
      </c>
      <c r="C537" t="s">
        <v>9148</v>
      </c>
      <c r="E537" t="str">
        <f>SUBSTITUTE(SUBSTITUTE(SUBSTITUTE(LOWER(C537), "tphcm", "TP. Hồ Chí Minh"), "hcm", "TP. Hồ Chí Minh"), " q.", " Quận ")</f>
        <v>8 lê thị hà, hóc môn, hồ chí minh, việt nam8 lê thị hà, hóc môn, hồ chí minh, việt nam</v>
      </c>
      <c r="F537" t="str">
        <f>PROPER(TRIM(RIGHT(SUBSTITUTE(D537, ",", REPT(" ", LEN(D537))), LEN(D537))))</f>
        <v/>
      </c>
      <c r="G537" t="str">
        <f t="shared" si="21"/>
        <v>Việt Nam</v>
      </c>
      <c r="H537" t="e">
        <f>PROPER(TRIM(RIGHT(SUBSTITUTE(LEFT(D537, FIND("@", SUBSTITUTE(D537, ",", "@", LEN(D537)-LEN(SUBSTITUTE(D537, ",", ""))))-1), ",", REPT(" ", LEN(D537))), LEN(D537))))</f>
        <v>#VALUE!</v>
      </c>
      <c r="I537" t="str">
        <f t="shared" si="22"/>
        <v>Hồ Chí Minh</v>
      </c>
    </row>
    <row r="538" spans="1:9" x14ac:dyDescent="0.3">
      <c r="A538" t="s">
        <v>3496</v>
      </c>
      <c r="C538" t="s">
        <v>9167</v>
      </c>
      <c r="E538" t="str">
        <f>SUBSTITUTE(SUBSTITUTE(SUBSTITUTE(LOWER(C538), "tphcm", "TP. Hồ Chí Minh"), "hcm", "TP. Hồ Chí Minh"), " q.", " Quận ")</f>
        <v>qhvq+pv8, 128a đường số 6, p, bình tân, hồ chí minh 700000, việt namqhvq+pv8, 128a đường số 6, p, bình tân, hồ chí minh 700000, việt nam</v>
      </c>
      <c r="F538" t="str">
        <f>PROPER(TRIM(RIGHT(SUBSTITUTE(D538, ",", REPT(" ", LEN(D538))), LEN(D538))))</f>
        <v/>
      </c>
      <c r="G538" t="str">
        <f t="shared" si="21"/>
        <v>Việt Nam</v>
      </c>
      <c r="H538" t="e">
        <f>PROPER(TRIM(RIGHT(SUBSTITUTE(LEFT(D538, FIND("@", SUBSTITUTE(D538, ",", "@", LEN(D538)-LEN(SUBSTITUTE(D538, ",", ""))))-1), ",", REPT(" ", LEN(D538))), LEN(D538))))</f>
        <v>#VALUE!</v>
      </c>
      <c r="I538" t="str">
        <f t="shared" si="22"/>
        <v>Hồ Chí Minh 700000</v>
      </c>
    </row>
    <row r="539" spans="1:9" x14ac:dyDescent="0.3">
      <c r="A539" t="s">
        <v>3506</v>
      </c>
      <c r="C539" t="s">
        <v>9208</v>
      </c>
      <c r="E539" t="str">
        <f>SUBSTITUTE(SUBSTITUTE(SUBSTITUTE(LOWER(C539), "tphcm", "TP. Hồ Chí Minh"), "hcm", "TP. Hồ Chí Minh"), " q.", " Quận ")</f>
        <v>380 dương thị mười, tân thới hiệp, hồ chí minh, việt nam380 dương thị mười, tân thới hiệp, hồ chí minh, việt nam</v>
      </c>
      <c r="F539" t="str">
        <f>PROPER(TRIM(RIGHT(SUBSTITUTE(D539, ",", REPT(" ", LEN(D539))), LEN(D539))))</f>
        <v/>
      </c>
      <c r="G539" t="str">
        <f t="shared" si="21"/>
        <v>Việt Nam</v>
      </c>
      <c r="H539" t="e">
        <f>PROPER(TRIM(RIGHT(SUBSTITUTE(LEFT(D539, FIND("@", SUBSTITUTE(D539, ",", "@", LEN(D539)-LEN(SUBSTITUTE(D539, ",", ""))))-1), ",", REPT(" ", LEN(D539))), LEN(D539))))</f>
        <v>#VALUE!</v>
      </c>
      <c r="I539" t="str">
        <f t="shared" si="22"/>
        <v>Hồ Chí Minh</v>
      </c>
    </row>
    <row r="540" spans="1:9" x14ac:dyDescent="0.3">
      <c r="A540" t="s">
        <v>3515</v>
      </c>
      <c r="C540" t="s">
        <v>9288</v>
      </c>
      <c r="E540" t="str">
        <f>SUBSTITUTE(SUBSTITUTE(SUBSTITUTE(LOWER(C540), "tphcm", "TP. Hồ Chí Minh"), "hcm", "TP. Hồ Chí Minh"), " q.", " Quận ")</f>
        <v>3d 70, tổ 14, hóc môn, hồ chí minh, việt nam3d 70, tổ 14, hóc môn, hồ chí minh, việt nam</v>
      </c>
      <c r="F540" t="str">
        <f>PROPER(TRIM(RIGHT(SUBSTITUTE(D540, ",", REPT(" ", LEN(D540))), LEN(D540))))</f>
        <v/>
      </c>
      <c r="G540" t="str">
        <f t="shared" si="21"/>
        <v>Việt Nam</v>
      </c>
      <c r="H540" t="e">
        <f>PROPER(TRIM(RIGHT(SUBSTITUTE(LEFT(D540, FIND("@", SUBSTITUTE(D540, ",", "@", LEN(D540)-LEN(SUBSTITUTE(D540, ",", ""))))-1), ",", REPT(" ", LEN(D540))), LEN(D540))))</f>
        <v>#VALUE!</v>
      </c>
      <c r="I540" t="str">
        <f t="shared" si="22"/>
        <v>Hồ Chí Minh</v>
      </c>
    </row>
    <row r="541" spans="1:9" x14ac:dyDescent="0.3">
      <c r="A541" t="s">
        <v>3524</v>
      </c>
    </row>
    <row r="542" spans="1:9" x14ac:dyDescent="0.3">
      <c r="A542" t="s">
        <v>3533</v>
      </c>
    </row>
    <row r="543" spans="1:9" x14ac:dyDescent="0.3">
      <c r="A543" t="s">
        <v>3542</v>
      </c>
    </row>
    <row r="544" spans="1:9" x14ac:dyDescent="0.3">
      <c r="A544" t="s">
        <v>3552</v>
      </c>
    </row>
    <row r="545" spans="1:1" x14ac:dyDescent="0.3">
      <c r="A545" t="s">
        <v>3562</v>
      </c>
    </row>
    <row r="546" spans="1:1" x14ac:dyDescent="0.3">
      <c r="A546" t="s">
        <v>3572</v>
      </c>
    </row>
    <row r="547" spans="1:1" x14ac:dyDescent="0.3">
      <c r="A547" t="s">
        <v>3580</v>
      </c>
    </row>
    <row r="548" spans="1:1" x14ac:dyDescent="0.3">
      <c r="A548" t="s">
        <v>3587</v>
      </c>
    </row>
    <row r="549" spans="1:1" x14ac:dyDescent="0.3">
      <c r="A549" t="s">
        <v>3595</v>
      </c>
    </row>
    <row r="550" spans="1:1" x14ac:dyDescent="0.3">
      <c r="A550" t="s">
        <v>3605</v>
      </c>
    </row>
    <row r="551" spans="1:1" x14ac:dyDescent="0.3">
      <c r="A551" t="s">
        <v>3615</v>
      </c>
    </row>
    <row r="552" spans="1:1" x14ac:dyDescent="0.3">
      <c r="A552" t="s">
        <v>3625</v>
      </c>
    </row>
    <row r="553" spans="1:1" x14ac:dyDescent="0.3">
      <c r="A553" t="s">
        <v>3635</v>
      </c>
    </row>
    <row r="554" spans="1:1" x14ac:dyDescent="0.3">
      <c r="A554" t="s">
        <v>3639</v>
      </c>
    </row>
    <row r="555" spans="1:1" x14ac:dyDescent="0.3">
      <c r="A555" t="s">
        <v>3649</v>
      </c>
    </row>
    <row r="556" spans="1:1" x14ac:dyDescent="0.3">
      <c r="A556" t="s">
        <v>3653</v>
      </c>
    </row>
    <row r="557" spans="1:1" x14ac:dyDescent="0.3">
      <c r="A557" t="s">
        <v>3660</v>
      </c>
    </row>
    <row r="558" spans="1:1" x14ac:dyDescent="0.3">
      <c r="A558" t="s">
        <v>3667</v>
      </c>
    </row>
    <row r="559" spans="1:1" x14ac:dyDescent="0.3">
      <c r="A559" t="s">
        <v>3676</v>
      </c>
    </row>
    <row r="560" spans="1:1" x14ac:dyDescent="0.3">
      <c r="A560" t="s">
        <v>3681</v>
      </c>
    </row>
    <row r="561" spans="1:1" x14ac:dyDescent="0.3">
      <c r="A561" t="s">
        <v>3693</v>
      </c>
    </row>
    <row r="562" spans="1:1" x14ac:dyDescent="0.3">
      <c r="A562" t="s">
        <v>3697</v>
      </c>
    </row>
    <row r="563" spans="1:1" x14ac:dyDescent="0.3">
      <c r="A563" t="s">
        <v>3703</v>
      </c>
    </row>
    <row r="564" spans="1:1" x14ac:dyDescent="0.3">
      <c r="A564" t="s">
        <v>3710</v>
      </c>
    </row>
    <row r="565" spans="1:1" x14ac:dyDescent="0.3">
      <c r="A565" t="s">
        <v>3718</v>
      </c>
    </row>
    <row r="566" spans="1:1" x14ac:dyDescent="0.3">
      <c r="A566" t="s">
        <v>3722</v>
      </c>
    </row>
    <row r="567" spans="1:1" x14ac:dyDescent="0.3">
      <c r="A567" t="s">
        <v>3726</v>
      </c>
    </row>
    <row r="568" spans="1:1" x14ac:dyDescent="0.3">
      <c r="A568" t="s">
        <v>3733</v>
      </c>
    </row>
    <row r="569" spans="1:1" x14ac:dyDescent="0.3">
      <c r="A569" t="s">
        <v>3739</v>
      </c>
    </row>
    <row r="570" spans="1:1" x14ac:dyDescent="0.3">
      <c r="A570" t="s">
        <v>3747</v>
      </c>
    </row>
    <row r="571" spans="1:1" x14ac:dyDescent="0.3">
      <c r="A571" t="s">
        <v>3754</v>
      </c>
    </row>
    <row r="572" spans="1:1" x14ac:dyDescent="0.3">
      <c r="A572" t="s">
        <v>3761</v>
      </c>
    </row>
    <row r="573" spans="1:1" x14ac:dyDescent="0.3">
      <c r="A573" t="s">
        <v>3771</v>
      </c>
    </row>
    <row r="574" spans="1:1" x14ac:dyDescent="0.3">
      <c r="A574" t="s">
        <v>3782</v>
      </c>
    </row>
    <row r="575" spans="1:1" x14ac:dyDescent="0.3">
      <c r="A575" t="s">
        <v>3786</v>
      </c>
    </row>
    <row r="576" spans="1:1" x14ac:dyDescent="0.3">
      <c r="A576" t="s">
        <v>3792</v>
      </c>
    </row>
    <row r="577" spans="1:1" x14ac:dyDescent="0.3">
      <c r="A577" t="s">
        <v>3799</v>
      </c>
    </row>
    <row r="578" spans="1:1" x14ac:dyDescent="0.3">
      <c r="A578" t="s">
        <v>3804</v>
      </c>
    </row>
    <row r="579" spans="1:1" x14ac:dyDescent="0.3">
      <c r="A579" t="s">
        <v>3811</v>
      </c>
    </row>
    <row r="580" spans="1:1" x14ac:dyDescent="0.3">
      <c r="A580" t="s">
        <v>3814</v>
      </c>
    </row>
    <row r="581" spans="1:1" x14ac:dyDescent="0.3">
      <c r="A581" t="s">
        <v>3818</v>
      </c>
    </row>
    <row r="582" spans="1:1" x14ac:dyDescent="0.3">
      <c r="A582" t="s">
        <v>3826</v>
      </c>
    </row>
    <row r="583" spans="1:1" x14ac:dyDescent="0.3">
      <c r="A583" t="s">
        <v>3830</v>
      </c>
    </row>
    <row r="584" spans="1:1" x14ac:dyDescent="0.3">
      <c r="A584" t="s">
        <v>3840</v>
      </c>
    </row>
    <row r="585" spans="1:1" x14ac:dyDescent="0.3">
      <c r="A585" t="s">
        <v>3849</v>
      </c>
    </row>
    <row r="586" spans="1:1" x14ac:dyDescent="0.3">
      <c r="A586" t="s">
        <v>3859</v>
      </c>
    </row>
    <row r="587" spans="1:1" x14ac:dyDescent="0.3">
      <c r="A587" t="s">
        <v>3869</v>
      </c>
    </row>
    <row r="588" spans="1:1" x14ac:dyDescent="0.3">
      <c r="A588" t="s">
        <v>3875</v>
      </c>
    </row>
    <row r="589" spans="1:1" x14ac:dyDescent="0.3">
      <c r="A589" t="s">
        <v>3882</v>
      </c>
    </row>
    <row r="590" spans="1:1" x14ac:dyDescent="0.3">
      <c r="A590" t="s">
        <v>3887</v>
      </c>
    </row>
    <row r="591" spans="1:1" x14ac:dyDescent="0.3">
      <c r="A591" t="s">
        <v>3890</v>
      </c>
    </row>
    <row r="592" spans="1:1" x14ac:dyDescent="0.3">
      <c r="A592" t="s">
        <v>3894</v>
      </c>
    </row>
    <row r="593" spans="1:1" x14ac:dyDescent="0.3">
      <c r="A593" t="s">
        <v>3898</v>
      </c>
    </row>
    <row r="594" spans="1:1" x14ac:dyDescent="0.3">
      <c r="A594" t="s">
        <v>3905</v>
      </c>
    </row>
    <row r="595" spans="1:1" x14ac:dyDescent="0.3">
      <c r="A595" t="s">
        <v>3912</v>
      </c>
    </row>
    <row r="596" spans="1:1" x14ac:dyDescent="0.3">
      <c r="A596" t="s">
        <v>3919</v>
      </c>
    </row>
    <row r="597" spans="1:1" x14ac:dyDescent="0.3">
      <c r="A597" t="s">
        <v>3926</v>
      </c>
    </row>
    <row r="598" spans="1:1" x14ac:dyDescent="0.3">
      <c r="A598" t="s">
        <v>3933</v>
      </c>
    </row>
    <row r="599" spans="1:1" x14ac:dyDescent="0.3">
      <c r="A599" t="s">
        <v>3940</v>
      </c>
    </row>
    <row r="600" spans="1:1" x14ac:dyDescent="0.3">
      <c r="A600" t="s">
        <v>3944</v>
      </c>
    </row>
    <row r="601" spans="1:1" x14ac:dyDescent="0.3">
      <c r="A601" t="s">
        <v>3951</v>
      </c>
    </row>
    <row r="602" spans="1:1" x14ac:dyDescent="0.3">
      <c r="A602" t="s">
        <v>3958</v>
      </c>
    </row>
    <row r="603" spans="1:1" x14ac:dyDescent="0.3">
      <c r="A603" t="s">
        <v>3965</v>
      </c>
    </row>
    <row r="604" spans="1:1" x14ac:dyDescent="0.3">
      <c r="A604" t="s">
        <v>3969</v>
      </c>
    </row>
    <row r="605" spans="1:1" x14ac:dyDescent="0.3">
      <c r="A605" t="s">
        <v>3973</v>
      </c>
    </row>
    <row r="606" spans="1:1" x14ac:dyDescent="0.3">
      <c r="A606" t="s">
        <v>3977</v>
      </c>
    </row>
    <row r="607" spans="1:1" x14ac:dyDescent="0.3">
      <c r="A607" t="s">
        <v>3981</v>
      </c>
    </row>
    <row r="608" spans="1:1" x14ac:dyDescent="0.3">
      <c r="A608" t="s">
        <v>3988</v>
      </c>
    </row>
    <row r="609" spans="1:1" x14ac:dyDescent="0.3">
      <c r="A609" t="s">
        <v>3997</v>
      </c>
    </row>
    <row r="610" spans="1:1" x14ac:dyDescent="0.3">
      <c r="A610" t="s">
        <v>4004</v>
      </c>
    </row>
    <row r="611" spans="1:1" x14ac:dyDescent="0.3">
      <c r="A611" t="s">
        <v>4010</v>
      </c>
    </row>
    <row r="612" spans="1:1" x14ac:dyDescent="0.3">
      <c r="A612" t="s">
        <v>4020</v>
      </c>
    </row>
    <row r="613" spans="1:1" x14ac:dyDescent="0.3">
      <c r="A613" t="s">
        <v>4031</v>
      </c>
    </row>
    <row r="614" spans="1:1" x14ac:dyDescent="0.3">
      <c r="A614" t="s">
        <v>4035</v>
      </c>
    </row>
    <row r="615" spans="1:1" x14ac:dyDescent="0.3">
      <c r="A615" t="s">
        <v>4042</v>
      </c>
    </row>
    <row r="616" spans="1:1" x14ac:dyDescent="0.3">
      <c r="A616" t="s">
        <v>4052</v>
      </c>
    </row>
    <row r="617" spans="1:1" x14ac:dyDescent="0.3">
      <c r="A617" t="s">
        <v>4062</v>
      </c>
    </row>
    <row r="618" spans="1:1" x14ac:dyDescent="0.3">
      <c r="A618" t="s">
        <v>4069</v>
      </c>
    </row>
    <row r="619" spans="1:1" x14ac:dyDescent="0.3">
      <c r="A619" t="s">
        <v>4077</v>
      </c>
    </row>
    <row r="620" spans="1:1" x14ac:dyDescent="0.3">
      <c r="A620" t="s">
        <v>4084</v>
      </c>
    </row>
    <row r="621" spans="1:1" x14ac:dyDescent="0.3">
      <c r="A621" t="s">
        <v>4091</v>
      </c>
    </row>
    <row r="622" spans="1:1" x14ac:dyDescent="0.3">
      <c r="A622" t="s">
        <v>4101</v>
      </c>
    </row>
    <row r="623" spans="1:1" x14ac:dyDescent="0.3">
      <c r="A623" t="s">
        <v>4108</v>
      </c>
    </row>
    <row r="624" spans="1:1" x14ac:dyDescent="0.3">
      <c r="A624" t="s">
        <v>4112</v>
      </c>
    </row>
    <row r="625" spans="1:1" x14ac:dyDescent="0.3">
      <c r="A625" t="s">
        <v>4119</v>
      </c>
    </row>
    <row r="626" spans="1:1" x14ac:dyDescent="0.3">
      <c r="A626" t="s">
        <v>4123</v>
      </c>
    </row>
    <row r="627" spans="1:1" x14ac:dyDescent="0.3">
      <c r="A627" t="s">
        <v>4127</v>
      </c>
    </row>
    <row r="628" spans="1:1" x14ac:dyDescent="0.3">
      <c r="A628" t="s">
        <v>4131</v>
      </c>
    </row>
    <row r="629" spans="1:1" x14ac:dyDescent="0.3">
      <c r="A629" t="s">
        <v>4135</v>
      </c>
    </row>
    <row r="630" spans="1:1" x14ac:dyDescent="0.3">
      <c r="A630" t="s">
        <v>4142</v>
      </c>
    </row>
    <row r="631" spans="1:1" x14ac:dyDescent="0.3">
      <c r="A631" t="s">
        <v>4152</v>
      </c>
    </row>
    <row r="632" spans="1:1" x14ac:dyDescent="0.3">
      <c r="A632" t="s">
        <v>4156</v>
      </c>
    </row>
    <row r="633" spans="1:1" x14ac:dyDescent="0.3">
      <c r="A633" t="s">
        <v>4163</v>
      </c>
    </row>
    <row r="634" spans="1:1" x14ac:dyDescent="0.3">
      <c r="A634" t="s">
        <v>4167</v>
      </c>
    </row>
    <row r="635" spans="1:1" x14ac:dyDescent="0.3">
      <c r="A635" t="s">
        <v>4171</v>
      </c>
    </row>
    <row r="636" spans="1:1" x14ac:dyDescent="0.3">
      <c r="A636" t="s">
        <v>4178</v>
      </c>
    </row>
    <row r="637" spans="1:1" x14ac:dyDescent="0.3">
      <c r="A637" t="s">
        <v>4185</v>
      </c>
    </row>
    <row r="638" spans="1:1" x14ac:dyDescent="0.3">
      <c r="A638" t="s">
        <v>4189</v>
      </c>
    </row>
    <row r="639" spans="1:1" x14ac:dyDescent="0.3">
      <c r="A639" t="s">
        <v>4196</v>
      </c>
    </row>
    <row r="640" spans="1:1" x14ac:dyDescent="0.3">
      <c r="A640" t="s">
        <v>4204</v>
      </c>
    </row>
    <row r="641" spans="1:1" x14ac:dyDescent="0.3">
      <c r="A641" t="s">
        <v>4211</v>
      </c>
    </row>
    <row r="642" spans="1:1" x14ac:dyDescent="0.3">
      <c r="A642" t="s">
        <v>4215</v>
      </c>
    </row>
    <row r="643" spans="1:1" x14ac:dyDescent="0.3">
      <c r="A643" t="s">
        <v>4220</v>
      </c>
    </row>
    <row r="644" spans="1:1" x14ac:dyDescent="0.3">
      <c r="A644" t="s">
        <v>4224</v>
      </c>
    </row>
    <row r="645" spans="1:1" x14ac:dyDescent="0.3">
      <c r="A645" t="s">
        <v>4231</v>
      </c>
    </row>
    <row r="646" spans="1:1" x14ac:dyDescent="0.3">
      <c r="A646" t="s">
        <v>4238</v>
      </c>
    </row>
    <row r="647" spans="1:1" x14ac:dyDescent="0.3">
      <c r="A647" t="s">
        <v>4242</v>
      </c>
    </row>
    <row r="648" spans="1:1" x14ac:dyDescent="0.3">
      <c r="A648" t="s">
        <v>4246</v>
      </c>
    </row>
    <row r="649" spans="1:1" x14ac:dyDescent="0.3">
      <c r="A649" t="s">
        <v>4257</v>
      </c>
    </row>
    <row r="650" spans="1:1" x14ac:dyDescent="0.3">
      <c r="A650" t="s">
        <v>4261</v>
      </c>
    </row>
    <row r="651" spans="1:1" x14ac:dyDescent="0.3">
      <c r="A651" t="s">
        <v>4265</v>
      </c>
    </row>
    <row r="652" spans="1:1" x14ac:dyDescent="0.3">
      <c r="A652" t="s">
        <v>4275</v>
      </c>
    </row>
    <row r="653" spans="1:1" x14ac:dyDescent="0.3">
      <c r="A653" t="s">
        <v>4282</v>
      </c>
    </row>
    <row r="654" spans="1:1" x14ac:dyDescent="0.3">
      <c r="A654" t="s">
        <v>4286</v>
      </c>
    </row>
    <row r="655" spans="1:1" x14ac:dyDescent="0.3">
      <c r="A655" t="s">
        <v>4293</v>
      </c>
    </row>
    <row r="656" spans="1:1" x14ac:dyDescent="0.3">
      <c r="A656" t="s">
        <v>4297</v>
      </c>
    </row>
    <row r="657" spans="1:1" x14ac:dyDescent="0.3">
      <c r="A657" t="s">
        <v>4304</v>
      </c>
    </row>
    <row r="658" spans="1:1" x14ac:dyDescent="0.3">
      <c r="A658" t="s">
        <v>4311</v>
      </c>
    </row>
    <row r="659" spans="1:1" x14ac:dyDescent="0.3">
      <c r="A659" t="s">
        <v>4318</v>
      </c>
    </row>
    <row r="660" spans="1:1" x14ac:dyDescent="0.3">
      <c r="A660" t="s">
        <v>4322</v>
      </c>
    </row>
    <row r="661" spans="1:1" x14ac:dyDescent="0.3">
      <c r="A661" t="s">
        <v>4326</v>
      </c>
    </row>
    <row r="662" spans="1:1" x14ac:dyDescent="0.3">
      <c r="A662" t="s">
        <v>4329</v>
      </c>
    </row>
    <row r="663" spans="1:1" x14ac:dyDescent="0.3">
      <c r="A663" t="s">
        <v>4333</v>
      </c>
    </row>
    <row r="664" spans="1:1" x14ac:dyDescent="0.3">
      <c r="A664" t="s">
        <v>4337</v>
      </c>
    </row>
    <row r="665" spans="1:1" x14ac:dyDescent="0.3">
      <c r="A665" t="s">
        <v>4341</v>
      </c>
    </row>
    <row r="666" spans="1:1" x14ac:dyDescent="0.3">
      <c r="A666" t="s">
        <v>4345</v>
      </c>
    </row>
    <row r="667" spans="1:1" x14ac:dyDescent="0.3">
      <c r="A667" t="s">
        <v>4349</v>
      </c>
    </row>
    <row r="668" spans="1:1" x14ac:dyDescent="0.3">
      <c r="A668" t="s">
        <v>4353</v>
      </c>
    </row>
    <row r="669" spans="1:1" x14ac:dyDescent="0.3">
      <c r="A669" t="s">
        <v>4360</v>
      </c>
    </row>
    <row r="670" spans="1:1" x14ac:dyDescent="0.3">
      <c r="A670" t="s">
        <v>4364</v>
      </c>
    </row>
    <row r="671" spans="1:1" x14ac:dyDescent="0.3">
      <c r="A671" t="s">
        <v>4374</v>
      </c>
    </row>
    <row r="672" spans="1:1" x14ac:dyDescent="0.3">
      <c r="A672" t="s">
        <v>4383</v>
      </c>
    </row>
    <row r="673" spans="1:1" x14ac:dyDescent="0.3">
      <c r="A673" t="s">
        <v>4390</v>
      </c>
    </row>
    <row r="674" spans="1:1" x14ac:dyDescent="0.3">
      <c r="A674" t="s">
        <v>4394</v>
      </c>
    </row>
    <row r="675" spans="1:1" x14ac:dyDescent="0.3">
      <c r="A675" t="s">
        <v>4402</v>
      </c>
    </row>
    <row r="676" spans="1:1" x14ac:dyDescent="0.3">
      <c r="A676" t="s">
        <v>4412</v>
      </c>
    </row>
    <row r="677" spans="1:1" x14ac:dyDescent="0.3">
      <c r="A677" t="s">
        <v>4420</v>
      </c>
    </row>
    <row r="678" spans="1:1" x14ac:dyDescent="0.3">
      <c r="A678" t="s">
        <v>4432</v>
      </c>
    </row>
    <row r="679" spans="1:1" x14ac:dyDescent="0.3">
      <c r="A679" t="s">
        <v>4437</v>
      </c>
    </row>
    <row r="680" spans="1:1" x14ac:dyDescent="0.3">
      <c r="A680" t="s">
        <v>4442</v>
      </c>
    </row>
    <row r="681" spans="1:1" x14ac:dyDescent="0.3">
      <c r="A681" t="s">
        <v>4452</v>
      </c>
    </row>
    <row r="682" spans="1:1" x14ac:dyDescent="0.3">
      <c r="A682" t="s">
        <v>4461</v>
      </c>
    </row>
    <row r="683" spans="1:1" x14ac:dyDescent="0.3">
      <c r="A683" t="s">
        <v>4468</v>
      </c>
    </row>
    <row r="684" spans="1:1" x14ac:dyDescent="0.3">
      <c r="A684" t="s">
        <v>4475</v>
      </c>
    </row>
    <row r="685" spans="1:1" x14ac:dyDescent="0.3">
      <c r="A685" t="s">
        <v>4483</v>
      </c>
    </row>
    <row r="686" spans="1:1" x14ac:dyDescent="0.3">
      <c r="A686" t="s">
        <v>4488</v>
      </c>
    </row>
    <row r="687" spans="1:1" x14ac:dyDescent="0.3">
      <c r="A687" t="s">
        <v>4492</v>
      </c>
    </row>
    <row r="688" spans="1:1" x14ac:dyDescent="0.3">
      <c r="A688" t="s">
        <v>4501</v>
      </c>
    </row>
    <row r="689" spans="1:1" x14ac:dyDescent="0.3">
      <c r="A689" t="s">
        <v>4506</v>
      </c>
    </row>
    <row r="690" spans="1:1" x14ac:dyDescent="0.3">
      <c r="A690" t="s">
        <v>4516</v>
      </c>
    </row>
    <row r="691" spans="1:1" x14ac:dyDescent="0.3">
      <c r="A691" t="s">
        <v>4526</v>
      </c>
    </row>
    <row r="692" spans="1:1" x14ac:dyDescent="0.3">
      <c r="A692" t="s">
        <v>4536</v>
      </c>
    </row>
    <row r="693" spans="1:1" x14ac:dyDescent="0.3">
      <c r="A693" t="s">
        <v>4545</v>
      </c>
    </row>
    <row r="694" spans="1:1" x14ac:dyDescent="0.3">
      <c r="A694" t="s">
        <v>4552</v>
      </c>
    </row>
    <row r="695" spans="1:1" x14ac:dyDescent="0.3">
      <c r="A695" t="s">
        <v>4562</v>
      </c>
    </row>
    <row r="696" spans="1:1" x14ac:dyDescent="0.3">
      <c r="A696" t="s">
        <v>4572</v>
      </c>
    </row>
    <row r="697" spans="1:1" x14ac:dyDescent="0.3">
      <c r="A697" t="s">
        <v>4582</v>
      </c>
    </row>
    <row r="698" spans="1:1" x14ac:dyDescent="0.3">
      <c r="A698" t="s">
        <v>4589</v>
      </c>
    </row>
    <row r="699" spans="1:1" x14ac:dyDescent="0.3">
      <c r="A699" t="s">
        <v>4599</v>
      </c>
    </row>
    <row r="700" spans="1:1" x14ac:dyDescent="0.3">
      <c r="A700" t="s">
        <v>4609</v>
      </c>
    </row>
    <row r="701" spans="1:1" x14ac:dyDescent="0.3">
      <c r="A701" t="s">
        <v>4616</v>
      </c>
    </row>
    <row r="702" spans="1:1" x14ac:dyDescent="0.3">
      <c r="A702" t="s">
        <v>4628</v>
      </c>
    </row>
    <row r="703" spans="1:1" x14ac:dyDescent="0.3">
      <c r="A703" t="s">
        <v>4635</v>
      </c>
    </row>
    <row r="704" spans="1:1" x14ac:dyDescent="0.3">
      <c r="A704" t="s">
        <v>4645</v>
      </c>
    </row>
    <row r="705" spans="1:1" x14ac:dyDescent="0.3">
      <c r="A705" t="s">
        <v>4652</v>
      </c>
    </row>
    <row r="706" spans="1:1" x14ac:dyDescent="0.3">
      <c r="A706" t="s">
        <v>4659</v>
      </c>
    </row>
    <row r="707" spans="1:1" x14ac:dyDescent="0.3">
      <c r="A707" t="s">
        <v>4670</v>
      </c>
    </row>
    <row r="708" spans="1:1" x14ac:dyDescent="0.3">
      <c r="A708" t="s">
        <v>4677</v>
      </c>
    </row>
    <row r="709" spans="1:1" x14ac:dyDescent="0.3">
      <c r="A709" t="s">
        <v>4684</v>
      </c>
    </row>
    <row r="710" spans="1:1" x14ac:dyDescent="0.3">
      <c r="A710" t="s">
        <v>4691</v>
      </c>
    </row>
    <row r="711" spans="1:1" x14ac:dyDescent="0.3">
      <c r="A711" t="s">
        <v>4701</v>
      </c>
    </row>
    <row r="712" spans="1:1" x14ac:dyDescent="0.3">
      <c r="A712" t="s">
        <v>4711</v>
      </c>
    </row>
    <row r="713" spans="1:1" x14ac:dyDescent="0.3">
      <c r="A713" t="s">
        <v>4717</v>
      </c>
    </row>
    <row r="714" spans="1:1" x14ac:dyDescent="0.3">
      <c r="A714" t="s">
        <v>4728</v>
      </c>
    </row>
    <row r="715" spans="1:1" x14ac:dyDescent="0.3">
      <c r="A715" t="s">
        <v>4738</v>
      </c>
    </row>
    <row r="716" spans="1:1" x14ac:dyDescent="0.3">
      <c r="A716" t="s">
        <v>4745</v>
      </c>
    </row>
    <row r="717" spans="1:1" x14ac:dyDescent="0.3">
      <c r="A717" t="s">
        <v>4752</v>
      </c>
    </row>
    <row r="718" spans="1:1" x14ac:dyDescent="0.3">
      <c r="A718" t="s">
        <v>4759</v>
      </c>
    </row>
    <row r="719" spans="1:1" x14ac:dyDescent="0.3">
      <c r="A719" t="s">
        <v>4766</v>
      </c>
    </row>
    <row r="720" spans="1:1" x14ac:dyDescent="0.3">
      <c r="A720" t="s">
        <v>4773</v>
      </c>
    </row>
    <row r="721" spans="1:1" x14ac:dyDescent="0.3">
      <c r="A721" t="s">
        <v>4783</v>
      </c>
    </row>
    <row r="722" spans="1:1" x14ac:dyDescent="0.3">
      <c r="A722" t="s">
        <v>4790</v>
      </c>
    </row>
    <row r="723" spans="1:1" x14ac:dyDescent="0.3">
      <c r="A723" t="s">
        <v>4795</v>
      </c>
    </row>
    <row r="724" spans="1:1" x14ac:dyDescent="0.3">
      <c r="A724" t="s">
        <v>4802</v>
      </c>
    </row>
    <row r="725" spans="1:1" x14ac:dyDescent="0.3">
      <c r="A725" t="s">
        <v>4809</v>
      </c>
    </row>
    <row r="726" spans="1:1" x14ac:dyDescent="0.3">
      <c r="A726" t="s">
        <v>4813</v>
      </c>
    </row>
    <row r="727" spans="1:1" x14ac:dyDescent="0.3">
      <c r="A727" t="s">
        <v>4823</v>
      </c>
    </row>
    <row r="728" spans="1:1" x14ac:dyDescent="0.3">
      <c r="A728" t="s">
        <v>4830</v>
      </c>
    </row>
    <row r="729" spans="1:1" x14ac:dyDescent="0.3">
      <c r="A729" t="s">
        <v>4836</v>
      </c>
    </row>
    <row r="730" spans="1:1" x14ac:dyDescent="0.3">
      <c r="A730" t="s">
        <v>4840</v>
      </c>
    </row>
    <row r="731" spans="1:1" x14ac:dyDescent="0.3">
      <c r="A731" t="s">
        <v>4847</v>
      </c>
    </row>
    <row r="732" spans="1:1" x14ac:dyDescent="0.3">
      <c r="A732" t="s">
        <v>4853</v>
      </c>
    </row>
    <row r="733" spans="1:1" x14ac:dyDescent="0.3">
      <c r="A733" t="s">
        <v>4857</v>
      </c>
    </row>
    <row r="734" spans="1:1" x14ac:dyDescent="0.3">
      <c r="A734" t="s">
        <v>4864</v>
      </c>
    </row>
    <row r="735" spans="1:1" x14ac:dyDescent="0.3">
      <c r="A735" t="s">
        <v>4868</v>
      </c>
    </row>
    <row r="736" spans="1:1" x14ac:dyDescent="0.3">
      <c r="A736" t="s">
        <v>4875</v>
      </c>
    </row>
    <row r="737" spans="1:1" x14ac:dyDescent="0.3">
      <c r="A737" t="s">
        <v>4879</v>
      </c>
    </row>
    <row r="738" spans="1:1" x14ac:dyDescent="0.3">
      <c r="A738" t="s">
        <v>4886</v>
      </c>
    </row>
    <row r="739" spans="1:1" x14ac:dyDescent="0.3">
      <c r="A739" t="s">
        <v>4890</v>
      </c>
    </row>
    <row r="740" spans="1:1" x14ac:dyDescent="0.3">
      <c r="A740" t="s">
        <v>4894</v>
      </c>
    </row>
    <row r="741" spans="1:1" x14ac:dyDescent="0.3">
      <c r="A741" t="s">
        <v>4898</v>
      </c>
    </row>
    <row r="742" spans="1:1" x14ac:dyDescent="0.3">
      <c r="A742" t="s">
        <v>4902</v>
      </c>
    </row>
    <row r="743" spans="1:1" x14ac:dyDescent="0.3">
      <c r="A743" t="s">
        <v>4906</v>
      </c>
    </row>
    <row r="744" spans="1:1" x14ac:dyDescent="0.3">
      <c r="A744" t="s">
        <v>4910</v>
      </c>
    </row>
    <row r="745" spans="1:1" x14ac:dyDescent="0.3">
      <c r="A745" t="s">
        <v>4920</v>
      </c>
    </row>
    <row r="746" spans="1:1" x14ac:dyDescent="0.3">
      <c r="A746" t="s">
        <v>4925</v>
      </c>
    </row>
    <row r="747" spans="1:1" x14ac:dyDescent="0.3">
      <c r="A747" t="s">
        <v>4932</v>
      </c>
    </row>
    <row r="748" spans="1:1" x14ac:dyDescent="0.3">
      <c r="A748" t="s">
        <v>4940</v>
      </c>
    </row>
    <row r="749" spans="1:1" x14ac:dyDescent="0.3">
      <c r="A749" t="s">
        <v>4944</v>
      </c>
    </row>
    <row r="750" spans="1:1" x14ac:dyDescent="0.3">
      <c r="A750" t="s">
        <v>4951</v>
      </c>
    </row>
    <row r="751" spans="1:1" x14ac:dyDescent="0.3">
      <c r="A751" t="s">
        <v>4961</v>
      </c>
    </row>
    <row r="752" spans="1:1" x14ac:dyDescent="0.3">
      <c r="A752" t="s">
        <v>4971</v>
      </c>
    </row>
    <row r="753" spans="1:1" x14ac:dyDescent="0.3">
      <c r="A753" t="s">
        <v>4977</v>
      </c>
    </row>
    <row r="754" spans="1:1" x14ac:dyDescent="0.3">
      <c r="A754" t="s">
        <v>4987</v>
      </c>
    </row>
    <row r="755" spans="1:1" x14ac:dyDescent="0.3">
      <c r="A755" t="s">
        <v>4997</v>
      </c>
    </row>
    <row r="756" spans="1:1" x14ac:dyDescent="0.3">
      <c r="A756" t="s">
        <v>5004</v>
      </c>
    </row>
    <row r="757" spans="1:1" x14ac:dyDescent="0.3">
      <c r="A757" t="s">
        <v>5009</v>
      </c>
    </row>
    <row r="758" spans="1:1" x14ac:dyDescent="0.3">
      <c r="A758" t="s">
        <v>5016</v>
      </c>
    </row>
    <row r="759" spans="1:1" x14ac:dyDescent="0.3">
      <c r="A759" t="s">
        <v>5023</v>
      </c>
    </row>
    <row r="760" spans="1:1" x14ac:dyDescent="0.3">
      <c r="A760" t="s">
        <v>5030</v>
      </c>
    </row>
    <row r="761" spans="1:1" x14ac:dyDescent="0.3">
      <c r="A761" t="s">
        <v>5038</v>
      </c>
    </row>
    <row r="762" spans="1:1" x14ac:dyDescent="0.3">
      <c r="A762" t="s">
        <v>5044</v>
      </c>
    </row>
    <row r="763" spans="1:1" x14ac:dyDescent="0.3">
      <c r="A763" t="s">
        <v>5054</v>
      </c>
    </row>
    <row r="764" spans="1:1" x14ac:dyDescent="0.3">
      <c r="A764" t="s">
        <v>5061</v>
      </c>
    </row>
    <row r="765" spans="1:1" x14ac:dyDescent="0.3">
      <c r="A765" t="s">
        <v>5067</v>
      </c>
    </row>
    <row r="766" spans="1:1" x14ac:dyDescent="0.3">
      <c r="A766" t="s">
        <v>5071</v>
      </c>
    </row>
    <row r="767" spans="1:1" x14ac:dyDescent="0.3">
      <c r="A767" t="s">
        <v>5078</v>
      </c>
    </row>
    <row r="768" spans="1:1" x14ac:dyDescent="0.3">
      <c r="A768" t="s">
        <v>5082</v>
      </c>
    </row>
    <row r="769" spans="1:1" x14ac:dyDescent="0.3">
      <c r="A769" t="s">
        <v>5086</v>
      </c>
    </row>
    <row r="770" spans="1:1" x14ac:dyDescent="0.3">
      <c r="A770" t="s">
        <v>5093</v>
      </c>
    </row>
    <row r="771" spans="1:1" x14ac:dyDescent="0.3">
      <c r="A771" t="s">
        <v>5097</v>
      </c>
    </row>
    <row r="772" spans="1:1" x14ac:dyDescent="0.3">
      <c r="A772" t="s">
        <v>5108</v>
      </c>
    </row>
    <row r="773" spans="1:1" x14ac:dyDescent="0.3">
      <c r="A773" t="s">
        <v>5112</v>
      </c>
    </row>
    <row r="774" spans="1:1" x14ac:dyDescent="0.3">
      <c r="A774" t="s">
        <v>5119</v>
      </c>
    </row>
    <row r="775" spans="1:1" x14ac:dyDescent="0.3">
      <c r="A775" t="s">
        <v>5124</v>
      </c>
    </row>
    <row r="776" spans="1:1" x14ac:dyDescent="0.3">
      <c r="A776" t="s">
        <v>5131</v>
      </c>
    </row>
    <row r="777" spans="1:1" x14ac:dyDescent="0.3">
      <c r="A777" t="s">
        <v>5138</v>
      </c>
    </row>
    <row r="778" spans="1:1" x14ac:dyDescent="0.3">
      <c r="A778" t="s">
        <v>5142</v>
      </c>
    </row>
    <row r="779" spans="1:1" x14ac:dyDescent="0.3">
      <c r="A779" t="s">
        <v>5149</v>
      </c>
    </row>
    <row r="780" spans="1:1" x14ac:dyDescent="0.3">
      <c r="A780" t="s">
        <v>5155</v>
      </c>
    </row>
    <row r="781" spans="1:1" x14ac:dyDescent="0.3">
      <c r="A781" t="s">
        <v>5164</v>
      </c>
    </row>
    <row r="782" spans="1:1" x14ac:dyDescent="0.3">
      <c r="A782" t="s">
        <v>5168</v>
      </c>
    </row>
    <row r="783" spans="1:1" x14ac:dyDescent="0.3">
      <c r="A783" t="s">
        <v>5172</v>
      </c>
    </row>
    <row r="784" spans="1:1" x14ac:dyDescent="0.3">
      <c r="A784" t="s">
        <v>5176</v>
      </c>
    </row>
    <row r="785" spans="1:1" x14ac:dyDescent="0.3">
      <c r="A785" t="s">
        <v>5184</v>
      </c>
    </row>
    <row r="786" spans="1:1" x14ac:dyDescent="0.3">
      <c r="A786" t="s">
        <v>5188</v>
      </c>
    </row>
    <row r="787" spans="1:1" x14ac:dyDescent="0.3">
      <c r="A787" t="s">
        <v>5192</v>
      </c>
    </row>
    <row r="788" spans="1:1" x14ac:dyDescent="0.3">
      <c r="A788" t="s">
        <v>5199</v>
      </c>
    </row>
    <row r="789" spans="1:1" x14ac:dyDescent="0.3">
      <c r="A789" t="s">
        <v>5204</v>
      </c>
    </row>
    <row r="790" spans="1:1" x14ac:dyDescent="0.3">
      <c r="A790" t="s">
        <v>5211</v>
      </c>
    </row>
    <row r="791" spans="1:1" x14ac:dyDescent="0.3">
      <c r="A791" t="s">
        <v>5215</v>
      </c>
    </row>
    <row r="792" spans="1:1" x14ac:dyDescent="0.3">
      <c r="A792" t="s">
        <v>5223</v>
      </c>
    </row>
    <row r="793" spans="1:1" x14ac:dyDescent="0.3">
      <c r="A793" t="s">
        <v>5228</v>
      </c>
    </row>
    <row r="794" spans="1:1" x14ac:dyDescent="0.3">
      <c r="A794" t="s">
        <v>5232</v>
      </c>
    </row>
    <row r="795" spans="1:1" x14ac:dyDescent="0.3">
      <c r="A795" t="s">
        <v>5236</v>
      </c>
    </row>
    <row r="796" spans="1:1" x14ac:dyDescent="0.3">
      <c r="A796" t="s">
        <v>5243</v>
      </c>
    </row>
    <row r="797" spans="1:1" x14ac:dyDescent="0.3">
      <c r="A797" t="s">
        <v>5247</v>
      </c>
    </row>
    <row r="798" spans="1:1" x14ac:dyDescent="0.3">
      <c r="A798" t="s">
        <v>5251</v>
      </c>
    </row>
    <row r="799" spans="1:1" x14ac:dyDescent="0.3">
      <c r="A799" t="s">
        <v>5255</v>
      </c>
    </row>
    <row r="800" spans="1:1" x14ac:dyDescent="0.3">
      <c r="A800" t="s">
        <v>5259</v>
      </c>
    </row>
    <row r="801" spans="1:1" x14ac:dyDescent="0.3">
      <c r="A801" t="s">
        <v>5263</v>
      </c>
    </row>
    <row r="802" spans="1:1" x14ac:dyDescent="0.3">
      <c r="A802" t="s">
        <v>5267</v>
      </c>
    </row>
    <row r="803" spans="1:1" x14ac:dyDescent="0.3">
      <c r="A803" t="s">
        <v>5271</v>
      </c>
    </row>
    <row r="804" spans="1:1" x14ac:dyDescent="0.3">
      <c r="A804" t="s">
        <v>5275</v>
      </c>
    </row>
    <row r="805" spans="1:1" x14ac:dyDescent="0.3">
      <c r="A805" t="s">
        <v>5279</v>
      </c>
    </row>
    <row r="806" spans="1:1" x14ac:dyDescent="0.3">
      <c r="A806" t="s">
        <v>5283</v>
      </c>
    </row>
    <row r="807" spans="1:1" x14ac:dyDescent="0.3">
      <c r="A807" t="s">
        <v>5290</v>
      </c>
    </row>
    <row r="808" spans="1:1" x14ac:dyDescent="0.3">
      <c r="A808" t="s">
        <v>5294</v>
      </c>
    </row>
    <row r="809" spans="1:1" x14ac:dyDescent="0.3">
      <c r="A809" t="s">
        <v>5298</v>
      </c>
    </row>
    <row r="810" spans="1:1" x14ac:dyDescent="0.3">
      <c r="A810" t="s">
        <v>5305</v>
      </c>
    </row>
    <row r="811" spans="1:1" x14ac:dyDescent="0.3">
      <c r="A811" t="s">
        <v>5309</v>
      </c>
    </row>
    <row r="812" spans="1:1" x14ac:dyDescent="0.3">
      <c r="A812" t="s">
        <v>5313</v>
      </c>
    </row>
    <row r="813" spans="1:1" x14ac:dyDescent="0.3">
      <c r="A813" t="s">
        <v>5321</v>
      </c>
    </row>
    <row r="814" spans="1:1" x14ac:dyDescent="0.3">
      <c r="A814" t="s">
        <v>5327</v>
      </c>
    </row>
    <row r="815" spans="1:1" x14ac:dyDescent="0.3">
      <c r="A815" t="s">
        <v>5334</v>
      </c>
    </row>
    <row r="816" spans="1:1" x14ac:dyDescent="0.3">
      <c r="A816" t="s">
        <v>5338</v>
      </c>
    </row>
    <row r="817" spans="1:1" x14ac:dyDescent="0.3">
      <c r="A817" t="s">
        <v>5342</v>
      </c>
    </row>
    <row r="818" spans="1:1" x14ac:dyDescent="0.3">
      <c r="A818" t="s">
        <v>5350</v>
      </c>
    </row>
    <row r="819" spans="1:1" x14ac:dyDescent="0.3">
      <c r="A819" t="s">
        <v>5358</v>
      </c>
    </row>
    <row r="820" spans="1:1" x14ac:dyDescent="0.3">
      <c r="A820" t="s">
        <v>5365</v>
      </c>
    </row>
    <row r="821" spans="1:1" x14ac:dyDescent="0.3">
      <c r="A821" t="s">
        <v>5373</v>
      </c>
    </row>
    <row r="822" spans="1:1" x14ac:dyDescent="0.3">
      <c r="A822" t="s">
        <v>5377</v>
      </c>
    </row>
    <row r="823" spans="1:1" x14ac:dyDescent="0.3">
      <c r="A823" t="s">
        <v>5384</v>
      </c>
    </row>
    <row r="824" spans="1:1" x14ac:dyDescent="0.3">
      <c r="A824" t="s">
        <v>5391</v>
      </c>
    </row>
    <row r="825" spans="1:1" x14ac:dyDescent="0.3">
      <c r="A825" t="s">
        <v>5398</v>
      </c>
    </row>
    <row r="826" spans="1:1" x14ac:dyDescent="0.3">
      <c r="A826" t="s">
        <v>5403</v>
      </c>
    </row>
    <row r="827" spans="1:1" x14ac:dyDescent="0.3">
      <c r="A827" t="s">
        <v>5408</v>
      </c>
    </row>
    <row r="828" spans="1:1" x14ac:dyDescent="0.3">
      <c r="A828" t="s">
        <v>5412</v>
      </c>
    </row>
    <row r="829" spans="1:1" x14ac:dyDescent="0.3">
      <c r="A829" t="s">
        <v>5416</v>
      </c>
    </row>
    <row r="830" spans="1:1" x14ac:dyDescent="0.3">
      <c r="A830" t="s">
        <v>5420</v>
      </c>
    </row>
    <row r="831" spans="1:1" x14ac:dyDescent="0.3">
      <c r="A831" t="s">
        <v>5424</v>
      </c>
    </row>
    <row r="832" spans="1:1" x14ac:dyDescent="0.3">
      <c r="A832" t="s">
        <v>5428</v>
      </c>
    </row>
    <row r="833" spans="1:1" x14ac:dyDescent="0.3">
      <c r="A833" t="s">
        <v>5432</v>
      </c>
    </row>
    <row r="834" spans="1:1" x14ac:dyDescent="0.3">
      <c r="A834" t="s">
        <v>5436</v>
      </c>
    </row>
    <row r="835" spans="1:1" x14ac:dyDescent="0.3">
      <c r="A835" t="s">
        <v>5440</v>
      </c>
    </row>
    <row r="836" spans="1:1" x14ac:dyDescent="0.3">
      <c r="A836" t="s">
        <v>5444</v>
      </c>
    </row>
    <row r="837" spans="1:1" x14ac:dyDescent="0.3">
      <c r="A837" t="s">
        <v>5448</v>
      </c>
    </row>
    <row r="838" spans="1:1" x14ac:dyDescent="0.3">
      <c r="A838" t="s">
        <v>5452</v>
      </c>
    </row>
    <row r="839" spans="1:1" x14ac:dyDescent="0.3">
      <c r="A839" t="s">
        <v>5456</v>
      </c>
    </row>
    <row r="840" spans="1:1" x14ac:dyDescent="0.3">
      <c r="A840" t="s">
        <v>5460</v>
      </c>
    </row>
    <row r="841" spans="1:1" x14ac:dyDescent="0.3">
      <c r="A841" t="s">
        <v>5464</v>
      </c>
    </row>
    <row r="842" spans="1:1" x14ac:dyDescent="0.3">
      <c r="A842" t="s">
        <v>5468</v>
      </c>
    </row>
    <row r="843" spans="1:1" x14ac:dyDescent="0.3">
      <c r="A843" t="s">
        <v>5472</v>
      </c>
    </row>
    <row r="844" spans="1:1" x14ac:dyDescent="0.3">
      <c r="A844" t="s">
        <v>5477</v>
      </c>
    </row>
    <row r="845" spans="1:1" x14ac:dyDescent="0.3">
      <c r="A845" t="s">
        <v>5481</v>
      </c>
    </row>
    <row r="846" spans="1:1" x14ac:dyDescent="0.3">
      <c r="A846" t="s">
        <v>5485</v>
      </c>
    </row>
    <row r="847" spans="1:1" x14ac:dyDescent="0.3">
      <c r="A847" t="s">
        <v>5490</v>
      </c>
    </row>
    <row r="848" spans="1:1" x14ac:dyDescent="0.3">
      <c r="A848" t="s">
        <v>5494</v>
      </c>
    </row>
    <row r="849" spans="1:1" x14ac:dyDescent="0.3">
      <c r="A849" t="s">
        <v>5498</v>
      </c>
    </row>
    <row r="850" spans="1:1" x14ac:dyDescent="0.3">
      <c r="A850" t="s">
        <v>5502</v>
      </c>
    </row>
    <row r="851" spans="1:1" x14ac:dyDescent="0.3">
      <c r="A851" t="s">
        <v>5506</v>
      </c>
    </row>
    <row r="852" spans="1:1" x14ac:dyDescent="0.3">
      <c r="A852" t="s">
        <v>5517</v>
      </c>
    </row>
    <row r="853" spans="1:1" x14ac:dyDescent="0.3">
      <c r="A853" t="s">
        <v>5524</v>
      </c>
    </row>
    <row r="854" spans="1:1" x14ac:dyDescent="0.3">
      <c r="A854" t="s">
        <v>5528</v>
      </c>
    </row>
    <row r="855" spans="1:1" x14ac:dyDescent="0.3">
      <c r="A855" t="s">
        <v>5535</v>
      </c>
    </row>
    <row r="856" spans="1:1" x14ac:dyDescent="0.3">
      <c r="A856" t="s">
        <v>5541</v>
      </c>
    </row>
    <row r="857" spans="1:1" x14ac:dyDescent="0.3">
      <c r="A857" t="s">
        <v>5547</v>
      </c>
    </row>
    <row r="858" spans="1:1" x14ac:dyDescent="0.3">
      <c r="A858" t="s">
        <v>5554</v>
      </c>
    </row>
    <row r="859" spans="1:1" x14ac:dyDescent="0.3">
      <c r="A859" t="s">
        <v>5558</v>
      </c>
    </row>
    <row r="860" spans="1:1" x14ac:dyDescent="0.3">
      <c r="A860" t="s">
        <v>5562</v>
      </c>
    </row>
    <row r="861" spans="1:1" x14ac:dyDescent="0.3">
      <c r="A861" t="s">
        <v>5569</v>
      </c>
    </row>
    <row r="862" spans="1:1" x14ac:dyDescent="0.3">
      <c r="A862" t="s">
        <v>5573</v>
      </c>
    </row>
    <row r="863" spans="1:1" x14ac:dyDescent="0.3">
      <c r="A863" t="s">
        <v>5577</v>
      </c>
    </row>
    <row r="864" spans="1:1" x14ac:dyDescent="0.3">
      <c r="A864" t="s">
        <v>5582</v>
      </c>
    </row>
    <row r="865" spans="1:1" x14ac:dyDescent="0.3">
      <c r="A865" t="s">
        <v>5586</v>
      </c>
    </row>
    <row r="866" spans="1:1" x14ac:dyDescent="0.3">
      <c r="A866" t="s">
        <v>5590</v>
      </c>
    </row>
    <row r="867" spans="1:1" x14ac:dyDescent="0.3">
      <c r="A867" t="s">
        <v>5594</v>
      </c>
    </row>
    <row r="868" spans="1:1" x14ac:dyDescent="0.3">
      <c r="A868" t="s">
        <v>5601</v>
      </c>
    </row>
    <row r="869" spans="1:1" x14ac:dyDescent="0.3">
      <c r="A869" t="s">
        <v>5605</v>
      </c>
    </row>
    <row r="870" spans="1:1" x14ac:dyDescent="0.3">
      <c r="A870" t="s">
        <v>5609</v>
      </c>
    </row>
    <row r="871" spans="1:1" x14ac:dyDescent="0.3">
      <c r="A871" t="s">
        <v>5613</v>
      </c>
    </row>
    <row r="872" spans="1:1" x14ac:dyDescent="0.3">
      <c r="A872" t="s">
        <v>5617</v>
      </c>
    </row>
    <row r="873" spans="1:1" x14ac:dyDescent="0.3">
      <c r="A873" t="s">
        <v>5621</v>
      </c>
    </row>
    <row r="874" spans="1:1" x14ac:dyDescent="0.3">
      <c r="A874" t="s">
        <v>5625</v>
      </c>
    </row>
    <row r="875" spans="1:1" x14ac:dyDescent="0.3">
      <c r="A875" t="s">
        <v>5629</v>
      </c>
    </row>
    <row r="876" spans="1:1" x14ac:dyDescent="0.3">
      <c r="A876" t="s">
        <v>5633</v>
      </c>
    </row>
    <row r="877" spans="1:1" x14ac:dyDescent="0.3">
      <c r="A877" t="s">
        <v>5640</v>
      </c>
    </row>
    <row r="878" spans="1:1" x14ac:dyDescent="0.3">
      <c r="A878" t="s">
        <v>5644</v>
      </c>
    </row>
    <row r="879" spans="1:1" x14ac:dyDescent="0.3">
      <c r="A879" t="s">
        <v>5650</v>
      </c>
    </row>
    <row r="880" spans="1:1" x14ac:dyDescent="0.3">
      <c r="A880" t="s">
        <v>5654</v>
      </c>
    </row>
    <row r="881" spans="1:1" x14ac:dyDescent="0.3">
      <c r="A881" t="s">
        <v>5658</v>
      </c>
    </row>
    <row r="882" spans="1:1" x14ac:dyDescent="0.3">
      <c r="A882" t="s">
        <v>5662</v>
      </c>
    </row>
    <row r="883" spans="1:1" x14ac:dyDescent="0.3">
      <c r="A883" t="s">
        <v>5666</v>
      </c>
    </row>
    <row r="884" spans="1:1" x14ac:dyDescent="0.3">
      <c r="A884" t="s">
        <v>5669</v>
      </c>
    </row>
    <row r="885" spans="1:1" x14ac:dyDescent="0.3">
      <c r="A885" t="s">
        <v>5673</v>
      </c>
    </row>
    <row r="886" spans="1:1" x14ac:dyDescent="0.3">
      <c r="A886" t="s">
        <v>5676</v>
      </c>
    </row>
    <row r="887" spans="1:1" x14ac:dyDescent="0.3">
      <c r="A887" t="s">
        <v>5680</v>
      </c>
    </row>
    <row r="888" spans="1:1" x14ac:dyDescent="0.3">
      <c r="A888" t="s">
        <v>5685</v>
      </c>
    </row>
    <row r="889" spans="1:1" x14ac:dyDescent="0.3">
      <c r="A889" t="s">
        <v>5689</v>
      </c>
    </row>
    <row r="890" spans="1:1" x14ac:dyDescent="0.3">
      <c r="A890" t="s">
        <v>5693</v>
      </c>
    </row>
    <row r="891" spans="1:1" x14ac:dyDescent="0.3">
      <c r="A891" t="s">
        <v>5697</v>
      </c>
    </row>
    <row r="892" spans="1:1" x14ac:dyDescent="0.3">
      <c r="A892" t="s">
        <v>5701</v>
      </c>
    </row>
    <row r="893" spans="1:1" x14ac:dyDescent="0.3">
      <c r="A893" t="s">
        <v>5706</v>
      </c>
    </row>
    <row r="894" spans="1:1" x14ac:dyDescent="0.3">
      <c r="A894" t="s">
        <v>5710</v>
      </c>
    </row>
    <row r="895" spans="1:1" x14ac:dyDescent="0.3">
      <c r="A895" t="s">
        <v>5715</v>
      </c>
    </row>
    <row r="896" spans="1:1" x14ac:dyDescent="0.3">
      <c r="A896" t="s">
        <v>5718</v>
      </c>
    </row>
    <row r="897" spans="1:1" x14ac:dyDescent="0.3">
      <c r="A897" t="s">
        <v>5721</v>
      </c>
    </row>
    <row r="898" spans="1:1" x14ac:dyDescent="0.3">
      <c r="A898" t="s">
        <v>5725</v>
      </c>
    </row>
    <row r="899" spans="1:1" x14ac:dyDescent="0.3">
      <c r="A899" t="s">
        <v>5729</v>
      </c>
    </row>
    <row r="900" spans="1:1" x14ac:dyDescent="0.3">
      <c r="A900" t="s">
        <v>5735</v>
      </c>
    </row>
    <row r="901" spans="1:1" x14ac:dyDescent="0.3">
      <c r="A901" t="s">
        <v>5743</v>
      </c>
    </row>
    <row r="902" spans="1:1" x14ac:dyDescent="0.3">
      <c r="A902" t="s">
        <v>5747</v>
      </c>
    </row>
    <row r="903" spans="1:1" x14ac:dyDescent="0.3">
      <c r="A903" t="s">
        <v>5751</v>
      </c>
    </row>
    <row r="904" spans="1:1" x14ac:dyDescent="0.3">
      <c r="A904" t="s">
        <v>5755</v>
      </c>
    </row>
    <row r="905" spans="1:1" x14ac:dyDescent="0.3">
      <c r="A905" t="s">
        <v>5759</v>
      </c>
    </row>
    <row r="906" spans="1:1" x14ac:dyDescent="0.3">
      <c r="A906" t="s">
        <v>5763</v>
      </c>
    </row>
    <row r="907" spans="1:1" x14ac:dyDescent="0.3">
      <c r="A907" t="s">
        <v>5767</v>
      </c>
    </row>
    <row r="908" spans="1:1" x14ac:dyDescent="0.3">
      <c r="A908" t="s">
        <v>5771</v>
      </c>
    </row>
    <row r="909" spans="1:1" x14ac:dyDescent="0.3">
      <c r="A909" t="s">
        <v>5777</v>
      </c>
    </row>
    <row r="910" spans="1:1" x14ac:dyDescent="0.3">
      <c r="A910" t="s">
        <v>5781</v>
      </c>
    </row>
    <row r="911" spans="1:1" x14ac:dyDescent="0.3">
      <c r="A911" t="s">
        <v>5788</v>
      </c>
    </row>
    <row r="912" spans="1:1" x14ac:dyDescent="0.3">
      <c r="A912" t="s">
        <v>5792</v>
      </c>
    </row>
    <row r="913" spans="1:1" x14ac:dyDescent="0.3">
      <c r="A913" t="s">
        <v>5795</v>
      </c>
    </row>
    <row r="914" spans="1:1" x14ac:dyDescent="0.3">
      <c r="A914" t="s">
        <v>5799</v>
      </c>
    </row>
    <row r="915" spans="1:1" x14ac:dyDescent="0.3">
      <c r="A915" t="s">
        <v>5803</v>
      </c>
    </row>
    <row r="916" spans="1:1" x14ac:dyDescent="0.3">
      <c r="A916" t="s">
        <v>5810</v>
      </c>
    </row>
    <row r="917" spans="1:1" x14ac:dyDescent="0.3">
      <c r="A917" t="s">
        <v>5814</v>
      </c>
    </row>
    <row r="918" spans="1:1" x14ac:dyDescent="0.3">
      <c r="A918" t="s">
        <v>5816</v>
      </c>
    </row>
    <row r="919" spans="1:1" x14ac:dyDescent="0.3">
      <c r="A919" t="s">
        <v>5818</v>
      </c>
    </row>
    <row r="920" spans="1:1" x14ac:dyDescent="0.3">
      <c r="A920" t="s">
        <v>5820</v>
      </c>
    </row>
    <row r="921" spans="1:1" x14ac:dyDescent="0.3">
      <c r="A921" t="s">
        <v>5823</v>
      </c>
    </row>
    <row r="922" spans="1:1" x14ac:dyDescent="0.3">
      <c r="A922" t="s">
        <v>5830</v>
      </c>
    </row>
    <row r="923" spans="1:1" x14ac:dyDescent="0.3">
      <c r="A923" t="s">
        <v>5832</v>
      </c>
    </row>
    <row r="924" spans="1:1" x14ac:dyDescent="0.3">
      <c r="A924" t="s">
        <v>5838</v>
      </c>
    </row>
    <row r="925" spans="1:1" x14ac:dyDescent="0.3">
      <c r="A925" t="s">
        <v>5840</v>
      </c>
    </row>
    <row r="926" spans="1:1" x14ac:dyDescent="0.3">
      <c r="A926" t="s">
        <v>5842</v>
      </c>
    </row>
    <row r="927" spans="1:1" x14ac:dyDescent="0.3">
      <c r="A927" t="s">
        <v>5848</v>
      </c>
    </row>
    <row r="928" spans="1:1" x14ac:dyDescent="0.3">
      <c r="A928" t="s">
        <v>5852</v>
      </c>
    </row>
    <row r="929" spans="1:1" x14ac:dyDescent="0.3">
      <c r="A929" t="s">
        <v>5854</v>
      </c>
    </row>
    <row r="930" spans="1:1" x14ac:dyDescent="0.3">
      <c r="A930" t="s">
        <v>5856</v>
      </c>
    </row>
    <row r="931" spans="1:1" x14ac:dyDescent="0.3">
      <c r="A931" t="s">
        <v>5860</v>
      </c>
    </row>
    <row r="932" spans="1:1" x14ac:dyDescent="0.3">
      <c r="A932" t="s">
        <v>5867</v>
      </c>
    </row>
    <row r="933" spans="1:1" x14ac:dyDescent="0.3">
      <c r="A933" t="s">
        <v>5869</v>
      </c>
    </row>
    <row r="934" spans="1:1" x14ac:dyDescent="0.3">
      <c r="A934" t="s">
        <v>5871</v>
      </c>
    </row>
    <row r="935" spans="1:1" x14ac:dyDescent="0.3">
      <c r="A935" t="s">
        <v>5878</v>
      </c>
    </row>
    <row r="936" spans="1:1" x14ac:dyDescent="0.3">
      <c r="A936" t="s">
        <v>5883</v>
      </c>
    </row>
    <row r="937" spans="1:1" x14ac:dyDescent="0.3">
      <c r="A937" t="s">
        <v>5887</v>
      </c>
    </row>
    <row r="938" spans="1:1" x14ac:dyDescent="0.3">
      <c r="A938" t="s">
        <v>5894</v>
      </c>
    </row>
    <row r="939" spans="1:1" x14ac:dyDescent="0.3">
      <c r="A939" t="s">
        <v>5898</v>
      </c>
    </row>
    <row r="940" spans="1:1" x14ac:dyDescent="0.3">
      <c r="A940" t="s">
        <v>5902</v>
      </c>
    </row>
    <row r="941" spans="1:1" x14ac:dyDescent="0.3">
      <c r="A941" t="s">
        <v>5904</v>
      </c>
    </row>
    <row r="942" spans="1:1" x14ac:dyDescent="0.3">
      <c r="A942" t="s">
        <v>5906</v>
      </c>
    </row>
    <row r="943" spans="1:1" x14ac:dyDescent="0.3">
      <c r="A943" t="s">
        <v>5911</v>
      </c>
    </row>
    <row r="944" spans="1:1" x14ac:dyDescent="0.3">
      <c r="A944" t="s">
        <v>5915</v>
      </c>
    </row>
    <row r="945" spans="1:1" x14ac:dyDescent="0.3">
      <c r="A945" t="s">
        <v>5919</v>
      </c>
    </row>
    <row r="946" spans="1:1" x14ac:dyDescent="0.3">
      <c r="A946" t="s">
        <v>5924</v>
      </c>
    </row>
    <row r="947" spans="1:1" x14ac:dyDescent="0.3">
      <c r="A947" t="s">
        <v>5926</v>
      </c>
    </row>
    <row r="948" spans="1:1" x14ac:dyDescent="0.3">
      <c r="A948" t="s">
        <v>5930</v>
      </c>
    </row>
    <row r="949" spans="1:1" x14ac:dyDescent="0.3">
      <c r="A949" t="s">
        <v>5932</v>
      </c>
    </row>
    <row r="950" spans="1:1" x14ac:dyDescent="0.3">
      <c r="A950" t="s">
        <v>5934</v>
      </c>
    </row>
    <row r="951" spans="1:1" x14ac:dyDescent="0.3">
      <c r="A951" t="s">
        <v>5939</v>
      </c>
    </row>
    <row r="952" spans="1:1" x14ac:dyDescent="0.3">
      <c r="A952" t="s">
        <v>5941</v>
      </c>
    </row>
    <row r="953" spans="1:1" x14ac:dyDescent="0.3">
      <c r="A953" t="s">
        <v>5944</v>
      </c>
    </row>
    <row r="954" spans="1:1" x14ac:dyDescent="0.3">
      <c r="A954" t="s">
        <v>5948</v>
      </c>
    </row>
    <row r="955" spans="1:1" x14ac:dyDescent="0.3">
      <c r="A955" t="s">
        <v>5953</v>
      </c>
    </row>
    <row r="956" spans="1:1" x14ac:dyDescent="0.3">
      <c r="A956" t="s">
        <v>5956</v>
      </c>
    </row>
    <row r="957" spans="1:1" x14ac:dyDescent="0.3">
      <c r="A957" t="s">
        <v>5958</v>
      </c>
    </row>
    <row r="958" spans="1:1" x14ac:dyDescent="0.3">
      <c r="A958" t="s">
        <v>5962</v>
      </c>
    </row>
    <row r="959" spans="1:1" x14ac:dyDescent="0.3">
      <c r="A959" t="s">
        <v>5965</v>
      </c>
    </row>
    <row r="960" spans="1:1" x14ac:dyDescent="0.3">
      <c r="A960" t="s">
        <v>5967</v>
      </c>
    </row>
    <row r="961" spans="1:1" x14ac:dyDescent="0.3">
      <c r="A961" t="s">
        <v>5972</v>
      </c>
    </row>
    <row r="962" spans="1:1" x14ac:dyDescent="0.3">
      <c r="A962" t="s">
        <v>5977</v>
      </c>
    </row>
    <row r="963" spans="1:1" x14ac:dyDescent="0.3">
      <c r="A963" t="s">
        <v>5981</v>
      </c>
    </row>
    <row r="964" spans="1:1" x14ac:dyDescent="0.3">
      <c r="A964" t="s">
        <v>5984</v>
      </c>
    </row>
    <row r="965" spans="1:1" x14ac:dyDescent="0.3">
      <c r="A965" t="s">
        <v>5986</v>
      </c>
    </row>
    <row r="966" spans="1:1" x14ac:dyDescent="0.3">
      <c r="A966" t="s">
        <v>5991</v>
      </c>
    </row>
    <row r="967" spans="1:1" x14ac:dyDescent="0.3">
      <c r="A967" t="s">
        <v>5993</v>
      </c>
    </row>
    <row r="968" spans="1:1" x14ac:dyDescent="0.3">
      <c r="A968" t="s">
        <v>5997</v>
      </c>
    </row>
    <row r="969" spans="1:1" x14ac:dyDescent="0.3">
      <c r="A969" t="s">
        <v>5999</v>
      </c>
    </row>
    <row r="970" spans="1:1" x14ac:dyDescent="0.3">
      <c r="A970" t="s">
        <v>6004</v>
      </c>
    </row>
    <row r="971" spans="1:1" x14ac:dyDescent="0.3">
      <c r="A971" t="s">
        <v>6006</v>
      </c>
    </row>
    <row r="972" spans="1:1" x14ac:dyDescent="0.3">
      <c r="A972" t="s">
        <v>6010</v>
      </c>
    </row>
    <row r="973" spans="1:1" x14ac:dyDescent="0.3">
      <c r="A973" t="s">
        <v>6014</v>
      </c>
    </row>
    <row r="974" spans="1:1" x14ac:dyDescent="0.3">
      <c r="A974" t="s">
        <v>6017</v>
      </c>
    </row>
    <row r="975" spans="1:1" x14ac:dyDescent="0.3">
      <c r="A975" t="s">
        <v>6019</v>
      </c>
    </row>
    <row r="976" spans="1:1" x14ac:dyDescent="0.3">
      <c r="A976" t="s">
        <v>6023</v>
      </c>
    </row>
    <row r="977" spans="1:1" x14ac:dyDescent="0.3">
      <c r="A977" t="s">
        <v>6028</v>
      </c>
    </row>
    <row r="978" spans="1:1" x14ac:dyDescent="0.3">
      <c r="A978" t="s">
        <v>6032</v>
      </c>
    </row>
    <row r="979" spans="1:1" x14ac:dyDescent="0.3">
      <c r="A979" t="s">
        <v>6038</v>
      </c>
    </row>
    <row r="980" spans="1:1" x14ac:dyDescent="0.3">
      <c r="A980" t="s">
        <v>6042</v>
      </c>
    </row>
    <row r="981" spans="1:1" x14ac:dyDescent="0.3">
      <c r="A981" t="s">
        <v>6046</v>
      </c>
    </row>
    <row r="982" spans="1:1" x14ac:dyDescent="0.3">
      <c r="A982" t="s">
        <v>6050</v>
      </c>
    </row>
    <row r="983" spans="1:1" x14ac:dyDescent="0.3">
      <c r="A983" t="s">
        <v>6054</v>
      </c>
    </row>
    <row r="984" spans="1:1" x14ac:dyDescent="0.3">
      <c r="A984" t="s">
        <v>6060</v>
      </c>
    </row>
    <row r="985" spans="1:1" x14ac:dyDescent="0.3">
      <c r="A985" t="s">
        <v>6064</v>
      </c>
    </row>
    <row r="986" spans="1:1" x14ac:dyDescent="0.3">
      <c r="A986" t="s">
        <v>6068</v>
      </c>
    </row>
    <row r="987" spans="1:1" x14ac:dyDescent="0.3">
      <c r="A987" t="s">
        <v>6075</v>
      </c>
    </row>
    <row r="988" spans="1:1" x14ac:dyDescent="0.3">
      <c r="A988" t="s">
        <v>6079</v>
      </c>
    </row>
    <row r="989" spans="1:1" x14ac:dyDescent="0.3">
      <c r="A989" t="s">
        <v>6083</v>
      </c>
    </row>
    <row r="990" spans="1:1" x14ac:dyDescent="0.3">
      <c r="A990" t="s">
        <v>6088</v>
      </c>
    </row>
    <row r="991" spans="1:1" x14ac:dyDescent="0.3">
      <c r="A991" t="s">
        <v>6092</v>
      </c>
    </row>
    <row r="992" spans="1:1" x14ac:dyDescent="0.3">
      <c r="A992" t="s">
        <v>6096</v>
      </c>
    </row>
    <row r="993" spans="1:1" x14ac:dyDescent="0.3">
      <c r="A993" t="s">
        <v>6100</v>
      </c>
    </row>
    <row r="994" spans="1:1" x14ac:dyDescent="0.3">
      <c r="A994" t="s">
        <v>6104</v>
      </c>
    </row>
    <row r="995" spans="1:1" x14ac:dyDescent="0.3">
      <c r="A995" t="s">
        <v>6108</v>
      </c>
    </row>
    <row r="996" spans="1:1" x14ac:dyDescent="0.3">
      <c r="A996" t="s">
        <v>6112</v>
      </c>
    </row>
    <row r="997" spans="1:1" x14ac:dyDescent="0.3">
      <c r="A997" t="s">
        <v>6116</v>
      </c>
    </row>
    <row r="998" spans="1:1" x14ac:dyDescent="0.3">
      <c r="A998" t="s">
        <v>6120</v>
      </c>
    </row>
    <row r="999" spans="1:1" x14ac:dyDescent="0.3">
      <c r="A999" t="s">
        <v>6124</v>
      </c>
    </row>
    <row r="1000" spans="1:1" x14ac:dyDescent="0.3">
      <c r="A1000" t="s">
        <v>6128</v>
      </c>
    </row>
    <row r="1001" spans="1:1" x14ac:dyDescent="0.3">
      <c r="A1001" t="s">
        <v>6132</v>
      </c>
    </row>
    <row r="1002" spans="1:1" x14ac:dyDescent="0.3">
      <c r="A1002" t="s">
        <v>6136</v>
      </c>
    </row>
    <row r="1003" spans="1:1" x14ac:dyDescent="0.3">
      <c r="A1003" t="s">
        <v>6140</v>
      </c>
    </row>
    <row r="1004" spans="1:1" x14ac:dyDescent="0.3">
      <c r="A1004" t="s">
        <v>6144</v>
      </c>
    </row>
    <row r="1005" spans="1:1" x14ac:dyDescent="0.3">
      <c r="A1005" t="s">
        <v>6148</v>
      </c>
    </row>
    <row r="1006" spans="1:1" x14ac:dyDescent="0.3">
      <c r="A1006" t="s">
        <v>6152</v>
      </c>
    </row>
    <row r="1007" spans="1:1" x14ac:dyDescent="0.3">
      <c r="A1007" t="s">
        <v>6156</v>
      </c>
    </row>
    <row r="1008" spans="1:1" x14ac:dyDescent="0.3">
      <c r="A1008" t="s">
        <v>6160</v>
      </c>
    </row>
    <row r="1009" spans="1:1" x14ac:dyDescent="0.3">
      <c r="A1009" t="s">
        <v>6164</v>
      </c>
    </row>
    <row r="1010" spans="1:1" x14ac:dyDescent="0.3">
      <c r="A1010" t="s">
        <v>6168</v>
      </c>
    </row>
    <row r="1011" spans="1:1" x14ac:dyDescent="0.3">
      <c r="A1011" t="s">
        <v>6172</v>
      </c>
    </row>
    <row r="1012" spans="1:1" x14ac:dyDescent="0.3">
      <c r="A1012" t="s">
        <v>6176</v>
      </c>
    </row>
    <row r="1013" spans="1:1" x14ac:dyDescent="0.3">
      <c r="A1013" t="s">
        <v>6180</v>
      </c>
    </row>
    <row r="1014" spans="1:1" x14ac:dyDescent="0.3">
      <c r="A1014" t="s">
        <v>6184</v>
      </c>
    </row>
    <row r="1015" spans="1:1" x14ac:dyDescent="0.3">
      <c r="A1015" t="s">
        <v>6189</v>
      </c>
    </row>
    <row r="1016" spans="1:1" x14ac:dyDescent="0.3">
      <c r="A1016" t="s">
        <v>6197</v>
      </c>
    </row>
    <row r="1017" spans="1:1" x14ac:dyDescent="0.3">
      <c r="A1017" t="s">
        <v>6201</v>
      </c>
    </row>
    <row r="1018" spans="1:1" x14ac:dyDescent="0.3">
      <c r="A1018" t="s">
        <v>6205</v>
      </c>
    </row>
    <row r="1019" spans="1:1" x14ac:dyDescent="0.3">
      <c r="A1019" t="s">
        <v>6210</v>
      </c>
    </row>
    <row r="1020" spans="1:1" x14ac:dyDescent="0.3">
      <c r="A1020" t="s">
        <v>6214</v>
      </c>
    </row>
    <row r="1021" spans="1:1" x14ac:dyDescent="0.3">
      <c r="A1021" t="s">
        <v>6219</v>
      </c>
    </row>
    <row r="1022" spans="1:1" x14ac:dyDescent="0.3">
      <c r="A1022" t="s">
        <v>6228</v>
      </c>
    </row>
    <row r="1023" spans="1:1" x14ac:dyDescent="0.3">
      <c r="A1023" t="s">
        <v>6232</v>
      </c>
    </row>
    <row r="1024" spans="1:1" x14ac:dyDescent="0.3">
      <c r="A1024" t="s">
        <v>6235</v>
      </c>
    </row>
    <row r="1025" spans="1:1" x14ac:dyDescent="0.3">
      <c r="A1025" t="s">
        <v>6238</v>
      </c>
    </row>
    <row r="1026" spans="1:1" x14ac:dyDescent="0.3">
      <c r="A1026" t="s">
        <v>6242</v>
      </c>
    </row>
    <row r="1027" spans="1:1" x14ac:dyDescent="0.3">
      <c r="A1027" t="s">
        <v>6246</v>
      </c>
    </row>
    <row r="1028" spans="1:1" x14ac:dyDescent="0.3">
      <c r="A1028" t="s">
        <v>6253</v>
      </c>
    </row>
    <row r="1029" spans="1:1" x14ac:dyDescent="0.3">
      <c r="A1029" t="s">
        <v>6259</v>
      </c>
    </row>
    <row r="1030" spans="1:1" x14ac:dyDescent="0.3">
      <c r="A1030" t="s">
        <v>6262</v>
      </c>
    </row>
    <row r="1031" spans="1:1" x14ac:dyDescent="0.3">
      <c r="A1031" t="s">
        <v>6269</v>
      </c>
    </row>
    <row r="1032" spans="1:1" x14ac:dyDescent="0.3">
      <c r="A1032" t="s">
        <v>6271</v>
      </c>
    </row>
    <row r="1033" spans="1:1" x14ac:dyDescent="0.3">
      <c r="A1033" t="s">
        <v>6273</v>
      </c>
    </row>
    <row r="1034" spans="1:1" x14ac:dyDescent="0.3">
      <c r="A1034" t="s">
        <v>6282</v>
      </c>
    </row>
    <row r="1035" spans="1:1" x14ac:dyDescent="0.3">
      <c r="A1035" t="s">
        <v>6285</v>
      </c>
    </row>
    <row r="1036" spans="1:1" x14ac:dyDescent="0.3">
      <c r="A1036" t="s">
        <v>6288</v>
      </c>
    </row>
    <row r="1037" spans="1:1" x14ac:dyDescent="0.3">
      <c r="A1037" t="s">
        <v>6296</v>
      </c>
    </row>
    <row r="1038" spans="1:1" x14ac:dyDescent="0.3">
      <c r="A1038" t="s">
        <v>6302</v>
      </c>
    </row>
    <row r="1039" spans="1:1" x14ac:dyDescent="0.3">
      <c r="A1039" t="s">
        <v>6309</v>
      </c>
    </row>
    <row r="1040" spans="1:1" x14ac:dyDescent="0.3">
      <c r="A1040" t="s">
        <v>6316</v>
      </c>
    </row>
    <row r="1041" spans="1:1" x14ac:dyDescent="0.3">
      <c r="A1041" t="s">
        <v>6319</v>
      </c>
    </row>
    <row r="1042" spans="1:1" x14ac:dyDescent="0.3">
      <c r="A1042" t="s">
        <v>6328</v>
      </c>
    </row>
    <row r="1043" spans="1:1" x14ac:dyDescent="0.3">
      <c r="A1043" t="s">
        <v>6332</v>
      </c>
    </row>
    <row r="1044" spans="1:1" x14ac:dyDescent="0.3">
      <c r="A1044" t="s">
        <v>6339</v>
      </c>
    </row>
    <row r="1045" spans="1:1" x14ac:dyDescent="0.3">
      <c r="A1045" t="s">
        <v>6343</v>
      </c>
    </row>
    <row r="1046" spans="1:1" x14ac:dyDescent="0.3">
      <c r="A1046" t="s">
        <v>6347</v>
      </c>
    </row>
    <row r="1047" spans="1:1" x14ac:dyDescent="0.3">
      <c r="A1047" t="s">
        <v>6349</v>
      </c>
    </row>
    <row r="1048" spans="1:1" x14ac:dyDescent="0.3">
      <c r="A1048" t="s">
        <v>6353</v>
      </c>
    </row>
    <row r="1049" spans="1:1" x14ac:dyDescent="0.3">
      <c r="A1049" t="s">
        <v>6355</v>
      </c>
    </row>
    <row r="1050" spans="1:1" x14ac:dyDescent="0.3">
      <c r="A1050" t="s">
        <v>6359</v>
      </c>
    </row>
    <row r="1051" spans="1:1" x14ac:dyDescent="0.3">
      <c r="A1051" t="s">
        <v>6366</v>
      </c>
    </row>
    <row r="1052" spans="1:1" x14ac:dyDescent="0.3">
      <c r="A1052" t="s">
        <v>6370</v>
      </c>
    </row>
    <row r="1053" spans="1:1" x14ac:dyDescent="0.3">
      <c r="A1053" t="s">
        <v>6377</v>
      </c>
    </row>
    <row r="1054" spans="1:1" x14ac:dyDescent="0.3">
      <c r="A1054" t="s">
        <v>6384</v>
      </c>
    </row>
    <row r="1055" spans="1:1" x14ac:dyDescent="0.3">
      <c r="A1055" t="s">
        <v>6389</v>
      </c>
    </row>
    <row r="1056" spans="1:1" x14ac:dyDescent="0.3">
      <c r="A1056" t="s">
        <v>6393</v>
      </c>
    </row>
    <row r="1057" spans="1:1" x14ac:dyDescent="0.3">
      <c r="A1057" t="s">
        <v>6398</v>
      </c>
    </row>
    <row r="1058" spans="1:1" x14ac:dyDescent="0.3">
      <c r="A1058" t="s">
        <v>6405</v>
      </c>
    </row>
    <row r="1059" spans="1:1" x14ac:dyDescent="0.3">
      <c r="A1059" t="s">
        <v>6409</v>
      </c>
    </row>
    <row r="1060" spans="1:1" x14ac:dyDescent="0.3">
      <c r="A1060" t="s">
        <v>6413</v>
      </c>
    </row>
    <row r="1061" spans="1:1" x14ac:dyDescent="0.3">
      <c r="A1061" t="s">
        <v>6420</v>
      </c>
    </row>
    <row r="1062" spans="1:1" x14ac:dyDescent="0.3">
      <c r="A1062" t="s">
        <v>6424</v>
      </c>
    </row>
    <row r="1063" spans="1:1" x14ac:dyDescent="0.3">
      <c r="A1063" t="s">
        <v>6428</v>
      </c>
    </row>
    <row r="1064" spans="1:1" x14ac:dyDescent="0.3">
      <c r="A1064" t="s">
        <v>6432</v>
      </c>
    </row>
    <row r="1065" spans="1:1" x14ac:dyDescent="0.3">
      <c r="A1065" t="s">
        <v>6436</v>
      </c>
    </row>
    <row r="1066" spans="1:1" x14ac:dyDescent="0.3">
      <c r="A1066" t="s">
        <v>6445</v>
      </c>
    </row>
    <row r="1067" spans="1:1" x14ac:dyDescent="0.3">
      <c r="A1067" t="s">
        <v>6452</v>
      </c>
    </row>
    <row r="1068" spans="1:1" x14ac:dyDescent="0.3">
      <c r="A1068" t="s">
        <v>6458</v>
      </c>
    </row>
    <row r="1069" spans="1:1" x14ac:dyDescent="0.3">
      <c r="A1069" t="s">
        <v>6462</v>
      </c>
    </row>
    <row r="1070" spans="1:1" x14ac:dyDescent="0.3">
      <c r="A1070" t="s">
        <v>6468</v>
      </c>
    </row>
    <row r="1071" spans="1:1" x14ac:dyDescent="0.3">
      <c r="A1071" t="s">
        <v>6472</v>
      </c>
    </row>
    <row r="1072" spans="1:1" x14ac:dyDescent="0.3">
      <c r="A1072" t="s">
        <v>6476</v>
      </c>
    </row>
    <row r="1073" spans="1:1" x14ac:dyDescent="0.3">
      <c r="A1073" t="s">
        <v>6480</v>
      </c>
    </row>
    <row r="1074" spans="1:1" x14ac:dyDescent="0.3">
      <c r="A1074" t="s">
        <v>6485</v>
      </c>
    </row>
    <row r="1075" spans="1:1" x14ac:dyDescent="0.3">
      <c r="A1075" t="s">
        <v>6492</v>
      </c>
    </row>
    <row r="1076" spans="1:1" x14ac:dyDescent="0.3">
      <c r="A1076" t="s">
        <v>6496</v>
      </c>
    </row>
    <row r="1077" spans="1:1" x14ac:dyDescent="0.3">
      <c r="A1077" t="s">
        <v>6503</v>
      </c>
    </row>
    <row r="1078" spans="1:1" x14ac:dyDescent="0.3">
      <c r="A1078" t="s">
        <v>6510</v>
      </c>
    </row>
    <row r="1079" spans="1:1" x14ac:dyDescent="0.3">
      <c r="A1079" t="s">
        <v>6517</v>
      </c>
    </row>
    <row r="1080" spans="1:1" x14ac:dyDescent="0.3">
      <c r="A1080" t="s">
        <v>6521</v>
      </c>
    </row>
    <row r="1081" spans="1:1" x14ac:dyDescent="0.3">
      <c r="A1081" t="s">
        <v>6527</v>
      </c>
    </row>
    <row r="1082" spans="1:1" x14ac:dyDescent="0.3">
      <c r="A1082" t="s">
        <v>6531</v>
      </c>
    </row>
    <row r="1083" spans="1:1" x14ac:dyDescent="0.3">
      <c r="A1083" t="s">
        <v>6535</v>
      </c>
    </row>
    <row r="1084" spans="1:1" x14ac:dyDescent="0.3">
      <c r="A1084" t="s">
        <v>6542</v>
      </c>
    </row>
    <row r="1085" spans="1:1" x14ac:dyDescent="0.3">
      <c r="A1085" t="s">
        <v>6549</v>
      </c>
    </row>
    <row r="1086" spans="1:1" x14ac:dyDescent="0.3">
      <c r="A1086" t="s">
        <v>6553</v>
      </c>
    </row>
    <row r="1087" spans="1:1" x14ac:dyDescent="0.3">
      <c r="A1087" t="s">
        <v>6557</v>
      </c>
    </row>
    <row r="1088" spans="1:1" x14ac:dyDescent="0.3">
      <c r="A1088" t="s">
        <v>6561</v>
      </c>
    </row>
    <row r="1089" spans="1:1" x14ac:dyDescent="0.3">
      <c r="A1089" t="s">
        <v>6565</v>
      </c>
    </row>
    <row r="1090" spans="1:1" x14ac:dyDescent="0.3">
      <c r="A1090" t="s">
        <v>6569</v>
      </c>
    </row>
    <row r="1091" spans="1:1" x14ac:dyDescent="0.3">
      <c r="A1091" t="s">
        <v>6576</v>
      </c>
    </row>
    <row r="1092" spans="1:1" x14ac:dyDescent="0.3">
      <c r="A1092" t="s">
        <v>6579</v>
      </c>
    </row>
    <row r="1093" spans="1:1" x14ac:dyDescent="0.3">
      <c r="A1093" t="s">
        <v>6586</v>
      </c>
    </row>
    <row r="1094" spans="1:1" x14ac:dyDescent="0.3">
      <c r="A1094" t="s">
        <v>6590</v>
      </c>
    </row>
    <row r="1095" spans="1:1" x14ac:dyDescent="0.3">
      <c r="A1095" t="s">
        <v>6594</v>
      </c>
    </row>
    <row r="1096" spans="1:1" x14ac:dyDescent="0.3">
      <c r="A1096" t="s">
        <v>6598</v>
      </c>
    </row>
    <row r="1097" spans="1:1" x14ac:dyDescent="0.3">
      <c r="A1097" t="s">
        <v>6601</v>
      </c>
    </row>
    <row r="1098" spans="1:1" x14ac:dyDescent="0.3">
      <c r="A1098" t="s">
        <v>6605</v>
      </c>
    </row>
    <row r="1099" spans="1:1" x14ac:dyDescent="0.3">
      <c r="A1099" t="s">
        <v>6612</v>
      </c>
    </row>
    <row r="1100" spans="1:1" x14ac:dyDescent="0.3">
      <c r="A1100" t="s">
        <v>6618</v>
      </c>
    </row>
    <row r="1101" spans="1:1" x14ac:dyDescent="0.3">
      <c r="A1101" t="s">
        <v>6625</v>
      </c>
    </row>
    <row r="1102" spans="1:1" x14ac:dyDescent="0.3">
      <c r="A1102" t="s">
        <v>6632</v>
      </c>
    </row>
    <row r="1103" spans="1:1" x14ac:dyDescent="0.3">
      <c r="A1103" t="s">
        <v>6637</v>
      </c>
    </row>
    <row r="1104" spans="1:1" x14ac:dyDescent="0.3">
      <c r="A1104" t="s">
        <v>6645</v>
      </c>
    </row>
    <row r="1105" spans="1:1" x14ac:dyDescent="0.3">
      <c r="A1105" t="s">
        <v>6651</v>
      </c>
    </row>
    <row r="1106" spans="1:1" x14ac:dyDescent="0.3">
      <c r="A1106" t="s">
        <v>6655</v>
      </c>
    </row>
    <row r="1107" spans="1:1" x14ac:dyDescent="0.3">
      <c r="A1107" t="s">
        <v>6662</v>
      </c>
    </row>
    <row r="1108" spans="1:1" x14ac:dyDescent="0.3">
      <c r="A1108" t="s">
        <v>6666</v>
      </c>
    </row>
    <row r="1109" spans="1:1" x14ac:dyDescent="0.3">
      <c r="A1109" t="s">
        <v>6670</v>
      </c>
    </row>
    <row r="1110" spans="1:1" x14ac:dyDescent="0.3">
      <c r="A1110" t="s">
        <v>6674</v>
      </c>
    </row>
    <row r="1111" spans="1:1" x14ac:dyDescent="0.3">
      <c r="A1111" t="s">
        <v>6678</v>
      </c>
    </row>
    <row r="1112" spans="1:1" x14ac:dyDescent="0.3">
      <c r="A1112" t="s">
        <v>6685</v>
      </c>
    </row>
    <row r="1113" spans="1:1" x14ac:dyDescent="0.3">
      <c r="A1113" t="s">
        <v>6691</v>
      </c>
    </row>
    <row r="1114" spans="1:1" x14ac:dyDescent="0.3">
      <c r="A1114" t="s">
        <v>6697</v>
      </c>
    </row>
    <row r="1115" spans="1:1" x14ac:dyDescent="0.3">
      <c r="A1115" t="s">
        <v>6701</v>
      </c>
    </row>
    <row r="1116" spans="1:1" x14ac:dyDescent="0.3">
      <c r="A1116" t="s">
        <v>6705</v>
      </c>
    </row>
    <row r="1117" spans="1:1" x14ac:dyDescent="0.3">
      <c r="A1117" t="s">
        <v>6712</v>
      </c>
    </row>
    <row r="1118" spans="1:1" x14ac:dyDescent="0.3">
      <c r="A1118" t="s">
        <v>6718</v>
      </c>
    </row>
    <row r="1119" spans="1:1" x14ac:dyDescent="0.3">
      <c r="A1119" t="s">
        <v>6721</v>
      </c>
    </row>
    <row r="1120" spans="1:1" x14ac:dyDescent="0.3">
      <c r="A1120" t="s">
        <v>6725</v>
      </c>
    </row>
    <row r="1121" spans="1:1" x14ac:dyDescent="0.3">
      <c r="A1121" t="s">
        <v>6731</v>
      </c>
    </row>
    <row r="1122" spans="1:1" x14ac:dyDescent="0.3">
      <c r="A1122" t="s">
        <v>6735</v>
      </c>
    </row>
    <row r="1123" spans="1:1" x14ac:dyDescent="0.3">
      <c r="A1123" t="s">
        <v>6739</v>
      </c>
    </row>
    <row r="1124" spans="1:1" x14ac:dyDescent="0.3">
      <c r="A1124" t="s">
        <v>6745</v>
      </c>
    </row>
    <row r="1125" spans="1:1" x14ac:dyDescent="0.3">
      <c r="A1125" t="s">
        <v>6752</v>
      </c>
    </row>
    <row r="1126" spans="1:1" x14ac:dyDescent="0.3">
      <c r="A1126" t="s">
        <v>6756</v>
      </c>
    </row>
    <row r="1127" spans="1:1" x14ac:dyDescent="0.3">
      <c r="A1127" t="s">
        <v>6760</v>
      </c>
    </row>
    <row r="1128" spans="1:1" x14ac:dyDescent="0.3">
      <c r="A1128" t="s">
        <v>6763</v>
      </c>
    </row>
    <row r="1129" spans="1:1" x14ac:dyDescent="0.3">
      <c r="A1129" t="s">
        <v>6770</v>
      </c>
    </row>
    <row r="1130" spans="1:1" x14ac:dyDescent="0.3">
      <c r="A1130" t="s">
        <v>6775</v>
      </c>
    </row>
    <row r="1131" spans="1:1" x14ac:dyDescent="0.3">
      <c r="A1131" t="s">
        <v>6782</v>
      </c>
    </row>
    <row r="1132" spans="1:1" x14ac:dyDescent="0.3">
      <c r="A1132" t="s">
        <v>6786</v>
      </c>
    </row>
    <row r="1133" spans="1:1" x14ac:dyDescent="0.3">
      <c r="A1133" t="s">
        <v>6790</v>
      </c>
    </row>
    <row r="1134" spans="1:1" x14ac:dyDescent="0.3">
      <c r="A1134" t="s">
        <v>6798</v>
      </c>
    </row>
    <row r="1135" spans="1:1" x14ac:dyDescent="0.3">
      <c r="A1135" t="s">
        <v>6802</v>
      </c>
    </row>
    <row r="1136" spans="1:1" x14ac:dyDescent="0.3">
      <c r="A1136" t="s">
        <v>6806</v>
      </c>
    </row>
    <row r="1137" spans="1:1" x14ac:dyDescent="0.3">
      <c r="A1137" t="s">
        <v>6810</v>
      </c>
    </row>
    <row r="1138" spans="1:1" x14ac:dyDescent="0.3">
      <c r="A1138" t="s">
        <v>6814</v>
      </c>
    </row>
    <row r="1139" spans="1:1" x14ac:dyDescent="0.3">
      <c r="A1139" t="s">
        <v>6821</v>
      </c>
    </row>
    <row r="1140" spans="1:1" x14ac:dyDescent="0.3">
      <c r="A1140" t="s">
        <v>6829</v>
      </c>
    </row>
    <row r="1141" spans="1:1" x14ac:dyDescent="0.3">
      <c r="A1141" t="s">
        <v>6833</v>
      </c>
    </row>
    <row r="1142" spans="1:1" x14ac:dyDescent="0.3">
      <c r="A1142" t="s">
        <v>6837</v>
      </c>
    </row>
    <row r="1143" spans="1:1" x14ac:dyDescent="0.3">
      <c r="A1143" t="s">
        <v>6846</v>
      </c>
    </row>
    <row r="1144" spans="1:1" x14ac:dyDescent="0.3">
      <c r="A1144" t="s">
        <v>6850</v>
      </c>
    </row>
    <row r="1145" spans="1:1" x14ac:dyDescent="0.3">
      <c r="A1145" t="s">
        <v>6857</v>
      </c>
    </row>
    <row r="1146" spans="1:1" x14ac:dyDescent="0.3">
      <c r="A1146" t="s">
        <v>6862</v>
      </c>
    </row>
    <row r="1147" spans="1:1" x14ac:dyDescent="0.3">
      <c r="A1147" t="s">
        <v>6867</v>
      </c>
    </row>
    <row r="1148" spans="1:1" x14ac:dyDescent="0.3">
      <c r="A1148" t="s">
        <v>6872</v>
      </c>
    </row>
    <row r="1149" spans="1:1" x14ac:dyDescent="0.3">
      <c r="A1149" t="s">
        <v>6874</v>
      </c>
    </row>
    <row r="1150" spans="1:1" x14ac:dyDescent="0.3">
      <c r="A1150" t="s">
        <v>6884</v>
      </c>
    </row>
    <row r="1151" spans="1:1" x14ac:dyDescent="0.3">
      <c r="A1151" t="s">
        <v>6891</v>
      </c>
    </row>
    <row r="1152" spans="1:1" x14ac:dyDescent="0.3">
      <c r="A1152" t="s">
        <v>6899</v>
      </c>
    </row>
    <row r="1153" spans="1:1" x14ac:dyDescent="0.3">
      <c r="A1153" t="s">
        <v>6910</v>
      </c>
    </row>
    <row r="1154" spans="1:1" x14ac:dyDescent="0.3">
      <c r="A1154" t="s">
        <v>6920</v>
      </c>
    </row>
    <row r="1155" spans="1:1" x14ac:dyDescent="0.3">
      <c r="A1155" t="s">
        <v>6930</v>
      </c>
    </row>
    <row r="1156" spans="1:1" x14ac:dyDescent="0.3">
      <c r="A1156" t="s">
        <v>6936</v>
      </c>
    </row>
    <row r="1157" spans="1:1" x14ac:dyDescent="0.3">
      <c r="A1157" t="s">
        <v>6944</v>
      </c>
    </row>
    <row r="1158" spans="1:1" x14ac:dyDescent="0.3">
      <c r="A1158" t="s">
        <v>6948</v>
      </c>
    </row>
    <row r="1159" spans="1:1" x14ac:dyDescent="0.3">
      <c r="A1159" t="s">
        <v>6955</v>
      </c>
    </row>
    <row r="1160" spans="1:1" x14ac:dyDescent="0.3">
      <c r="A1160" t="s">
        <v>6964</v>
      </c>
    </row>
    <row r="1161" spans="1:1" x14ac:dyDescent="0.3">
      <c r="A1161" t="s">
        <v>6968</v>
      </c>
    </row>
    <row r="1162" spans="1:1" x14ac:dyDescent="0.3">
      <c r="A1162" t="s">
        <v>6972</v>
      </c>
    </row>
    <row r="1163" spans="1:1" x14ac:dyDescent="0.3">
      <c r="A1163" t="s">
        <v>6979</v>
      </c>
    </row>
    <row r="1164" spans="1:1" x14ac:dyDescent="0.3">
      <c r="A1164" t="s">
        <v>6985</v>
      </c>
    </row>
    <row r="1165" spans="1:1" x14ac:dyDescent="0.3">
      <c r="A1165" t="s">
        <v>6995</v>
      </c>
    </row>
    <row r="1166" spans="1:1" x14ac:dyDescent="0.3">
      <c r="A1166" t="s">
        <v>7005</v>
      </c>
    </row>
    <row r="1167" spans="1:1" x14ac:dyDescent="0.3">
      <c r="A1167" t="s">
        <v>7015</v>
      </c>
    </row>
    <row r="1168" spans="1:1" x14ac:dyDescent="0.3">
      <c r="A1168" t="s">
        <v>7019</v>
      </c>
    </row>
    <row r="1169" spans="1:1" x14ac:dyDescent="0.3">
      <c r="A1169" t="s">
        <v>7023</v>
      </c>
    </row>
    <row r="1170" spans="1:1" x14ac:dyDescent="0.3">
      <c r="A1170" t="s">
        <v>7027</v>
      </c>
    </row>
    <row r="1171" spans="1:1" x14ac:dyDescent="0.3">
      <c r="A1171" t="s">
        <v>7031</v>
      </c>
    </row>
    <row r="1172" spans="1:1" x14ac:dyDescent="0.3">
      <c r="A1172" t="s">
        <v>7035</v>
      </c>
    </row>
    <row r="1173" spans="1:1" x14ac:dyDescent="0.3">
      <c r="A1173" t="s">
        <v>7039</v>
      </c>
    </row>
    <row r="1174" spans="1:1" x14ac:dyDescent="0.3">
      <c r="A1174" t="s">
        <v>7043</v>
      </c>
    </row>
    <row r="1175" spans="1:1" x14ac:dyDescent="0.3">
      <c r="A1175" t="s">
        <v>7047</v>
      </c>
    </row>
    <row r="1176" spans="1:1" x14ac:dyDescent="0.3">
      <c r="A1176" t="s">
        <v>7050</v>
      </c>
    </row>
    <row r="1177" spans="1:1" x14ac:dyDescent="0.3">
      <c r="A1177" t="s">
        <v>7054</v>
      </c>
    </row>
    <row r="1178" spans="1:1" x14ac:dyDescent="0.3">
      <c r="A1178" t="s">
        <v>7058</v>
      </c>
    </row>
    <row r="1179" spans="1:1" x14ac:dyDescent="0.3">
      <c r="A1179" t="s">
        <v>7062</v>
      </c>
    </row>
    <row r="1180" spans="1:1" x14ac:dyDescent="0.3">
      <c r="A1180" t="s">
        <v>7066</v>
      </c>
    </row>
    <row r="1181" spans="1:1" x14ac:dyDescent="0.3">
      <c r="A1181" t="s">
        <v>7070</v>
      </c>
    </row>
    <row r="1182" spans="1:1" x14ac:dyDescent="0.3">
      <c r="A1182" t="s">
        <v>7074</v>
      </c>
    </row>
    <row r="1183" spans="1:1" x14ac:dyDescent="0.3">
      <c r="A1183" t="s">
        <v>7078</v>
      </c>
    </row>
    <row r="1184" spans="1:1" x14ac:dyDescent="0.3">
      <c r="A1184" t="s">
        <v>7082</v>
      </c>
    </row>
    <row r="1185" spans="1:1" x14ac:dyDescent="0.3">
      <c r="A1185" t="s">
        <v>7086</v>
      </c>
    </row>
    <row r="1186" spans="1:1" x14ac:dyDescent="0.3">
      <c r="A1186" t="s">
        <v>7090</v>
      </c>
    </row>
    <row r="1187" spans="1:1" x14ac:dyDescent="0.3">
      <c r="A1187" t="s">
        <v>7094</v>
      </c>
    </row>
    <row r="1188" spans="1:1" x14ac:dyDescent="0.3">
      <c r="A1188" t="s">
        <v>7098</v>
      </c>
    </row>
    <row r="1189" spans="1:1" x14ac:dyDescent="0.3">
      <c r="A1189" t="s">
        <v>7102</v>
      </c>
    </row>
    <row r="1190" spans="1:1" x14ac:dyDescent="0.3">
      <c r="A1190" t="s">
        <v>7106</v>
      </c>
    </row>
    <row r="1191" spans="1:1" x14ac:dyDescent="0.3">
      <c r="A1191" t="s">
        <v>7110</v>
      </c>
    </row>
    <row r="1192" spans="1:1" x14ac:dyDescent="0.3">
      <c r="A1192" t="s">
        <v>7114</v>
      </c>
    </row>
    <row r="1193" spans="1:1" x14ac:dyDescent="0.3">
      <c r="A1193" t="s">
        <v>7119</v>
      </c>
    </row>
    <row r="1194" spans="1:1" x14ac:dyDescent="0.3">
      <c r="A1194" t="s">
        <v>7125</v>
      </c>
    </row>
    <row r="1195" spans="1:1" x14ac:dyDescent="0.3">
      <c r="A1195" t="s">
        <v>7130</v>
      </c>
    </row>
    <row r="1196" spans="1:1" x14ac:dyDescent="0.3">
      <c r="A1196" t="s">
        <v>7134</v>
      </c>
    </row>
    <row r="1197" spans="1:1" x14ac:dyDescent="0.3">
      <c r="A1197" t="s">
        <v>7140</v>
      </c>
    </row>
    <row r="1198" spans="1:1" x14ac:dyDescent="0.3">
      <c r="A1198" t="s">
        <v>7144</v>
      </c>
    </row>
    <row r="1199" spans="1:1" x14ac:dyDescent="0.3">
      <c r="A1199" t="s">
        <v>7148</v>
      </c>
    </row>
    <row r="1200" spans="1:1" x14ac:dyDescent="0.3">
      <c r="A1200" t="s">
        <v>7152</v>
      </c>
    </row>
    <row r="1201" spans="1:1" x14ac:dyDescent="0.3">
      <c r="A1201" t="s">
        <v>7157</v>
      </c>
    </row>
    <row r="1202" spans="1:1" x14ac:dyDescent="0.3">
      <c r="A1202" t="s">
        <v>7161</v>
      </c>
    </row>
    <row r="1203" spans="1:1" x14ac:dyDescent="0.3">
      <c r="A1203" t="s">
        <v>7165</v>
      </c>
    </row>
    <row r="1204" spans="1:1" x14ac:dyDescent="0.3">
      <c r="A1204" t="s">
        <v>7169</v>
      </c>
    </row>
    <row r="1205" spans="1:1" x14ac:dyDescent="0.3">
      <c r="A1205" t="s">
        <v>7175</v>
      </c>
    </row>
    <row r="1206" spans="1:1" x14ac:dyDescent="0.3">
      <c r="A1206" t="s">
        <v>7179</v>
      </c>
    </row>
    <row r="1207" spans="1:1" x14ac:dyDescent="0.3">
      <c r="A1207" t="s">
        <v>7183</v>
      </c>
    </row>
    <row r="1208" spans="1:1" x14ac:dyDescent="0.3">
      <c r="A1208" t="s">
        <v>7187</v>
      </c>
    </row>
    <row r="1209" spans="1:1" x14ac:dyDescent="0.3">
      <c r="A1209" t="s">
        <v>7191</v>
      </c>
    </row>
    <row r="1210" spans="1:1" x14ac:dyDescent="0.3">
      <c r="A1210" t="s">
        <v>7195</v>
      </c>
    </row>
    <row r="1211" spans="1:1" x14ac:dyDescent="0.3">
      <c r="A1211" t="s">
        <v>7202</v>
      </c>
    </row>
    <row r="1212" spans="1:1" x14ac:dyDescent="0.3">
      <c r="A1212" t="s">
        <v>7210</v>
      </c>
    </row>
    <row r="1213" spans="1:1" x14ac:dyDescent="0.3">
      <c r="A1213" t="s">
        <v>7214</v>
      </c>
    </row>
    <row r="1214" spans="1:1" x14ac:dyDescent="0.3">
      <c r="A1214" t="s">
        <v>7218</v>
      </c>
    </row>
    <row r="1215" spans="1:1" x14ac:dyDescent="0.3">
      <c r="A1215" t="s">
        <v>7222</v>
      </c>
    </row>
    <row r="1216" spans="1:1" x14ac:dyDescent="0.3">
      <c r="A1216" t="s">
        <v>7226</v>
      </c>
    </row>
    <row r="1217" spans="1:1" x14ac:dyDescent="0.3">
      <c r="A1217" t="s">
        <v>7238</v>
      </c>
    </row>
    <row r="1218" spans="1:1" x14ac:dyDescent="0.3">
      <c r="A1218" t="s">
        <v>7248</v>
      </c>
    </row>
    <row r="1219" spans="1:1" x14ac:dyDescent="0.3">
      <c r="A1219" t="s">
        <v>7252</v>
      </c>
    </row>
    <row r="1220" spans="1:1" x14ac:dyDescent="0.3">
      <c r="A1220" t="s">
        <v>7256</v>
      </c>
    </row>
    <row r="1221" spans="1:1" x14ac:dyDescent="0.3">
      <c r="A1221" t="s">
        <v>7260</v>
      </c>
    </row>
    <row r="1222" spans="1:1" x14ac:dyDescent="0.3">
      <c r="A1222" t="s">
        <v>7264</v>
      </c>
    </row>
    <row r="1223" spans="1:1" x14ac:dyDescent="0.3">
      <c r="A1223" t="s">
        <v>7268</v>
      </c>
    </row>
    <row r="1224" spans="1:1" x14ac:dyDescent="0.3">
      <c r="A1224" t="s">
        <v>7272</v>
      </c>
    </row>
    <row r="1225" spans="1:1" x14ac:dyDescent="0.3">
      <c r="A1225" t="s">
        <v>7276</v>
      </c>
    </row>
    <row r="1226" spans="1:1" x14ac:dyDescent="0.3">
      <c r="A1226" t="s">
        <v>7281</v>
      </c>
    </row>
    <row r="1227" spans="1:1" x14ac:dyDescent="0.3">
      <c r="A1227" t="s">
        <v>7284</v>
      </c>
    </row>
    <row r="1228" spans="1:1" x14ac:dyDescent="0.3">
      <c r="A1228" t="s">
        <v>7288</v>
      </c>
    </row>
    <row r="1229" spans="1:1" x14ac:dyDescent="0.3">
      <c r="A1229" t="s">
        <v>7292</v>
      </c>
    </row>
    <row r="1230" spans="1:1" x14ac:dyDescent="0.3">
      <c r="A1230" t="s">
        <v>7296</v>
      </c>
    </row>
    <row r="1231" spans="1:1" x14ac:dyDescent="0.3">
      <c r="A1231" t="s">
        <v>7300</v>
      </c>
    </row>
    <row r="1232" spans="1:1" x14ac:dyDescent="0.3">
      <c r="A1232" t="s">
        <v>7304</v>
      </c>
    </row>
    <row r="1233" spans="1:1" x14ac:dyDescent="0.3">
      <c r="A1233" t="s">
        <v>7307</v>
      </c>
    </row>
    <row r="1234" spans="1:1" x14ac:dyDescent="0.3">
      <c r="A1234" t="s">
        <v>7311</v>
      </c>
    </row>
    <row r="1235" spans="1:1" x14ac:dyDescent="0.3">
      <c r="A1235" t="s">
        <v>7315</v>
      </c>
    </row>
    <row r="1236" spans="1:1" x14ac:dyDescent="0.3">
      <c r="A1236" t="s">
        <v>7319</v>
      </c>
    </row>
    <row r="1237" spans="1:1" x14ac:dyDescent="0.3">
      <c r="A1237" t="s">
        <v>7323</v>
      </c>
    </row>
    <row r="1238" spans="1:1" x14ac:dyDescent="0.3">
      <c r="A1238" t="s">
        <v>7327</v>
      </c>
    </row>
    <row r="1239" spans="1:1" x14ac:dyDescent="0.3">
      <c r="A1239" t="s">
        <v>7331</v>
      </c>
    </row>
    <row r="1240" spans="1:1" x14ac:dyDescent="0.3">
      <c r="A1240" t="s">
        <v>7338</v>
      </c>
    </row>
    <row r="1241" spans="1:1" x14ac:dyDescent="0.3">
      <c r="A1241" t="s">
        <v>7342</v>
      </c>
    </row>
    <row r="1242" spans="1:1" x14ac:dyDescent="0.3">
      <c r="A1242" t="s">
        <v>7346</v>
      </c>
    </row>
    <row r="1243" spans="1:1" x14ac:dyDescent="0.3">
      <c r="A1243" t="s">
        <v>7350</v>
      </c>
    </row>
    <row r="1244" spans="1:1" x14ac:dyDescent="0.3">
      <c r="A1244" t="s">
        <v>7355</v>
      </c>
    </row>
    <row r="1245" spans="1:1" x14ac:dyDescent="0.3">
      <c r="A1245" t="s">
        <v>7359</v>
      </c>
    </row>
    <row r="1246" spans="1:1" x14ac:dyDescent="0.3">
      <c r="A1246" t="s">
        <v>7363</v>
      </c>
    </row>
    <row r="1247" spans="1:1" x14ac:dyDescent="0.3">
      <c r="A1247" t="s">
        <v>7367</v>
      </c>
    </row>
    <row r="1248" spans="1:1" x14ac:dyDescent="0.3">
      <c r="A1248" t="s">
        <v>7371</v>
      </c>
    </row>
    <row r="1249" spans="1:1" x14ac:dyDescent="0.3">
      <c r="A1249" t="s">
        <v>7375</v>
      </c>
    </row>
    <row r="1250" spans="1:1" x14ac:dyDescent="0.3">
      <c r="A1250" t="s">
        <v>7379</v>
      </c>
    </row>
    <row r="1251" spans="1:1" x14ac:dyDescent="0.3">
      <c r="A1251" t="s">
        <v>7383</v>
      </c>
    </row>
    <row r="1252" spans="1:1" x14ac:dyDescent="0.3">
      <c r="A1252" t="s">
        <v>7387</v>
      </c>
    </row>
    <row r="1253" spans="1:1" x14ac:dyDescent="0.3">
      <c r="A1253" t="s">
        <v>7391</v>
      </c>
    </row>
    <row r="1254" spans="1:1" x14ac:dyDescent="0.3">
      <c r="A1254" t="s">
        <v>7395</v>
      </c>
    </row>
    <row r="1255" spans="1:1" x14ac:dyDescent="0.3">
      <c r="A1255" t="s">
        <v>7399</v>
      </c>
    </row>
    <row r="1256" spans="1:1" x14ac:dyDescent="0.3">
      <c r="A1256" t="s">
        <v>7403</v>
      </c>
    </row>
    <row r="1257" spans="1:1" x14ac:dyDescent="0.3">
      <c r="A1257" t="s">
        <v>7407</v>
      </c>
    </row>
    <row r="1258" spans="1:1" x14ac:dyDescent="0.3">
      <c r="A1258" t="s">
        <v>7411</v>
      </c>
    </row>
    <row r="1259" spans="1:1" x14ac:dyDescent="0.3">
      <c r="A1259" t="s">
        <v>7415</v>
      </c>
    </row>
    <row r="1260" spans="1:1" x14ac:dyDescent="0.3">
      <c r="A1260" t="s">
        <v>7420</v>
      </c>
    </row>
    <row r="1261" spans="1:1" x14ac:dyDescent="0.3">
      <c r="A1261" t="s">
        <v>7424</v>
      </c>
    </row>
    <row r="1262" spans="1:1" x14ac:dyDescent="0.3">
      <c r="A1262" t="s">
        <v>7428</v>
      </c>
    </row>
    <row r="1263" spans="1:1" x14ac:dyDescent="0.3">
      <c r="A1263" t="s">
        <v>7432</v>
      </c>
    </row>
    <row r="1264" spans="1:1" x14ac:dyDescent="0.3">
      <c r="A1264" t="s">
        <v>7436</v>
      </c>
    </row>
    <row r="1265" spans="1:1" x14ac:dyDescent="0.3">
      <c r="A1265" t="s">
        <v>7440</v>
      </c>
    </row>
    <row r="1266" spans="1:1" x14ac:dyDescent="0.3">
      <c r="A1266" t="s">
        <v>7444</v>
      </c>
    </row>
    <row r="1267" spans="1:1" x14ac:dyDescent="0.3">
      <c r="A1267" t="s">
        <v>7448</v>
      </c>
    </row>
    <row r="1268" spans="1:1" x14ac:dyDescent="0.3">
      <c r="A1268" t="s">
        <v>7452</v>
      </c>
    </row>
    <row r="1269" spans="1:1" x14ac:dyDescent="0.3">
      <c r="A1269" t="s">
        <v>7456</v>
      </c>
    </row>
    <row r="1270" spans="1:1" x14ac:dyDescent="0.3">
      <c r="A1270" t="s">
        <v>7463</v>
      </c>
    </row>
    <row r="1271" spans="1:1" x14ac:dyDescent="0.3">
      <c r="A1271" t="s">
        <v>7467</v>
      </c>
    </row>
    <row r="1272" spans="1:1" x14ac:dyDescent="0.3">
      <c r="A1272" t="s">
        <v>7471</v>
      </c>
    </row>
    <row r="1273" spans="1:1" x14ac:dyDescent="0.3">
      <c r="A1273" t="s">
        <v>7475</v>
      </c>
    </row>
    <row r="1274" spans="1:1" x14ac:dyDescent="0.3">
      <c r="A1274" t="s">
        <v>7482</v>
      </c>
    </row>
    <row r="1275" spans="1:1" x14ac:dyDescent="0.3">
      <c r="A1275" t="s">
        <v>7489</v>
      </c>
    </row>
    <row r="1276" spans="1:1" x14ac:dyDescent="0.3">
      <c r="A1276" t="s">
        <v>7491</v>
      </c>
    </row>
    <row r="1277" spans="1:1" x14ac:dyDescent="0.3">
      <c r="A1277" t="s">
        <v>7495</v>
      </c>
    </row>
    <row r="1278" spans="1:1" x14ac:dyDescent="0.3">
      <c r="A1278" t="s">
        <v>7505</v>
      </c>
    </row>
    <row r="1279" spans="1:1" x14ac:dyDescent="0.3">
      <c r="A1279" t="s">
        <v>7509</v>
      </c>
    </row>
    <row r="1280" spans="1:1" x14ac:dyDescent="0.3">
      <c r="A1280" t="s">
        <v>7513</v>
      </c>
    </row>
    <row r="1281" spans="1:1" x14ac:dyDescent="0.3">
      <c r="A1281" t="s">
        <v>7523</v>
      </c>
    </row>
    <row r="1282" spans="1:1" x14ac:dyDescent="0.3">
      <c r="A1282" t="s">
        <v>7527</v>
      </c>
    </row>
    <row r="1283" spans="1:1" x14ac:dyDescent="0.3">
      <c r="A1283" t="s">
        <v>7531</v>
      </c>
    </row>
    <row r="1284" spans="1:1" x14ac:dyDescent="0.3">
      <c r="A1284" t="s">
        <v>7534</v>
      </c>
    </row>
    <row r="1285" spans="1:1" x14ac:dyDescent="0.3">
      <c r="A1285" t="s">
        <v>7538</v>
      </c>
    </row>
    <row r="1286" spans="1:1" x14ac:dyDescent="0.3">
      <c r="A1286" t="s">
        <v>7542</v>
      </c>
    </row>
    <row r="1287" spans="1:1" x14ac:dyDescent="0.3">
      <c r="A1287" t="s">
        <v>7546</v>
      </c>
    </row>
    <row r="1288" spans="1:1" x14ac:dyDescent="0.3">
      <c r="A1288" t="s">
        <v>7550</v>
      </c>
    </row>
    <row r="1289" spans="1:1" x14ac:dyDescent="0.3">
      <c r="A1289" t="s">
        <v>7554</v>
      </c>
    </row>
    <row r="1290" spans="1:1" x14ac:dyDescent="0.3">
      <c r="A1290" t="s">
        <v>7558</v>
      </c>
    </row>
    <row r="1291" spans="1:1" x14ac:dyDescent="0.3">
      <c r="A1291" t="s">
        <v>7562</v>
      </c>
    </row>
    <row r="1292" spans="1:1" x14ac:dyDescent="0.3">
      <c r="A1292" t="s">
        <v>7566</v>
      </c>
    </row>
    <row r="1293" spans="1:1" x14ac:dyDescent="0.3">
      <c r="A1293" t="s">
        <v>7570</v>
      </c>
    </row>
    <row r="1294" spans="1:1" x14ac:dyDescent="0.3">
      <c r="A1294" t="s">
        <v>7574</v>
      </c>
    </row>
    <row r="1295" spans="1:1" x14ac:dyDescent="0.3">
      <c r="A1295" t="s">
        <v>7578</v>
      </c>
    </row>
    <row r="1296" spans="1:1" x14ac:dyDescent="0.3">
      <c r="A1296" t="s">
        <v>7582</v>
      </c>
    </row>
    <row r="1297" spans="1:1" x14ac:dyDescent="0.3">
      <c r="A1297" t="s">
        <v>7586</v>
      </c>
    </row>
    <row r="1298" spans="1:1" x14ac:dyDescent="0.3">
      <c r="A1298" t="s">
        <v>7590</v>
      </c>
    </row>
    <row r="1299" spans="1:1" x14ac:dyDescent="0.3">
      <c r="A1299" t="s">
        <v>7594</v>
      </c>
    </row>
    <row r="1300" spans="1:1" x14ac:dyDescent="0.3">
      <c r="A1300" t="s">
        <v>7598</v>
      </c>
    </row>
    <row r="1301" spans="1:1" x14ac:dyDescent="0.3">
      <c r="A1301" t="s">
        <v>7603</v>
      </c>
    </row>
    <row r="1302" spans="1:1" x14ac:dyDescent="0.3">
      <c r="A1302" t="s">
        <v>7607</v>
      </c>
    </row>
    <row r="1303" spans="1:1" x14ac:dyDescent="0.3">
      <c r="A1303" t="s">
        <v>7614</v>
      </c>
    </row>
    <row r="1304" spans="1:1" x14ac:dyDescent="0.3">
      <c r="A1304" t="s">
        <v>7624</v>
      </c>
    </row>
    <row r="1305" spans="1:1" x14ac:dyDescent="0.3">
      <c r="A1305" t="s">
        <v>7631</v>
      </c>
    </row>
    <row r="1306" spans="1:1" x14ac:dyDescent="0.3">
      <c r="A1306" t="s">
        <v>7638</v>
      </c>
    </row>
    <row r="1307" spans="1:1" x14ac:dyDescent="0.3">
      <c r="A1307" t="s">
        <v>7642</v>
      </c>
    </row>
    <row r="1308" spans="1:1" x14ac:dyDescent="0.3">
      <c r="A1308" t="s">
        <v>7645</v>
      </c>
    </row>
    <row r="1309" spans="1:1" x14ac:dyDescent="0.3">
      <c r="A1309" t="s">
        <v>7655</v>
      </c>
    </row>
    <row r="1310" spans="1:1" x14ac:dyDescent="0.3">
      <c r="A1310" t="s">
        <v>7663</v>
      </c>
    </row>
    <row r="1311" spans="1:1" x14ac:dyDescent="0.3">
      <c r="A1311" t="s">
        <v>7672</v>
      </c>
    </row>
    <row r="1312" spans="1:1" x14ac:dyDescent="0.3">
      <c r="A1312" t="s">
        <v>7682</v>
      </c>
    </row>
    <row r="1313" spans="1:1" x14ac:dyDescent="0.3">
      <c r="A1313" t="s">
        <v>7692</v>
      </c>
    </row>
    <row r="1314" spans="1:1" x14ac:dyDescent="0.3">
      <c r="A1314" t="s">
        <v>7702</v>
      </c>
    </row>
    <row r="1315" spans="1:1" x14ac:dyDescent="0.3">
      <c r="A1315" t="s">
        <v>7706</v>
      </c>
    </row>
    <row r="1316" spans="1:1" x14ac:dyDescent="0.3">
      <c r="A1316" t="s">
        <v>7717</v>
      </c>
    </row>
    <row r="1317" spans="1:1" x14ac:dyDescent="0.3">
      <c r="A1317" t="s">
        <v>7726</v>
      </c>
    </row>
    <row r="1318" spans="1:1" x14ac:dyDescent="0.3">
      <c r="A1318" t="s">
        <v>7733</v>
      </c>
    </row>
    <row r="1319" spans="1:1" x14ac:dyDescent="0.3">
      <c r="A1319" t="s">
        <v>7740</v>
      </c>
    </row>
    <row r="1320" spans="1:1" x14ac:dyDescent="0.3">
      <c r="A1320" t="s">
        <v>7747</v>
      </c>
    </row>
    <row r="1321" spans="1:1" x14ac:dyDescent="0.3">
      <c r="A1321" t="s">
        <v>7754</v>
      </c>
    </row>
    <row r="1322" spans="1:1" x14ac:dyDescent="0.3">
      <c r="A1322" t="s">
        <v>7762</v>
      </c>
    </row>
    <row r="1323" spans="1:1" x14ac:dyDescent="0.3">
      <c r="A1323" t="s">
        <v>7769</v>
      </c>
    </row>
    <row r="1324" spans="1:1" x14ac:dyDescent="0.3">
      <c r="A1324" t="s">
        <v>7779</v>
      </c>
    </row>
    <row r="1325" spans="1:1" x14ac:dyDescent="0.3">
      <c r="A1325" t="s">
        <v>7789</v>
      </c>
    </row>
    <row r="1326" spans="1:1" x14ac:dyDescent="0.3">
      <c r="A1326" t="s">
        <v>7800</v>
      </c>
    </row>
    <row r="1327" spans="1:1" x14ac:dyDescent="0.3">
      <c r="A1327" t="s">
        <v>7810</v>
      </c>
    </row>
    <row r="1328" spans="1:1" x14ac:dyDescent="0.3">
      <c r="A1328" t="s">
        <v>7818</v>
      </c>
    </row>
    <row r="1329" spans="1:1" x14ac:dyDescent="0.3">
      <c r="A1329" t="s">
        <v>7825</v>
      </c>
    </row>
    <row r="1330" spans="1:1" x14ac:dyDescent="0.3">
      <c r="A1330" t="s">
        <v>7837</v>
      </c>
    </row>
    <row r="1331" spans="1:1" x14ac:dyDescent="0.3">
      <c r="A1331" t="s">
        <v>7844</v>
      </c>
    </row>
    <row r="1332" spans="1:1" x14ac:dyDescent="0.3">
      <c r="A1332" t="s">
        <v>7852</v>
      </c>
    </row>
    <row r="1333" spans="1:1" x14ac:dyDescent="0.3">
      <c r="A1333" t="s">
        <v>7859</v>
      </c>
    </row>
    <row r="1334" spans="1:1" x14ac:dyDescent="0.3">
      <c r="A1334" t="s">
        <v>7869</v>
      </c>
    </row>
    <row r="1335" spans="1:1" x14ac:dyDescent="0.3">
      <c r="A1335" t="s">
        <v>7873</v>
      </c>
    </row>
    <row r="1336" spans="1:1" x14ac:dyDescent="0.3">
      <c r="A1336" t="s">
        <v>7883</v>
      </c>
    </row>
    <row r="1337" spans="1:1" x14ac:dyDescent="0.3">
      <c r="A1337" t="s">
        <v>7887</v>
      </c>
    </row>
    <row r="1338" spans="1:1" x14ac:dyDescent="0.3">
      <c r="A1338" t="s">
        <v>7894</v>
      </c>
    </row>
    <row r="1339" spans="1:1" x14ac:dyDescent="0.3">
      <c r="A1339" t="s">
        <v>7904</v>
      </c>
    </row>
    <row r="1340" spans="1:1" x14ac:dyDescent="0.3">
      <c r="A1340" t="s">
        <v>7908</v>
      </c>
    </row>
    <row r="1341" spans="1:1" x14ac:dyDescent="0.3">
      <c r="A1341" t="s">
        <v>7912</v>
      </c>
    </row>
    <row r="1342" spans="1:1" x14ac:dyDescent="0.3">
      <c r="A1342" t="s">
        <v>7916</v>
      </c>
    </row>
    <row r="1343" spans="1:1" x14ac:dyDescent="0.3">
      <c r="A1343" t="s">
        <v>7924</v>
      </c>
    </row>
    <row r="1344" spans="1:1" x14ac:dyDescent="0.3">
      <c r="A1344" t="s">
        <v>7928</v>
      </c>
    </row>
    <row r="1345" spans="1:1" x14ac:dyDescent="0.3">
      <c r="A1345" t="s">
        <v>7935</v>
      </c>
    </row>
    <row r="1346" spans="1:1" x14ac:dyDescent="0.3">
      <c r="A1346" t="s">
        <v>7939</v>
      </c>
    </row>
    <row r="1347" spans="1:1" x14ac:dyDescent="0.3">
      <c r="A1347" t="s">
        <v>7944</v>
      </c>
    </row>
    <row r="1348" spans="1:1" x14ac:dyDescent="0.3">
      <c r="A1348" t="s">
        <v>7949</v>
      </c>
    </row>
    <row r="1349" spans="1:1" x14ac:dyDescent="0.3">
      <c r="A1349" t="s">
        <v>7953</v>
      </c>
    </row>
    <row r="1350" spans="1:1" x14ac:dyDescent="0.3">
      <c r="A1350" t="s">
        <v>7956</v>
      </c>
    </row>
    <row r="1351" spans="1:1" x14ac:dyDescent="0.3">
      <c r="A1351" t="s">
        <v>7960</v>
      </c>
    </row>
    <row r="1352" spans="1:1" x14ac:dyDescent="0.3">
      <c r="A1352" t="s">
        <v>7964</v>
      </c>
    </row>
    <row r="1353" spans="1:1" x14ac:dyDescent="0.3">
      <c r="A1353" t="s">
        <v>7969</v>
      </c>
    </row>
    <row r="1354" spans="1:1" x14ac:dyDescent="0.3">
      <c r="A1354" t="s">
        <v>7973</v>
      </c>
    </row>
    <row r="1355" spans="1:1" x14ac:dyDescent="0.3">
      <c r="A1355" t="s">
        <v>7977</v>
      </c>
    </row>
    <row r="1356" spans="1:1" x14ac:dyDescent="0.3">
      <c r="A1356" t="s">
        <v>7981</v>
      </c>
    </row>
    <row r="1357" spans="1:1" x14ac:dyDescent="0.3">
      <c r="A1357" t="s">
        <v>7985</v>
      </c>
    </row>
    <row r="1358" spans="1:1" x14ac:dyDescent="0.3">
      <c r="A1358" t="s">
        <v>7990</v>
      </c>
    </row>
    <row r="1359" spans="1:1" x14ac:dyDescent="0.3">
      <c r="A1359" t="s">
        <v>7995</v>
      </c>
    </row>
    <row r="1360" spans="1:1" x14ac:dyDescent="0.3">
      <c r="A1360" t="s">
        <v>8002</v>
      </c>
    </row>
    <row r="1361" spans="1:1" x14ac:dyDescent="0.3">
      <c r="A1361" t="s">
        <v>8006</v>
      </c>
    </row>
    <row r="1362" spans="1:1" x14ac:dyDescent="0.3">
      <c r="A1362" t="s">
        <v>8009</v>
      </c>
    </row>
    <row r="1363" spans="1:1" x14ac:dyDescent="0.3">
      <c r="A1363" t="s">
        <v>8013</v>
      </c>
    </row>
    <row r="1364" spans="1:1" x14ac:dyDescent="0.3">
      <c r="A1364" t="s">
        <v>8017</v>
      </c>
    </row>
    <row r="1365" spans="1:1" x14ac:dyDescent="0.3">
      <c r="A1365" t="s">
        <v>8022</v>
      </c>
    </row>
    <row r="1366" spans="1:1" x14ac:dyDescent="0.3">
      <c r="A1366" t="s">
        <v>8025</v>
      </c>
    </row>
    <row r="1367" spans="1:1" x14ac:dyDescent="0.3">
      <c r="A1367" t="s">
        <v>8029</v>
      </c>
    </row>
    <row r="1368" spans="1:1" x14ac:dyDescent="0.3">
      <c r="A1368" t="s">
        <v>8034</v>
      </c>
    </row>
    <row r="1369" spans="1:1" x14ac:dyDescent="0.3">
      <c r="A1369" t="s">
        <v>8038</v>
      </c>
    </row>
    <row r="1370" spans="1:1" x14ac:dyDescent="0.3">
      <c r="A1370" t="s">
        <v>8042</v>
      </c>
    </row>
    <row r="1371" spans="1:1" x14ac:dyDescent="0.3">
      <c r="A1371" t="s">
        <v>8046</v>
      </c>
    </row>
    <row r="1372" spans="1:1" x14ac:dyDescent="0.3">
      <c r="A1372" t="s">
        <v>8050</v>
      </c>
    </row>
    <row r="1373" spans="1:1" x14ac:dyDescent="0.3">
      <c r="A1373" t="s">
        <v>8054</v>
      </c>
    </row>
    <row r="1374" spans="1:1" x14ac:dyDescent="0.3">
      <c r="A1374" t="s">
        <v>8058</v>
      </c>
    </row>
    <row r="1375" spans="1:1" x14ac:dyDescent="0.3">
      <c r="A1375" t="s">
        <v>8061</v>
      </c>
    </row>
    <row r="1376" spans="1:1" x14ac:dyDescent="0.3">
      <c r="A1376" t="s">
        <v>8067</v>
      </c>
    </row>
    <row r="1377" spans="1:1" x14ac:dyDescent="0.3">
      <c r="A1377" t="s">
        <v>8073</v>
      </c>
    </row>
    <row r="1378" spans="1:1" x14ac:dyDescent="0.3">
      <c r="A1378" t="s">
        <v>8080</v>
      </c>
    </row>
    <row r="1379" spans="1:1" x14ac:dyDescent="0.3">
      <c r="A1379" t="s">
        <v>8084</v>
      </c>
    </row>
    <row r="1380" spans="1:1" x14ac:dyDescent="0.3">
      <c r="A1380" t="s">
        <v>8088</v>
      </c>
    </row>
    <row r="1381" spans="1:1" x14ac:dyDescent="0.3">
      <c r="A1381" t="s">
        <v>8092</v>
      </c>
    </row>
    <row r="1382" spans="1:1" x14ac:dyDescent="0.3">
      <c r="A1382" t="s">
        <v>8096</v>
      </c>
    </row>
    <row r="1383" spans="1:1" x14ac:dyDescent="0.3">
      <c r="A1383" t="s">
        <v>8099</v>
      </c>
    </row>
    <row r="1384" spans="1:1" x14ac:dyDescent="0.3">
      <c r="A1384" t="s">
        <v>8103</v>
      </c>
    </row>
    <row r="1385" spans="1:1" x14ac:dyDescent="0.3">
      <c r="A1385" t="s">
        <v>8107</v>
      </c>
    </row>
    <row r="1386" spans="1:1" x14ac:dyDescent="0.3">
      <c r="A1386" t="s">
        <v>8111</v>
      </c>
    </row>
    <row r="1387" spans="1:1" x14ac:dyDescent="0.3">
      <c r="A1387" t="s">
        <v>8115</v>
      </c>
    </row>
    <row r="1388" spans="1:1" x14ac:dyDescent="0.3">
      <c r="A1388" t="s">
        <v>8119</v>
      </c>
    </row>
    <row r="1389" spans="1:1" x14ac:dyDescent="0.3">
      <c r="A1389" t="s">
        <v>8123</v>
      </c>
    </row>
    <row r="1390" spans="1:1" x14ac:dyDescent="0.3">
      <c r="A1390" t="s">
        <v>8127</v>
      </c>
    </row>
    <row r="1391" spans="1:1" x14ac:dyDescent="0.3">
      <c r="A1391" t="s">
        <v>8131</v>
      </c>
    </row>
    <row r="1392" spans="1:1" x14ac:dyDescent="0.3">
      <c r="A1392" t="s">
        <v>8135</v>
      </c>
    </row>
    <row r="1393" spans="1:1" x14ac:dyDescent="0.3">
      <c r="A1393" t="s">
        <v>8139</v>
      </c>
    </row>
    <row r="1394" spans="1:1" x14ac:dyDescent="0.3">
      <c r="A1394" t="s">
        <v>8143</v>
      </c>
    </row>
    <row r="1395" spans="1:1" x14ac:dyDescent="0.3">
      <c r="A1395" t="s">
        <v>8148</v>
      </c>
    </row>
    <row r="1396" spans="1:1" x14ac:dyDescent="0.3">
      <c r="A1396" t="s">
        <v>8152</v>
      </c>
    </row>
    <row r="1397" spans="1:1" x14ac:dyDescent="0.3">
      <c r="A1397" t="s">
        <v>8156</v>
      </c>
    </row>
    <row r="1398" spans="1:1" x14ac:dyDescent="0.3">
      <c r="A1398" t="s">
        <v>8160</v>
      </c>
    </row>
    <row r="1399" spans="1:1" x14ac:dyDescent="0.3">
      <c r="A1399" t="s">
        <v>8164</v>
      </c>
    </row>
    <row r="1400" spans="1:1" x14ac:dyDescent="0.3">
      <c r="A1400" t="s">
        <v>8168</v>
      </c>
    </row>
    <row r="1401" spans="1:1" x14ac:dyDescent="0.3">
      <c r="A1401" t="s">
        <v>8172</v>
      </c>
    </row>
    <row r="1402" spans="1:1" x14ac:dyDescent="0.3">
      <c r="A1402" t="s">
        <v>8176</v>
      </c>
    </row>
    <row r="1403" spans="1:1" x14ac:dyDescent="0.3">
      <c r="A1403" t="s">
        <v>8180</v>
      </c>
    </row>
    <row r="1404" spans="1:1" x14ac:dyDescent="0.3">
      <c r="A1404" t="s">
        <v>8186</v>
      </c>
    </row>
    <row r="1405" spans="1:1" x14ac:dyDescent="0.3">
      <c r="A1405" t="s">
        <v>8191</v>
      </c>
    </row>
    <row r="1406" spans="1:1" x14ac:dyDescent="0.3">
      <c r="A1406" t="s">
        <v>8199</v>
      </c>
    </row>
    <row r="1407" spans="1:1" x14ac:dyDescent="0.3">
      <c r="A1407" t="s">
        <v>8204</v>
      </c>
    </row>
    <row r="1408" spans="1:1" x14ac:dyDescent="0.3">
      <c r="A1408" t="s">
        <v>8209</v>
      </c>
    </row>
    <row r="1409" spans="1:1" x14ac:dyDescent="0.3">
      <c r="A1409" t="s">
        <v>8214</v>
      </c>
    </row>
    <row r="1410" spans="1:1" x14ac:dyDescent="0.3">
      <c r="A1410" t="s">
        <v>8225</v>
      </c>
    </row>
    <row r="1411" spans="1:1" x14ac:dyDescent="0.3">
      <c r="A1411" t="s">
        <v>8232</v>
      </c>
    </row>
    <row r="1412" spans="1:1" x14ac:dyDescent="0.3">
      <c r="A1412" t="s">
        <v>8236</v>
      </c>
    </row>
    <row r="1413" spans="1:1" x14ac:dyDescent="0.3">
      <c r="A1413" t="s">
        <v>8242</v>
      </c>
    </row>
    <row r="1414" spans="1:1" x14ac:dyDescent="0.3">
      <c r="A1414" t="s">
        <v>8246</v>
      </c>
    </row>
    <row r="1415" spans="1:1" x14ac:dyDescent="0.3">
      <c r="A1415" t="s">
        <v>8250</v>
      </c>
    </row>
    <row r="1416" spans="1:1" x14ac:dyDescent="0.3">
      <c r="A1416" t="s">
        <v>8254</v>
      </c>
    </row>
    <row r="1417" spans="1:1" x14ac:dyDescent="0.3">
      <c r="A1417" t="s">
        <v>8258</v>
      </c>
    </row>
    <row r="1418" spans="1:1" x14ac:dyDescent="0.3">
      <c r="A1418" t="s">
        <v>8264</v>
      </c>
    </row>
    <row r="1419" spans="1:1" x14ac:dyDescent="0.3">
      <c r="A1419" t="s">
        <v>8268</v>
      </c>
    </row>
    <row r="1420" spans="1:1" x14ac:dyDescent="0.3">
      <c r="A1420" t="s">
        <v>8272</v>
      </c>
    </row>
    <row r="1421" spans="1:1" x14ac:dyDescent="0.3">
      <c r="A1421" t="s">
        <v>8276</v>
      </c>
    </row>
    <row r="1422" spans="1:1" x14ac:dyDescent="0.3">
      <c r="A1422" t="s">
        <v>8280</v>
      </c>
    </row>
    <row r="1423" spans="1:1" x14ac:dyDescent="0.3">
      <c r="A1423" t="s">
        <v>8284</v>
      </c>
    </row>
    <row r="1424" spans="1:1" x14ac:dyDescent="0.3">
      <c r="A1424" t="s">
        <v>8288</v>
      </c>
    </row>
    <row r="1425" spans="1:1" x14ac:dyDescent="0.3">
      <c r="A1425" t="s">
        <v>8292</v>
      </c>
    </row>
    <row r="1426" spans="1:1" x14ac:dyDescent="0.3">
      <c r="A1426" t="s">
        <v>8296</v>
      </c>
    </row>
    <row r="1427" spans="1:1" x14ac:dyDescent="0.3">
      <c r="A1427" t="s">
        <v>8300</v>
      </c>
    </row>
    <row r="1428" spans="1:1" x14ac:dyDescent="0.3">
      <c r="A1428" t="s">
        <v>8304</v>
      </c>
    </row>
    <row r="1429" spans="1:1" x14ac:dyDescent="0.3">
      <c r="A1429" t="s">
        <v>8310</v>
      </c>
    </row>
    <row r="1430" spans="1:1" x14ac:dyDescent="0.3">
      <c r="A1430" t="s">
        <v>8314</v>
      </c>
    </row>
    <row r="1431" spans="1:1" x14ac:dyDescent="0.3">
      <c r="A1431" t="s">
        <v>8320</v>
      </c>
    </row>
    <row r="1432" spans="1:1" x14ac:dyDescent="0.3">
      <c r="A1432" t="s">
        <v>8324</v>
      </c>
    </row>
    <row r="1433" spans="1:1" x14ac:dyDescent="0.3">
      <c r="A1433" t="s">
        <v>8331</v>
      </c>
    </row>
    <row r="1434" spans="1:1" x14ac:dyDescent="0.3">
      <c r="A1434" t="s">
        <v>8334</v>
      </c>
    </row>
    <row r="1435" spans="1:1" x14ac:dyDescent="0.3">
      <c r="A1435" t="s">
        <v>8338</v>
      </c>
    </row>
    <row r="1436" spans="1:1" x14ac:dyDescent="0.3">
      <c r="A1436" t="s">
        <v>8342</v>
      </c>
    </row>
    <row r="1437" spans="1:1" x14ac:dyDescent="0.3">
      <c r="A1437" t="s">
        <v>8349</v>
      </c>
    </row>
    <row r="1438" spans="1:1" x14ac:dyDescent="0.3">
      <c r="A1438" t="s">
        <v>8353</v>
      </c>
    </row>
    <row r="1439" spans="1:1" x14ac:dyDescent="0.3">
      <c r="A1439" t="s">
        <v>8360</v>
      </c>
    </row>
    <row r="1440" spans="1:1" x14ac:dyDescent="0.3">
      <c r="A1440" t="s">
        <v>8365</v>
      </c>
    </row>
    <row r="1441" spans="1:1" x14ac:dyDescent="0.3">
      <c r="A1441" t="s">
        <v>8369</v>
      </c>
    </row>
    <row r="1442" spans="1:1" x14ac:dyDescent="0.3">
      <c r="A1442" t="s">
        <v>8373</v>
      </c>
    </row>
    <row r="1443" spans="1:1" x14ac:dyDescent="0.3">
      <c r="A1443" t="s">
        <v>8378</v>
      </c>
    </row>
    <row r="1444" spans="1:1" x14ac:dyDescent="0.3">
      <c r="A1444" t="s">
        <v>8382</v>
      </c>
    </row>
    <row r="1445" spans="1:1" x14ac:dyDescent="0.3">
      <c r="A1445" t="s">
        <v>8386</v>
      </c>
    </row>
    <row r="1446" spans="1:1" x14ac:dyDescent="0.3">
      <c r="A1446" t="s">
        <v>8390</v>
      </c>
    </row>
    <row r="1447" spans="1:1" x14ac:dyDescent="0.3">
      <c r="A1447" t="s">
        <v>8395</v>
      </c>
    </row>
    <row r="1448" spans="1:1" x14ac:dyDescent="0.3">
      <c r="A1448" t="s">
        <v>8399</v>
      </c>
    </row>
    <row r="1449" spans="1:1" x14ac:dyDescent="0.3">
      <c r="A1449" t="s">
        <v>8403</v>
      </c>
    </row>
    <row r="1450" spans="1:1" x14ac:dyDescent="0.3">
      <c r="A1450" t="s">
        <v>8407</v>
      </c>
    </row>
    <row r="1451" spans="1:1" x14ac:dyDescent="0.3">
      <c r="A1451" t="s">
        <v>8411</v>
      </c>
    </row>
    <row r="1452" spans="1:1" x14ac:dyDescent="0.3">
      <c r="A1452" t="s">
        <v>8415</v>
      </c>
    </row>
    <row r="1453" spans="1:1" x14ac:dyDescent="0.3">
      <c r="A1453" t="s">
        <v>8419</v>
      </c>
    </row>
    <row r="1454" spans="1:1" x14ac:dyDescent="0.3">
      <c r="A1454" t="s">
        <v>8424</v>
      </c>
    </row>
    <row r="1455" spans="1:1" x14ac:dyDescent="0.3">
      <c r="A1455" t="s">
        <v>8429</v>
      </c>
    </row>
    <row r="1456" spans="1:1" x14ac:dyDescent="0.3">
      <c r="A1456" t="s">
        <v>8439</v>
      </c>
    </row>
    <row r="1457" spans="1:1" x14ac:dyDescent="0.3">
      <c r="A1457" t="s">
        <v>8443</v>
      </c>
    </row>
    <row r="1458" spans="1:1" x14ac:dyDescent="0.3">
      <c r="A1458" t="s">
        <v>8446</v>
      </c>
    </row>
    <row r="1459" spans="1:1" x14ac:dyDescent="0.3">
      <c r="A1459" t="s">
        <v>8450</v>
      </c>
    </row>
    <row r="1460" spans="1:1" x14ac:dyDescent="0.3">
      <c r="A1460" t="s">
        <v>8455</v>
      </c>
    </row>
    <row r="1461" spans="1:1" x14ac:dyDescent="0.3">
      <c r="A1461" t="s">
        <v>8465</v>
      </c>
    </row>
    <row r="1462" spans="1:1" x14ac:dyDescent="0.3">
      <c r="A1462" t="s">
        <v>8475</v>
      </c>
    </row>
    <row r="1463" spans="1:1" x14ac:dyDescent="0.3">
      <c r="A1463" t="s">
        <v>8485</v>
      </c>
    </row>
    <row r="1464" spans="1:1" x14ac:dyDescent="0.3">
      <c r="A1464" t="s">
        <v>8492</v>
      </c>
    </row>
    <row r="1465" spans="1:1" x14ac:dyDescent="0.3">
      <c r="A1465" t="s">
        <v>8497</v>
      </c>
    </row>
    <row r="1466" spans="1:1" x14ac:dyDescent="0.3">
      <c r="A1466" t="s">
        <v>8501</v>
      </c>
    </row>
    <row r="1467" spans="1:1" x14ac:dyDescent="0.3">
      <c r="A1467" t="s">
        <v>8509</v>
      </c>
    </row>
    <row r="1468" spans="1:1" x14ac:dyDescent="0.3">
      <c r="A1468" t="s">
        <v>8513</v>
      </c>
    </row>
    <row r="1469" spans="1:1" x14ac:dyDescent="0.3">
      <c r="A1469" t="s">
        <v>8517</v>
      </c>
    </row>
    <row r="1470" spans="1:1" x14ac:dyDescent="0.3">
      <c r="A1470" t="s">
        <v>8521</v>
      </c>
    </row>
    <row r="1471" spans="1:1" x14ac:dyDescent="0.3">
      <c r="A1471" t="s">
        <v>8525</v>
      </c>
    </row>
    <row r="1472" spans="1:1" x14ac:dyDescent="0.3">
      <c r="A1472" t="s">
        <v>8529</v>
      </c>
    </row>
    <row r="1473" spans="1:1" x14ac:dyDescent="0.3">
      <c r="A1473" t="s">
        <v>8533</v>
      </c>
    </row>
    <row r="1474" spans="1:1" x14ac:dyDescent="0.3">
      <c r="A1474" t="s">
        <v>8537</v>
      </c>
    </row>
    <row r="1475" spans="1:1" x14ac:dyDescent="0.3">
      <c r="A1475" t="s">
        <v>8547</v>
      </c>
    </row>
    <row r="1476" spans="1:1" x14ac:dyDescent="0.3">
      <c r="A1476" t="s">
        <v>8551</v>
      </c>
    </row>
    <row r="1477" spans="1:1" x14ac:dyDescent="0.3">
      <c r="A1477" t="s">
        <v>8555</v>
      </c>
    </row>
    <row r="1478" spans="1:1" x14ac:dyDescent="0.3">
      <c r="A1478" t="s">
        <v>8559</v>
      </c>
    </row>
    <row r="1479" spans="1:1" x14ac:dyDescent="0.3">
      <c r="A1479" t="s">
        <v>8563</v>
      </c>
    </row>
    <row r="1480" spans="1:1" x14ac:dyDescent="0.3">
      <c r="A1480" t="s">
        <v>8573</v>
      </c>
    </row>
    <row r="1481" spans="1:1" x14ac:dyDescent="0.3">
      <c r="A1481" t="s">
        <v>8581</v>
      </c>
    </row>
    <row r="1482" spans="1:1" x14ac:dyDescent="0.3">
      <c r="A1482" t="s">
        <v>8587</v>
      </c>
    </row>
    <row r="1483" spans="1:1" x14ac:dyDescent="0.3">
      <c r="A1483" t="s">
        <v>8595</v>
      </c>
    </row>
    <row r="1484" spans="1:1" x14ac:dyDescent="0.3">
      <c r="A1484" t="s">
        <v>8603</v>
      </c>
    </row>
    <row r="1485" spans="1:1" x14ac:dyDescent="0.3">
      <c r="A1485" t="s">
        <v>8611</v>
      </c>
    </row>
    <row r="1486" spans="1:1" x14ac:dyDescent="0.3">
      <c r="A1486" t="s">
        <v>8616</v>
      </c>
    </row>
    <row r="1487" spans="1:1" x14ac:dyDescent="0.3">
      <c r="A1487" t="s">
        <v>8622</v>
      </c>
    </row>
    <row r="1488" spans="1:1" x14ac:dyDescent="0.3">
      <c r="A1488" t="s">
        <v>8628</v>
      </c>
    </row>
    <row r="1489" spans="1:1" x14ac:dyDescent="0.3">
      <c r="A1489" t="s">
        <v>8635</v>
      </c>
    </row>
    <row r="1490" spans="1:1" x14ac:dyDescent="0.3">
      <c r="A1490" t="s">
        <v>8645</v>
      </c>
    </row>
    <row r="1491" spans="1:1" x14ac:dyDescent="0.3">
      <c r="A1491" t="s">
        <v>8655</v>
      </c>
    </row>
    <row r="1492" spans="1:1" x14ac:dyDescent="0.3">
      <c r="A1492" t="s">
        <v>8662</v>
      </c>
    </row>
    <row r="1493" spans="1:1" x14ac:dyDescent="0.3">
      <c r="A1493" t="s">
        <v>8670</v>
      </c>
    </row>
    <row r="1494" spans="1:1" x14ac:dyDescent="0.3">
      <c r="A1494" t="s">
        <v>8680</v>
      </c>
    </row>
    <row r="1495" spans="1:1" x14ac:dyDescent="0.3">
      <c r="A1495" t="s">
        <v>8687</v>
      </c>
    </row>
    <row r="1496" spans="1:1" x14ac:dyDescent="0.3">
      <c r="A1496" t="s">
        <v>8694</v>
      </c>
    </row>
    <row r="1497" spans="1:1" x14ac:dyDescent="0.3">
      <c r="A1497" t="s">
        <v>8704</v>
      </c>
    </row>
    <row r="1498" spans="1:1" x14ac:dyDescent="0.3">
      <c r="A1498" t="s">
        <v>8708</v>
      </c>
    </row>
    <row r="1499" spans="1:1" x14ac:dyDescent="0.3">
      <c r="A1499" t="s">
        <v>8715</v>
      </c>
    </row>
    <row r="1500" spans="1:1" x14ac:dyDescent="0.3">
      <c r="A1500" t="s">
        <v>8725</v>
      </c>
    </row>
    <row r="1501" spans="1:1" x14ac:dyDescent="0.3">
      <c r="A1501" t="s">
        <v>8731</v>
      </c>
    </row>
    <row r="1502" spans="1:1" x14ac:dyDescent="0.3">
      <c r="A1502" t="s">
        <v>8738</v>
      </c>
    </row>
    <row r="1503" spans="1:1" x14ac:dyDescent="0.3">
      <c r="A1503" t="s">
        <v>8748</v>
      </c>
    </row>
    <row r="1504" spans="1:1" x14ac:dyDescent="0.3">
      <c r="A1504" t="s">
        <v>8755</v>
      </c>
    </row>
    <row r="1505" spans="1:1" x14ac:dyDescent="0.3">
      <c r="A1505" t="s">
        <v>8759</v>
      </c>
    </row>
    <row r="1506" spans="1:1" x14ac:dyDescent="0.3">
      <c r="A1506" t="s">
        <v>8763</v>
      </c>
    </row>
    <row r="1507" spans="1:1" x14ac:dyDescent="0.3">
      <c r="A1507" t="s">
        <v>8767</v>
      </c>
    </row>
    <row r="1508" spans="1:1" x14ac:dyDescent="0.3">
      <c r="A1508" t="s">
        <v>8771</v>
      </c>
    </row>
    <row r="1509" spans="1:1" x14ac:dyDescent="0.3">
      <c r="A1509" t="s">
        <v>8775</v>
      </c>
    </row>
    <row r="1510" spans="1:1" x14ac:dyDescent="0.3">
      <c r="A1510" t="s">
        <v>8785</v>
      </c>
    </row>
    <row r="1511" spans="1:1" x14ac:dyDescent="0.3">
      <c r="A1511" t="s">
        <v>8790</v>
      </c>
    </row>
    <row r="1512" spans="1:1" x14ac:dyDescent="0.3">
      <c r="A1512" t="s">
        <v>8794</v>
      </c>
    </row>
    <row r="1513" spans="1:1" x14ac:dyDescent="0.3">
      <c r="A1513" t="s">
        <v>8798</v>
      </c>
    </row>
    <row r="1514" spans="1:1" x14ac:dyDescent="0.3">
      <c r="A1514" t="s">
        <v>8801</v>
      </c>
    </row>
    <row r="1515" spans="1:1" x14ac:dyDescent="0.3">
      <c r="A1515" t="s">
        <v>8807</v>
      </c>
    </row>
    <row r="1516" spans="1:1" x14ac:dyDescent="0.3">
      <c r="A1516" t="s">
        <v>8810</v>
      </c>
    </row>
    <row r="1517" spans="1:1" x14ac:dyDescent="0.3">
      <c r="A1517" t="s">
        <v>8817</v>
      </c>
    </row>
    <row r="1518" spans="1:1" x14ac:dyDescent="0.3">
      <c r="A1518" t="s">
        <v>8824</v>
      </c>
    </row>
    <row r="1519" spans="1:1" x14ac:dyDescent="0.3">
      <c r="A1519" t="s">
        <v>8828</v>
      </c>
    </row>
    <row r="1520" spans="1:1" x14ac:dyDescent="0.3">
      <c r="A1520" t="s">
        <v>8835</v>
      </c>
    </row>
    <row r="1521" spans="1:1" x14ac:dyDescent="0.3">
      <c r="A1521" t="s">
        <v>8842</v>
      </c>
    </row>
    <row r="1522" spans="1:1" x14ac:dyDescent="0.3">
      <c r="A1522" t="s">
        <v>8852</v>
      </c>
    </row>
    <row r="1523" spans="1:1" x14ac:dyDescent="0.3">
      <c r="A1523" t="s">
        <v>8859</v>
      </c>
    </row>
    <row r="1524" spans="1:1" x14ac:dyDescent="0.3">
      <c r="A1524" t="s">
        <v>8866</v>
      </c>
    </row>
    <row r="1525" spans="1:1" x14ac:dyDescent="0.3">
      <c r="A1525" t="s">
        <v>8870</v>
      </c>
    </row>
    <row r="1526" spans="1:1" x14ac:dyDescent="0.3">
      <c r="A1526" t="s">
        <v>8877</v>
      </c>
    </row>
    <row r="1527" spans="1:1" x14ac:dyDescent="0.3">
      <c r="A1527" t="s">
        <v>8881</v>
      </c>
    </row>
    <row r="1528" spans="1:1" x14ac:dyDescent="0.3">
      <c r="A1528" t="s">
        <v>8885</v>
      </c>
    </row>
    <row r="1529" spans="1:1" x14ac:dyDescent="0.3">
      <c r="A1529" t="s">
        <v>8889</v>
      </c>
    </row>
    <row r="1530" spans="1:1" x14ac:dyDescent="0.3">
      <c r="A1530" t="s">
        <v>8893</v>
      </c>
    </row>
    <row r="1531" spans="1:1" x14ac:dyDescent="0.3">
      <c r="A1531" t="s">
        <v>8897</v>
      </c>
    </row>
    <row r="1532" spans="1:1" x14ac:dyDescent="0.3">
      <c r="A1532" t="s">
        <v>8906</v>
      </c>
    </row>
    <row r="1533" spans="1:1" x14ac:dyDescent="0.3">
      <c r="A1533" t="s">
        <v>8910</v>
      </c>
    </row>
    <row r="1534" spans="1:1" x14ac:dyDescent="0.3">
      <c r="A1534" t="s">
        <v>8914</v>
      </c>
    </row>
    <row r="1535" spans="1:1" x14ac:dyDescent="0.3">
      <c r="A1535" t="s">
        <v>8918</v>
      </c>
    </row>
    <row r="1536" spans="1:1" x14ac:dyDescent="0.3">
      <c r="A1536" t="s">
        <v>8924</v>
      </c>
    </row>
    <row r="1537" spans="1:1" x14ac:dyDescent="0.3">
      <c r="A1537" t="s">
        <v>8928</v>
      </c>
    </row>
    <row r="1538" spans="1:1" x14ac:dyDescent="0.3">
      <c r="A1538" t="s">
        <v>8932</v>
      </c>
    </row>
    <row r="1539" spans="1:1" x14ac:dyDescent="0.3">
      <c r="A1539" t="s">
        <v>8936</v>
      </c>
    </row>
    <row r="1540" spans="1:1" x14ac:dyDescent="0.3">
      <c r="A1540" t="s">
        <v>8940</v>
      </c>
    </row>
    <row r="1541" spans="1:1" x14ac:dyDescent="0.3">
      <c r="A1541" t="s">
        <v>8944</v>
      </c>
    </row>
    <row r="1542" spans="1:1" x14ac:dyDescent="0.3">
      <c r="A1542" t="s">
        <v>8949</v>
      </c>
    </row>
    <row r="1543" spans="1:1" x14ac:dyDescent="0.3">
      <c r="A1543" t="s">
        <v>8953</v>
      </c>
    </row>
    <row r="1544" spans="1:1" x14ac:dyDescent="0.3">
      <c r="A1544" t="s">
        <v>8957</v>
      </c>
    </row>
    <row r="1545" spans="1:1" x14ac:dyDescent="0.3">
      <c r="A1545" t="s">
        <v>8961</v>
      </c>
    </row>
    <row r="1546" spans="1:1" x14ac:dyDescent="0.3">
      <c r="A1546" t="s">
        <v>8965</v>
      </c>
    </row>
    <row r="1547" spans="1:1" x14ac:dyDescent="0.3">
      <c r="A1547" t="s">
        <v>8969</v>
      </c>
    </row>
    <row r="1548" spans="1:1" x14ac:dyDescent="0.3">
      <c r="A1548" t="s">
        <v>8975</v>
      </c>
    </row>
    <row r="1549" spans="1:1" x14ac:dyDescent="0.3">
      <c r="A1549" t="s">
        <v>8979</v>
      </c>
    </row>
    <row r="1550" spans="1:1" x14ac:dyDescent="0.3">
      <c r="A1550" t="s">
        <v>8983</v>
      </c>
    </row>
    <row r="1551" spans="1:1" x14ac:dyDescent="0.3">
      <c r="A1551" t="s">
        <v>8987</v>
      </c>
    </row>
    <row r="1552" spans="1:1" x14ac:dyDescent="0.3">
      <c r="A1552" t="s">
        <v>8991</v>
      </c>
    </row>
    <row r="1553" spans="1:1" x14ac:dyDescent="0.3">
      <c r="A1553" t="s">
        <v>8995</v>
      </c>
    </row>
    <row r="1554" spans="1:1" x14ac:dyDescent="0.3">
      <c r="A1554" t="s">
        <v>9004</v>
      </c>
    </row>
    <row r="1555" spans="1:1" x14ac:dyDescent="0.3">
      <c r="A1555" t="s">
        <v>9008</v>
      </c>
    </row>
    <row r="1556" spans="1:1" x14ac:dyDescent="0.3">
      <c r="A1556" t="s">
        <v>9014</v>
      </c>
    </row>
    <row r="1557" spans="1:1" x14ac:dyDescent="0.3">
      <c r="A1557" t="s">
        <v>9017</v>
      </c>
    </row>
    <row r="1558" spans="1:1" x14ac:dyDescent="0.3">
      <c r="A1558" t="s">
        <v>9021</v>
      </c>
    </row>
    <row r="1559" spans="1:1" x14ac:dyDescent="0.3">
      <c r="A1559" t="s">
        <v>9027</v>
      </c>
    </row>
    <row r="1560" spans="1:1" x14ac:dyDescent="0.3">
      <c r="A1560" t="s">
        <v>9031</v>
      </c>
    </row>
    <row r="1561" spans="1:1" x14ac:dyDescent="0.3">
      <c r="A1561" t="s">
        <v>9038</v>
      </c>
    </row>
    <row r="1562" spans="1:1" x14ac:dyDescent="0.3">
      <c r="A1562" t="s">
        <v>9042</v>
      </c>
    </row>
    <row r="1563" spans="1:1" x14ac:dyDescent="0.3">
      <c r="A1563" t="s">
        <v>9046</v>
      </c>
    </row>
    <row r="1564" spans="1:1" x14ac:dyDescent="0.3">
      <c r="A1564" t="s">
        <v>9051</v>
      </c>
    </row>
    <row r="1565" spans="1:1" x14ac:dyDescent="0.3">
      <c r="A1565" t="s">
        <v>9055</v>
      </c>
    </row>
    <row r="1566" spans="1:1" x14ac:dyDescent="0.3">
      <c r="A1566" t="s">
        <v>9062</v>
      </c>
    </row>
    <row r="1567" spans="1:1" x14ac:dyDescent="0.3">
      <c r="A1567" t="s">
        <v>9066</v>
      </c>
    </row>
    <row r="1568" spans="1:1" x14ac:dyDescent="0.3">
      <c r="A1568" t="s">
        <v>9072</v>
      </c>
    </row>
    <row r="1569" spans="1:1" x14ac:dyDescent="0.3">
      <c r="A1569" t="s">
        <v>9079</v>
      </c>
    </row>
    <row r="1570" spans="1:1" x14ac:dyDescent="0.3">
      <c r="A1570" t="s">
        <v>9083</v>
      </c>
    </row>
    <row r="1571" spans="1:1" x14ac:dyDescent="0.3">
      <c r="A1571" t="s">
        <v>9090</v>
      </c>
    </row>
    <row r="1572" spans="1:1" x14ac:dyDescent="0.3">
      <c r="A1572" t="s">
        <v>9095</v>
      </c>
    </row>
    <row r="1573" spans="1:1" x14ac:dyDescent="0.3">
      <c r="A1573" t="s">
        <v>9099</v>
      </c>
    </row>
    <row r="1574" spans="1:1" x14ac:dyDescent="0.3">
      <c r="A1574" t="s">
        <v>9109</v>
      </c>
    </row>
    <row r="1575" spans="1:1" x14ac:dyDescent="0.3">
      <c r="A1575" t="s">
        <v>9116</v>
      </c>
    </row>
    <row r="1576" spans="1:1" x14ac:dyDescent="0.3">
      <c r="A1576" t="s">
        <v>9123</v>
      </c>
    </row>
    <row r="1577" spans="1:1" x14ac:dyDescent="0.3">
      <c r="A1577" t="s">
        <v>9127</v>
      </c>
    </row>
    <row r="1578" spans="1:1" x14ac:dyDescent="0.3">
      <c r="A1578" t="s">
        <v>9131</v>
      </c>
    </row>
    <row r="1579" spans="1:1" x14ac:dyDescent="0.3">
      <c r="A1579" t="s">
        <v>9135</v>
      </c>
    </row>
    <row r="1580" spans="1:1" x14ac:dyDescent="0.3">
      <c r="A1580" t="s">
        <v>9138</v>
      </c>
    </row>
    <row r="1581" spans="1:1" x14ac:dyDescent="0.3">
      <c r="A1581" t="s">
        <v>9142</v>
      </c>
    </row>
    <row r="1582" spans="1:1" x14ac:dyDescent="0.3">
      <c r="A1582" t="s">
        <v>9149</v>
      </c>
    </row>
    <row r="1583" spans="1:1" x14ac:dyDescent="0.3">
      <c r="A1583" t="s">
        <v>9153</v>
      </c>
    </row>
    <row r="1584" spans="1:1" x14ac:dyDescent="0.3">
      <c r="A1584" t="s">
        <v>9157</v>
      </c>
    </row>
    <row r="1585" spans="1:1" x14ac:dyDescent="0.3">
      <c r="A1585" t="s">
        <v>9161</v>
      </c>
    </row>
    <row r="1586" spans="1:1" x14ac:dyDescent="0.3">
      <c r="A1586" t="s">
        <v>9168</v>
      </c>
    </row>
    <row r="1587" spans="1:1" x14ac:dyDescent="0.3">
      <c r="A1587" t="s">
        <v>9172</v>
      </c>
    </row>
    <row r="1588" spans="1:1" x14ac:dyDescent="0.3">
      <c r="A1588" t="s">
        <v>9176</v>
      </c>
    </row>
    <row r="1589" spans="1:1" x14ac:dyDescent="0.3">
      <c r="A1589" t="s">
        <v>9182</v>
      </c>
    </row>
    <row r="1590" spans="1:1" x14ac:dyDescent="0.3">
      <c r="A1590" t="s">
        <v>9186</v>
      </c>
    </row>
    <row r="1591" spans="1:1" x14ac:dyDescent="0.3">
      <c r="A1591" t="s">
        <v>9190</v>
      </c>
    </row>
    <row r="1592" spans="1:1" x14ac:dyDescent="0.3">
      <c r="A1592" t="s">
        <v>9194</v>
      </c>
    </row>
    <row r="1593" spans="1:1" x14ac:dyDescent="0.3">
      <c r="A1593" t="s">
        <v>9198</v>
      </c>
    </row>
    <row r="1594" spans="1:1" x14ac:dyDescent="0.3">
      <c r="A1594" t="s">
        <v>9202</v>
      </c>
    </row>
    <row r="1595" spans="1:1" x14ac:dyDescent="0.3">
      <c r="A1595" t="s">
        <v>9209</v>
      </c>
    </row>
    <row r="1596" spans="1:1" x14ac:dyDescent="0.3">
      <c r="A1596" t="s">
        <v>9213</v>
      </c>
    </row>
    <row r="1597" spans="1:1" x14ac:dyDescent="0.3">
      <c r="A1597" t="s">
        <v>9217</v>
      </c>
    </row>
    <row r="1598" spans="1:1" x14ac:dyDescent="0.3">
      <c r="A1598" t="s">
        <v>9221</v>
      </c>
    </row>
    <row r="1599" spans="1:1" x14ac:dyDescent="0.3">
      <c r="A1599" t="s">
        <v>9225</v>
      </c>
    </row>
    <row r="1600" spans="1:1" x14ac:dyDescent="0.3">
      <c r="A1600" t="s">
        <v>9229</v>
      </c>
    </row>
    <row r="1601" spans="1:1" x14ac:dyDescent="0.3">
      <c r="A1601" t="s">
        <v>9233</v>
      </c>
    </row>
    <row r="1602" spans="1:1" x14ac:dyDescent="0.3">
      <c r="A1602" t="s">
        <v>9237</v>
      </c>
    </row>
    <row r="1603" spans="1:1" x14ac:dyDescent="0.3">
      <c r="A1603" t="s">
        <v>9241</v>
      </c>
    </row>
    <row r="1604" spans="1:1" x14ac:dyDescent="0.3">
      <c r="A1604" t="s">
        <v>9245</v>
      </c>
    </row>
    <row r="1605" spans="1:1" x14ac:dyDescent="0.3">
      <c r="A1605" t="s">
        <v>9249</v>
      </c>
    </row>
    <row r="1606" spans="1:1" x14ac:dyDescent="0.3">
      <c r="A1606" t="s">
        <v>9253</v>
      </c>
    </row>
    <row r="1607" spans="1:1" x14ac:dyDescent="0.3">
      <c r="A1607" t="s">
        <v>9257</v>
      </c>
    </row>
    <row r="1608" spans="1:1" x14ac:dyDescent="0.3">
      <c r="A1608" t="s">
        <v>9261</v>
      </c>
    </row>
    <row r="1609" spans="1:1" x14ac:dyDescent="0.3">
      <c r="A1609" t="s">
        <v>9264</v>
      </c>
    </row>
    <row r="1610" spans="1:1" x14ac:dyDescent="0.3">
      <c r="A1610" t="s">
        <v>9268</v>
      </c>
    </row>
    <row r="1611" spans="1:1" x14ac:dyDescent="0.3">
      <c r="A1611" t="s">
        <v>9273</v>
      </c>
    </row>
    <row r="1612" spans="1:1" x14ac:dyDescent="0.3">
      <c r="A1612" t="s">
        <v>9278</v>
      </c>
    </row>
    <row r="1613" spans="1:1" x14ac:dyDescent="0.3">
      <c r="A1613" t="s">
        <v>9282</v>
      </c>
    </row>
    <row r="1614" spans="1:1" x14ac:dyDescent="0.3">
      <c r="A1614" t="s">
        <v>9289</v>
      </c>
    </row>
    <row r="1615" spans="1:1" x14ac:dyDescent="0.3">
      <c r="A1615" t="s">
        <v>9293</v>
      </c>
    </row>
    <row r="1616" spans="1:1" x14ac:dyDescent="0.3">
      <c r="A1616" t="s">
        <v>9297</v>
      </c>
    </row>
    <row r="1617" spans="1:1" x14ac:dyDescent="0.3">
      <c r="A1617" t="s">
        <v>9301</v>
      </c>
    </row>
    <row r="1618" spans="1:1" x14ac:dyDescent="0.3">
      <c r="A1618" t="s">
        <v>9305</v>
      </c>
    </row>
    <row r="1619" spans="1:1" x14ac:dyDescent="0.3">
      <c r="A1619" t="s">
        <v>9310</v>
      </c>
    </row>
    <row r="1620" spans="1:1" x14ac:dyDescent="0.3">
      <c r="A1620" t="s">
        <v>9316</v>
      </c>
    </row>
    <row r="1621" spans="1:1" x14ac:dyDescent="0.3">
      <c r="A1621" t="s">
        <v>9321</v>
      </c>
    </row>
    <row r="1622" spans="1:1" x14ac:dyDescent="0.3">
      <c r="A1622" t="s">
        <v>9326</v>
      </c>
    </row>
    <row r="1623" spans="1:1" x14ac:dyDescent="0.3">
      <c r="A1623" t="s">
        <v>9330</v>
      </c>
    </row>
    <row r="1624" spans="1:1" x14ac:dyDescent="0.3">
      <c r="A1624" t="s">
        <v>9336</v>
      </c>
    </row>
    <row r="1625" spans="1:1" x14ac:dyDescent="0.3">
      <c r="A1625" t="s">
        <v>9341</v>
      </c>
    </row>
    <row r="1626" spans="1:1" x14ac:dyDescent="0.3">
      <c r="A1626" t="s">
        <v>9345</v>
      </c>
    </row>
    <row r="1627" spans="1:1" x14ac:dyDescent="0.3">
      <c r="A1627" t="s">
        <v>9349</v>
      </c>
    </row>
    <row r="1628" spans="1:1" x14ac:dyDescent="0.3">
      <c r="A1628" t="s">
        <v>9353</v>
      </c>
    </row>
    <row r="1629" spans="1:1" x14ac:dyDescent="0.3">
      <c r="A1629" t="s">
        <v>9357</v>
      </c>
    </row>
    <row r="1630" spans="1:1" x14ac:dyDescent="0.3">
      <c r="A1630" t="s">
        <v>9361</v>
      </c>
    </row>
    <row r="1631" spans="1:1" x14ac:dyDescent="0.3">
      <c r="A1631" t="s">
        <v>9365</v>
      </c>
    </row>
    <row r="1632" spans="1:1" x14ac:dyDescent="0.3">
      <c r="A1632" t="s">
        <v>9369</v>
      </c>
    </row>
    <row r="1633" spans="1:1" x14ac:dyDescent="0.3">
      <c r="A1633" t="s">
        <v>9373</v>
      </c>
    </row>
    <row r="1634" spans="1:1" x14ac:dyDescent="0.3">
      <c r="A1634" t="s">
        <v>9378</v>
      </c>
    </row>
    <row r="1635" spans="1:1" x14ac:dyDescent="0.3">
      <c r="A1635" t="s">
        <v>9382</v>
      </c>
    </row>
    <row r="1636" spans="1:1" x14ac:dyDescent="0.3">
      <c r="A1636" t="s">
        <v>9386</v>
      </c>
    </row>
    <row r="1637" spans="1:1" x14ac:dyDescent="0.3">
      <c r="A1637" t="s">
        <v>9390</v>
      </c>
    </row>
  </sheetData>
  <autoFilter ref="A1:D1636" xr:uid="{562A941A-E2D7-4786-83B2-2ABF1517B12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1DE11-5312-4165-AEE5-EC395C0FB1AE}">
  <dimension ref="A1:B7"/>
  <sheetViews>
    <sheetView tabSelected="1" workbookViewId="0">
      <selection activeCell="A4" sqref="A4"/>
    </sheetView>
  </sheetViews>
  <sheetFormatPr defaultRowHeight="14.4" x14ac:dyDescent="0.3"/>
  <cols>
    <col min="1" max="1" width="44.33203125" bestFit="1" customWidth="1"/>
    <col min="2" max="2" width="43.5546875" bestFit="1" customWidth="1"/>
  </cols>
  <sheetData>
    <row r="1" spans="1:2" x14ac:dyDescent="0.3">
      <c r="A1" t="s">
        <v>9409</v>
      </c>
      <c r="B1" t="s">
        <v>9411</v>
      </c>
    </row>
    <row r="2" spans="1:2" x14ac:dyDescent="0.3">
      <c r="A2" t="s">
        <v>27</v>
      </c>
      <c r="B2" t="s">
        <v>27</v>
      </c>
    </row>
    <row r="3" spans="1:2" x14ac:dyDescent="0.3">
      <c r="A3" t="s">
        <v>76</v>
      </c>
      <c r="B3" t="s">
        <v>9413</v>
      </c>
    </row>
    <row r="4" spans="1:2" x14ac:dyDescent="0.3">
      <c r="A4" t="s">
        <v>360</v>
      </c>
      <c r="B4" t="s">
        <v>9412</v>
      </c>
    </row>
    <row r="5" spans="1:2" x14ac:dyDescent="0.3">
      <c r="A5" t="s">
        <v>409</v>
      </c>
      <c r="B5" t="s">
        <v>409</v>
      </c>
    </row>
    <row r="6" spans="1:2" x14ac:dyDescent="0.3">
      <c r="A6" t="s">
        <v>491</v>
      </c>
      <c r="B6" t="s">
        <v>9412</v>
      </c>
    </row>
    <row r="7" spans="1:2" x14ac:dyDescent="0.3">
      <c r="A7" t="s">
        <v>4287</v>
      </c>
      <c r="B7"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 export</vt:lpstr>
      <vt:lpstr>Pivot</vt:lpstr>
      <vt:lpstr>unique add</vt:lpstr>
      <vt:lpstr>order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2026-09-03T02:40:14Z</dcterms:created>
  <dcterms:modified xsi:type="dcterms:W3CDTF">2026-09-07T01:08:03Z</dcterms:modified>
</cp:coreProperties>
</file>